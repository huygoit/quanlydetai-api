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quanlydetai\quanlydetai-api\prompts\"/>
    </mc:Choice>
  </mc:AlternateContent>
  <bookViews>
    <workbookView xWindow="0" yWindow="0" windowWidth="23040" windowHeight="10452" activeTab="4"/>
  </bookViews>
  <sheets>
    <sheet name="SVNCKH2025_2026" sheetId="1" r:id="rId1"/>
    <sheet name="BangLHS_2025_2026" sheetId="2" r:id="rId2"/>
    <sheet name="GV_NCKH2025" sheetId="3" r:id="rId3"/>
    <sheet name="GV_NCKH2025ChiTiet" sheetId="4" r:id="rId4"/>
    <sheet name="DMNHanSu" sheetId="5" r:id="rId5"/>
    <sheet name="Tổng hợp" sheetId="6" r:id="rId6"/>
    <sheet name="BangSVKhoiNghiep2025" sheetId="7" r:id="rId7"/>
    <sheet name="BangSVKhoiNghiep2026" sheetId="8" r:id="rId8"/>
    <sheet name="BangDonViNganh" sheetId="9" r:id="rId9"/>
    <sheet name="Bảng Đơn vị" sheetId="10" r:id="rId10"/>
    <sheet name="DMBaiBao_2025_2026" sheetId="11" r:id="rId11"/>
    <sheet name="DMDoanDenTruong" sheetId="12" r:id="rId12"/>
    <sheet name="DMMouMoa" sheetId="13" r:id="rId13"/>
  </sheets>
  <definedNames>
    <definedName name="_xlnm._FilterDatabase" localSheetId="1" hidden="1">BangLHS_2025_2026!$A$1:$S$581</definedName>
    <definedName name="_xlnm._FilterDatabase" localSheetId="6" hidden="1">BangSVKhoiNghiep2025!$A$1:$N$220</definedName>
    <definedName name="_xlnm._FilterDatabase" localSheetId="0" hidden="1">SVNCKH2025_2026!$A$1:$AA$1780</definedName>
  </definedNames>
  <calcPr calcId="162913"/>
</workbook>
</file>

<file path=xl/calcChain.xml><?xml version="1.0" encoding="utf-8"?>
<calcChain xmlns="http://schemas.openxmlformats.org/spreadsheetml/2006/main">
  <c r="K220" i="8" l="1"/>
  <c r="M220" i="7"/>
  <c r="M219" i="7"/>
  <c r="M218" i="7"/>
  <c r="M217" i="7"/>
  <c r="M216" i="7"/>
  <c r="M215" i="7"/>
  <c r="M214" i="7"/>
  <c r="M213" i="7"/>
  <c r="M212" i="7"/>
  <c r="M211" i="7"/>
  <c r="M210" i="7"/>
  <c r="M209" i="7"/>
  <c r="M208" i="7"/>
  <c r="M207" i="7"/>
  <c r="M206" i="7"/>
  <c r="M205" i="7"/>
  <c r="M204" i="7"/>
  <c r="M203" i="7"/>
  <c r="M202" i="7"/>
  <c r="M201" i="7"/>
  <c r="M200" i="7"/>
  <c r="M199" i="7"/>
  <c r="M198" i="7"/>
  <c r="M197" i="7"/>
  <c r="M196"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M161" i="7"/>
  <c r="M160" i="7"/>
  <c r="M159" i="7"/>
  <c r="M158" i="7"/>
  <c r="M157" i="7"/>
  <c r="M156" i="7"/>
  <c r="M155" i="7"/>
  <c r="M154" i="7"/>
  <c r="M153" i="7"/>
  <c r="M152" i="7"/>
  <c r="M151" i="7"/>
  <c r="M150" i="7"/>
  <c r="M149" i="7"/>
  <c r="M148" i="7"/>
  <c r="M147" i="7"/>
  <c r="M146" i="7"/>
  <c r="M145" i="7"/>
  <c r="M144" i="7"/>
  <c r="M143" i="7"/>
  <c r="M142" i="7"/>
  <c r="M141" i="7"/>
  <c r="M140" i="7"/>
  <c r="M139" i="7"/>
  <c r="M138" i="7"/>
  <c r="M137" i="7"/>
  <c r="M136" i="7"/>
  <c r="M135" i="7"/>
  <c r="M134" i="7"/>
  <c r="M133" i="7"/>
  <c r="M132" i="7"/>
  <c r="M131" i="7"/>
  <c r="M130" i="7"/>
  <c r="M129" i="7"/>
  <c r="M128" i="7"/>
  <c r="M127" i="7"/>
  <c r="M126" i="7"/>
  <c r="M125" i="7"/>
  <c r="M124" i="7"/>
  <c r="M123" i="7"/>
  <c r="M122" i="7"/>
  <c r="M121" i="7"/>
  <c r="M120" i="7"/>
  <c r="M119" i="7"/>
  <c r="M118" i="7"/>
  <c r="M117" i="7"/>
  <c r="M116" i="7"/>
  <c r="M115" i="7"/>
  <c r="M114" i="7"/>
  <c r="M113" i="7"/>
  <c r="M112" i="7"/>
  <c r="M111" i="7"/>
  <c r="M110" i="7"/>
  <c r="M109" i="7"/>
  <c r="M108"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B4" i="6"/>
  <c r="C3" i="6"/>
  <c r="B3" i="6"/>
  <c r="B2" i="6"/>
  <c r="C824" i="1"/>
  <c r="C825" i="1" s="1"/>
  <c r="C826" i="1" s="1"/>
  <c r="C821" i="1"/>
  <c r="C822" i="1" s="1"/>
  <c r="C823" i="1" s="1"/>
  <c r="C820" i="1"/>
  <c r="C817" i="1"/>
  <c r="C818" i="1" s="1"/>
  <c r="C819" i="1" s="1"/>
  <c r="C816" i="1"/>
  <c r="C812" i="1"/>
  <c r="C813" i="1" s="1"/>
  <c r="C814" i="1" s="1"/>
  <c r="C815" i="1" s="1"/>
  <c r="C809" i="1"/>
  <c r="C810" i="1" s="1"/>
  <c r="C811" i="1" s="1"/>
  <c r="C808" i="1"/>
  <c r="C807" i="1"/>
  <c r="C803" i="1"/>
  <c r="C804" i="1" s="1"/>
  <c r="C805" i="1" s="1"/>
  <c r="C806" i="1" s="1"/>
  <c r="C802" i="1"/>
  <c r="C797" i="1"/>
  <c r="C798" i="1" s="1"/>
  <c r="C799" i="1" s="1"/>
  <c r="C800" i="1" s="1"/>
  <c r="C801" i="1" s="1"/>
  <c r="C792" i="1"/>
  <c r="C793" i="1" s="1"/>
  <c r="C794" i="1" s="1"/>
  <c r="C795" i="1" s="1"/>
  <c r="C796" i="1" s="1"/>
  <c r="C787" i="1"/>
  <c r="C788" i="1" s="1"/>
  <c r="C789" i="1" s="1"/>
  <c r="C790" i="1" s="1"/>
  <c r="C791" i="1" s="1"/>
  <c r="C783" i="1"/>
  <c r="C784" i="1" s="1"/>
  <c r="C785" i="1" s="1"/>
  <c r="C786" i="1" s="1"/>
  <c r="C782" i="1"/>
  <c r="C778" i="1"/>
  <c r="C779" i="1" s="1"/>
  <c r="C780" i="1" s="1"/>
  <c r="C781" i="1" s="1"/>
  <c r="C774" i="1"/>
  <c r="C775" i="1" s="1"/>
  <c r="C776" i="1" s="1"/>
  <c r="C777" i="1" s="1"/>
  <c r="C773" i="1"/>
  <c r="C772" i="1"/>
  <c r="C771" i="1"/>
  <c r="C770" i="1"/>
  <c r="C769" i="1"/>
  <c r="C765" i="1"/>
  <c r="C766" i="1" s="1"/>
  <c r="C767" i="1" s="1"/>
  <c r="C768" i="1" s="1"/>
  <c r="C764" i="1"/>
  <c r="C759" i="1"/>
  <c r="C760" i="1" s="1"/>
  <c r="C761" i="1" s="1"/>
  <c r="C762" i="1" s="1"/>
  <c r="C763" i="1" s="1"/>
  <c r="C754" i="1"/>
  <c r="C755" i="1" s="1"/>
  <c r="C756" i="1" s="1"/>
  <c r="C757" i="1" s="1"/>
  <c r="C758" i="1" s="1"/>
  <c r="C749" i="1"/>
  <c r="C750" i="1" s="1"/>
  <c r="C751" i="1" s="1"/>
  <c r="C752" i="1" s="1"/>
  <c r="C753" i="1" s="1"/>
  <c r="C744" i="1"/>
  <c r="C745" i="1" s="1"/>
  <c r="C746" i="1" s="1"/>
  <c r="C747" i="1" s="1"/>
  <c r="C748" i="1" s="1"/>
  <c r="C740" i="1"/>
  <c r="C741" i="1" s="1"/>
  <c r="C742" i="1" s="1"/>
  <c r="C743" i="1" s="1"/>
  <c r="C737" i="1"/>
  <c r="C738" i="1" s="1"/>
  <c r="C739" i="1" s="1"/>
  <c r="C735" i="1"/>
  <c r="C736" i="1" s="1"/>
  <c r="C734" i="1"/>
  <c r="C731" i="1"/>
  <c r="C732" i="1" s="1"/>
  <c r="C733" i="1" s="1"/>
  <c r="C727" i="1"/>
  <c r="C728" i="1" s="1"/>
  <c r="C729" i="1" s="1"/>
  <c r="C730" i="1" s="1"/>
  <c r="C723" i="1"/>
  <c r="C724" i="1" s="1"/>
  <c r="C725" i="1" s="1"/>
  <c r="C726" i="1" s="1"/>
  <c r="C722" i="1"/>
  <c r="C718" i="1"/>
  <c r="C719" i="1" s="1"/>
  <c r="C720" i="1" s="1"/>
  <c r="C721" i="1" s="1"/>
  <c r="C716" i="1"/>
  <c r="C717" i="1" s="1"/>
  <c r="C715" i="1"/>
  <c r="C712" i="1"/>
  <c r="C713" i="1" s="1"/>
  <c r="C714" i="1" s="1"/>
  <c r="C711" i="1"/>
  <c r="C706" i="1"/>
  <c r="C707" i="1" s="1"/>
  <c r="C708" i="1" s="1"/>
  <c r="C709" i="1" s="1"/>
  <c r="C710" i="1" s="1"/>
  <c r="C705" i="1"/>
  <c r="C704" i="1"/>
  <c r="C701" i="1"/>
  <c r="C702" i="1" s="1"/>
  <c r="C703" i="1" s="1"/>
  <c r="C700" i="1"/>
  <c r="C698" i="1"/>
  <c r="C699" i="1" s="1"/>
  <c r="C693" i="1"/>
  <c r="C694" i="1" s="1"/>
  <c r="C695" i="1" s="1"/>
  <c r="C696" i="1" s="1"/>
  <c r="C697" i="1" s="1"/>
  <c r="C692" i="1"/>
  <c r="C691" i="1"/>
  <c r="C690" i="1"/>
  <c r="C688" i="1"/>
  <c r="C689" i="1" s="1"/>
  <c r="C687" i="1"/>
  <c r="C683" i="1"/>
  <c r="C684" i="1" s="1"/>
  <c r="C685" i="1" s="1"/>
  <c r="C686" i="1" s="1"/>
  <c r="C679" i="1"/>
  <c r="C680" i="1" s="1"/>
  <c r="C681" i="1" s="1"/>
  <c r="C682" i="1" s="1"/>
  <c r="C678" i="1"/>
  <c r="C677" i="1"/>
  <c r="C675" i="1"/>
  <c r="C676" i="1" s="1"/>
  <c r="C672" i="1"/>
  <c r="C673" i="1" s="1"/>
  <c r="C674" i="1" s="1"/>
  <c r="C667" i="1"/>
  <c r="C668" i="1" s="1"/>
  <c r="C669" i="1" s="1"/>
  <c r="C670" i="1" s="1"/>
  <c r="C671" i="1" s="1"/>
  <c r="C666" i="1"/>
  <c r="C665" i="1"/>
  <c r="C662" i="1"/>
  <c r="C663" i="1" s="1"/>
  <c r="C664" i="1" s="1"/>
  <c r="C661" i="1"/>
  <c r="C660" i="1"/>
  <c r="C659" i="1"/>
  <c r="C658" i="1"/>
  <c r="C656" i="1"/>
  <c r="C657" i="1" s="1"/>
  <c r="C655" i="1"/>
  <c r="C654" i="1"/>
  <c r="C653" i="1"/>
  <c r="C651" i="1"/>
  <c r="C652" i="1" s="1"/>
  <c r="C650" i="1"/>
  <c r="C649" i="1"/>
  <c r="C644" i="1"/>
  <c r="C645" i="1" s="1"/>
  <c r="C646" i="1" s="1"/>
  <c r="C647" i="1" s="1"/>
  <c r="C648" i="1" s="1"/>
  <c r="C643" i="1"/>
  <c r="C641" i="1"/>
  <c r="C642" i="1" s="1"/>
  <c r="C640" i="1"/>
  <c r="C639" i="1"/>
  <c r="C638" i="1"/>
  <c r="C637" i="1"/>
  <c r="C635" i="1"/>
  <c r="C636" i="1" s="1"/>
  <c r="C634" i="1"/>
  <c r="C633" i="1"/>
  <c r="C628" i="1"/>
  <c r="C629" i="1" s="1"/>
  <c r="C630" i="1" s="1"/>
  <c r="C631" i="1" s="1"/>
  <c r="C632" i="1" s="1"/>
  <c r="C625" i="1"/>
  <c r="C626" i="1" s="1"/>
  <c r="C627" i="1" s="1"/>
  <c r="C624" i="1"/>
  <c r="C621" i="1"/>
  <c r="C622" i="1" s="1"/>
  <c r="C623" i="1" s="1"/>
  <c r="C619" i="1"/>
  <c r="C620" i="1" s="1"/>
  <c r="C618" i="1"/>
  <c r="C617" i="1"/>
  <c r="C615" i="1"/>
  <c r="C616" i="1" s="1"/>
  <c r="C610" i="1"/>
  <c r="C611" i="1" s="1"/>
  <c r="C612" i="1" s="1"/>
  <c r="C613" i="1" s="1"/>
  <c r="C614" i="1" s="1"/>
  <c r="C606" i="1"/>
  <c r="C607" i="1" s="1"/>
  <c r="C608" i="1" s="1"/>
  <c r="C609" i="1" s="1"/>
  <c r="C605" i="1"/>
  <c r="C600" i="1"/>
  <c r="C601" i="1" s="1"/>
  <c r="C602" i="1" s="1"/>
  <c r="C603" i="1" s="1"/>
  <c r="C604" i="1" s="1"/>
  <c r="C595" i="1"/>
  <c r="C596" i="1" s="1"/>
  <c r="C597" i="1" s="1"/>
  <c r="C598" i="1" s="1"/>
  <c r="C599" i="1" s="1"/>
  <c r="C590" i="1"/>
  <c r="C591" i="1" s="1"/>
  <c r="C592" i="1" s="1"/>
  <c r="C593" i="1" s="1"/>
  <c r="C594" i="1" s="1"/>
  <c r="C588" i="1"/>
  <c r="C589" i="1" s="1"/>
  <c r="C587" i="1"/>
  <c r="C585" i="1"/>
  <c r="C586" i="1" s="1"/>
  <c r="C584" i="1"/>
  <c r="C583" i="1"/>
  <c r="C582" i="1"/>
  <c r="C579" i="1"/>
  <c r="C580" i="1" s="1"/>
  <c r="C581" i="1" s="1"/>
  <c r="C578" i="1"/>
  <c r="C577" i="1"/>
  <c r="C572" i="1"/>
  <c r="C573" i="1" s="1"/>
  <c r="C574" i="1" s="1"/>
  <c r="C575" i="1" s="1"/>
  <c r="C576" i="1" s="1"/>
  <c r="C569" i="1"/>
  <c r="C570" i="1" s="1"/>
  <c r="C571" i="1" s="1"/>
  <c r="C568" i="1"/>
  <c r="C565" i="1"/>
  <c r="C566" i="1" s="1"/>
  <c r="C567" i="1" s="1"/>
  <c r="C562" i="1"/>
  <c r="C563" i="1" s="1"/>
  <c r="C564" i="1" s="1"/>
  <c r="C561" i="1"/>
  <c r="C559" i="1"/>
  <c r="C560" i="1" s="1"/>
  <c r="C558" i="1"/>
  <c r="C555" i="1"/>
  <c r="C556" i="1" s="1"/>
  <c r="C557" i="1" s="1"/>
  <c r="C552" i="1"/>
  <c r="C553" i="1" s="1"/>
  <c r="C554" i="1" s="1"/>
  <c r="C551" i="1"/>
  <c r="C550" i="1"/>
  <c r="C549" i="1"/>
  <c r="C548" i="1"/>
  <c r="C547" i="1"/>
  <c r="C546" i="1"/>
  <c r="C543" i="1"/>
  <c r="C544" i="1" s="1"/>
  <c r="C545" i="1" s="1"/>
  <c r="C542" i="1"/>
  <c r="C539" i="1"/>
  <c r="C540" i="1" s="1"/>
  <c r="C541" i="1" s="1"/>
  <c r="C538" i="1"/>
  <c r="C535" i="1"/>
  <c r="C536" i="1" s="1"/>
  <c r="C537" i="1" s="1"/>
  <c r="C532" i="1"/>
  <c r="C533" i="1" s="1"/>
  <c r="C534" i="1" s="1"/>
  <c r="C529" i="1"/>
  <c r="C530" i="1" s="1"/>
  <c r="C531" i="1" s="1"/>
  <c r="C528" i="1"/>
  <c r="C527" i="1"/>
  <c r="C525" i="1"/>
  <c r="C526" i="1" s="1"/>
  <c r="C524" i="1"/>
  <c r="C521" i="1"/>
  <c r="C522" i="1" s="1"/>
  <c r="C523" i="1" s="1"/>
  <c r="C517" i="1"/>
  <c r="C518" i="1" s="1"/>
  <c r="C519" i="1" s="1"/>
  <c r="C520" i="1" s="1"/>
  <c r="C513" i="1"/>
  <c r="C514" i="1" s="1"/>
  <c r="C515" i="1" s="1"/>
  <c r="C516" i="1" s="1"/>
  <c r="C509" i="1"/>
  <c r="C510" i="1" s="1"/>
  <c r="C511" i="1" s="1"/>
  <c r="C512" i="1" s="1"/>
  <c r="C508" i="1"/>
  <c r="C506" i="1"/>
  <c r="C507" i="1" s="1"/>
  <c r="C505" i="1"/>
  <c r="C503" i="1"/>
  <c r="C504" i="1" s="1"/>
  <c r="C502" i="1"/>
  <c r="C498" i="1"/>
  <c r="C499" i="1" s="1"/>
  <c r="C500" i="1" s="1"/>
  <c r="C501" i="1" s="1"/>
  <c r="C497" i="1"/>
  <c r="C492" i="1"/>
  <c r="C493" i="1" s="1"/>
  <c r="C494" i="1" s="1"/>
  <c r="C495" i="1" s="1"/>
  <c r="C496" i="1" s="1"/>
  <c r="C491" i="1"/>
  <c r="C487" i="1"/>
  <c r="C488" i="1" s="1"/>
  <c r="C489" i="1" s="1"/>
  <c r="C490" i="1" s="1"/>
  <c r="C486" i="1"/>
  <c r="C481" i="1"/>
  <c r="C482" i="1" s="1"/>
  <c r="C483" i="1" s="1"/>
  <c r="C484" i="1" s="1"/>
  <c r="C485" i="1" s="1"/>
  <c r="C476" i="1"/>
  <c r="C477" i="1" s="1"/>
  <c r="C478" i="1" s="1"/>
  <c r="C479" i="1" s="1"/>
  <c r="C480" i="1" s="1"/>
  <c r="C475" i="1"/>
  <c r="C474" i="1"/>
  <c r="C473" i="1"/>
  <c r="C472" i="1"/>
  <c r="C471" i="1"/>
  <c r="C467" i="1"/>
  <c r="C468" i="1" s="1"/>
  <c r="C469" i="1" s="1"/>
  <c r="C470" i="1" s="1"/>
  <c r="C466" i="1"/>
  <c r="C461" i="1"/>
  <c r="C462" i="1" s="1"/>
  <c r="C463" i="1" s="1"/>
  <c r="C464" i="1" s="1"/>
  <c r="C465" i="1" s="1"/>
  <c r="C457" i="1"/>
  <c r="C458" i="1" s="1"/>
  <c r="C459" i="1" s="1"/>
  <c r="C460" i="1" s="1"/>
  <c r="C453" i="1"/>
  <c r="C454" i="1" s="1"/>
  <c r="C455" i="1" s="1"/>
  <c r="C456" i="1" s="1"/>
  <c r="C452" i="1"/>
  <c r="C450" i="1"/>
  <c r="C451" i="1" s="1"/>
  <c r="C449" i="1"/>
  <c r="C445" i="1"/>
  <c r="C446" i="1" s="1"/>
  <c r="C447" i="1" s="1"/>
  <c r="C448" i="1" s="1"/>
  <c r="C444" i="1"/>
  <c r="C440" i="1"/>
  <c r="C441" i="1" s="1"/>
  <c r="C442" i="1" s="1"/>
  <c r="C443" i="1" s="1"/>
  <c r="C436" i="1"/>
  <c r="C437" i="1" s="1"/>
  <c r="C438" i="1" s="1"/>
  <c r="C439" i="1" s="1"/>
  <c r="C435" i="1"/>
  <c r="C431" i="1"/>
  <c r="C432" i="1" s="1"/>
  <c r="C433" i="1" s="1"/>
  <c r="C434" i="1" s="1"/>
  <c r="C430" i="1"/>
  <c r="C425" i="1"/>
  <c r="C426" i="1" s="1"/>
  <c r="C427" i="1" s="1"/>
  <c r="C428" i="1" s="1"/>
  <c r="C429" i="1" s="1"/>
  <c r="C424" i="1"/>
  <c r="C420" i="1"/>
  <c r="C421" i="1" s="1"/>
  <c r="C422" i="1" s="1"/>
  <c r="C423" i="1" s="1"/>
  <c r="C419" i="1"/>
  <c r="C414" i="1"/>
  <c r="C415" i="1" s="1"/>
  <c r="C416" i="1" s="1"/>
  <c r="C417" i="1" s="1"/>
  <c r="C418" i="1" s="1"/>
  <c r="C411" i="1"/>
  <c r="C412" i="1" s="1"/>
  <c r="C413" i="1" s="1"/>
  <c r="C410" i="1"/>
  <c r="C405" i="1"/>
  <c r="C406" i="1" s="1"/>
  <c r="C407" i="1" s="1"/>
  <c r="C408" i="1" s="1"/>
  <c r="C409" i="1" s="1"/>
  <c r="C401" i="1"/>
  <c r="C402" i="1" s="1"/>
  <c r="C403" i="1" s="1"/>
  <c r="C404" i="1" s="1"/>
  <c r="C400" i="1"/>
  <c r="C395" i="1"/>
  <c r="C396" i="1" s="1"/>
  <c r="C397" i="1" s="1"/>
  <c r="C398" i="1" s="1"/>
  <c r="C399" i="1" s="1"/>
  <c r="C391" i="1"/>
  <c r="C392" i="1" s="1"/>
  <c r="C393" i="1" s="1"/>
  <c r="C394" i="1" s="1"/>
  <c r="C390" i="1"/>
  <c r="C386" i="1"/>
  <c r="C387" i="1" s="1"/>
  <c r="C388" i="1" s="1"/>
  <c r="C389" i="1" s="1"/>
  <c r="C382" i="1"/>
  <c r="C383" i="1" s="1"/>
  <c r="C384" i="1" s="1"/>
  <c r="C385" i="1" s="1"/>
  <c r="C381" i="1"/>
  <c r="C380" i="1"/>
  <c r="C379" i="1"/>
  <c r="C378" i="1"/>
  <c r="C377" i="1"/>
  <c r="C373" i="1"/>
  <c r="C374" i="1" s="1"/>
  <c r="C375" i="1" s="1"/>
  <c r="C376" i="1" s="1"/>
  <c r="C371" i="1"/>
  <c r="C372" i="1" s="1"/>
  <c r="C369" i="1"/>
  <c r="C370" i="1" s="1"/>
  <c r="C368" i="1"/>
  <c r="C364" i="1"/>
  <c r="C365" i="1" s="1"/>
  <c r="C366" i="1" s="1"/>
  <c r="C367" i="1" s="1"/>
  <c r="C361" i="1"/>
  <c r="C362" i="1" s="1"/>
  <c r="C363" i="1" s="1"/>
  <c r="C358" i="1"/>
  <c r="C359" i="1" s="1"/>
  <c r="C360" i="1" s="1"/>
  <c r="C355" i="1"/>
  <c r="C356" i="1" s="1"/>
  <c r="C357" i="1" s="1"/>
  <c r="C353" i="1"/>
  <c r="C354" i="1" s="1"/>
  <c r="C352" i="1"/>
  <c r="C351" i="1"/>
  <c r="C350" i="1"/>
  <c r="C346" i="1"/>
  <c r="C347" i="1" s="1"/>
  <c r="C348" i="1" s="1"/>
  <c r="C349" i="1" s="1"/>
  <c r="C345" i="1"/>
  <c r="C344" i="1"/>
  <c r="C341" i="1"/>
  <c r="C342" i="1" s="1"/>
  <c r="C343" i="1" s="1"/>
  <c r="C340" i="1"/>
  <c r="C338" i="1"/>
  <c r="C339" i="1" s="1"/>
  <c r="C337" i="1"/>
  <c r="C335" i="1"/>
  <c r="C336" i="1" s="1"/>
  <c r="C330" i="1"/>
  <c r="C331" i="1" s="1"/>
  <c r="C332" i="1" s="1"/>
  <c r="C333" i="1" s="1"/>
  <c r="C334" i="1" s="1"/>
  <c r="C326" i="1"/>
  <c r="C327" i="1" s="1"/>
  <c r="C328" i="1" s="1"/>
  <c r="C329" i="1" s="1"/>
  <c r="C325" i="1"/>
  <c r="C324" i="1"/>
  <c r="C323" i="1"/>
  <c r="C322" i="1"/>
  <c r="C321" i="1"/>
  <c r="C319" i="1"/>
  <c r="C320" i="1" s="1"/>
  <c r="C318" i="1"/>
  <c r="C313" i="1"/>
  <c r="C314" i="1" s="1"/>
  <c r="C315" i="1" s="1"/>
  <c r="C316" i="1" s="1"/>
  <c r="C317" i="1" s="1"/>
  <c r="C310" i="1"/>
  <c r="C311" i="1" s="1"/>
  <c r="C312" i="1" s="1"/>
  <c r="C305" i="1"/>
  <c r="C306" i="1" s="1"/>
  <c r="C307" i="1" s="1"/>
  <c r="C308" i="1" s="1"/>
  <c r="C309" i="1" s="1"/>
  <c r="C302" i="1"/>
  <c r="C303" i="1" s="1"/>
  <c r="C304" i="1" s="1"/>
  <c r="C301" i="1"/>
  <c r="C297" i="1"/>
  <c r="C298" i="1" s="1"/>
  <c r="C299" i="1" s="1"/>
  <c r="C300" i="1" s="1"/>
  <c r="C293" i="1"/>
  <c r="C294" i="1" s="1"/>
  <c r="C295" i="1" s="1"/>
  <c r="C296" i="1" s="1"/>
  <c r="C292" i="1"/>
  <c r="C289" i="1"/>
  <c r="C290" i="1" s="1"/>
  <c r="C291" i="1" s="1"/>
  <c r="C288" i="1"/>
  <c r="C287" i="1"/>
  <c r="C285" i="1"/>
  <c r="C286" i="1" s="1"/>
  <c r="C280" i="1"/>
  <c r="C281" i="1" s="1"/>
  <c r="C282" i="1" s="1"/>
  <c r="C283" i="1" s="1"/>
  <c r="C284" i="1" s="1"/>
  <c r="C275" i="1"/>
  <c r="C276" i="1" s="1"/>
  <c r="C277" i="1" s="1"/>
  <c r="C278" i="1" s="1"/>
  <c r="C279" i="1" s="1"/>
  <c r="C270" i="1"/>
  <c r="C271" i="1" s="1"/>
  <c r="C272" i="1" s="1"/>
  <c r="C273" i="1" s="1"/>
  <c r="C274" i="1" s="1"/>
  <c r="C268" i="1"/>
  <c r="C269" i="1" s="1"/>
  <c r="C267" i="1"/>
  <c r="C263" i="1"/>
  <c r="C264" i="1" s="1"/>
  <c r="C265" i="1" s="1"/>
  <c r="C266" i="1" s="1"/>
  <c r="C261" i="1"/>
  <c r="C262" i="1" s="1"/>
  <c r="C259" i="1"/>
  <c r="C260" i="1" s="1"/>
  <c r="C257" i="1"/>
  <c r="C258" i="1" s="1"/>
  <c r="C252" i="1"/>
  <c r="C253" i="1" s="1"/>
  <c r="C254" i="1" s="1"/>
  <c r="C255" i="1" s="1"/>
  <c r="C256" i="1" s="1"/>
  <c r="C249" i="1"/>
  <c r="C250" i="1" s="1"/>
  <c r="C251" i="1" s="1"/>
  <c r="C248" i="1"/>
  <c r="C247" i="1"/>
  <c r="C243" i="1"/>
  <c r="C244" i="1" s="1"/>
  <c r="C245" i="1" s="1"/>
  <c r="C246" i="1" s="1"/>
  <c r="C242" i="1"/>
  <c r="C241" i="1"/>
  <c r="C240" i="1"/>
  <c r="C239" i="1"/>
  <c r="C238" i="1"/>
  <c r="C233" i="1"/>
  <c r="C234" i="1" s="1"/>
  <c r="C235" i="1" s="1"/>
  <c r="C236" i="1" s="1"/>
  <c r="C237" i="1" s="1"/>
  <c r="C229" i="1"/>
  <c r="C230" i="1" s="1"/>
  <c r="C231" i="1" s="1"/>
  <c r="C232" i="1" s="1"/>
  <c r="C224" i="1"/>
  <c r="C225" i="1" s="1"/>
  <c r="C226" i="1" s="1"/>
  <c r="C227" i="1" s="1"/>
  <c r="C228" i="1" s="1"/>
  <c r="C223" i="1"/>
  <c r="C222" i="1"/>
  <c r="C218" i="1"/>
  <c r="C219" i="1" s="1"/>
  <c r="C220" i="1" s="1"/>
  <c r="C221" i="1" s="1"/>
  <c r="C217" i="1"/>
  <c r="C214" i="1"/>
  <c r="C215" i="1" s="1"/>
  <c r="C216" i="1" s="1"/>
  <c r="C212" i="1"/>
  <c r="C213" i="1" s="1"/>
  <c r="C211" i="1"/>
  <c r="C207" i="1"/>
  <c r="C208" i="1" s="1"/>
  <c r="C209" i="1" s="1"/>
  <c r="C210" i="1" s="1"/>
  <c r="C206" i="1"/>
  <c r="C203" i="1"/>
  <c r="C204" i="1" s="1"/>
  <c r="C205" i="1" s="1"/>
  <c r="C202" i="1"/>
  <c r="C197" i="1"/>
  <c r="C198" i="1" s="1"/>
  <c r="C199" i="1" s="1"/>
  <c r="C200" i="1" s="1"/>
  <c r="C201" i="1" s="1"/>
  <c r="C193" i="1"/>
  <c r="C194" i="1" s="1"/>
  <c r="C195" i="1" s="1"/>
  <c r="C196" i="1" s="1"/>
  <c r="C190" i="1"/>
  <c r="C191" i="1" s="1"/>
  <c r="C192" i="1" s="1"/>
  <c r="C187" i="1"/>
  <c r="C188" i="1" s="1"/>
  <c r="C189" i="1" s="1"/>
  <c r="C185" i="1"/>
  <c r="C186" i="1" s="1"/>
  <c r="C184" i="1"/>
  <c r="C183" i="1"/>
  <c r="C182" i="1"/>
  <c r="C177" i="1"/>
  <c r="C178" i="1" s="1"/>
  <c r="C179" i="1" s="1"/>
  <c r="C180" i="1" s="1"/>
  <c r="C181" i="1" s="1"/>
  <c r="C175" i="1"/>
  <c r="C176" i="1" s="1"/>
  <c r="C173" i="1"/>
  <c r="C174" i="1" s="1"/>
  <c r="C171" i="1"/>
  <c r="C172" i="1" s="1"/>
  <c r="C167" i="1"/>
  <c r="C168" i="1" s="1"/>
  <c r="C169" i="1" s="1"/>
  <c r="C170" i="1" s="1"/>
  <c r="C166" i="1"/>
  <c r="C162" i="1"/>
  <c r="C163" i="1" s="1"/>
  <c r="C164" i="1" s="1"/>
  <c r="C165" i="1" s="1"/>
  <c r="C161" i="1"/>
  <c r="C158" i="1"/>
  <c r="C159" i="1" s="1"/>
  <c r="C160" i="1" s="1"/>
  <c r="C157" i="1"/>
  <c r="C152" i="1"/>
  <c r="C153" i="1" s="1"/>
  <c r="C154" i="1" s="1"/>
  <c r="C155" i="1" s="1"/>
  <c r="C156" i="1" s="1"/>
  <c r="C149" i="1"/>
  <c r="C150" i="1" s="1"/>
  <c r="C151" i="1" s="1"/>
  <c r="C148" i="1"/>
  <c r="C143" i="1"/>
  <c r="C144" i="1" s="1"/>
  <c r="C145" i="1" s="1"/>
  <c r="C146" i="1" s="1"/>
  <c r="C147" i="1" s="1"/>
  <c r="C139" i="1"/>
  <c r="C140" i="1" s="1"/>
  <c r="C141" i="1" s="1"/>
  <c r="C142" i="1" s="1"/>
  <c r="C134" i="1"/>
  <c r="C135" i="1" s="1"/>
  <c r="C136" i="1" s="1"/>
  <c r="C137" i="1" s="1"/>
  <c r="C138" i="1" s="1"/>
  <c r="C129" i="1"/>
  <c r="C130" i="1" s="1"/>
  <c r="C131" i="1" s="1"/>
  <c r="C132" i="1" s="1"/>
  <c r="C133" i="1" s="1"/>
  <c r="C125" i="1"/>
  <c r="C126" i="1" s="1"/>
  <c r="C127" i="1" s="1"/>
  <c r="C128" i="1" s="1"/>
  <c r="C121" i="1"/>
  <c r="C122" i="1" s="1"/>
  <c r="C123" i="1" s="1"/>
  <c r="C124" i="1" s="1"/>
  <c r="C117" i="1"/>
  <c r="C118" i="1" s="1"/>
  <c r="C119" i="1" s="1"/>
  <c r="C120" i="1" s="1"/>
  <c r="C112" i="1"/>
  <c r="C113" i="1" s="1"/>
  <c r="C114" i="1" s="1"/>
  <c r="C115" i="1" s="1"/>
  <c r="C116" i="1" s="1"/>
  <c r="C108" i="1"/>
  <c r="C109" i="1" s="1"/>
  <c r="C110" i="1" s="1"/>
  <c r="C111" i="1" s="1"/>
  <c r="C107" i="1"/>
  <c r="C102" i="1"/>
  <c r="C103" i="1" s="1"/>
  <c r="C104" i="1" s="1"/>
  <c r="C105" i="1" s="1"/>
  <c r="C106" i="1" s="1"/>
  <c r="C100" i="1"/>
  <c r="C101" i="1" s="1"/>
  <c r="C99" i="1"/>
  <c r="C98" i="1"/>
  <c r="C97" i="1"/>
  <c r="C93" i="1"/>
  <c r="C94" i="1" s="1"/>
  <c r="C95" i="1" s="1"/>
  <c r="C96" i="1" s="1"/>
  <c r="C89" i="1"/>
  <c r="C90" i="1" s="1"/>
  <c r="C91" i="1" s="1"/>
  <c r="C92" i="1" s="1"/>
  <c r="C88" i="1"/>
  <c r="C83" i="1"/>
  <c r="C84" i="1" s="1"/>
  <c r="C85" i="1" s="1"/>
  <c r="C86" i="1" s="1"/>
  <c r="C87" i="1" s="1"/>
  <c r="C81" i="1"/>
  <c r="C82" i="1" s="1"/>
  <c r="C80" i="1"/>
  <c r="C79" i="1"/>
  <c r="C78" i="1"/>
  <c r="C77" i="1"/>
  <c r="C76" i="1"/>
  <c r="C72" i="1"/>
  <c r="C73" i="1" s="1"/>
  <c r="C74" i="1" s="1"/>
  <c r="C75" i="1" s="1"/>
  <c r="C71" i="1"/>
  <c r="C66" i="1"/>
  <c r="C67" i="1" s="1"/>
  <c r="C68" i="1" s="1"/>
  <c r="C69" i="1" s="1"/>
  <c r="C70" i="1" s="1"/>
  <c r="C63" i="1"/>
  <c r="C64" i="1" s="1"/>
  <c r="C65" i="1" s="1"/>
  <c r="C61" i="1"/>
  <c r="C62" i="1" s="1"/>
  <c r="C60" i="1"/>
  <c r="C56" i="1"/>
  <c r="C57" i="1" s="1"/>
  <c r="C58" i="1" s="1"/>
  <c r="C59" i="1" s="1"/>
  <c r="C55" i="1"/>
  <c r="C54" i="1"/>
  <c r="C52" i="1"/>
  <c r="C53" i="1" s="1"/>
  <c r="C50" i="1"/>
  <c r="C51" i="1" s="1"/>
  <c r="C49" i="1"/>
  <c r="C46" i="1"/>
  <c r="C47" i="1" s="1"/>
  <c r="C48" i="1" s="1"/>
  <c r="C44" i="1"/>
  <c r="C45" i="1" s="1"/>
  <c r="C43" i="1"/>
  <c r="C42" i="1"/>
  <c r="C39" i="1"/>
  <c r="C40" i="1" s="1"/>
  <c r="C41" i="1" s="1"/>
  <c r="C38" i="1"/>
  <c r="C34" i="1"/>
  <c r="C35" i="1" s="1"/>
  <c r="C36" i="1" s="1"/>
  <c r="C37" i="1" s="1"/>
  <c r="C33" i="1"/>
  <c r="C32" i="1"/>
  <c r="C27" i="1"/>
  <c r="C28" i="1" s="1"/>
  <c r="C29" i="1" s="1"/>
  <c r="C30" i="1" s="1"/>
  <c r="C31" i="1" s="1"/>
  <c r="C22" i="1"/>
  <c r="C23" i="1" s="1"/>
  <c r="C24" i="1" s="1"/>
  <c r="C25" i="1" s="1"/>
  <c r="C26" i="1" s="1"/>
  <c r="C17" i="1"/>
  <c r="C18" i="1" s="1"/>
  <c r="C19" i="1" s="1"/>
  <c r="C20" i="1" s="1"/>
  <c r="C21" i="1" s="1"/>
  <c r="C13" i="1"/>
  <c r="C14" i="1" s="1"/>
  <c r="C15" i="1" s="1"/>
  <c r="C16" i="1" s="1"/>
  <c r="C12" i="1"/>
  <c r="C7" i="1"/>
  <c r="C8" i="1" s="1"/>
  <c r="C9" i="1" s="1"/>
  <c r="C10" i="1" s="1"/>
  <c r="C11" i="1" s="1"/>
  <c r="C5" i="1"/>
  <c r="C6" i="1" s="1"/>
  <c r="C4" i="1"/>
  <c r="C3" i="1"/>
  <c r="J806" i="1"/>
  <c r="J282" i="1"/>
  <c r="J747" i="1"/>
  <c r="J745" i="1"/>
  <c r="J370" i="1"/>
  <c r="J107" i="1"/>
  <c r="J12" i="1"/>
  <c r="J402" i="1"/>
  <c r="J307" i="1"/>
  <c r="J44" i="1"/>
  <c r="J354" i="1"/>
  <c r="J473" i="1"/>
  <c r="J750" i="1"/>
  <c r="J226" i="1"/>
  <c r="J691" i="1"/>
  <c r="J689" i="1"/>
  <c r="J314" i="1"/>
  <c r="J51" i="1"/>
  <c r="J49" i="1"/>
  <c r="J346" i="1"/>
  <c r="J251" i="1"/>
  <c r="J25" i="1"/>
  <c r="J195" i="1"/>
  <c r="J122" i="1"/>
  <c r="J774" i="1"/>
  <c r="J694" i="1"/>
  <c r="J170" i="1"/>
  <c r="J467" i="1"/>
  <c r="J465" i="1"/>
  <c r="J258" i="1"/>
  <c r="J88" i="1"/>
  <c r="J86" i="1"/>
  <c r="J290" i="1"/>
  <c r="J809" i="1"/>
  <c r="J289" i="1"/>
  <c r="J470" i="1"/>
  <c r="J114" i="1"/>
  <c r="J411" i="1"/>
  <c r="J409" i="1"/>
  <c r="J202" i="1"/>
  <c r="J29" i="1"/>
  <c r="J777" i="1"/>
  <c r="J234" i="1"/>
  <c r="J139" i="1"/>
  <c r="J753" i="1"/>
  <c r="J90" i="1"/>
  <c r="J792" i="1"/>
  <c r="J414" i="1"/>
  <c r="J58" i="1"/>
  <c r="J355" i="1"/>
  <c r="J353" i="1"/>
  <c r="J146" i="1"/>
  <c r="J816" i="1"/>
  <c r="J721" i="1"/>
  <c r="J178" i="1"/>
  <c r="J83" i="1"/>
  <c r="J697" i="1"/>
  <c r="J760" i="1"/>
  <c r="J696" i="1"/>
  <c r="J826" i="1"/>
  <c r="J358" i="1"/>
  <c r="J2" i="1"/>
  <c r="J299" i="1"/>
  <c r="J297" i="1"/>
  <c r="J441" i="1"/>
  <c r="J184" i="1"/>
  <c r="J770" i="1"/>
  <c r="J302" i="1"/>
  <c r="J20" i="1"/>
  <c r="J243" i="1"/>
  <c r="J241" i="1"/>
  <c r="J799" i="1"/>
  <c r="J704" i="1"/>
  <c r="J385" i="1"/>
  <c r="J66" i="1"/>
  <c r="J736" i="1"/>
  <c r="J417" i="1"/>
  <c r="J305" i="1"/>
  <c r="J719" i="1"/>
  <c r="J437" i="1"/>
  <c r="J714" i="1"/>
  <c r="J246" i="1"/>
  <c r="J34" i="1"/>
  <c r="J187" i="1"/>
  <c r="J185" i="1"/>
  <c r="J743" i="1"/>
  <c r="J424" i="1"/>
  <c r="J329" i="1"/>
  <c r="J10" i="1"/>
  <c r="J456" i="1"/>
  <c r="J361" i="1"/>
  <c r="J400" i="1"/>
  <c r="J217" i="1"/>
  <c r="J81" i="1"/>
  <c r="J367" i="1"/>
  <c r="J434" i="1"/>
  <c r="J190" i="1"/>
  <c r="J823" i="1"/>
  <c r="J75" i="1"/>
  <c r="J129" i="1"/>
  <c r="J687" i="1"/>
  <c r="J368" i="1"/>
  <c r="J273" i="1"/>
  <c r="J775" i="1"/>
  <c r="J312" i="1"/>
  <c r="J249" i="1"/>
  <c r="J342" i="1"/>
  <c r="J378" i="1"/>
  <c r="J134" i="1"/>
  <c r="J767" i="1"/>
  <c r="J92" i="1"/>
  <c r="J73" i="1"/>
  <c r="J463" i="1"/>
  <c r="J344" i="1"/>
  <c r="J63" i="1"/>
  <c r="J322" i="1"/>
  <c r="J78" i="1"/>
  <c r="J711" i="1"/>
  <c r="J784" i="1"/>
  <c r="J17" i="1"/>
  <c r="J407" i="1"/>
  <c r="J256" i="1"/>
  <c r="J161" i="1"/>
  <c r="J439" i="1"/>
  <c r="J288" i="1"/>
  <c r="J193" i="1"/>
  <c r="J144" i="1"/>
  <c r="J327" i="1"/>
  <c r="J304" i="1"/>
  <c r="J266" i="1"/>
  <c r="J22" i="1"/>
  <c r="J431" i="1"/>
  <c r="J728" i="1"/>
  <c r="J54" i="1"/>
  <c r="J351" i="1"/>
  <c r="J200" i="1"/>
  <c r="J105" i="1"/>
  <c r="J383" i="1"/>
  <c r="J232" i="1"/>
  <c r="J137" i="1"/>
  <c r="J782" i="1"/>
  <c r="J30" i="1"/>
  <c r="J398" i="1"/>
  <c r="J210" i="1"/>
  <c r="J3" i="1"/>
  <c r="J375" i="1"/>
  <c r="J448" i="1"/>
  <c r="J295" i="1"/>
  <c r="J176" i="1"/>
  <c r="J154" i="1"/>
  <c r="J56" i="1"/>
  <c r="J319" i="1"/>
  <c r="J392" i="1"/>
  <c r="J726" i="1"/>
  <c r="J239" i="1"/>
  <c r="J32" i="1"/>
  <c r="J814" i="1"/>
  <c r="J271" i="1"/>
  <c r="J120" i="1"/>
  <c r="J790" i="1"/>
  <c r="J103" i="1"/>
  <c r="J145" i="1"/>
  <c r="J98" i="1"/>
  <c r="J787" i="1"/>
  <c r="J263" i="1"/>
  <c r="J336" i="1"/>
  <c r="J446" i="1"/>
  <c r="J183" i="1"/>
  <c r="J797" i="1"/>
  <c r="J758" i="1"/>
  <c r="J215" i="1"/>
  <c r="J64" i="1"/>
  <c r="J734" i="1"/>
  <c r="J717" i="1"/>
  <c r="J357" i="1"/>
  <c r="J42" i="1"/>
  <c r="J731" i="1"/>
  <c r="J207" i="1"/>
  <c r="J280" i="1"/>
  <c r="J390" i="1"/>
  <c r="J127" i="1"/>
  <c r="J741" i="1"/>
  <c r="J702" i="1"/>
  <c r="J159" i="1"/>
  <c r="J773" i="1"/>
  <c r="J454" i="1"/>
  <c r="J422" i="1"/>
  <c r="J399" i="1"/>
  <c r="J298" i="1"/>
  <c r="J451" i="1"/>
  <c r="J151" i="1"/>
  <c r="J224" i="1"/>
  <c r="J334" i="1"/>
  <c r="J71" i="1"/>
  <c r="J461" i="1"/>
  <c r="J384" i="1"/>
  <c r="J8" i="1"/>
  <c r="J395" i="1"/>
  <c r="J95" i="1"/>
  <c r="J168" i="1"/>
  <c r="J278" i="1"/>
  <c r="J780" i="1"/>
  <c r="J405" i="1"/>
  <c r="J366" i="1"/>
  <c r="J47" i="1"/>
  <c r="J813" i="1"/>
  <c r="J807" i="1"/>
  <c r="J339" i="1"/>
  <c r="J39" i="1"/>
  <c r="J112" i="1"/>
  <c r="J222" i="1"/>
  <c r="J724" i="1"/>
  <c r="J349" i="1"/>
  <c r="J310" i="1"/>
  <c r="J812" i="1"/>
  <c r="J381" i="1"/>
  <c r="J286" i="1"/>
  <c r="J330" i="1"/>
  <c r="J248" i="1"/>
  <c r="J751" i="1"/>
  <c r="J283" i="1"/>
  <c r="J186" i="1"/>
  <c r="J16" i="1"/>
  <c r="J166" i="1"/>
  <c r="J444" i="1"/>
  <c r="J293" i="1"/>
  <c r="J254" i="1"/>
  <c r="J756" i="1"/>
  <c r="J325" i="1"/>
  <c r="J230" i="1"/>
  <c r="J118" i="1"/>
  <c r="J739" i="1"/>
  <c r="J196" i="1"/>
  <c r="J43" i="1"/>
  <c r="J695" i="1"/>
  <c r="J227" i="1"/>
  <c r="J6" i="1"/>
  <c r="J821" i="1"/>
  <c r="J110" i="1"/>
  <c r="J388" i="1"/>
  <c r="J237" i="1"/>
  <c r="J198" i="1"/>
  <c r="J700" i="1"/>
  <c r="J269" i="1"/>
  <c r="J174" i="1"/>
  <c r="J213" i="1"/>
  <c r="J771" i="1"/>
  <c r="J459" i="1"/>
  <c r="J279" i="1"/>
  <c r="J471" i="1"/>
  <c r="J171" i="1"/>
  <c r="J804" i="1"/>
  <c r="J765" i="1"/>
  <c r="J819" i="1"/>
  <c r="J332" i="1"/>
  <c r="J181" i="1"/>
  <c r="J142" i="1"/>
  <c r="J420" i="1"/>
  <c r="J164" i="1"/>
  <c r="J715" i="1"/>
  <c r="J194" i="1"/>
  <c r="J415" i="1"/>
  <c r="J115" i="1"/>
  <c r="J748" i="1"/>
  <c r="J709" i="1"/>
  <c r="J763" i="1"/>
  <c r="J276" i="1"/>
  <c r="J125" i="1"/>
  <c r="J11" i="1"/>
  <c r="J364" i="1"/>
  <c r="J157" i="1"/>
  <c r="J62" i="1"/>
  <c r="J101" i="1"/>
  <c r="J252" i="1"/>
  <c r="J810" i="1"/>
  <c r="J104" i="1"/>
  <c r="J359" i="1"/>
  <c r="J59" i="1"/>
  <c r="J692" i="1"/>
  <c r="J429" i="1"/>
  <c r="J707" i="1"/>
  <c r="J220" i="1"/>
  <c r="J69" i="1"/>
  <c r="J795" i="1"/>
  <c r="J308" i="1"/>
  <c r="J13" i="1"/>
  <c r="J45" i="1"/>
  <c r="J435" i="1"/>
  <c r="J255" i="1"/>
  <c r="J303" i="1"/>
  <c r="J76" i="1"/>
  <c r="J468" i="1"/>
  <c r="J373" i="1"/>
  <c r="J427" i="1"/>
  <c r="J106" i="1"/>
  <c r="J793" i="1"/>
  <c r="J247" i="1"/>
  <c r="J15" i="1"/>
  <c r="J412" i="1"/>
  <c r="J317" i="1"/>
  <c r="J371" i="1"/>
  <c r="J108" i="1"/>
  <c r="J250" i="1"/>
  <c r="J822" i="1"/>
  <c r="J191" i="1"/>
  <c r="J824" i="1"/>
  <c r="J356" i="1"/>
  <c r="J261" i="1"/>
  <c r="J315" i="1"/>
  <c r="J52" i="1"/>
  <c r="J87" i="1"/>
  <c r="J403" i="1"/>
  <c r="J140" i="1"/>
  <c r="J754" i="1"/>
  <c r="J379" i="1"/>
  <c r="J737" i="1"/>
  <c r="J80" i="1"/>
  <c r="J135" i="1"/>
  <c r="J768" i="1"/>
  <c r="J300" i="1"/>
  <c r="J205" i="1"/>
  <c r="J259" i="1"/>
  <c r="J14" i="1"/>
  <c r="J778" i="1"/>
  <c r="J347" i="1"/>
  <c r="J84" i="1"/>
  <c r="J698" i="1"/>
  <c r="J323" i="1"/>
  <c r="J179" i="1"/>
  <c r="J123" i="1"/>
  <c r="J343" i="1"/>
  <c r="J79" i="1"/>
  <c r="J712" i="1"/>
  <c r="J242" i="1"/>
  <c r="J149" i="1"/>
  <c r="J203" i="1"/>
  <c r="J817" i="1"/>
  <c r="J722" i="1"/>
  <c r="J291" i="1"/>
  <c r="J28" i="1"/>
  <c r="J418" i="1"/>
  <c r="J267" i="1"/>
  <c r="J362" i="1"/>
  <c r="J27" i="1"/>
  <c r="J99" i="1"/>
  <c r="J23" i="1"/>
  <c r="J432" i="1"/>
  <c r="J785" i="1"/>
  <c r="J93" i="1"/>
  <c r="J147" i="1"/>
  <c r="J761" i="1"/>
  <c r="J442" i="1"/>
  <c r="J235" i="1"/>
  <c r="J65" i="1"/>
  <c r="J211" i="1"/>
  <c r="J306" i="1"/>
  <c r="J472" i="1"/>
  <c r="J188" i="1"/>
  <c r="J376" i="1"/>
  <c r="J729" i="1"/>
  <c r="J37" i="1"/>
  <c r="J91" i="1"/>
  <c r="J705" i="1"/>
  <c r="J386" i="1"/>
  <c r="J155" i="1"/>
  <c r="J9" i="1"/>
  <c r="J788" i="1"/>
  <c r="J320" i="1"/>
  <c r="J449" i="1"/>
  <c r="J410" i="1"/>
  <c r="J35" i="1"/>
  <c r="J425" i="1"/>
  <c r="J31" i="1"/>
  <c r="J732" i="1"/>
  <c r="J264" i="1"/>
  <c r="J393" i="1"/>
  <c r="J802" i="1"/>
  <c r="J128" i="1"/>
  <c r="J369" i="1"/>
  <c r="J274" i="1"/>
  <c r="J67" i="1"/>
  <c r="J167" i="1"/>
  <c r="J452" i="1"/>
  <c r="J208" i="1"/>
  <c r="J337" i="1"/>
  <c r="J746" i="1"/>
  <c r="J800" i="1"/>
  <c r="J313" i="1"/>
  <c r="J218" i="1"/>
  <c r="J776" i="1"/>
  <c r="J457" i="1"/>
  <c r="J138" i="1"/>
  <c r="J136" i="1"/>
  <c r="J406" i="1"/>
  <c r="J396" i="1"/>
  <c r="J152" i="1"/>
  <c r="J281" i="1"/>
  <c r="J690" i="1"/>
  <c r="J744" i="1"/>
  <c r="J257" i="1"/>
  <c r="J162" i="1"/>
  <c r="J720" i="1"/>
  <c r="J401" i="1"/>
  <c r="J82" i="1"/>
  <c r="J808" i="1"/>
  <c r="J40" i="1"/>
  <c r="J783" i="1"/>
  <c r="J4" i="1"/>
  <c r="J340" i="1"/>
  <c r="J96" i="1"/>
  <c r="J225" i="1"/>
  <c r="J466" i="1"/>
  <c r="J688" i="1"/>
  <c r="J201" i="1"/>
  <c r="J50" i="1"/>
  <c r="J440" i="1"/>
  <c r="J345" i="1"/>
  <c r="J26" i="1"/>
  <c r="J752" i="1"/>
  <c r="J284" i="1"/>
  <c r="J169" i="1"/>
  <c r="J464" i="1"/>
  <c r="J228" i="1"/>
  <c r="J36" i="1"/>
  <c r="J113" i="1"/>
  <c r="J727" i="1"/>
  <c r="J408" i="1"/>
  <c r="J89" i="1"/>
  <c r="J815" i="1"/>
  <c r="J328" i="1"/>
  <c r="J233" i="1"/>
  <c r="J791" i="1"/>
  <c r="J725" i="1"/>
  <c r="J172" i="1"/>
  <c r="J805" i="1"/>
  <c r="J57" i="1"/>
  <c r="J447" i="1"/>
  <c r="J352" i="1"/>
  <c r="J798" i="1"/>
  <c r="J759" i="1"/>
  <c r="J272" i="1"/>
  <c r="J177" i="1"/>
  <c r="J735" i="1"/>
  <c r="J416" i="1"/>
  <c r="J216" i="1"/>
  <c r="J455" i="1"/>
  <c r="J160" i="1"/>
  <c r="J116" i="1"/>
  <c r="J749" i="1"/>
  <c r="J38" i="1"/>
  <c r="J391" i="1"/>
  <c r="J296" i="1"/>
  <c r="J742" i="1"/>
  <c r="J703" i="1"/>
  <c r="J121" i="1"/>
  <c r="J360" i="1"/>
  <c r="J469" i="1"/>
  <c r="J60" i="1"/>
  <c r="J693" i="1"/>
  <c r="J19" i="1"/>
  <c r="J335" i="1"/>
  <c r="J240" i="1"/>
  <c r="J462" i="1"/>
  <c r="J423" i="1"/>
  <c r="J18" i="1"/>
  <c r="J244" i="1"/>
  <c r="J413" i="1"/>
  <c r="J33" i="1"/>
  <c r="J223" i="1"/>
  <c r="J781" i="1"/>
  <c r="J350" i="1"/>
  <c r="J311" i="1"/>
  <c r="J48" i="1"/>
  <c r="J718" i="1"/>
  <c r="J287" i="1"/>
  <c r="J192" i="1"/>
  <c r="J72" i="1"/>
  <c r="J294" i="1"/>
  <c r="J825" i="1"/>
  <c r="J301" i="1"/>
  <c r="J766" i="1"/>
  <c r="J111" i="1"/>
  <c r="J445" i="1"/>
  <c r="J238" i="1"/>
  <c r="J199" i="1"/>
  <c r="J757" i="1"/>
  <c r="J382" i="1"/>
  <c r="J175" i="1"/>
  <c r="J24" i="1"/>
  <c r="J769" i="1"/>
  <c r="J245" i="1"/>
  <c r="J710" i="1"/>
  <c r="J55" i="1"/>
  <c r="J389" i="1"/>
  <c r="J182" i="1"/>
  <c r="J143" i="1"/>
  <c r="J701" i="1"/>
  <c r="J326" i="1"/>
  <c r="J119" i="1"/>
  <c r="J789" i="1"/>
  <c r="J713" i="1"/>
  <c r="J189" i="1"/>
  <c r="J430" i="1"/>
  <c r="J260" i="1"/>
  <c r="J333" i="1"/>
  <c r="J126" i="1"/>
  <c r="J796" i="1"/>
  <c r="J421" i="1"/>
  <c r="J270" i="1"/>
  <c r="J7" i="1"/>
  <c r="J733" i="1"/>
  <c r="J779" i="1"/>
  <c r="J158" i="1"/>
  <c r="J433" i="1"/>
  <c r="J133" i="1"/>
  <c r="J374" i="1"/>
  <c r="J148" i="1"/>
  <c r="J277" i="1"/>
  <c r="J70" i="1"/>
  <c r="J740" i="1"/>
  <c r="J365" i="1"/>
  <c r="J214" i="1"/>
  <c r="J772" i="1"/>
  <c r="J453" i="1"/>
  <c r="J309" i="1"/>
  <c r="J397" i="1"/>
  <c r="J377" i="1"/>
  <c r="J77" i="1"/>
  <c r="J318" i="1"/>
  <c r="J820" i="1"/>
  <c r="J221" i="1"/>
  <c r="J460" i="1"/>
  <c r="J716" i="1"/>
  <c r="J321" i="1"/>
  <c r="J21" i="1"/>
  <c r="J262" i="1"/>
  <c r="J764" i="1"/>
  <c r="J165" i="1"/>
  <c r="J723" i="1"/>
  <c r="J404" i="1"/>
  <c r="J253" i="1"/>
  <c r="J102" i="1"/>
  <c r="J436" i="1"/>
  <c r="J341" i="1"/>
  <c r="J265" i="1"/>
  <c r="J74" i="1"/>
  <c r="J206" i="1"/>
  <c r="J708" i="1"/>
  <c r="J109" i="1"/>
  <c r="J443" i="1"/>
  <c r="J348" i="1"/>
  <c r="J197" i="1"/>
  <c r="J46" i="1"/>
  <c r="J380" i="1"/>
  <c r="J285" i="1"/>
  <c r="J324" i="1"/>
  <c r="J229" i="1"/>
  <c r="J268" i="1"/>
  <c r="J209" i="1"/>
  <c r="J786" i="1"/>
  <c r="J150" i="1"/>
  <c r="J428" i="1"/>
  <c r="J53" i="1"/>
  <c r="J387" i="1"/>
  <c r="J292" i="1"/>
  <c r="J141" i="1"/>
  <c r="J811" i="1"/>
  <c r="J85" i="1"/>
  <c r="J173" i="1"/>
  <c r="J153" i="1"/>
  <c r="J730" i="1"/>
  <c r="J94" i="1"/>
  <c r="J372" i="1"/>
  <c r="J818" i="1"/>
  <c r="J331" i="1"/>
  <c r="J236" i="1"/>
  <c r="J755" i="1"/>
  <c r="J97" i="1"/>
  <c r="J450" i="1"/>
  <c r="J131" i="1"/>
  <c r="J316" i="1"/>
  <c r="J762" i="1"/>
  <c r="J275" i="1"/>
  <c r="J180" i="1"/>
  <c r="J794" i="1"/>
  <c r="J699" i="1"/>
  <c r="J212" i="1"/>
  <c r="J117" i="1"/>
  <c r="J61" i="1"/>
  <c r="J68" i="1"/>
  <c r="J100" i="1"/>
  <c r="J231" i="1"/>
  <c r="J41" i="1"/>
  <c r="J394" i="1"/>
  <c r="J130" i="1"/>
  <c r="J204" i="1"/>
  <c r="J706" i="1"/>
  <c r="J219" i="1"/>
  <c r="J124" i="1"/>
  <c r="J738" i="1"/>
  <c r="J419" i="1"/>
  <c r="J156" i="1"/>
  <c r="J163" i="1"/>
  <c r="J363" i="1"/>
  <c r="J438" i="1"/>
  <c r="J132" i="1"/>
  <c r="J338" i="1"/>
  <c r="J803" i="1"/>
  <c r="J801" i="1"/>
  <c r="J426" i="1"/>
  <c r="J458" i="1"/>
  <c r="J5" i="1"/>
  <c r="K354" i="1" l="1"/>
  <c r="K5" i="1"/>
  <c r="K61" i="1"/>
  <c r="K117" i="1"/>
  <c r="K173" i="1"/>
  <c r="K229" i="1"/>
  <c r="K285" i="1"/>
  <c r="K341" i="1"/>
  <c r="K397" i="1"/>
  <c r="K453" i="1"/>
  <c r="K733" i="1"/>
  <c r="K789" i="1"/>
  <c r="K24" i="1"/>
  <c r="K80" i="1"/>
  <c r="K192" i="1"/>
  <c r="K248" i="1"/>
  <c r="K304" i="1"/>
  <c r="K360" i="1"/>
  <c r="K416" i="1"/>
  <c r="K472" i="1"/>
  <c r="K696" i="1"/>
  <c r="K752" i="1"/>
  <c r="K808" i="1"/>
  <c r="K136" i="1"/>
  <c r="K43" i="1"/>
  <c r="K99" i="1"/>
  <c r="K155" i="1"/>
  <c r="K211" i="1"/>
  <c r="K267" i="1"/>
  <c r="K323" i="1"/>
  <c r="K379" i="1"/>
  <c r="K435" i="1"/>
  <c r="K715" i="1"/>
  <c r="K771" i="1"/>
  <c r="K62" i="1"/>
  <c r="K118" i="1"/>
  <c r="K174" i="1"/>
  <c r="K230" i="1"/>
  <c r="K286" i="1"/>
  <c r="K342" i="1"/>
  <c r="K398" i="1"/>
  <c r="K454" i="1"/>
  <c r="K734" i="1"/>
  <c r="K790" i="1"/>
  <c r="K81" i="1"/>
  <c r="K137" i="1"/>
  <c r="K193" i="1"/>
  <c r="K249" i="1"/>
  <c r="K305" i="1"/>
  <c r="K361" i="1"/>
  <c r="K417" i="1"/>
  <c r="K473" i="1"/>
  <c r="K697" i="1"/>
  <c r="K753" i="1"/>
  <c r="K809" i="1"/>
  <c r="K25" i="1"/>
  <c r="K44" i="1"/>
  <c r="K100" i="1"/>
  <c r="K156" i="1"/>
  <c r="K212" i="1"/>
  <c r="K268" i="1"/>
  <c r="K324" i="1"/>
  <c r="K380" i="1"/>
  <c r="K436" i="1"/>
  <c r="K716" i="1"/>
  <c r="K772" i="1"/>
  <c r="K7" i="1"/>
  <c r="K119" i="1"/>
  <c r="K175" i="1"/>
  <c r="K231" i="1"/>
  <c r="K287" i="1"/>
  <c r="K343" i="1"/>
  <c r="K399" i="1"/>
  <c r="K455" i="1"/>
  <c r="K735" i="1"/>
  <c r="K791" i="1"/>
  <c r="K63" i="1"/>
  <c r="K26" i="1"/>
  <c r="K82" i="1"/>
  <c r="K138" i="1"/>
  <c r="K194" i="1"/>
  <c r="K250" i="1"/>
  <c r="K306" i="1"/>
  <c r="K362" i="1"/>
  <c r="K418" i="1"/>
  <c r="K698" i="1"/>
  <c r="K754" i="1"/>
  <c r="K810" i="1"/>
  <c r="K45" i="1"/>
  <c r="K101" i="1"/>
  <c r="K157" i="1"/>
  <c r="K213" i="1"/>
  <c r="K269" i="1"/>
  <c r="K325" i="1"/>
  <c r="K381" i="1"/>
  <c r="K437" i="1"/>
  <c r="K717" i="1"/>
  <c r="K773" i="1"/>
  <c r="K64" i="1"/>
  <c r="K120" i="1"/>
  <c r="K176" i="1"/>
  <c r="K232" i="1"/>
  <c r="K288" i="1"/>
  <c r="K344" i="1"/>
  <c r="K400" i="1"/>
  <c r="K456" i="1"/>
  <c r="K736" i="1"/>
  <c r="K792" i="1"/>
  <c r="K83" i="1"/>
  <c r="K139" i="1"/>
  <c r="K195" i="1"/>
  <c r="K251" i="1"/>
  <c r="K307" i="1"/>
  <c r="K363" i="1"/>
  <c r="K419" i="1"/>
  <c r="K699" i="1"/>
  <c r="K755" i="1"/>
  <c r="K811" i="1"/>
  <c r="K46" i="1"/>
  <c r="K102" i="1"/>
  <c r="K158" i="1"/>
  <c r="K214" i="1"/>
  <c r="K270" i="1"/>
  <c r="K326" i="1"/>
  <c r="K382" i="1"/>
  <c r="K438" i="1"/>
  <c r="K718" i="1"/>
  <c r="K774" i="1"/>
  <c r="K9" i="1"/>
  <c r="K121" i="1"/>
  <c r="K177" i="1"/>
  <c r="K233" i="1"/>
  <c r="K289" i="1"/>
  <c r="K345" i="1"/>
  <c r="K401" i="1"/>
  <c r="K457" i="1"/>
  <c r="K737" i="1"/>
  <c r="K793" i="1"/>
  <c r="K27" i="1"/>
  <c r="K65" i="1"/>
  <c r="K28" i="1"/>
  <c r="K84" i="1"/>
  <c r="K140" i="1"/>
  <c r="K196" i="1"/>
  <c r="K252" i="1"/>
  <c r="K308" i="1"/>
  <c r="K364" i="1"/>
  <c r="K420" i="1"/>
  <c r="K700" i="1"/>
  <c r="K756" i="1"/>
  <c r="K812" i="1"/>
  <c r="K47" i="1"/>
  <c r="K103" i="1"/>
  <c r="K159" i="1"/>
  <c r="K215" i="1"/>
  <c r="K271" i="1"/>
  <c r="K327" i="1"/>
  <c r="K383" i="1"/>
  <c r="K439" i="1"/>
  <c r="K719" i="1"/>
  <c r="K775" i="1"/>
  <c r="K10" i="1"/>
  <c r="K66" i="1"/>
  <c r="K122" i="1"/>
  <c r="K178" i="1"/>
  <c r="K234" i="1"/>
  <c r="K290" i="1"/>
  <c r="K346" i="1"/>
  <c r="K402" i="1"/>
  <c r="K458" i="1"/>
  <c r="K738" i="1"/>
  <c r="K794" i="1"/>
  <c r="K85" i="1"/>
  <c r="K141" i="1"/>
  <c r="K197" i="1"/>
  <c r="K253" i="1"/>
  <c r="K309" i="1"/>
  <c r="K365" i="1"/>
  <c r="K421" i="1"/>
  <c r="K701" i="1"/>
  <c r="K757" i="1"/>
  <c r="K813" i="1"/>
  <c r="K48" i="1"/>
  <c r="K104" i="1"/>
  <c r="K160" i="1"/>
  <c r="K216" i="1"/>
  <c r="K272" i="1"/>
  <c r="K328" i="1"/>
  <c r="K384" i="1"/>
  <c r="K440" i="1"/>
  <c r="K720" i="1"/>
  <c r="K776" i="1"/>
  <c r="K67" i="1"/>
  <c r="K123" i="1"/>
  <c r="K179" i="1"/>
  <c r="K235" i="1"/>
  <c r="K291" i="1"/>
  <c r="K347" i="1"/>
  <c r="K403" i="1"/>
  <c r="K459" i="1"/>
  <c r="K739" i="1"/>
  <c r="K795" i="1"/>
  <c r="K11" i="1"/>
  <c r="K142" i="1"/>
  <c r="K198" i="1"/>
  <c r="K254" i="1"/>
  <c r="K310" i="1"/>
  <c r="K366" i="1"/>
  <c r="K422" i="1"/>
  <c r="K702" i="1"/>
  <c r="K758" i="1"/>
  <c r="K814" i="1"/>
  <c r="K30" i="1"/>
  <c r="K105" i="1"/>
  <c r="K161" i="1"/>
  <c r="K217" i="1"/>
  <c r="K273" i="1"/>
  <c r="K329" i="1"/>
  <c r="K385" i="1"/>
  <c r="K441" i="1"/>
  <c r="K721" i="1"/>
  <c r="K777" i="1"/>
  <c r="K86" i="1"/>
  <c r="K49" i="1"/>
  <c r="K12" i="1"/>
  <c r="K68" i="1"/>
  <c r="K124" i="1"/>
  <c r="K180" i="1"/>
  <c r="K236" i="1"/>
  <c r="K292" i="1"/>
  <c r="K348" i="1"/>
  <c r="K404" i="1"/>
  <c r="K460" i="1"/>
  <c r="K740" i="1"/>
  <c r="K796" i="1"/>
  <c r="K143" i="1"/>
  <c r="K199" i="1"/>
  <c r="K255" i="1"/>
  <c r="K311" i="1"/>
  <c r="K367" i="1"/>
  <c r="K423" i="1"/>
  <c r="K703" i="1"/>
  <c r="K759" i="1"/>
  <c r="K815" i="1"/>
  <c r="K31" i="1"/>
  <c r="K50" i="1"/>
  <c r="K162" i="1"/>
  <c r="K218" i="1"/>
  <c r="K274" i="1"/>
  <c r="K330" i="1"/>
  <c r="K386" i="1"/>
  <c r="K442" i="1"/>
  <c r="K722" i="1"/>
  <c r="K778" i="1"/>
  <c r="K87" i="1"/>
  <c r="K106" i="1"/>
  <c r="K13" i="1"/>
  <c r="K69" i="1"/>
  <c r="K125" i="1"/>
  <c r="K181" i="1"/>
  <c r="K237" i="1"/>
  <c r="K293" i="1"/>
  <c r="K349" i="1"/>
  <c r="K405" i="1"/>
  <c r="K461" i="1"/>
  <c r="K741" i="1"/>
  <c r="K797" i="1"/>
  <c r="K32" i="1"/>
  <c r="K144" i="1"/>
  <c r="K200" i="1"/>
  <c r="K256" i="1"/>
  <c r="K312" i="1"/>
  <c r="K368" i="1"/>
  <c r="K424" i="1"/>
  <c r="K704" i="1"/>
  <c r="K760" i="1"/>
  <c r="K816" i="1"/>
  <c r="K29" i="1"/>
  <c r="K88" i="1"/>
  <c r="K51" i="1"/>
  <c r="K107" i="1"/>
  <c r="K163" i="1"/>
  <c r="K219" i="1"/>
  <c r="K275" i="1"/>
  <c r="K331" i="1"/>
  <c r="K387" i="1"/>
  <c r="K443" i="1"/>
  <c r="K723" i="1"/>
  <c r="K779" i="1"/>
  <c r="K70" i="1"/>
  <c r="K126" i="1"/>
  <c r="K182" i="1"/>
  <c r="K238" i="1"/>
  <c r="K294" i="1"/>
  <c r="K350" i="1"/>
  <c r="K406" i="1"/>
  <c r="K462" i="1"/>
  <c r="K742" i="1"/>
  <c r="K798" i="1"/>
  <c r="K89" i="1"/>
  <c r="K145" i="1"/>
  <c r="K201" i="1"/>
  <c r="K257" i="1"/>
  <c r="K313" i="1"/>
  <c r="K369" i="1"/>
  <c r="K425" i="1"/>
  <c r="K705" i="1"/>
  <c r="K761" i="1"/>
  <c r="K817" i="1"/>
  <c r="K14" i="1"/>
  <c r="K52" i="1"/>
  <c r="K108" i="1"/>
  <c r="K164" i="1"/>
  <c r="K220" i="1"/>
  <c r="K276" i="1"/>
  <c r="K332" i="1"/>
  <c r="K388" i="1"/>
  <c r="K444" i="1"/>
  <c r="K724" i="1"/>
  <c r="K780" i="1"/>
  <c r="K71" i="1"/>
  <c r="K127" i="1"/>
  <c r="K183" i="1"/>
  <c r="K239" i="1"/>
  <c r="K295" i="1"/>
  <c r="K351" i="1"/>
  <c r="K407" i="1"/>
  <c r="K463" i="1"/>
  <c r="K687" i="1"/>
  <c r="K743" i="1"/>
  <c r="K799" i="1"/>
  <c r="K90" i="1"/>
  <c r="K146" i="1"/>
  <c r="K202" i="1"/>
  <c r="K258" i="1"/>
  <c r="K314" i="1"/>
  <c r="K370" i="1"/>
  <c r="K426" i="1"/>
  <c r="K706" i="1"/>
  <c r="K762" i="1"/>
  <c r="K818" i="1"/>
  <c r="K53" i="1"/>
  <c r="K109" i="1"/>
  <c r="K165" i="1"/>
  <c r="K221" i="1"/>
  <c r="K277" i="1"/>
  <c r="K333" i="1"/>
  <c r="K389" i="1"/>
  <c r="K445" i="1"/>
  <c r="K725" i="1"/>
  <c r="K781" i="1"/>
  <c r="K184" i="1"/>
  <c r="K240" i="1"/>
  <c r="K296" i="1"/>
  <c r="K352" i="1"/>
  <c r="K408" i="1"/>
  <c r="K464" i="1"/>
  <c r="K688" i="1"/>
  <c r="K744" i="1"/>
  <c r="K800" i="1"/>
  <c r="K128" i="1"/>
  <c r="K35" i="1"/>
  <c r="K91" i="1"/>
  <c r="K147" i="1"/>
  <c r="K203" i="1"/>
  <c r="K259" i="1"/>
  <c r="K315" i="1"/>
  <c r="K371" i="1"/>
  <c r="K427" i="1"/>
  <c r="K707" i="1"/>
  <c r="K763" i="1"/>
  <c r="K819" i="1"/>
  <c r="K110" i="1"/>
  <c r="K166" i="1"/>
  <c r="K222" i="1"/>
  <c r="K278" i="1"/>
  <c r="K334" i="1"/>
  <c r="K390" i="1"/>
  <c r="K446" i="1"/>
  <c r="K726" i="1"/>
  <c r="K782" i="1"/>
  <c r="K54" i="1"/>
  <c r="K17" i="1"/>
  <c r="K73" i="1"/>
  <c r="K129" i="1"/>
  <c r="K185" i="1"/>
  <c r="K241" i="1"/>
  <c r="K297" i="1"/>
  <c r="K353" i="1"/>
  <c r="K409" i="1"/>
  <c r="K465" i="1"/>
  <c r="K689" i="1"/>
  <c r="K745" i="1"/>
  <c r="K801" i="1"/>
  <c r="K204" i="1"/>
  <c r="K316" i="1"/>
  <c r="K372" i="1"/>
  <c r="K428" i="1"/>
  <c r="K708" i="1"/>
  <c r="K764" i="1"/>
  <c r="K820" i="1"/>
  <c r="K148" i="1"/>
  <c r="K260" i="1"/>
  <c r="K55" i="1"/>
  <c r="K111" i="1"/>
  <c r="K167" i="1"/>
  <c r="K223" i="1"/>
  <c r="K279" i="1"/>
  <c r="K335" i="1"/>
  <c r="K391" i="1"/>
  <c r="K447" i="1"/>
  <c r="K727" i="1"/>
  <c r="K783" i="1"/>
  <c r="K466" i="1"/>
  <c r="K690" i="1"/>
  <c r="K746" i="1"/>
  <c r="K802" i="1"/>
  <c r="K410" i="1"/>
  <c r="K37" i="1"/>
  <c r="K93" i="1"/>
  <c r="K149" i="1"/>
  <c r="K205" i="1"/>
  <c r="K261" i="1"/>
  <c r="K317" i="1"/>
  <c r="K373" i="1"/>
  <c r="K429" i="1"/>
  <c r="K709" i="1"/>
  <c r="K765" i="1"/>
  <c r="K821" i="1"/>
  <c r="K16" i="1"/>
  <c r="K112" i="1"/>
  <c r="K168" i="1"/>
  <c r="K224" i="1"/>
  <c r="K280" i="1"/>
  <c r="K336" i="1"/>
  <c r="K392" i="1"/>
  <c r="K448" i="1"/>
  <c r="K728" i="1"/>
  <c r="K784" i="1"/>
  <c r="K92" i="1"/>
  <c r="K75" i="1"/>
  <c r="K187" i="1"/>
  <c r="K243" i="1"/>
  <c r="K299" i="1"/>
  <c r="K355" i="1"/>
  <c r="K411" i="1"/>
  <c r="K467" i="1"/>
  <c r="K691" i="1"/>
  <c r="K747" i="1"/>
  <c r="K803" i="1"/>
  <c r="K130" i="1"/>
  <c r="K131" i="1"/>
  <c r="K94" i="1"/>
  <c r="K150" i="1"/>
  <c r="K206" i="1"/>
  <c r="K262" i="1"/>
  <c r="K318" i="1"/>
  <c r="K374" i="1"/>
  <c r="K430" i="1"/>
  <c r="K710" i="1"/>
  <c r="K766" i="1"/>
  <c r="K822" i="1"/>
  <c r="K33" i="1"/>
  <c r="K18" i="1"/>
  <c r="K19" i="1"/>
  <c r="K38" i="1"/>
  <c r="K57" i="1"/>
  <c r="K113" i="1"/>
  <c r="K169" i="1"/>
  <c r="K225" i="1"/>
  <c r="K281" i="1"/>
  <c r="K337" i="1"/>
  <c r="K393" i="1"/>
  <c r="K449" i="1"/>
  <c r="K729" i="1"/>
  <c r="K785" i="1"/>
  <c r="K242" i="1"/>
  <c r="K300" i="1"/>
  <c r="K356" i="1"/>
  <c r="K412" i="1"/>
  <c r="K468" i="1"/>
  <c r="K692" i="1"/>
  <c r="K748" i="1"/>
  <c r="K804" i="1"/>
  <c r="K6" i="1"/>
  <c r="K186" i="1"/>
  <c r="K39" i="1"/>
  <c r="K95" i="1"/>
  <c r="K151" i="1"/>
  <c r="K207" i="1"/>
  <c r="K263" i="1"/>
  <c r="K319" i="1"/>
  <c r="K375" i="1"/>
  <c r="K431" i="1"/>
  <c r="K711" i="1"/>
  <c r="K767" i="1"/>
  <c r="K823" i="1"/>
  <c r="K34" i="1"/>
  <c r="K20" i="1"/>
  <c r="K2" i="1"/>
  <c r="K58" i="1"/>
  <c r="K114" i="1"/>
  <c r="K170" i="1"/>
  <c r="K226" i="1"/>
  <c r="K282" i="1"/>
  <c r="K338" i="1"/>
  <c r="K394" i="1"/>
  <c r="K450" i="1"/>
  <c r="K730" i="1"/>
  <c r="K786" i="1"/>
  <c r="K74" i="1"/>
  <c r="K21" i="1"/>
  <c r="K77" i="1"/>
  <c r="K133" i="1"/>
  <c r="K189" i="1"/>
  <c r="K245" i="1"/>
  <c r="K301" i="1"/>
  <c r="K357" i="1"/>
  <c r="K413" i="1"/>
  <c r="K469" i="1"/>
  <c r="K693" i="1"/>
  <c r="K749" i="1"/>
  <c r="K805" i="1"/>
  <c r="K36" i="1"/>
  <c r="K40" i="1"/>
  <c r="K96" i="1"/>
  <c r="K152" i="1"/>
  <c r="K208" i="1"/>
  <c r="K264" i="1"/>
  <c r="K320" i="1"/>
  <c r="K376" i="1"/>
  <c r="K432" i="1"/>
  <c r="K712" i="1"/>
  <c r="K768" i="1"/>
  <c r="K824" i="1"/>
  <c r="K15" i="1"/>
  <c r="K76" i="1"/>
  <c r="K59" i="1"/>
  <c r="K115" i="1"/>
  <c r="K171" i="1"/>
  <c r="K227" i="1"/>
  <c r="K283" i="1"/>
  <c r="K339" i="1"/>
  <c r="K395" i="1"/>
  <c r="K451" i="1"/>
  <c r="K731" i="1"/>
  <c r="K787" i="1"/>
  <c r="K56" i="1"/>
  <c r="K3" i="1"/>
  <c r="K22" i="1"/>
  <c r="K78" i="1"/>
  <c r="K134" i="1"/>
  <c r="K190" i="1"/>
  <c r="K246" i="1"/>
  <c r="K302" i="1"/>
  <c r="K358" i="1"/>
  <c r="K414" i="1"/>
  <c r="K470" i="1"/>
  <c r="K694" i="1"/>
  <c r="K750" i="1"/>
  <c r="K806" i="1"/>
  <c r="K132" i="1"/>
  <c r="K41" i="1"/>
  <c r="K97" i="1"/>
  <c r="K153" i="1"/>
  <c r="K209" i="1"/>
  <c r="K265" i="1"/>
  <c r="K321" i="1"/>
  <c r="K377" i="1"/>
  <c r="K433" i="1"/>
  <c r="K713" i="1"/>
  <c r="K769" i="1"/>
  <c r="K825" i="1"/>
  <c r="K72" i="1"/>
  <c r="K244" i="1"/>
  <c r="K4" i="1"/>
  <c r="K60" i="1"/>
  <c r="K116" i="1"/>
  <c r="K172" i="1"/>
  <c r="K228" i="1"/>
  <c r="K284" i="1"/>
  <c r="K340" i="1"/>
  <c r="K396" i="1"/>
  <c r="K452" i="1"/>
  <c r="K732" i="1"/>
  <c r="K788" i="1"/>
  <c r="K188" i="1"/>
  <c r="K23" i="1"/>
  <c r="K79" i="1"/>
  <c r="K135" i="1"/>
  <c r="K191" i="1"/>
  <c r="K247" i="1"/>
  <c r="K303" i="1"/>
  <c r="K359" i="1"/>
  <c r="K415" i="1"/>
  <c r="K471" i="1"/>
  <c r="K695" i="1"/>
  <c r="K751" i="1"/>
  <c r="K807" i="1"/>
  <c r="K8" i="1"/>
  <c r="K298" i="1"/>
  <c r="K42" i="1"/>
  <c r="K98" i="1"/>
  <c r="K154" i="1"/>
  <c r="K210" i="1"/>
  <c r="K266" i="1"/>
  <c r="K322" i="1"/>
  <c r="K378" i="1"/>
  <c r="K434" i="1"/>
  <c r="K714" i="1"/>
  <c r="K770" i="1"/>
  <c r="K826" i="1"/>
</calcChain>
</file>

<file path=xl/sharedStrings.xml><?xml version="1.0" encoding="utf-8"?>
<sst xmlns="http://schemas.openxmlformats.org/spreadsheetml/2006/main" count="34140" uniqueCount="9702">
  <si>
    <t>TT</t>
  </si>
  <si>
    <t>Tên đề tài</t>
  </si>
  <si>
    <t>Detai_name</t>
  </si>
  <si>
    <t xml:space="preserve">SV/nhóm SV thực hiện </t>
  </si>
  <si>
    <t>Mã số sinh viên</t>
  </si>
  <si>
    <t xml:space="preserve">Lớp  </t>
  </si>
  <si>
    <t xml:space="preserve">Người hướng dẫn </t>
  </si>
  <si>
    <t>Ghi chú</t>
  </si>
  <si>
    <t>donvi_cu</t>
  </si>
  <si>
    <t>donvi_name</t>
  </si>
  <si>
    <t>donvi_ma</t>
  </si>
  <si>
    <t>ngay_thang</t>
  </si>
  <si>
    <t>năm</t>
  </si>
  <si>
    <t>Phương pháp chỉnh hóa kiểu Tikhonov cho bài toán xác định nguồn trong phương trình đạo hàm riêng</t>
  </si>
  <si>
    <t>Trần Thành Lợi</t>
  </si>
  <si>
    <t>24ST1</t>
  </si>
  <si>
    <t>PGS.TS. Phạm Quý Mười</t>
  </si>
  <si>
    <t>KHOA TOÁN (14 đề tài)</t>
  </si>
  <si>
    <t>Trịnh Khải Hoàn</t>
  </si>
  <si>
    <t>24ST2</t>
  </si>
  <si>
    <t>Nguyễn Thị Thanh Châu</t>
  </si>
  <si>
    <t>Đinh Thành Tuân</t>
  </si>
  <si>
    <t>21ST2</t>
  </si>
  <si>
    <t>Đỗ Thị Ly Na</t>
  </si>
  <si>
    <t>Đạo hàm Newton cho hàm một biến số thực và ứng dụng</t>
  </si>
  <si>
    <t>Nguyễn Ngô Yến Nhi</t>
  </si>
  <si>
    <t>Nguyễn Lam Thi</t>
  </si>
  <si>
    <t>Phan Thanh Tùng</t>
  </si>
  <si>
    <t>Đặng Kim Anh</t>
  </si>
  <si>
    <t>Ông Hoàng Anh Kiệt</t>
  </si>
  <si>
    <t>Vấn đề xấp xỉ trơn hàm điều hoà dưới một biến phức</t>
  </si>
  <si>
    <t>Bùi Lê Hương Thảo</t>
  </si>
  <si>
    <t>23ST1</t>
  </si>
  <si>
    <t>TS. Hoàng Nhật Quy</t>
  </si>
  <si>
    <t>Phan Huy Phúc</t>
  </si>
  <si>
    <t>Tạ Tiểu Mi</t>
  </si>
  <si>
    <t>Trần Mạnh Tân</t>
  </si>
  <si>
    <t>Hồ Duy Nguyên</t>
  </si>
  <si>
    <t>21ST1</t>
  </si>
  <si>
    <t>Ứng dụng thuật toán Euclid khai triển liên phân số của số thực và lập mật mã</t>
  </si>
  <si>
    <t>Phạm Mẫn Minh</t>
  </si>
  <si>
    <t>Võ Thị Thanh Giang</t>
  </si>
  <si>
    <t>Ngô Thị Thu Ba</t>
  </si>
  <si>
    <t>Nguyễn Văn Bình</t>
  </si>
  <si>
    <t>22ST2</t>
  </si>
  <si>
    <t>Nguyễn Hữu Thành</t>
  </si>
  <si>
    <t>Vấn đề kiểm duyệt dữ liệu trong nội dung thống kê ở cấp trung học cơ sở</t>
  </si>
  <si>
    <t>Lê Vũ Khoa</t>
  </si>
  <si>
    <t>TS. Tôn Thất Tú</t>
  </si>
  <si>
    <t>Lê Bùi Quỳnh Chi</t>
  </si>
  <si>
    <t>Lê Thành Nhân Hà</t>
  </si>
  <si>
    <t>Trương Khánh Linh</t>
  </si>
  <si>
    <t>Nguyễn Phương Hoa</t>
  </si>
  <si>
    <t>Thuật toán K-means và ứng dụng</t>
  </si>
  <si>
    <t>Nguyễn Thị Lan Hương</t>
  </si>
  <si>
    <t>24CKDL</t>
  </si>
  <si>
    <t>Đoàn Nguyễn Dương</t>
  </si>
  <si>
    <t>Trịnh Phương Dung</t>
  </si>
  <si>
    <t>Trần Đăng Thịnh</t>
  </si>
  <si>
    <t>Đoàn Công Bảo Hiếu</t>
  </si>
  <si>
    <t>Mối quan hệ giữa các phủ trong không gian topo X với các phủ trong siêu không gian của X</t>
  </si>
  <si>
    <t>Nguyễn Xuân Trúc</t>
  </si>
  <si>
    <t>TS. Lương Quốc Tuyển</t>
  </si>
  <si>
    <t>Nguyễn Thị Hồng Phúc</t>
  </si>
  <si>
    <t>Các tính chất topo được xây dựng bởi sự hội tụ theo
ideal</t>
  </si>
  <si>
    <t>Nguyễn Thuận Hiếu</t>
  </si>
  <si>
    <t>23ST2</t>
  </si>
  <si>
    <t>Nguyễn Bảo Nhi</t>
  </si>
  <si>
    <t>Lê Thị Thơ</t>
  </si>
  <si>
    <t>Lê Thị Liên</t>
  </si>
  <si>
    <t>Phân tích nguyên sơ của idean</t>
  </si>
  <si>
    <t>Trương Quốc Việt</t>
  </si>
  <si>
    <t>TS. Trần Nam Sinh</t>
  </si>
  <si>
    <t>Trần Bảo Uyên</t>
  </si>
  <si>
    <t>22ST1</t>
  </si>
  <si>
    <t>Phạm Cẩm Vân</t>
  </si>
  <si>
    <t>Lê Minh Hội</t>
  </si>
  <si>
    <t>Phép tính trên giá trị khoảng và áp dụng trong thiết lập mô hình toán học của một nhà máy sản xuất thép</t>
  </si>
  <si>
    <t>Phạm Minh Tuấn</t>
  </si>
  <si>
    <t>TS. Trần Văn Sự</t>
  </si>
  <si>
    <t>Trần Tuấn Anh</t>
  </si>
  <si>
    <t>Nguyễn Hữu Hải</t>
  </si>
  <si>
    <t>Trương Công Hưng</t>
  </si>
  <si>
    <t>Thực hành hoạt động trải nghiệm về ứng dụng một số vấn đề toán học vào giáo dục dân số Toán 11</t>
  </si>
  <si>
    <t>Mai Khánh Linh</t>
  </si>
  <si>
    <t>PGS.TS. Nguyễn Thanh Hưng</t>
  </si>
  <si>
    <t>Nguyễn Thiên An</t>
  </si>
  <si>
    <t>Phan Thị Thu Sương</t>
  </si>
  <si>
    <t>Thiết kế và tổ chức hoạt động trải nghiệm qua dạy học toán tài chính cho học sinh lớp 10.</t>
  </si>
  <si>
    <t>Nguyễn Viết Duy Bảo</t>
  </si>
  <si>
    <t>Nguyễn Thị Ly Nơ</t>
  </si>
  <si>
    <t>Huỳnh Công Phát</t>
  </si>
  <si>
    <t>Về trường hợp thứ bậc cấp 2(3) cho hệ điều khiển vi phân</t>
  </si>
  <si>
    <t>Trương Thị Thanh Thảo</t>
  </si>
  <si>
    <t>TS. Lê Hải Trung</t>
  </si>
  <si>
    <t>Nguyễn Thị Kim Phượng</t>
  </si>
  <si>
    <t>Về tính chất bóng của hệ động lực tuyến tính</t>
  </si>
  <si>
    <t>Lê Việt Hà</t>
  </si>
  <si>
    <t>TS. Nguyễn Ngọc Thạch</t>
  </si>
  <si>
    <t>Vũ Khánh Linh</t>
  </si>
  <si>
    <t>Xây dựng và phát triển ứng dụng mang tính giáo dục thông qua các hoạt động trò chơi giải trí</t>
  </si>
  <si>
    <t>Dương Vũ Minh Việt</t>
  </si>
  <si>
    <t>23SPT</t>
  </si>
  <si>
    <t>TS. Trần Văn Hưng</t>
  </si>
  <si>
    <t>KHOA TIN HỌC (03 đề tài)</t>
  </si>
  <si>
    <t>Phạm Kỳ Hải</t>
  </si>
  <si>
    <t>Trần Minh Nhật</t>
  </si>
  <si>
    <t>Bùi Thị Thu Hương</t>
  </si>
  <si>
    <t>Khám phá các yếu tố ảnh hưởng đến tư duy lập trình trong giải quyết vấn đề của sinh viên Trường Đại học Sư phạm - Đại học Đà Nẵng. Đề xuất hướng ứng dụng trong thiết kế bài giảng</t>
  </si>
  <si>
    <t>Võ Thị Phương Loan</t>
  </si>
  <si>
    <t>21SPT</t>
  </si>
  <si>
    <t>TS. Nguyễn Trần Quốc Vinh</t>
  </si>
  <si>
    <t>Trương Quốc Thanh</t>
  </si>
  <si>
    <t>Nguyễn Công Quyết</t>
  </si>
  <si>
    <t>Ứng dụng IoT trong việc xây dựng mô hình cho việc dạy học STEM ở trường THPT</t>
  </si>
  <si>
    <t>Trần Lý Anh Kiệt</t>
  </si>
  <si>
    <t>TS. Đoàn Duy Bình</t>
  </si>
  <si>
    <t>Trần Thị Quỳnh Diễm</t>
  </si>
  <si>
    <t>Trần Lê Tâm Như</t>
  </si>
  <si>
    <t>Thiết kế, tổ chức hoạt động trải nghiệm STEM chủ đề “Ứng dụng công nghệ vào nông nghiệp” trong dạy học chuyên đề “Mở đầu về điện tử học” – Vật lí 11</t>
  </si>
  <si>
    <t>Ngô Thanh Trúc</t>
  </si>
  <si>
    <t>22SVL</t>
  </si>
  <si>
    <t>TS. Phùng Việt Hải</t>
  </si>
  <si>
    <t>KHOA VẬT LÝ (21 đề tài)</t>
  </si>
  <si>
    <t>Võ Ngọc Mai Thy</t>
  </si>
  <si>
    <t>23SVL</t>
  </si>
  <si>
    <t>Trần Huỳnh Mỹ Thuận</t>
  </si>
  <si>
    <t>Lê Quốc Anh</t>
  </si>
  <si>
    <t>Trương Văn Minh</t>
  </si>
  <si>
    <t>21SVL1</t>
  </si>
  <si>
    <t>Nghiên cứu, ứng dụng công nghệ thực tế ảo tăng cường (AR) trong dạy học môn Khoa học tự nhiên hướng phát triển năng lực khoa học tự nhiên cho học sinh</t>
  </si>
  <si>
    <t>Trần Thị Kiều Trinh</t>
  </si>
  <si>
    <t>22SKT2</t>
  </si>
  <si>
    <t>Mai Thị Mỹ Châu</t>
  </si>
  <si>
    <t>Trương Ngọc Thảo</t>
  </si>
  <si>
    <t>Võ Xuân Hương</t>
  </si>
  <si>
    <t>Nguyễn Thị Thanh Hà</t>
  </si>
  <si>
    <t>Thiết kế tài liệu giáo khoa điện tử dành cho học sinh khiếm thị trong học môn KHTN lớp 9</t>
  </si>
  <si>
    <t>Nguyễn Thị Thuỳ Linh</t>
  </si>
  <si>
    <t>TS. Lê Thanh Huy</t>
  </si>
  <si>
    <t>Nguyễn Thuỵ Thảo Vy</t>
  </si>
  <si>
    <t>22SKT1</t>
  </si>
  <si>
    <t>Nguyễn Thị Hoàng Uyên</t>
  </si>
  <si>
    <t>Chế tạo gậy thông minh dành cho người khiếm thị</t>
  </si>
  <si>
    <t>Huỳnh Thị Thủy Thuận</t>
  </si>
  <si>
    <t>3130122049 3130122020 3130122033 3130122056</t>
  </si>
  <si>
    <t>Võ Thị Quý Hoài</t>
  </si>
  <si>
    <t>Nguyễn Lương Lợi</t>
  </si>
  <si>
    <t>Nguyễn Thị Thanh Tuyền</t>
  </si>
  <si>
    <t>Xây dựng bài tập môn Khoa học tự nhiên 9 theo cấu trúc đề Trung học phổ thông Quốc gia năm 2025 nhằm đánh giá năng lực khoa học tự nhiên của học sinh</t>
  </si>
  <si>
    <t>Nguyễn Thị Kim Anh</t>
  </si>
  <si>
    <t>TS. Lê Thị Minh Phương</t>
  </si>
  <si>
    <t>Bùi Trần Minh Anh</t>
  </si>
  <si>
    <t>Phạm Thị Ánh Nguyệt</t>
  </si>
  <si>
    <t>Võ Thị Lan Oanh</t>
  </si>
  <si>
    <t>Đặng Thị Kiều Trinh</t>
  </si>
  <si>
    <t>Chế tạo bè cứu hộ tự động phát tín hiệu GPS khi gặp nạn</t>
  </si>
  <si>
    <t>Phạm Diệu Hương</t>
  </si>
  <si>
    <t>3130123008 3130123005 3130123026 3130123018 3130123019</t>
  </si>
  <si>
    <t>23SVL 23SVL 23SVL 23SVL 23SVL</t>
  </si>
  <si>
    <t> TS. Trần Quỳnh</t>
  </si>
  <si>
    <t>Trương Thị Cẩm Giang</t>
  </si>
  <si>
    <t>Đinh Thị Thùy Tiên</t>
  </si>
  <si>
    <t>Đinh Công Tâm</t>
  </si>
  <si>
    <t>Lữ Đình Trường Thảo</t>
  </si>
  <si>
    <t>Thiết kế và xây dựng bộ lắp ghép mô hình STEAM theo chủ đề "Năng lượng và sự biến đổi" trong môn KHTN ở trường Trung học cơ sở</t>
  </si>
  <si>
    <t>Lê Nguyễn Trà My</t>
  </si>
  <si>
    <t>TS. Nguyễn Quý Tuấn</t>
  </si>
  <si>
    <t>Nguyễn Trọng Khôi</t>
  </si>
  <si>
    <t>Nguyễn Đức Cường</t>
  </si>
  <si>
    <t>Trần Thị Quỳnh Như</t>
  </si>
  <si>
    <t>Thiết kế e-book hỗ trợ dạy học chương “Động lực học”- Vật lý 10 - sách Kết nối Tri thức và Cuộc sống hướng phát triển năng lực tự học của học sinh.</t>
  </si>
  <si>
    <t>Thới Bảo Đại</t>
  </si>
  <si>
    <t>24SVL</t>
  </si>
  <si>
    <t>ThS. Trần Thị Hương Xuân</t>
  </si>
  <si>
    <t>Thái Thùy Linh</t>
  </si>
  <si>
    <t>Nguyễn Văn Duy</t>
  </si>
  <si>
    <t>Nguyễn Thúy Hà</t>
  </si>
  <si>
    <t>Huỳnh Đỗ Yến Nhi</t>
  </si>
  <si>
    <t>24SPT</t>
  </si>
  <si>
    <t>Nghiên cứu chế tạo vật liệu thủy tinh pha tạp ion đất hiếm hoặc kim loại chuyển tiếp ứng dụng trong đo liều bức xạ</t>
  </si>
  <si>
    <t>Hà Phúc Tuệ Quang</t>
  </si>
  <si>
    <t>3130121110 3130121106 3130121013 3130323004 3130122045</t>
  </si>
  <si>
    <t>21SVL2</t>
  </si>
  <si>
    <t> ThS. Trịnh Ngọc Đạt</t>
  </si>
  <si>
    <t>Lê Thị Như</t>
  </si>
  <si>
    <t>Nguyễn Thị Thu Hà</t>
  </si>
  <si>
    <t>Bùi Quang Hải</t>
  </si>
  <si>
    <t>23CVK</t>
  </si>
  <si>
    <t>Ngô Thiên Sử</t>
  </si>
  <si>
    <t>Nghiên cứu và chế tạo vật liệu Na0.5Bi0.5TiO3 pha tạp ion đất hiếm ứng dụng để tăng cường độ nhạy của các thiết bị cảm biến và thiết bị cơ điện</t>
  </si>
  <si>
    <t>Nguyễn Tuấn Thiện</t>
  </si>
  <si>
    <t>3130322007 3130122017 3130122053 3130122030 3130122044</t>
  </si>
  <si>
    <t>22CVK</t>
  </si>
  <si>
    <t>Dương Văn Hiếu</t>
  </si>
  <si>
    <t>Phạm Ngọc Hoa Tranh</t>
  </si>
  <si>
    <t>Nguyễn Thị Ngọc Lan</t>
  </si>
  <si>
    <t>Đặng Hữu Nam Sang</t>
  </si>
  <si>
    <t>Nghiên cứu chế tạo và khảo sát tính chất nhiệt phát quang của vật liệu Sr3B2O6 pha tạp đất hiếm</t>
  </si>
  <si>
    <t>Nguyễn Lê Tấn Tài</t>
  </si>
  <si>
    <t> TS. Trần Thị Hồng</t>
  </si>
  <si>
    <t>Nguyễn Quốc Khánh</t>
  </si>
  <si>
    <t>Nguyễn Thị Mỹ Thương</t>
  </si>
  <si>
    <t>Võ Hồng Nga</t>
  </si>
  <si>
    <t>Nghiên cứu chế tạo và tính chất quang của vật liệu Ba2MgSi2O7 pha tạp các ion đất hiếm định hướng ứng dụng trong chiếu sáng.</t>
  </si>
  <si>
    <t>Hồ Thị Thúy Ngân</t>
  </si>
  <si>
    <t>3130122036 3130122029 3130124014</t>
  </si>
  <si>
    <t>22SVL 22SVL 24SVL</t>
  </si>
  <si>
    <t>Huỳnh Y Tuyết Lan</t>
  </si>
  <si>
    <t>Trần Thị Kim Ngân</t>
  </si>
  <si>
    <t>Trần Quang Huy</t>
  </si>
  <si>
    <t>Nghiên cứu sự ảnh hưởng của pha tạp Mn, Ni, Zn lên cấu trúc và tính chất của vật liệu Cobalt Ferrite.</t>
  </si>
  <si>
    <t>Nguyễn Thị Quỳnh Diễm</t>
  </si>
  <si>
    <t> TS. Đinh Thanh Khẩn</t>
  </si>
  <si>
    <t>Đặng Thị Kim Anh</t>
  </si>
  <si>
    <t>Nguyễn Thị Phương Chi</t>
  </si>
  <si>
    <t>Chế tạo và nghiên cứu các đặc trưng cấu trúc của vật liệu spinel pha tạp ion đất hiếm</t>
  </si>
  <si>
    <t>Lê Phan Thanh Trúc</t>
  </si>
  <si>
    <t>TS. Đinh Thanh Khẩn</t>
  </si>
  <si>
    <t>Đặng Vĩ Thái</t>
  </si>
  <si>
    <t>Đinh Thị Quỳnh Hương</t>
  </si>
  <si>
    <t>Nghiên cứu ảnh hưởng của áp suất và hàm lượng khí oxy đến cấu trúc và tính chất của màng mỏng ZnO chế tạo bằng phương pháp phún xạ</t>
  </si>
  <si>
    <t>TS. Mai Thị Kiều Liên</t>
  </si>
  <si>
    <t>Lê Nguyên Bảo</t>
  </si>
  <si>
    <t>Nghiên cứu sự truyền năng lượng giữa ion Bi3+ và các kim loại chuyển tiếp hoặc ion đất hiếm trong một số mạng nền ứng dụng chế tạo vật liệu chiếu sáng</t>
  </si>
  <si>
    <t>Nguyễn Đức Toàn</t>
  </si>
  <si>
    <t>3030121117 3130121065 3130121090 3130122031 3130122008</t>
  </si>
  <si>
    <t>21SVL2 21SVL2 21SVL2 22SVL 22SVL</t>
  </si>
  <si>
    <t>ThS. Phan Liễn</t>
  </si>
  <si>
    <t>Văn Viết Viên</t>
  </si>
  <si>
    <t>Đinh Vi Linh</t>
  </si>
  <si>
    <t>Nguyễn Thị Khánh Linh</t>
  </si>
  <si>
    <t>Phan Đặng Anh Đào</t>
  </si>
  <si>
    <t>Nghiên cứu ứng dụng ước tính pha lượng tử trong mô phỏng phân tử</t>
  </si>
  <si>
    <t>Đậu Thị Huyền</t>
  </si>
  <si>
    <t>TS. Dụng Văn Lữ</t>
  </si>
  <si>
    <t>Hồ Xuân Nhật</t>
  </si>
  <si>
    <t>Đặng Anh Tú</t>
  </si>
  <si>
    <t>Nghiên cứu mạng lai nerual lượng tử trong nhận dạng khuôn mặt và ứng dụng vào hệ thống điểm danh học sinh</t>
  </si>
  <si>
    <t>Nguyễn Minh Chiến</t>
  </si>
  <si>
    <t>Phạm Sĩ Anh Đức</t>
  </si>
  <si>
    <t>Nguyễn Thị Hồng</t>
  </si>
  <si>
    <t>Nguyễn Hoàng Hưng Gia</t>
  </si>
  <si>
    <t>Chế tạo và nghiên cứu đặc trưng quang học của ion bismuth trong nền silicate</t>
  </si>
  <si>
    <t>ThS. Lê Văn Thanh Sơn</t>
  </si>
  <si>
    <t>Lê Thị Phương Thanh</t>
  </si>
  <si>
    <t>Hoàng Thị Khánh Trang</t>
  </si>
  <si>
    <t>Phạm Thị Bích Diệp</t>
  </si>
  <si>
    <t>Chế tạo và nghiên cứu sự biến đổi cấu trúc tinh thể của vật liệu spinel theo nhiệt độ thủy nhiệt.</t>
  </si>
  <si>
    <t> ThS. Lê Vũ Trường Sơn</t>
  </si>
  <si>
    <t>Phạm Thị Tố Uyên</t>
  </si>
  <si>
    <t>Trần Thị Xuân Hương</t>
  </si>
  <si>
    <t>Nghiên cứu và tổng hợp chất nano spinels coban cromit (CoCr2O4) ứng dụng để loại bỏ khí methane cho động cơ CNG</t>
  </si>
  <si>
    <t>Nguyễn Thị Thùy Linh</t>
  </si>
  <si>
    <t>3140722043 3140722115 3140722058 3140722051</t>
  </si>
  <si>
    <t>Lại Minh Trúc</t>
  </si>
  <si>
    <t>Huỳnh Võ Thanh Ngân</t>
  </si>
  <si>
    <t>Phạm Tiến Mạnh</t>
  </si>
  <si>
    <t xml:space="preserve">Kết hợp mô hình lớp học đảo ngược và phương pháp dạy học nghiên cứu - khám phá trong dạy học môn Hoá học nhằm phát triển năng lực tìm hiểu tự nhiên dưới góc độ Hoá học cho học sinh. </t>
  </si>
  <si>
    <t>Nguyễn Thị Ngọc Như</t>
  </si>
  <si>
    <t>22SHH</t>
  </si>
  <si>
    <t xml:space="preserve">ThS. Nguyễn Thị Lan Anh </t>
  </si>
  <si>
    <t>KHOA HÓA HỌC (23 đề tài)</t>
  </si>
  <si>
    <t>Trần Thị Thuỷ Tiên</t>
  </si>
  <si>
    <t>Nguyễn Thị Bích</t>
  </si>
  <si>
    <t>Đặng Thị Hà Giang</t>
  </si>
  <si>
    <t>Phan Nhật Nam</t>
  </si>
  <si>
    <t xml:space="preserve">Phát triển năng lực giải quyết vấn đề và sáng tạo cho học sinh phổ thông qua dạy học theo dự án chủ đề "Năng lượng và sự biến đổi" trong môn Khoa học Tự nhiên </t>
  </si>
  <si>
    <t>Nguyễn Thị Thùy Dương</t>
  </si>
  <si>
    <t>21SKT2</t>
  </si>
  <si>
    <t>ThS. Nguyễn Thị Lan Anh</t>
  </si>
  <si>
    <t>Nguyễn Thị Kiều Vân</t>
  </si>
  <si>
    <t>Nguyễn Việt Hà</t>
  </si>
  <si>
    <t>21SKT1</t>
  </si>
  <si>
    <t>Nguyễn Đại</t>
  </si>
  <si>
    <t>Đặng Hữu Hiệp</t>
  </si>
  <si>
    <t>Nghiên cứu ảnh hưởng của các nhóm thế lên phổ kích thích electron của bithiophene azo bằng phương pháp hoá học tính toán</t>
  </si>
  <si>
    <t>Trần Thanh Hiền</t>
  </si>
  <si>
    <t>21SHH</t>
  </si>
  <si>
    <t>TS. Mai Văn Bảy</t>
  </si>
  <si>
    <t>Nguyễn Thị Thúy</t>
  </si>
  <si>
    <t>Nghiên cứu kết hợp hoa đu đủ đực với các vị thuốc khác trong phòng chống bệnh ung thư</t>
  </si>
  <si>
    <t>Nguyễn Thị Kim Cúc</t>
  </si>
  <si>
    <t>21CHD</t>
  </si>
  <si>
    <t>ThS. Trần Thị Ngọc Bích</t>
  </si>
  <si>
    <t>Phan Thị Tố Trinh</t>
  </si>
  <si>
    <t>Nghiên cứu và phát triển vật liệu dựa trên nền Fe và Cu oxide để chuyển hóa Ethylene glycol thành sản phẩm có giá trị.</t>
  </si>
  <si>
    <t>Lê Tất Anh Tuấn</t>
  </si>
  <si>
    <t>ThS. Ngô Thị Mỹ Bình</t>
  </si>
  <si>
    <t>Hồ Thị Minh Thư</t>
  </si>
  <si>
    <t>Ứng dụng Visual Novel vào dạy học chuyên đề Cơ chế phản ứng trong Hoá học hữu cơ</t>
  </si>
  <si>
    <t>Hoàng Nữ Thanh Tâm</t>
  </si>
  <si>
    <t xml:space="preserve">ThS. Bùi Ngọc Phương Châu </t>
  </si>
  <si>
    <t>Không có bài báo khoa học kê khai ở năm học trước nên KHÔNG đáp ứng đủ điều kiện. 
Đề nghị chuyển sang đề tài liên kết</t>
  </si>
  <si>
    <t>Nguyễn Vân Ly</t>
  </si>
  <si>
    <t>Trần Hà Phương</t>
  </si>
  <si>
    <t>Nguyễn Vũ Toàn</t>
  </si>
  <si>
    <t>Hứa Văn Thái</t>
  </si>
  <si>
    <t>Thiết kế sổ tay điện tử trong dạy học chủ đề "Trái Đất và Bầu Trời" - KHTN 6</t>
  </si>
  <si>
    <t>Nguyễn Thành Toàn</t>
  </si>
  <si>
    <t>Nguyễn Thị Thảo</t>
  </si>
  <si>
    <t>Lê Võ Như Thùy</t>
  </si>
  <si>
    <t>Võ Hoàng Kim Huyền</t>
  </si>
  <si>
    <t>Nghiên cứu tổng hợp vật liệu xúc tác điện hoá M-NixPy/Bọt 3D ứng dụng cho quá trình tách nước giải phóng khí Oxygen.</t>
  </si>
  <si>
    <t>Lê Thái Thông</t>
  </si>
  <si>
    <t>TS. Nguyễn Đình Chương</t>
  </si>
  <si>
    <t>Phạm Minh Tâm</t>
  </si>
  <si>
    <t>Trịnh Bảo Hân</t>
  </si>
  <si>
    <t>Nghiên cứu tổng hợp điện cực xúc tác hợp kim giữa NixPy-NinOm/C ứng dụng cho quá trình tách nước giải phóng khí Oxygen.</t>
  </si>
  <si>
    <t>Nguyễn Văn Toàn</t>
  </si>
  <si>
    <t>Huỳnh Thu Thảo</t>
  </si>
  <si>
    <t>Cao Thị Huyền Trang</t>
  </si>
  <si>
    <t>Nghiên cứu tổng hợp vật liệu Ni/NiO và ứng dụng làm xúc tác cho phản ứng điện phân nước.</t>
  </si>
  <si>
    <t>Hồ Ngọc Yến Nhi</t>
  </si>
  <si>
    <t>TS. Vũ Thị Duyên</t>
  </si>
  <si>
    <t>Nguyễn Thị Thiên Tú</t>
  </si>
  <si>
    <t>Đoàn Ngọc Như Quỳnh</t>
  </si>
  <si>
    <t>Nguyễn Thị Nhi</t>
  </si>
  <si>
    <t>Nghiên cứu tổng hợp vật liệu composite NiO-Co3O4-ZnO bằng phương pháp sol-gel và ứng dụng làm chất xúc tác</t>
  </si>
  <si>
    <t>Đào Huỳnh Nhật Huy</t>
  </si>
  <si>
    <t>Huỳnh Nguyễn Thảo Hạnh</t>
  </si>
  <si>
    <t>Nguyễn Thị Trà Giang</t>
  </si>
  <si>
    <t>Nguyễn Phạm Hồng Hưng</t>
  </si>
  <si>
    <t>Nguyễn Trường Đăng Nguyên</t>
  </si>
  <si>
    <t>23SHH</t>
  </si>
  <si>
    <t>Nghiên cứu tổng hợp nano selenium từ H2SeO3 bằng ascorbic acid và ứng dụng</t>
  </si>
  <si>
    <t>Nguyễn Thị Thuỳ Dung</t>
  </si>
  <si>
    <t>PGS.TS Lê Tự Hải</t>
  </si>
  <si>
    <t>Võ Thị Mỹ Hiền</t>
  </si>
  <si>
    <t>Phạm Anh Thi</t>
  </si>
  <si>
    <t>Huỳnh Nguyễn Bảo Ngọc</t>
  </si>
  <si>
    <t>Nghiên cứu tổng hợp nano bạc từ AgNO3 bằng dịch chiết nước lá cây xạ đen và ứng dụng của nó</t>
  </si>
  <si>
    <t>Lê Hương Ly</t>
  </si>
  <si>
    <t>PGS.TS. Lê Tự Hải</t>
  </si>
  <si>
    <t>Huỳnh Trương Bảo Trân</t>
  </si>
  <si>
    <t>Nguyễn Thị Hà An</t>
  </si>
  <si>
    <t>Trần Bích Ngọc</t>
  </si>
  <si>
    <t>Hoàng Thị Vân</t>
  </si>
  <si>
    <t>Nghiên cứu chế tạo than sinh học từ các phế phẩm nông nghiệp và ứng dụng làm chất hấp phụ hợp chất màu trong nước</t>
  </si>
  <si>
    <t>Lương Hữu Anh Thư</t>
  </si>
  <si>
    <t>TS. Nguyễn Thị Thu Hồng</t>
  </si>
  <si>
    <t>Lê Hồ Diệu Huyền</t>
  </si>
  <si>
    <t>Chu Trần Quỳnh Thơ</t>
  </si>
  <si>
    <t>Nghiên cứu ảnh hưởng của nhiệt độ nhiệt phân đến tính chất hóa lý của than sinh học chế tạo từ bã cà phê</t>
  </si>
  <si>
    <t>Trần Thị Kim Oanh</t>
  </si>
  <si>
    <t>Trương Quốc Toàn</t>
  </si>
  <si>
    <t>Phan Thị Kim Lưu</t>
  </si>
  <si>
    <t>Ứng dụng sóng siêu âm trong tổng hợp một số dẫn xuất 1,5-dihydro-2H-pyrrol-2-one dựa vào phản ứng nhiều thành phần</t>
  </si>
  <si>
    <t>Trần Đình Thuận</t>
  </si>
  <si>
    <t>TS. Nguyễn Trần Nguyên</t>
  </si>
  <si>
    <t>Nguyễn Thị Hoài Thương</t>
  </si>
  <si>
    <t>Nguyễn Trần Ngọc Trâm</t>
  </si>
  <si>
    <t>22CHD</t>
  </si>
  <si>
    <t>Nguyễn Thị Thu Anh</t>
  </si>
  <si>
    <t>Nguyễn Thị Thanh Tú</t>
  </si>
  <si>
    <t>Nghiên cứu tổng hợp vật liệu CoO/NiO/ZnO và ứng dụng xúc tác quang phân huỷ MethyleneBlue</t>
  </si>
  <si>
    <t>Nguyễn Phạm Thanh Thảo</t>
  </si>
  <si>
    <t>TS. Võ Thắng Nguyên</t>
  </si>
  <si>
    <t>Nguyễn Hữu An</t>
  </si>
  <si>
    <t>Nghiên cứu tổng hợp vật liệu CoO/ZnO và ứng dụng xúc tác quang phân huỷ Rhodamin B</t>
  </si>
  <si>
    <t>Trương Thuỷ Tiên</t>
  </si>
  <si>
    <t>Trần Thị Thanh Tuyết</t>
  </si>
  <si>
    <t>Nguyễn Lê Mạnh Cường</t>
  </si>
  <si>
    <t>Đinh Minh Tâm</t>
  </si>
  <si>
    <t>Lê Thị Bích Ngọc</t>
  </si>
  <si>
    <t>Nghiên cứu tổng hợp vật liệu Ni/NiO và ứng dụng làm xúc tác cho phản ứng điện phân nước.Nghiên cứu tổng hợp vật liệu Ag-Cu/Fe3O4 và ứng dụng làm xúc tác cho phản ứng khử chất màu rhodamine B và methylene blue</t>
  </si>
  <si>
    <t>Đinh Thị Thương</t>
  </si>
  <si>
    <t>TS. Đinh Văn Tạc</t>
  </si>
  <si>
    <t>Nguyễn Hữu Luân</t>
  </si>
  <si>
    <t>Nguyễn Thị Mai Tiên</t>
  </si>
  <si>
    <t>Võ Thành Trung</t>
  </si>
  <si>
    <t>Nghiên cứu tổng hợp vật liệu NiO/Fe3O4 và ZnO/Fe3O4 bằng phương pháp hóa học xanh sử dụng dịch chiết lá bàng và ứng dụng xử lý chất màu</t>
  </si>
  <si>
    <t>Trần Khánh Vy</t>
  </si>
  <si>
    <t>Lê Thị Hồng Nhung</t>
  </si>
  <si>
    <t>Lê Đình Uyên Phương</t>
  </si>
  <si>
    <t>Nguyễn Văn Hoàng</t>
  </si>
  <si>
    <t>Nghiên cứu cơ chế đa chức năng của hợp chất alkaloid mới (pyrroloquinolone A) được phân lập từ cây Atractylis cancellata L. trong điều trị bệnh Alzheimer bằng phương pháp hóa tính toán</t>
  </si>
  <si>
    <t>Nguyễn Thị Hồng Nhung</t>
  </si>
  <si>
    <t>TS. Nguyễn Minh Thông</t>
  </si>
  <si>
    <t>Phan Mỹ Diễm</t>
  </si>
  <si>
    <t>Nguyễn Thùy Thanh Trúc</t>
  </si>
  <si>
    <t>Ngô Thúy Hòa</t>
  </si>
  <si>
    <t>Nghiên cứu tái chế chất thải hữu cơ từ nguyên liệu làm đồ uống và ứng dụng</t>
  </si>
  <si>
    <t>Phan Thị Hoài Thu</t>
  </si>
  <si>
    <t>TS. Đỗ Thị Thúy Vân</t>
  </si>
  <si>
    <t>Bùi Ngọc Bảo Trâm</t>
  </si>
  <si>
    <t>Huỳnh Thị Cẩm Tiên</t>
  </si>
  <si>
    <t>Đinh Thị My</t>
  </si>
  <si>
    <t>Phan Nữ Thảo Ly</t>
  </si>
  <si>
    <t>Nghiên cứu thành phần hóa học và ứng dụng của vỏ quả cà phê</t>
  </si>
  <si>
    <t>Bùi Thị Thanh Bình</t>
  </si>
  <si>
    <t>Nguyễn Thị Hiền Diệu</t>
  </si>
  <si>
    <t>Nguyễn Thị Thanh Dung</t>
  </si>
  <si>
    <t>Phan Thị Diễm Quỳnh</t>
  </si>
  <si>
    <t>Trần Thị Ngọc Thảo</t>
  </si>
  <si>
    <t>Digital Folklore: Nghiên cứu trường hợp truyền thuyết dân gian đương đại qua tác phẩm điện ảnh “Chuyện ma gần nhà”</t>
  </si>
  <si>
    <t>Trần Văn Khánh Dương</t>
  </si>
  <si>
    <t>23SNV1</t>
  </si>
  <si>
    <t>TS Đàm Nghĩa Hiếu</t>
  </si>
  <si>
    <t>KHOA NGỮ VĂN (11 đề tài)</t>
  </si>
  <si>
    <t>Vũ Minh Huyền</t>
  </si>
  <si>
    <t>Trần Thành Tài</t>
  </si>
  <si>
    <t>Bùi Thị Phương Thảo</t>
  </si>
  <si>
    <t>Dương Vũ Như Quỳnh</t>
  </si>
  <si>
    <t>Nghiên cứu hệ thống ký hiệu-biểu tượng của văn bản thơ trong Sách giáo khoa Ngữ văn bậc Trung học Phổ thông</t>
  </si>
  <si>
    <t>Nguyễn Thùy Linh</t>
  </si>
  <si>
    <t>22SNV2</t>
  </si>
  <si>
    <t>PGS.TS. Trần Văn Sáng</t>
  </si>
  <si>
    <t>Nguyễn Vũ Anh Phi</t>
  </si>
  <si>
    <t>Đặc điểm ngôn ngữ đánh giá trong diễn ngôn báo chí tiếng Việt về cơn bão Yagi ở Việt Nam</t>
  </si>
  <si>
    <t>Trần Mai An Phúc</t>
  </si>
  <si>
    <t>22SNV1</t>
  </si>
  <si>
    <t>Võ Thị Hằng Nga</t>
  </si>
  <si>
    <t>Một số tác phẩm văn học Việt Nam đầu thế kỉ XXI từ cái nhìn phê bình hậu nhân</t>
  </si>
  <si>
    <t>Nguyễn Thị Thảo Nguyên</t>
  </si>
  <si>
    <t>TS. Trần Thị Ánh Nguyệt</t>
  </si>
  <si>
    <t>Nguyễn Đăng Gia Hy</t>
  </si>
  <si>
    <t>Phát triển nền tảng Ngữ văn số FlipClassroom: Tăng cường tự học và thảo luận tương tác</t>
  </si>
  <si>
    <t>Phạm Văn Quân</t>
  </si>
  <si>
    <t>TS. Hồ Trần Ngọc Oanh</t>
  </si>
  <si>
    <t>Lương Thị Lan Anh</t>
  </si>
  <si>
    <t>Nguyễn Thị Yến Nhi</t>
  </si>
  <si>
    <t>Trần Nguyễn Thủy Tiên</t>
  </si>
  <si>
    <t>Văn xuôi M.Prisvin từ góc nhìn phê bình sinh thái</t>
  </si>
  <si>
    <t>Hà Phan Lệ Trang</t>
  </si>
  <si>
    <t>21CVH</t>
  </si>
  <si>
    <t>TS. Vũ Thường Linh</t>
  </si>
  <si>
    <t>Ngô Thị Lan Anh</t>
  </si>
  <si>
    <t>21SNV3</t>
  </si>
  <si>
    <t>Nguyễn Đặng Anh Thư</t>
  </si>
  <si>
    <t>Truyền thông ứng phó thiên tai: xây dựng mô hình thông tin đối phó bão lụt và nắng nóng ở thành phố Đà Nẵng.</t>
  </si>
  <si>
    <t>Lê Trần Bảo Linh</t>
  </si>
  <si>
    <t>23CBC1</t>
  </si>
  <si>
    <t xml:space="preserve">TS. Trần Thị Hòa  </t>
  </si>
  <si>
    <t>Dương Quỳnh Nga</t>
  </si>
  <si>
    <t>Võ Thị Thùy Châu</t>
  </si>
  <si>
    <t>Lưu Thị Hương</t>
  </si>
  <si>
    <t>Đào Xuân Diệu Huyền</t>
  </si>
  <si>
    <t xml:space="preserve">Truyền thông giúp giảm bạo lực giới cho phụ nữ </t>
  </si>
  <si>
    <t>Ngô Bảo Yến</t>
  </si>
  <si>
    <t>22CBC1</t>
  </si>
  <si>
    <t>Nguyễn Trần Khánh Na</t>
  </si>
  <si>
    <t>22CBC2</t>
  </si>
  <si>
    <t>Nguyễn Trần Khánh Ny</t>
  </si>
  <si>
    <t>Lê Nguyễn Thảo Vy</t>
  </si>
  <si>
    <t>23CBC2</t>
  </si>
  <si>
    <t>Trần Ngọc Giáng Hương</t>
  </si>
  <si>
    <t>Truyền thông khoa học công nghệ và sức khỏe ở Việt Nam - Một tiếp cận về năng lực của chủ thể truyền thông</t>
  </si>
  <si>
    <t>Phạm Thị Hải Yến</t>
  </si>
  <si>
    <t>TS. Trần Thị Yến Minh</t>
  </si>
  <si>
    <t>Châu Huệ Mẫn</t>
  </si>
  <si>
    <t>Lê Thị Trang</t>
  </si>
  <si>
    <t>Đinh Thị Thu Thủy</t>
  </si>
  <si>
    <t>Phạm Lưu Thị Thùy Linh</t>
  </si>
  <si>
    <t>Niềm tin tôn giáo trong đời sống Phật tử (khảo sát qua trường hợp gia đình Phật tử tại Đà Nẵng)</t>
  </si>
  <si>
    <t>Nguyễn Thị Bích Ngọc</t>
  </si>
  <si>
    <t>22CVHH</t>
  </si>
  <si>
    <t>TS. Hoàng Thị Mai Sa</t>
  </si>
  <si>
    <t>Hồ Gia Phụng</t>
  </si>
  <si>
    <t>Biến đổi văn hóa cộng đồng Hàn Quốc sinh sống tại thành phố Đà Nẵng</t>
  </si>
  <si>
    <t>Nguyễn Ngọc Bảo Trân</t>
  </si>
  <si>
    <t>TS. Nguyễn Thu Trang</t>
  </si>
  <si>
    <t>Địa danh ở vùng đất Gò Nổi (thị xã Điện Bàn, tỉnh Quảng Nam)</t>
  </si>
  <si>
    <t>Nguyễn Trần Văn Hoàng</t>
  </si>
  <si>
    <t>21SLD</t>
  </si>
  <si>
    <t>TS. Lê Thị Mai</t>
  </si>
  <si>
    <t>KHOA LỊCH SỬ (13 đề tài)</t>
  </si>
  <si>
    <t>Trần Lê Đình Phương</t>
  </si>
  <si>
    <t>Đỗ Thị Đoan Phương</t>
  </si>
  <si>
    <t>22SLD2</t>
  </si>
  <si>
    <t>Nguyễn Thuận Văn Khoa</t>
  </si>
  <si>
    <t>Vai trò của Charlemagne đối với châu Âu sơ kỳ Trung Đại</t>
  </si>
  <si>
    <t xml:space="preserve">Nguyễn Hữu Phước </t>
  </si>
  <si>
    <t>22SLS</t>
  </si>
  <si>
    <t>Việt Nam trong chính sách ngoại giao Cảnh sát biển của Nhật Bản (2012 - 2024)</t>
  </si>
  <si>
    <t>Nguyễn Ngọc Thanh Tuấn</t>
  </si>
  <si>
    <t>22CLS</t>
  </si>
  <si>
    <t>TS. Nguyễn Văn Sang</t>
  </si>
  <si>
    <t>Trần Ngô Trường Phúc</t>
  </si>
  <si>
    <t>Lê Thị Thanh Xuân</t>
  </si>
  <si>
    <t>Dương Bùi Vinh</t>
  </si>
  <si>
    <t>Hợp tác Việt Nam và Hoa Kỳ trong nâng cao năng lực chấp pháp và thực thi chủ quyền trên biển (2016 - 2024)</t>
  </si>
  <si>
    <t>Ngô Tuấn Phương Dung</t>
  </si>
  <si>
    <t>23CLS</t>
  </si>
  <si>
    <t>Nguyễn Thị Quỳnh Hoa</t>
  </si>
  <si>
    <t>Nguyễn Thu Trâm</t>
  </si>
  <si>
    <t>Trần Lê Nhân</t>
  </si>
  <si>
    <t>Chiến tranh tâm lý trong lịch sử Việt Nam cổ trung đại (thế kỷ X-XIX)</t>
  </si>
  <si>
    <t>Nguyễn Ý An</t>
  </si>
  <si>
    <t>23SLS</t>
  </si>
  <si>
    <t>PGS.TS. Trương Anh Thuận</t>
  </si>
  <si>
    <t>Lê Nhật Huy</t>
  </si>
  <si>
    <t>Phan Lê Thảo Nguyên</t>
  </si>
  <si>
    <t>Lê Đức Tài</t>
  </si>
  <si>
    <t>Nghiên cứu so sánh chính sách Phật giáo và Thiên Chúa giáo của chúa Nguyễn ở Đàng Trong thế kỉ XVI-XVIII</t>
  </si>
  <si>
    <t>Trần Bích Huyền</t>
  </si>
  <si>
    <t>Phan Thị Tình</t>
  </si>
  <si>
    <t>Dương Thiên Giang</t>
  </si>
  <si>
    <t>Nguyễn Thanh Trà</t>
  </si>
  <si>
    <t>Nguyễn Thị Hồng Minh</t>
  </si>
  <si>
    <t>Tác động từ chính sách thuộc địa kiểu mới của Mỹ đối với văn hóa- xã hội miền Nam Việt Nam giai đoạn 1954- 1975</t>
  </si>
  <si>
    <t>Vũ Thanh Tâm</t>
  </si>
  <si>
    <t>23SLD2</t>
  </si>
  <si>
    <t>ThS. Đặng Thị Thùy Dương</t>
  </si>
  <si>
    <t>Nguyễn Mai Nhung</t>
  </si>
  <si>
    <t>Dương Thị Nhật Ý</t>
  </si>
  <si>
    <t>Yếu tố ảnh hưởng đến trải nghiệm của sinh viên trong du lịch học tập tại Bình Sơn, Quảng Ngãi</t>
  </si>
  <si>
    <t>Hà Thị Thanh Thảo</t>
  </si>
  <si>
    <t>22CVNH1</t>
  </si>
  <si>
    <t>ThS. Tô Văn Hạnh</t>
  </si>
  <si>
    <t>Võ Quốc Trung</t>
  </si>
  <si>
    <t>23CVNH2</t>
  </si>
  <si>
    <t>Nguyễn Ngọc Gia Hân</t>
  </si>
  <si>
    <t>Trương Thị Kim Thoa</t>
  </si>
  <si>
    <t>Nguyễn Thị Thanh Thảo</t>
  </si>
  <si>
    <t>Ứng dụng chuyển đổi số trong quảng bá du lịch quận Liên Chiểu, thành phố Đà Nẵng</t>
  </si>
  <si>
    <t>Trần Nguyễn Hoàng Anh</t>
  </si>
  <si>
    <t>ThS. Tăng Chánh Tín</t>
  </si>
  <si>
    <t>Đoàn Thị Ngọc Triều</t>
  </si>
  <si>
    <t>Đỗ Nhật Tiến</t>
  </si>
  <si>
    <t>21CNTT3</t>
  </si>
  <si>
    <t>Thiết kế và sử dụng thẻ thông tin tích hợp để tổ chức dạy học nội dung Xã hội cổ (môn Lịch sử và Địa lí) ở các trường trung học cơ sở trên địa bàn thành phố Đà Nẵng.</t>
  </si>
  <si>
    <t>Đoàn Thị Ngọc Uyên</t>
  </si>
  <si>
    <t>TS. Trương Trung Phương</t>
  </si>
  <si>
    <t>Huỳnh Thị Như Ngọc</t>
  </si>
  <si>
    <t>Phát triển du lịch có trách nhiệm tại Quần thể danh thắng Ngũ Hành Sơn, thành phố Đà Nẵng</t>
  </si>
  <si>
    <t>Nguyễn Thị Tuyền</t>
  </si>
  <si>
    <t>22CVNH2</t>
  </si>
  <si>
    <t>TS. Lê Thị Thu Hiền</t>
  </si>
  <si>
    <t>Trần Thị Anh Thư</t>
  </si>
  <si>
    <t>Văn hoá ứng xử trong du lịch Việt Nam (qua nguồn tư liệu báo mạng): Những tồn tại và giải pháp</t>
  </si>
  <si>
    <t>Nguyễn Trọng Trung</t>
  </si>
  <si>
    <t>Phan Thanh Đà</t>
  </si>
  <si>
    <t>Hoàng Thị Thanh Nhung</t>
  </si>
  <si>
    <t>Nguyễn Thị Thanh Duyên</t>
  </si>
  <si>
    <t>Tống Thị Mỹ Oanh</t>
  </si>
  <si>
    <t>Ứng dụng mô hình HOLSAT đánh giá sự hài lòng của khách du lịch nội địa thế hệ gen Z tại điểm đến Hội An, Quảng Nam</t>
  </si>
  <si>
    <t>Nguyễn Thị Đoan Trang</t>
  </si>
  <si>
    <t>TS. Nguyễn Thị Lộc</t>
  </si>
  <si>
    <t>Huỳnh Thị Mỹ Hạnh</t>
  </si>
  <si>
    <t>Nguyễn Thị Chung Tiến</t>
  </si>
  <si>
    <t>Trần Võ Quỳnh Trâm</t>
  </si>
  <si>
    <t>Nguyễn Mai Ý Thiên</t>
  </si>
  <si>
    <t>Bảo vệ quyền của người sinh ra từ kỹ thuật thụ tinh trong ống nghiệm và mang thai hộ theo pháp luật Việt Nam</t>
  </si>
  <si>
    <t>Trần Thị Yến Nhi</t>
  </si>
  <si>
    <t>23SCD</t>
  </si>
  <si>
    <t>ThS. Nguyễn Thị Kim Tiến</t>
  </si>
  <si>
    <t>KHOA GIÁO DỤC CHÍNH TRỊ (17 đề tài)</t>
  </si>
  <si>
    <t>Đào Nguyễn Hiền Linh</t>
  </si>
  <si>
    <t>Giáo dục lòng yêu nước và ý thức trách nhiệm cộng đồng cho học sinh Trung học cơ sở trên địa bàn thành phố Đà nẵng</t>
  </si>
  <si>
    <t>Trần Tiến Đạt</t>
  </si>
  <si>
    <t>TS. Nguyễn Văn Quế</t>
  </si>
  <si>
    <t>Phạm Hồng Lương</t>
  </si>
  <si>
    <t>Đinh Văn Bi</t>
  </si>
  <si>
    <t>Ảnh hưởng của việc sử dụng mạng xã hội Facebook đến học tập của học sinh Trung học Phổ thông trên địa bàn quận Liên Chiểu thành phố Đà Nẵng</t>
  </si>
  <si>
    <t>Mai Thị Diệu Oanh</t>
  </si>
  <si>
    <t>Phòng chống bạo hành trẻ em ở các trường THCS qua thực tiễn thực hiện tại quận Liên Chiểu, Đà Nẵng.</t>
  </si>
  <si>
    <t>Nguyễn Lê Bích Vân</t>
  </si>
  <si>
    <t>ThS. Nguyễn Thị Hương</t>
  </si>
  <si>
    <t>Nguyễn Hồ Bảo Nhi</t>
  </si>
  <si>
    <t>Kpă Tô Ma</t>
  </si>
  <si>
    <t>Nâng cao ý thức trách nhiệm học sinh của học sinh trường THCS Ngô Thì Nhậm thông qua hoạt động Đội</t>
  </si>
  <si>
    <t>Mai Thị Thùy Dung</t>
  </si>
  <si>
    <t>23SGC</t>
  </si>
  <si>
    <t>Trần Thị Hà Sương</t>
  </si>
  <si>
    <t>Một Số Giải Pháp Nhằm Nâng Cao Văn Hóa Ứng Xử Cho Sinh Viên Khoa Gíao Dục Chính Trị-Trường Đh Sư Phạm- Đại Học Đà Nẵng.</t>
  </si>
  <si>
    <t>Trần Văn Hưng</t>
  </si>
  <si>
    <t>ThS. Dương Thị Nghĩa</t>
  </si>
  <si>
    <t>Hà Tú Uyên</t>
  </si>
  <si>
    <t>Kpă H Dok</t>
  </si>
  <si>
    <t>Nguyễn Thị Trang Anh</t>
  </si>
  <si>
    <t>Giáo dục ý thức bảo vệ chủ quyền biển đảo cho sinh viên Trường Đại Học sư phạm - Đại Học Đà Nẵng</t>
  </si>
  <si>
    <t>Hà Thị Thanh Thúy</t>
  </si>
  <si>
    <t>Phạm Thị Thanh Trúc</t>
  </si>
  <si>
    <t>Võ Thị Quỳnh</t>
  </si>
  <si>
    <t>Nguyễn Thị Hoài Thanh</t>
  </si>
  <si>
    <t>Trần Vũ Vân Thanh</t>
  </si>
  <si>
    <t>Pháp luật về đảm bảo quyền học tập của trẻ em ở Việt Nam</t>
  </si>
  <si>
    <t>Lê Thị Thương</t>
  </si>
  <si>
    <t>TS. Phan Thị Nhật Tài</t>
  </si>
  <si>
    <t>Ksor H' Mỹ Uyên</t>
  </si>
  <si>
    <t>Phạm Thị Khánh Linh</t>
  </si>
  <si>
    <t>Bảo tồn và gìn giữ nét đẹp văn hóa lễ hội Cồng Chiêng Tây Nguyên trong cộng đồng tỉnh Gia Lai</t>
  </si>
  <si>
    <t>Rơ Lan Kun</t>
  </si>
  <si>
    <t>ThS. Nguyễn Duy Quý</t>
  </si>
  <si>
    <t>Lương Thị Mỹ Lệ</t>
  </si>
  <si>
    <t>Lê Thị Ngân</t>
  </si>
  <si>
    <t>Thiết kế các năng lực và phẩm chất trong dạy học môn Giáo dục công dân lớp 6.</t>
  </si>
  <si>
    <t>Nguyễn Thị Ánh Nguyệt</t>
  </si>
  <si>
    <t>22SCD</t>
  </si>
  <si>
    <t>TS. Hồ Thanh Hải</t>
  </si>
  <si>
    <t>Trần Trà My</t>
  </si>
  <si>
    <t>Trần Trà Ni</t>
  </si>
  <si>
    <t>Vận dụng phương pháp dạy học tình huống nhằm giáo dục pháp luật cho học sinh qua dạy học giáo dục kinh tế và pháp luật lớp 11, ở Trường trung học phổ thông Ngũ Hành Sơn, tại thành phố Đà Nẵng.</t>
  </si>
  <si>
    <t>Nguyễn Thị Lê Na</t>
  </si>
  <si>
    <t>Nguyễn Thị Bích Trâm</t>
  </si>
  <si>
    <t>Lê Hiểu Đan</t>
  </si>
  <si>
    <t>Nguyễn Thị Hồng Mi</t>
  </si>
  <si>
    <t xml:space="preserve">Phòng chống bạo lực gia đình đối với phụ nữ qua thực tiễn tại Thị xã Điện bàn, tỉnh Quảng Nam. </t>
  </si>
  <si>
    <t>Thái Thị Hải Yến</t>
  </si>
  <si>
    <t>TS. Nguyễn Văn Đông</t>
  </si>
  <si>
    <t>Mai Thị Ngọc Bích</t>
  </si>
  <si>
    <t>Dương Diễm Quỳnh</t>
  </si>
  <si>
    <t>Chia tài sản chung của vợ chồng khi ly hôn qua thực tiễn tại Tòa án nhân dân huyện Thăng Bình, tỉnh Quảng Nam</t>
  </si>
  <si>
    <t>Kiều Thị Ánh Tuyết</t>
  </si>
  <si>
    <t>21SCD</t>
  </si>
  <si>
    <t>Lê Huỳnh Thị Cẩm Nhung</t>
  </si>
  <si>
    <t>Phòng ngừa các tội xâm phạm sở hữu có tính chất chiếm đoạt do người chưa thành niên thực hiện trên địa bàn quận Liên Chiểu, thành phố Đà Nẵng.</t>
  </si>
  <si>
    <t>Đặng Cao Bảo Ngọc</t>
  </si>
  <si>
    <t>TS. Nguyễn Thị Hoài Thương</t>
  </si>
  <si>
    <t>Đặng Trần Gia Ly</t>
  </si>
  <si>
    <t>Nguyễn Hữu Minh</t>
  </si>
  <si>
    <t>Nguyễn Trần Thúy Hương</t>
  </si>
  <si>
    <t>Tác động của mạng xã hội đến tư tưởng chính trị của sinh viên Đại học Đà Nẵng.</t>
  </si>
  <si>
    <t>Lê Thị Hoàng Mi</t>
  </si>
  <si>
    <t xml:space="preserve">ThS. Trần Phan Hiếu </t>
  </si>
  <si>
    <t>Nguyễn Thị Phương Hiền</t>
  </si>
  <si>
    <t>Ngô Nguyễn Thùy Dung</t>
  </si>
  <si>
    <t>Trương Phạm Pha Lê</t>
  </si>
  <si>
    <t>Nhân tố ảnh hưởng đến lựa chọn nghề sư phạm của sinh viên các cơ sở đào tạo giáo viên khu vực duyên hải miền Trung.</t>
  </si>
  <si>
    <t>Nguyễn Trần Ái Dân</t>
  </si>
  <si>
    <t>ThS. Trần Phan Hiếu</t>
  </si>
  <si>
    <t>Nguyễn Thị Lan Vy</t>
  </si>
  <si>
    <t>Bùi Thị Linh</t>
  </si>
  <si>
    <t>Phan Thị Hồng Thơm</t>
  </si>
  <si>
    <t>Nguyễn Hà My</t>
  </si>
  <si>
    <t>Tư tưởng khai phóng của Rousseau trong tác phẩm "Emile hay là về giáo dục và giá trị hiện thời của nó.</t>
  </si>
  <si>
    <t>Lê Thanh Mai Phương</t>
  </si>
  <si>
    <t>22SGC</t>
  </si>
  <si>
    <t>TS. Dương Đình Tùng</t>
  </si>
  <si>
    <t>Hồ Thị Xuân Mai</t>
  </si>
  <si>
    <t>Lê Huỳnh Thị Mỹ Duyên</t>
  </si>
  <si>
    <t>Võ Thị Như Hương</t>
  </si>
  <si>
    <t>Ứng dụng trí tuệ nhân tạo trong dạy học toán nhằm phát triển năng lực giải quyết vấn đề toán học cho học sinh lớp 4</t>
  </si>
  <si>
    <t>Lê Trần Diệu Hiền</t>
  </si>
  <si>
    <t>22STH3</t>
  </si>
  <si>
    <t>TS. Hoàng Nam Hải</t>
  </si>
  <si>
    <t>KHOA GIÁO DỤC TIỂU HỌC (19 đề tài)</t>
  </si>
  <si>
    <t>Đặng Nguyễn Bích Thảo</t>
  </si>
  <si>
    <t>Trần Thu Sương</t>
  </si>
  <si>
    <t>Trần Thị Mỹ Duyên</t>
  </si>
  <si>
    <t>22STH5</t>
  </si>
  <si>
    <t>Hồ Minh Huyền</t>
  </si>
  <si>
    <t>Ứng dụng mô hình 3D kết hợp với công nghệ VR trong dạy học hình học lớp 4</t>
  </si>
  <si>
    <t>Đặng Thị Thu Hoài</t>
  </si>
  <si>
    <t>TS. Vũ Đình Chinh</t>
  </si>
  <si>
    <t>Đào Yến Nhi</t>
  </si>
  <si>
    <t>Đặng Thị Ánh Ngọc</t>
  </si>
  <si>
    <t>Phạm Thị Lệ</t>
  </si>
  <si>
    <t>Nguyễn Thị Ngọc Anh</t>
  </si>
  <si>
    <t>Vận dụng một số yếu tố tạo hình trong dạy học Hình học và Đo lường lớp 4</t>
  </si>
  <si>
    <t>Trịnh Thị Hoàng Vy</t>
  </si>
  <si>
    <t>22STH4</t>
  </si>
  <si>
    <t>Nguyễn Thị Lam</t>
  </si>
  <si>
    <t>Ngô Lê Mỹ Hạnh</t>
  </si>
  <si>
    <t>Hồ Thị Thu Uyên</t>
  </si>
  <si>
    <t>Trần Phương Uyên</t>
  </si>
  <si>
    <t>Thiết kế sổ tay Khoa học cho học sinh lớp 5 nhằm phát triển năng lực tự học và sáng tạo</t>
  </si>
  <si>
    <t>Mai Thị Kiều Trinh</t>
  </si>
  <si>
    <t>23STH4</t>
  </si>
  <si>
    <t>TS. Đoàn Thị Vân</t>
  </si>
  <si>
    <t>Nguyễn Thị Cẩm Xuyên</t>
  </si>
  <si>
    <t>23STH3</t>
  </si>
  <si>
    <t>Nguyễn Thị Hồng Vy</t>
  </si>
  <si>
    <t>Hồ Thị Thu</t>
  </si>
  <si>
    <t>Huỳnh Thị Thanh Trúc</t>
  </si>
  <si>
    <t>23STH6</t>
  </si>
  <si>
    <t>Nghiên cứu ảnh hưởng các thiết bị điện tử đến khả năng tập trung của học sinh tiểu học</t>
  </si>
  <si>
    <t>Đặng Phạm Ngọc Lan</t>
  </si>
  <si>
    <t>23STC</t>
  </si>
  <si>
    <t>Trần Thị Thơm</t>
  </si>
  <si>
    <t>Võ Thị Huỳnh Như</t>
  </si>
  <si>
    <t>Nguyễn Thị Na</t>
  </si>
  <si>
    <t>Thiết kế trang web Voice Lift nhằm phát triển năng lực cảm thụ văn học cho học sinh lớp 4</t>
  </si>
  <si>
    <t>Nguyễn Thị Tường Vi</t>
  </si>
  <si>
    <t>22STH2</t>
  </si>
  <si>
    <t>TS. Võ Thị Bảy</t>
  </si>
  <si>
    <t>Hồ Thị Viết Uyên</t>
  </si>
  <si>
    <t>Ngô Thị Ánh Tuyết</t>
  </si>
  <si>
    <t>Nguyễn Phương Thảo</t>
  </si>
  <si>
    <t>Lê Thị Cẩm Vân</t>
  </si>
  <si>
    <t>Xây dựng bộ tư liệu hình ảnh sử dụng trong hoạt động dạy học môn Khoa học tự nhiên và xã hội lớp 3</t>
  </si>
  <si>
    <t>Đinh Quang Mạnh</t>
  </si>
  <si>
    <t>23STH2</t>
  </si>
  <si>
    <t>TS. Nguyễn Công Thuỳ Trâm</t>
  </si>
  <si>
    <t>Hoàng Thị Hà Trang</t>
  </si>
  <si>
    <t>Trần Thị Minh Châu</t>
  </si>
  <si>
    <t>Đồng Thị Trà</t>
  </si>
  <si>
    <t>Phạm Hoàn Đan Vy</t>
  </si>
  <si>
    <t>So sánh năng lực cảm xúc xã hội thông qua việc tham gia hoạt động ngoại khóa của sinh viên sư phạm Trường đại học Sư phạm - Đại học Đà Nẵng</t>
  </si>
  <si>
    <t>Lê Phương Diệp</t>
  </si>
  <si>
    <t xml:space="preserve">TS. Nguyễn Thị Quý </t>
  </si>
  <si>
    <t>Giáo dục bảo vệ môi trường thông qua trò chơi trong dạy học môn Tự nhiên - Xã hội lớp 3</t>
  </si>
  <si>
    <t>Nguyễn Thị Ngọc Hân</t>
  </si>
  <si>
    <t>TS. Nguyễn Thị Hải Yến</t>
  </si>
  <si>
    <t>Nguyễn Thị Thanh Hoa</t>
  </si>
  <si>
    <t>Đỗ Nguyễn Lê Na</t>
  </si>
  <si>
    <t>Đồng Thị Thu Thủy</t>
  </si>
  <si>
    <t>Huỳnh Tường Vy</t>
  </si>
  <si>
    <t>Xây dựng và phát triển chương trình giáo dục kĩ năng tương tác an toàn trên không gian mạng cho học sinh tiểu học thông qua ứng dụng công nghệ thông tin</t>
  </si>
  <si>
    <t>Bùi Thị Tuyết Mai</t>
  </si>
  <si>
    <t>23STH5</t>
  </si>
  <si>
    <t>ThS. Đinh Thị Ngàn Thương</t>
  </si>
  <si>
    <t>Đinh Thị Thanh</t>
  </si>
  <si>
    <t>Nguyễn Khánh Linh</t>
  </si>
  <si>
    <t>Nguyễn Thị Thanh Tiên</t>
  </si>
  <si>
    <t>Nguyễn Khắc Sáng</t>
  </si>
  <si>
    <t>Thiết kế một số chủ đề dạy học tích hợp trong môn Toán lớp 2 nhằm phát triển năng lực mô hình hóa toán học cho học sinh</t>
  </si>
  <si>
    <t>Đặng Thị Mỹ Huyền</t>
  </si>
  <si>
    <t>22STH6</t>
  </si>
  <si>
    <t>TS. Nguyễn Thị Mai Thuỷ</t>
  </si>
  <si>
    <t>Trần Phương Linh</t>
  </si>
  <si>
    <t>Dương Thị Ngọc Diễm</t>
  </si>
  <si>
    <t>Nguyễn Thị Thảo Vi</t>
  </si>
  <si>
    <t>Ngô Phạm Diệu Ny</t>
  </si>
  <si>
    <t>Thiết kế trò chơi học tập tích hợp giáo dục tài chính trong dạy học môn Toán lớp 4</t>
  </si>
  <si>
    <t>Phạm Thị Nhi</t>
  </si>
  <si>
    <t>TS. Nguyễn Thị Mai Thủy</t>
  </si>
  <si>
    <t>Vi Thị Duy</t>
  </si>
  <si>
    <t>Zơ Râm Thị Xuân Mai</t>
  </si>
  <si>
    <t>Trần Thị Minh Tâm</t>
  </si>
  <si>
    <t>Giáo dục tình yêu thiên nhiên cho học sinh tiểu học trong chương trình Tiếng Việt lớp 4,5 từ quan điểm ngôn ngữ học sinh thái</t>
  </si>
  <si>
    <t xml:space="preserve">TS. Lê Sao Mai                   </t>
  </si>
  <si>
    <t>Đỗ Thị Mỹ Linh</t>
  </si>
  <si>
    <t>Trần Thị Hà Nhi</t>
  </si>
  <si>
    <t>Chu Thị Thanh Loan</t>
  </si>
  <si>
    <t>Nguyễn Thị Vân Anh</t>
  </si>
  <si>
    <t>Xây dựng công cụ đánh giá năng lực khoa học cho học sinh lớp 3 trong dạy học chủ đề "Con người và sức khỏe"</t>
  </si>
  <si>
    <t>Trần Thu Hiền</t>
  </si>
  <si>
    <t>ThS. Võ Thị Bích Thủy</t>
  </si>
  <si>
    <t>Đặng Thị Thanh Hiền</t>
  </si>
  <si>
    <t>Dương Thị Thúy Kiều</t>
  </si>
  <si>
    <t>Giáo dục kỹ năng ứng phó tình huống nguy hiểm cho học sinh tiểu học thông qua xây dựng hệ thống AI mô phỏng</t>
  </si>
  <si>
    <t>Nguyễn Trúc Linh</t>
  </si>
  <si>
    <t>23STH1</t>
  </si>
  <si>
    <t xml:space="preserve">ThS. Võ Thị Bích Thủy                 </t>
  </si>
  <si>
    <t>Phạm Thị Hà</t>
  </si>
  <si>
    <t>Đinh Thị Hương</t>
  </si>
  <si>
    <t>Nguyễn Thị Quỳnh Trâm</t>
  </si>
  <si>
    <t>Nguyễn Hồ Phương Thảo</t>
  </si>
  <si>
    <t>Rèn luyện kĩ năng viết bài văn kể chuyện cho học sinh lớp 4 thông qua sơ đồ tư duy</t>
  </si>
  <si>
    <t>Nguyễn Hồ Thúy Hiền</t>
  </si>
  <si>
    <t>23STH7</t>
  </si>
  <si>
    <t>TS. Nguyễn Thị Thanh Ngân</t>
  </si>
  <si>
    <t>Trần Anh Thư</t>
  </si>
  <si>
    <t>Bùi Thị Ngọc Hà</t>
  </si>
  <si>
    <t>Ứng dụng AI thiết kế video phục vụ dạy học văn bản thơ cho học sinh lớp 3 (Theo bộ sách Kết nối tri thức với cuộc sống)</t>
  </si>
  <si>
    <t>Hồ Thị Thường</t>
  </si>
  <si>
    <t>22STH1</t>
  </si>
  <si>
    <t>Nguyễn Ngọc Nguyên</t>
  </si>
  <si>
    <t>Nguyễn Thị Quỳnh Mai</t>
  </si>
  <si>
    <t>Nguyễn Thị Hiền</t>
  </si>
  <si>
    <t>Đỗ Thị Ánh Trinh</t>
  </si>
  <si>
    <t>Phát triển năng lực giải quyết vấn đề và sáng tạo cho học sinh tiểu học thông qua giáo dục STEAM trong chủ đề "Năng lương" thuộc môn khoa học lớp 4</t>
  </si>
  <si>
    <t>Cao Thị Hoàn</t>
  </si>
  <si>
    <t>TS. Nguyễn Tiên Hoàng</t>
  </si>
  <si>
    <t>Hồ Thị Cẩm Ly</t>
  </si>
  <si>
    <t>Nguyễn Đoàn Hải Lệ</t>
  </si>
  <si>
    <t>Phan Thị Phương Anh</t>
  </si>
  <si>
    <t>Nguyễn Tường Uyên</t>
  </si>
  <si>
    <t>Ứng dụng công cụ hoạt hình để dạy kể chuyện sáng tạo trong môn tiếng Việt lớp 3</t>
  </si>
  <si>
    <t>Nguyễn Thị Phương Thảo</t>
  </si>
  <si>
    <t xml:space="preserve">TS. Nguyễn Tiên Hoàng </t>
  </si>
  <si>
    <t>Trần Hoài Nhi</t>
  </si>
  <si>
    <t>Trần Thị Giang</t>
  </si>
  <si>
    <t xml:space="preserve"> Nghiên cứu tiềm năng ứng dụng phương pháp lai đa bào tử đơn trong cải tiến các giống Đông trùng hạ thảo (Cordyceps militaris).</t>
  </si>
  <si>
    <t>Trần Thanh Hiếu</t>
  </si>
  <si>
    <t>22CNSH</t>
  </si>
  <si>
    <t>PGS.TS. Nguyễn Minh Lý</t>
  </si>
  <si>
    <t>KHOA SINH - MÔI TRƯỜNG (24 đề tài)</t>
  </si>
  <si>
    <t>Nghiên cứu nâng cao tỉ lệ nảy mầm của hạt Nghĩa Sâm bằng phương pháp nhân giống in vitro</t>
  </si>
  <si>
    <t>Lê Hồ Quỳnh Như</t>
  </si>
  <si>
    <t xml:space="preserve">Nghiên cứu quy trình chiết xuất va chế biến rượu từ cao chiết củ Nghĩa Sâm </t>
  </si>
  <si>
    <t>Hoàng Thị Thu Tiến</t>
  </si>
  <si>
    <t>TS. Phạm Thị Mỹ</t>
  </si>
  <si>
    <t>Hoàng Thị Khánh Linh</t>
  </si>
  <si>
    <t>Trần Việt Hoàng</t>
  </si>
  <si>
    <t>Nguyễn Ngọc Phương Như</t>
  </si>
  <si>
    <t>Nguyễn Phạm Thảo Vy</t>
  </si>
  <si>
    <t>Tuyển chọn các chủng vi sinh vật chịu mặn có khả năng xử lý bã mắm tại làng nghề nước mắm Nam Ô, thành phố Đà Nẵng</t>
  </si>
  <si>
    <t>Nguyễn Lê Hàm Tiếu</t>
  </si>
  <si>
    <t>21SS</t>
  </si>
  <si>
    <t>Trần Thị Ngọc Bích</t>
  </si>
  <si>
    <t>21CNSH</t>
  </si>
  <si>
    <t>Hoàng Lê Thanh Tâm</t>
  </si>
  <si>
    <t>23SS</t>
  </si>
  <si>
    <t>Phạm Thị Xuân Diệp</t>
  </si>
  <si>
    <t>Trần Thị Thảo Nguyên</t>
  </si>
  <si>
    <t xml:space="preserve">Khảo sát hoạt tính kháng oxy hoá, kháng khuẩn và gây độc tế bào ung thư của cây Lấu Đỏ (Psychotria rubra (Lour.) Poir.) </t>
  </si>
  <si>
    <t>Phạm Thị Diễm</t>
  </si>
  <si>
    <t>3150422005 3150422007 3150422033 3150422034 3150424044</t>
  </si>
  <si>
    <t>22CNSH 22CNSH 22CNSH 22CNSH 24CNSH</t>
  </si>
  <si>
    <t>TS. Bùi Thị Thơ</t>
  </si>
  <si>
    <t>Nguyễn Thị Hồng Hạnh</t>
  </si>
  <si>
    <t>Võ Ngọc Trinh</t>
  </si>
  <si>
    <t>Lý Như Uyên</t>
  </si>
  <si>
    <t>Huỳnh Thị Anh Thư</t>
  </si>
  <si>
    <t xml:space="preserve">Tác động của cao ethanol thuốc Thượng lên hình thái và biểu hiện gen của chủng đa kháng Staphylococcus aureus 
</t>
  </si>
  <si>
    <t>Văn Thị Hiền Thảo</t>
  </si>
  <si>
    <t>22SS</t>
  </si>
  <si>
    <t xml:space="preserve">Khai thác tiềm năng trang web "Thiên nhiên thành phố Đà Nẵng" trong dạy học phần "Sinh thái môi trường" - Sinh học 12
</t>
  </si>
  <si>
    <t>Trần Thị Phương Nhi</t>
  </si>
  <si>
    <t>TS. Trương Thị Thanh Mai</t>
  </si>
  <si>
    <t>Đặng Vũ Quỳnh Như</t>
  </si>
  <si>
    <t>Đỗ Phan Thanh Thanh</t>
  </si>
  <si>
    <t>Thái Hoàng Bảo Ngân</t>
  </si>
  <si>
    <t>Phạm Ngô Quốc Đạt</t>
  </si>
  <si>
    <t>“Phát triển năng lực vận dụng cho học sinh trong dạy học chủ đề “Con người và sức khỏe” - môn KHTN lớp 8 theo hình thức tuyên truyền”.</t>
  </si>
  <si>
    <t>Nguyễn Hồ Anh Tiên</t>
  </si>
  <si>
    <t>Đoàn Phi Nhi</t>
  </si>
  <si>
    <t>Huỳnh Thị Thư Sinh</t>
  </si>
  <si>
    <t>Võ Thị Thanh Thúy</t>
  </si>
  <si>
    <t>Đoàn Thị Quý Vy</t>
  </si>
  <si>
    <t>Khảo sát ảnh hưởng của muối NaCl đến giá trị chất lượng và cảm quan của cây giọt băng (Mesembryanthemum crystallinum L.) trồng ở Việt Nam.</t>
  </si>
  <si>
    <t>Phạm Minh Ngọc</t>
  </si>
  <si>
    <t>23SKT1</t>
  </si>
  <si>
    <t>TS. Trần Quang Dần</t>
  </si>
  <si>
    <t>Trần Thị Kim Hồng</t>
  </si>
  <si>
    <t>Nguyễn Thị Ngọc Bình</t>
  </si>
  <si>
    <t>Nghiên cứu sự phát sinh hình thái của mẫu lá cây hoa súng (Nymphaea sp.) nuôi cấy in vitro</t>
  </si>
  <si>
    <t>Nguyễn Thị Ngọc Hiền</t>
  </si>
  <si>
    <t>Đào Thảo Uyên</t>
  </si>
  <si>
    <t>23SKT2</t>
  </si>
  <si>
    <t>Nguyễn Văn Chiến</t>
  </si>
  <si>
    <t>24SKT1</t>
  </si>
  <si>
    <t>Tuyển chọn các chủng vi khuẩn Acetobacter sp. có khả năng lên men acid acetic</t>
  </si>
  <si>
    <t>Lê Hồng Loan Vỹ</t>
  </si>
  <si>
    <t>ThS. Vũ Đức Hoàng</t>
  </si>
  <si>
    <t>Nguyễn Thị Ngọc Diệp</t>
  </si>
  <si>
    <t>Nguyễn Khánh Ly</t>
  </si>
  <si>
    <t>Lâm Quỳnh Như</t>
  </si>
  <si>
    <t>Lưu Thị Hải Nhật</t>
  </si>
  <si>
    <t xml:space="preserve">Nghiên cứu sử dụng enzyme cellulase chiết xuất Nghĩa sâm (Abelmoschus sagittifolius) ứng dụng trong chế biến thực phẩm hỗ trợ sức khỏe </t>
  </si>
  <si>
    <t>Trịnh Khánh Ly</t>
  </si>
  <si>
    <t>ThS. Nguyễn Thị Bích Hằng</t>
  </si>
  <si>
    <t>Trần Cát Uyên Chi</t>
  </si>
  <si>
    <t>Trần Diệu My</t>
  </si>
  <si>
    <t>Võ Phước Thanh Nguyên</t>
  </si>
  <si>
    <t>Đánh giá hoạt tính prebiotic và kháng oxi hoá của các chiết xuất polysaccharide sợi nấm Vân chi (Trametes visicolor) nuôi cấy dịch thể.</t>
  </si>
  <si>
    <t>Nguyễn Đinh Quốc Kỳ</t>
  </si>
  <si>
    <t>Trần Kiều Diệu Ny</t>
  </si>
  <si>
    <t>Nguyễn Bảo Ngọc</t>
  </si>
  <si>
    <t>Phạm Thị Thảo</t>
  </si>
  <si>
    <t xml:space="preserve">Khảo sát hiện trạng phát thải và đề xuất giải pháp giảm thiểu khí nhà kính tại một số nhà máy thuộc lĩnh vực vật liệu xây dựng ở khu vực miền Trung, Việt Nam. </t>
  </si>
  <si>
    <t>Nguyễn Thị Kim Phương</t>
  </si>
  <si>
    <t>22CTM</t>
  </si>
  <si>
    <t>ThS. Trần Ngọc Sơn</t>
  </si>
  <si>
    <t>Nguyễn Văn Hùng</t>
  </si>
  <si>
    <t>21CTM</t>
  </si>
  <si>
    <t>Ngô Ngọc Bảo Trâm</t>
  </si>
  <si>
    <t>Ảnh hưởng các yếu tố môi trường đến sự sinh trưởng của quần thể Schizopera sindoenis (Harpacticoida) được phân lập tại Đầm Cầu Hai, tỉnh Thừa Thiên Huế</t>
  </si>
  <si>
    <t>Hoàng Quốc Thiên Tài</t>
  </si>
  <si>
    <t>Võ Đức Vinh</t>
  </si>
  <si>
    <t>Nguyễn Quốc Huy</t>
  </si>
  <si>
    <t xml:space="preserve">Nghiên cứu tiềm năng chuyển đổi giá trị phụ phẩm nông nghiệp bằng sợi nấm bào ngư trắng (Pleurotus pulmonarius) </t>
  </si>
  <si>
    <t>Trần Thị Mỹ Quyên</t>
  </si>
  <si>
    <t>TS. Đoạn Chí Cường</t>
  </si>
  <si>
    <t>Nguyễn Thị Thu Nhuận</t>
  </si>
  <si>
    <t>Phạm Phương Trúc</t>
  </si>
  <si>
    <t>Lưu Nguyễn Bình An</t>
  </si>
  <si>
    <t>Nguyễn Lê Quỳnh Chi</t>
  </si>
  <si>
    <t xml:space="preserve">Nghiên cứu ảnh hưởng của biên độ dao động nhiệt đến tính độc của  thuốc trừ sâu sinh học đối với loài Moina macrocopa </t>
  </si>
  <si>
    <t>Trịnh Thị Như Ý</t>
  </si>
  <si>
    <t>23CTM</t>
  </si>
  <si>
    <t>PGS.TS. Võ Văn Minh</t>
  </si>
  <si>
    <t>Vũ Đỗ Ý Nhi</t>
  </si>
  <si>
    <t>Lê Tú Quyên</t>
  </si>
  <si>
    <t>Nghiên cứu tác động của phụ gia nhựa - Bisphenol A đến đặc điểm sinh học loài Moina macrocopa (Straus, 1820).</t>
  </si>
  <si>
    <t>Phạm Thị Hoàng Anh</t>
  </si>
  <si>
    <t>Đoàn Quý Trầm</t>
  </si>
  <si>
    <t>Nguyễn Mai Khánh Huyền</t>
  </si>
  <si>
    <t>Khảo sát ảnh hưởng của một số yếu tố gây đột biến lên khả năng tạo chủng giống  Haematococcus lacustris chịu nhiệt</t>
  </si>
  <si>
    <t>Võ Thị Lệ Diệu</t>
  </si>
  <si>
    <t>22SKT</t>
  </si>
  <si>
    <t>PGS.TS. Trịnh Đăng Mậu</t>
  </si>
  <si>
    <t>Nguyễn Hoài Ngọc</t>
  </si>
  <si>
    <t>Đỗ Hoài Thư</t>
  </si>
  <si>
    <t>Võ Thị Thảo</t>
  </si>
  <si>
    <t xml:space="preserve">Nghiên cứu ảnh hưởng của NaCl và glucose đến khả năng tích lũy paramylon của vi tảo Euglena gracilis.
</t>
  </si>
  <si>
    <t>Đinh Thị DIễm</t>
  </si>
  <si>
    <t>Trương Nguyễn Thảo Uyên</t>
  </si>
  <si>
    <t>Trần Thị Thùy Trang</t>
  </si>
  <si>
    <t>Trần Thị Hồng Nhung</t>
  </si>
  <si>
    <t xml:space="preserve">Nghiên cứu sự tích lũy vi nhựa trong loài hàu (Crassostrea rivularis (Gould, 1861)) phân bố ở đầm Lập An, tỉnh Thừa Thiên Huế </t>
  </si>
  <si>
    <t>Văn Lương Ngọc Duyên</t>
  </si>
  <si>
    <t>TS. Trần Nguyễn Quỳnh Anh</t>
  </si>
  <si>
    <t>Hoàng Thị Phương Anh</t>
  </si>
  <si>
    <t>Huỳnh Thị Thảo Trinh</t>
  </si>
  <si>
    <t xml:space="preserve">Đánh giá khả  năng hấp thụ CO2 của một số loài  rong nâu phân bố tại biển Đà Nẵng </t>
  </si>
  <si>
    <t>Nguyễn Thị Kim Oanh</t>
  </si>
  <si>
    <t>Bùi Thị Ngọc Vân</t>
  </si>
  <si>
    <t>Nghiên cứu  đặc điểm phân bố của cá Úc trắng (Arius sciurus) và cá Mòi (Sardinella tawilis) ở hạ lưu sông Vu Gia thuộc địa bàn thành phố Đà Nẵng.</t>
  </si>
  <si>
    <t>Nguyễn Ngọc Linh Chi</t>
  </si>
  <si>
    <t>TS. Nguyễn Thị Tường Vy</t>
  </si>
  <si>
    <t>Nguyễn Nho Nhật Hân</t>
  </si>
  <si>
    <t>Nguyễn Thị Ly Ly</t>
  </si>
  <si>
    <t>Đặc điểm phân bố và dinh dưỡng của loài khỉ vàng (Macca Mulatta) ở Khu Bảo tồn Thiên Nhiên Sơn Trà, Thành Phố Đà Nẵng</t>
  </si>
  <si>
    <t>Phan Thị Kim Ngân</t>
  </si>
  <si>
    <t>TS. Phan Thị Hoa</t>
  </si>
  <si>
    <t>Nguyễn Thị Kim Thủy</t>
  </si>
  <si>
    <t>Võ Thị Như Thảo</t>
  </si>
  <si>
    <t>Nghiên cứu mối quan hệ giữa thành tích thi đấu với tố chất thể lực của VĐV chạy cự ly Trung bình lứa tuổi 16 - 18</t>
  </si>
  <si>
    <t>Đỗ Quyên</t>
  </si>
  <si>
    <t>21SGT</t>
  </si>
  <si>
    <t>PGS.TS. Nguyễn Thanh Tùng</t>
  </si>
  <si>
    <t>KHOA GIÁO DỤC NGHỆ THUẬT (20 đề tài)</t>
  </si>
  <si>
    <t>Phan Thị Liên</t>
  </si>
  <si>
    <t>A Lăng Đưng</t>
  </si>
  <si>
    <t>Nghiên cứu ứng dụng hệ thống bài tập phát triển sức nhanh cho vận động viên bóng đá nam Lứa tuổi 14 - 15</t>
  </si>
  <si>
    <t>Trần Thị Như Quỳnh</t>
  </si>
  <si>
    <t>Nghiên cứu sự biến đổi về thể lực của nam võ sinh Vovinam lứa tuổi 14 - 15 dưới tác động của hệ thống bài tập sức bền chuyên môn sau 1 năm tập luyện</t>
  </si>
  <si>
    <t>Trần Thành Lương</t>
  </si>
  <si>
    <t>ThS. Phạm Hữu Thật</t>
  </si>
  <si>
    <t>Bùi Xuân Nhật</t>
  </si>
  <si>
    <t>Trần Quang Văn</t>
  </si>
  <si>
    <t>Nghiên cứu mối quan hệ giữa thành tích thi đấu với chức năng sinh lý của VĐV chạy cự ly Trung bình lứa tuổi 16 - 18</t>
  </si>
  <si>
    <t>Nguyễn Thị Thanh Phương</t>
  </si>
  <si>
    <t>TS. Đào Thị Thanh Hà</t>
  </si>
  <si>
    <t>Hoàng Thành Huy</t>
  </si>
  <si>
    <t>Lê Trương Khuyên Bảo</t>
  </si>
  <si>
    <t>Nghiên cứu một số trò chơi vận động để phát triển kỹ năng sống cho nam học sinh lớp 10 trường THPT Nguyễn Hiền - Hải Châu - Thành Phố Đà Nẵng.”</t>
  </si>
  <si>
    <t>Lê Trần Thanh Hà</t>
  </si>
  <si>
    <t>Nghiên cứu bài tập phát triển khả năng khéo léo cho nam sinh viên chuyên ngành bóng đá năm thứ nhất trường Đại học sư phạm - ĐHĐN</t>
  </si>
  <si>
    <t>Nguyễn Đình Đăng</t>
  </si>
  <si>
    <t>ThS. Nguyễn Ngọc Huy</t>
  </si>
  <si>
    <t>Đỗ Hoàng Phong</t>
  </si>
  <si>
    <t>Lý Tùng Long</t>
  </si>
  <si>
    <t>Nghiên cứu bài phát triển sức mạnh tốc độ thực hiện kỹ thuật nem rổ từ xa cho Nữ vận động viên đội tuyển Đại học Đà Nẵng</t>
  </si>
  <si>
    <t>Phan Thanh Thành Nhân</t>
  </si>
  <si>
    <t>22SGT</t>
  </si>
  <si>
    <t>ThS. Trần Vĩnh An</t>
  </si>
  <si>
    <t>Nguyễn Thị Giang</t>
  </si>
  <si>
    <t>Ngô Văn Việt</t>
  </si>
  <si>
    <t>Lê Văn Duy</t>
  </si>
  <si>
    <t>Nguyễn Minh Vương</t>
  </si>
  <si>
    <t xml:space="preserve">Nghiên cứu ứng dụng phương pháp tập luyện vòng tròn trong huấn luyện sức bền tốc độ cho nam VĐV bóng đá lứa tuổi 15 - 16 </t>
  </si>
  <si>
    <t>Nguyễn Đức An</t>
  </si>
  <si>
    <t>ThS. Cao Đức Anh</t>
  </si>
  <si>
    <t>Hoàng Trọng Lộc</t>
  </si>
  <si>
    <t>ThS. Đỗ Quốc Hùng</t>
  </si>
  <si>
    <t>Đàm Thị Mỹ Duyên</t>
  </si>
  <si>
    <t>Phạm Đỗ Ngọc Thành</t>
  </si>
  <si>
    <t>Nguyễn Đức</t>
  </si>
  <si>
    <t>Nghiên cứu bài tập phát triển sức mạnh tốc độ cho sinh viên lớp Bóng rổ nâng cao trường Đại học Sư phạm - ĐHĐN</t>
  </si>
  <si>
    <t>Đặng Ngọc An</t>
  </si>
  <si>
    <t>TS. Trần Lê Nhật Quang</t>
  </si>
  <si>
    <t>Nguyễn Tấn Dũng</t>
  </si>
  <si>
    <t>Trần Hoàng Anh</t>
  </si>
  <si>
    <t>Nguyễn Cảnh Đức Huy</t>
  </si>
  <si>
    <t>Trương Đỗ Trung Đức</t>
  </si>
  <si>
    <t>Nghiên cứu lựa chọn hệ thống bài tập phát triển thể chất cho nữ sinh viên trường Đại học Sư phạm - ĐHĐN</t>
  </si>
  <si>
    <t>Trần Thị Mai Anh</t>
  </si>
  <si>
    <t>ThS. Nguyễn Thị Thúy Hằng</t>
  </si>
  <si>
    <t>Phạm Thanh Huyền</t>
  </si>
  <si>
    <t>Nguyễn Ngọc Tú</t>
  </si>
  <si>
    <t>Nghiên cứu hệ thống bài tập nâng cao kỹ năng tính toán trong cờ vua cho sinh viên trường Đại học sư phạm - ĐHĐN</t>
  </si>
  <si>
    <t>Trần Thành Công</t>
  </si>
  <si>
    <t>23SGT</t>
  </si>
  <si>
    <t>ThS. Phan Ngọc Thiết Kế</t>
  </si>
  <si>
    <t>Giáp Vân Lộc</t>
  </si>
  <si>
    <t>Lê Thanh Bình</t>
  </si>
  <si>
    <t>Võ Ngọc Huy</t>
  </si>
  <si>
    <t>Nguyễn Lê Thành Đạt</t>
  </si>
  <si>
    <t>Nghiên cứu lựa chọn một số bài tập phát triển thể lực chung cho nữ sinh viên Đại học Đà Nẵng</t>
  </si>
  <si>
    <t>Võ Phúc Tín</t>
  </si>
  <si>
    <t>ThS. Phạm Thị Phượng</t>
  </si>
  <si>
    <t>Mai Thế Hùng</t>
  </si>
  <si>
    <t>Lê A Tôn</t>
  </si>
  <si>
    <t>ARất Vũ Đức Long</t>
  </si>
  <si>
    <t>Trần Võ Đăng Khoa</t>
  </si>
  <si>
    <t>Nghiên cứu một số bài tập phát triển sức mạnh tốc độ cho nữ sinh viên chuyên ngành Cầu lông trường ĐHSP - ĐHĐN</t>
  </si>
  <si>
    <t>Nguyễn Trà Giang</t>
  </si>
  <si>
    <t>ThS. Hà Thị Hân</t>
  </si>
  <si>
    <t>Nguyễn Quốc Tấn</t>
  </si>
  <si>
    <t>Đoàn Nhật Quang</t>
  </si>
  <si>
    <t>Đặng Công Thành</t>
  </si>
  <si>
    <t>Nguyễn Thu Uyên</t>
  </si>
  <si>
    <t>Ứng dụng Khiêu vũ thể thao nhằm nâng cao thể lực cho nữ sinh viên Trường Đại học Sư phạm - ĐHĐN</t>
  </si>
  <si>
    <t>Vương Ngọc Sơn</t>
  </si>
  <si>
    <t>Nguyễn Thị Mỹ Tâm</t>
  </si>
  <si>
    <t>Bùi Việt Anh</t>
  </si>
  <si>
    <t>Trần Phước Luân</t>
  </si>
  <si>
    <t>Nguyễn Công Sơn</t>
  </si>
  <si>
    <t>Nghiên cứu diễn biến phát triển về hình thái, chức năng và thể lực sau một năm tập luyện Bóng chuyền của sinh viên Ngành GDTC Trường ĐHSP - ĐHĐN</t>
  </si>
  <si>
    <t>Nguyễn Tuấn Đạt</t>
  </si>
  <si>
    <t>ThS. Phạm Đức Hòa</t>
  </si>
  <si>
    <t>Đặng Gia Quang</t>
  </si>
  <si>
    <t>Lê Thị Thìn</t>
  </si>
  <si>
    <t>Hoàng Thị Hoa</t>
  </si>
  <si>
    <t>Dương Thị Hoa</t>
  </si>
  <si>
    <t>Phân tích cảm xúc qua tác động của âm nhạc tại khối lớp 5 trường Tiểu Học Nguyễn Đức Cảnh</t>
  </si>
  <si>
    <t>Mai Huỳnh Gia Ân</t>
  </si>
  <si>
    <t>22SAN</t>
  </si>
  <si>
    <t>ThS. Hoàng Đình Phương</t>
  </si>
  <si>
    <t>Sự hiện hữu của làng điệu Dân ca Bắc Bộ trong thời kì mới,  Bảo tồn nguyên bản hay phát triển biến tấu</t>
  </si>
  <si>
    <t>Nguyễn Sơn Lộc</t>
  </si>
  <si>
    <t>Giải pháp sử dụng hiệu quả học liệu điện tử trong dạy học Âm nhạc lớp 6</t>
  </si>
  <si>
    <t>Bhling Thị Trình</t>
  </si>
  <si>
    <t>TS. Nguyễn Hoàng Tịnh Uyên</t>
  </si>
  <si>
    <t>Trần Bảo Gia Vy</t>
  </si>
  <si>
    <t>Phan Thị Yến Vi</t>
  </si>
  <si>
    <t>Phát triển năng lực sử dụng trí tuệ nhân tạo để sáng tác ca khúc cho học sinh Trường THPT Chuyên Lê Quý Đôn, TP Đà Nẵng</t>
  </si>
  <si>
    <t>Lý Trần Thái Bình</t>
  </si>
  <si>
    <t>TS. Thái Đình Dũng</t>
  </si>
  <si>
    <t>Ngô Võ Hải Anh</t>
  </si>
  <si>
    <t>Lê Nguyễn Hồng Phúc</t>
  </si>
  <si>
    <t>Biểu tượng về gia đình ở trẻ em có hoàn cảnh đặc biệt trên địa bàn thành phố Đà Nẵng.</t>
  </si>
  <si>
    <t>Nguyễn Đức Phúc</t>
  </si>
  <si>
    <t>23CTL2</t>
  </si>
  <si>
    <t>PGS.TS. Nguyễn Thị Trâm Anh</t>
  </si>
  <si>
    <t>KHOA TÂM LÝ - GIÁO DỤC (38 đề tài)</t>
  </si>
  <si>
    <t>Đặng Thị Nhớ</t>
  </si>
  <si>
    <t>Nguyễn Bùi Rê Mi</t>
  </si>
  <si>
    <t>Phạm Duy Vũ</t>
  </si>
  <si>
    <t>“Hội chứng con vịt” (Duck Syndrome) và tổn thương tâm lý ở sinh viên Đại học (Nghiên cứu tại trường Đại học Sư phạm - Đại học Đà Nẵng).</t>
  </si>
  <si>
    <t>Nguyễn Thanh Bảo Ngọc</t>
  </si>
  <si>
    <t>23CTL1</t>
  </si>
  <si>
    <t>Mai Thị Thanh Bình</t>
  </si>
  <si>
    <t>Phạm Ngọc Bảo Châu</t>
  </si>
  <si>
    <t>Nguyễn Minh Thư</t>
  </si>
  <si>
    <t>Phạm Thị Thanh Ngọc</t>
  </si>
  <si>
    <t>Thực trạng hoạt động chăm sóc sức khỏe tâm thần cho trẻ em trong trường học</t>
  </si>
  <si>
    <t>Lê Văn Hùng</t>
  </si>
  <si>
    <t>21CTXH</t>
  </si>
  <si>
    <t>TS. Lê Thị Lâm</t>
  </si>
  <si>
    <t>Xây dựng cẩm nang CTXH trong chăm sóc sức khỏe tâm thần dành cho học sinh THPT thành phố Đà Nẵng</t>
  </si>
  <si>
    <t>Nguyễn Ngọc Huy</t>
  </si>
  <si>
    <t>22CTXH</t>
  </si>
  <si>
    <t>Hoàng Thái Mai Bình</t>
  </si>
  <si>
    <t>Nguyễn Trần Trọng Nhân</t>
  </si>
  <si>
    <t>Vai trò của nhân viên Công tác xã hội trong việc hỗ trợ trẻ em lao động sớm trên địa bàn Thành Phố Đà Nẵng</t>
  </si>
  <si>
    <t>Ngô Thị Hồng Nhung</t>
  </si>
  <si>
    <t>23CTXH</t>
  </si>
  <si>
    <t>ThS. Phạm Thị Kiều Duyên</t>
  </si>
  <si>
    <t>Ứng dụng hoạt động Công tác xã hội trong việc giáo dục hành vi sức khỏe của sinh viên trên địa bàn TP Đà Nẵng</t>
  </si>
  <si>
    <t>Võ Ngọc Hiền Trang</t>
  </si>
  <si>
    <t>Nguyễn Thị Thanh Mai</t>
  </si>
  <si>
    <t>Nguyễn Linh Chi</t>
  </si>
  <si>
    <t>Nguyễn Hoàng Phương Thảo</t>
  </si>
  <si>
    <t>Lê Chí Thanh</t>
  </si>
  <si>
    <t>Tiếp cận dịch vụ chăm sóc sức khỏe tâm thần của sinh viên Đại học Đà Nẵng</t>
  </si>
  <si>
    <t>Phan Đỗ Hữu Khoa</t>
  </si>
  <si>
    <t>TS. Hà Văn Hoàng</t>
  </si>
  <si>
    <t>Bất bình đẳng xã hội trong chăm sóc sức khoẻ tâm thần cho học sinh trung học phổ thông trên địa bàn thành phố Đà Nẵng</t>
  </si>
  <si>
    <t>Phùng Thị Thanh Hà</t>
  </si>
  <si>
    <t>Lê Trần Thị Nga</t>
  </si>
  <si>
    <t>Văn Thị Thùy Trang</t>
  </si>
  <si>
    <t>Huỳnh Thị Kiều Giang</t>
  </si>
  <si>
    <t>Lê Thị Kim Quý</t>
  </si>
  <si>
    <t>Nhu cầu mua hàng trực tuyến của thanh niên trên địa bàn phường Hòa Hiệp Nam, Liên Chiểu, Đà Nẵng</t>
  </si>
  <si>
    <t>Trần Thị Thanh Thảo</t>
  </si>
  <si>
    <t>22CTL</t>
  </si>
  <si>
    <t>ThS. Bùi Văn Vân</t>
  </si>
  <si>
    <t>Văn Thị Xuân Trúc</t>
  </si>
  <si>
    <t>Nghiên cứu về tính tự chủ trong học tập của sinh viên trường đại học sư phạm - đại học Đà Nẵng</t>
  </si>
  <si>
    <t>Lê Mai Quang Anh</t>
  </si>
  <si>
    <t>Tạ Quang Minh Hưng</t>
  </si>
  <si>
    <t>Trải nghiệm cảm xúc ở trẻ em mầm non thông qua phân tích tranh vẽ trên địa bàn Quận Liên Chiểu Đà Nẵng</t>
  </si>
  <si>
    <t>Dương Thị My My</t>
  </si>
  <si>
    <t>22CTLC</t>
  </si>
  <si>
    <t>ThS. Nguyễn Thị Bích Hạnh</t>
  </si>
  <si>
    <t>Trí tuệ cảm xúc của học sinh THCS có trải nghiệm bất lợi thời thơ ấu: Nghiên cứu tại trường THCS Nguyễn Bỉnh Khiêm</t>
  </si>
  <si>
    <t>Nguyễn Lê Thạnh</t>
  </si>
  <si>
    <t>Vũ Huỳnh Triệu Vy</t>
  </si>
  <si>
    <t>Kỹ năng giải quyết tình huống có vấn đề trong hoạt động học tập của sinh viên trường Đại học Sư phạm-Đại học Đà Nẵng</t>
  </si>
  <si>
    <t>Nguyễn Thanh Hằng</t>
  </si>
  <si>
    <t>PGS.TS. Lê Mỹ Dung</t>
  </si>
  <si>
    <t>Đặng Ngọc Thiên Thư</t>
  </si>
  <si>
    <t>Ảnh hưởng của âm nhạc đối với cảm xúc của sinh viên trường Đại học Sư phạm - Đại học Đà Nẵng</t>
  </si>
  <si>
    <t>Đào Minh Quân</t>
  </si>
  <si>
    <t>Võ Thị Quế Trân</t>
  </si>
  <si>
    <t>Thái Phan Hồng Thuỷ</t>
  </si>
  <si>
    <t>Can thiệp sớm cho trẻ khuyết tật trên địa bàn Đà Nẵng</t>
  </si>
  <si>
    <t>Mai Dương Bảo Ngọc</t>
  </si>
  <si>
    <t>ThS. Lê Thị Hằng</t>
  </si>
  <si>
    <t>Nguyễn Thị An Tâm</t>
  </si>
  <si>
    <t>3200223110 3200223047</t>
  </si>
  <si>
    <t>Nguyễn Ngọc Lâm</t>
  </si>
  <si>
    <t>Nguyễn Thị Khánh</t>
  </si>
  <si>
    <t>Nghiên cứu cứu về thái độ quan tâm đến sức khỏe tinh thần của sinh viên đại học sư phạm Đà Nẵng</t>
  </si>
  <si>
    <t>Trần Thị Bích Vân</t>
  </si>
  <si>
    <t>Nguyễn Trâm Oanh</t>
  </si>
  <si>
    <t>Kỹ năng nghiên cứu tài liệu của sinh viên năm nhất trường Đại học Sư phạm</t>
  </si>
  <si>
    <t>Nguyễn Trần Anh Thư</t>
  </si>
  <si>
    <t>TS. Lê Thị Duyên</t>
  </si>
  <si>
    <t>Nguyễn Thị Mỹ Phương</t>
  </si>
  <si>
    <t>Hoàng Hạnh Như</t>
  </si>
  <si>
    <t>Hoàng Lê Hải Tiên</t>
  </si>
  <si>
    <t>Huỳnh Ngọc Gia Hân</t>
  </si>
  <si>
    <t>Nhận thức về Hôn nhân của sinh viên trường Đại học Sư phạm Đại học Đà Nẵng</t>
  </si>
  <si>
    <t>Lê Thị Diễm Thi</t>
  </si>
  <si>
    <t>Mai Phạm Việt Hùng</t>
  </si>
  <si>
    <t>Nguyễn Kim Thanh</t>
  </si>
  <si>
    <t>Sự thay đổi nhận thức về tình dục của sinh viên khoa Tâm lý - giáo dục trường Đại học Sư phạm - Đại học Đà Nẵng qua học phần Giáo dục giới tính và phương pháp giáo dục giới tính</t>
  </si>
  <si>
    <t>TS. Bùi Đình Tuân</t>
  </si>
  <si>
    <t>Cao Như Huỳnh</t>
  </si>
  <si>
    <t>Nghiên cứu ly hôn/ly thân (ảnh hưởng/tác động và giải pháp phòng ngừa/can thiệp cho thành viên trong gia đình</t>
  </si>
  <si>
    <t>Hoàng Văn Linh</t>
  </si>
  <si>
    <t>Nhận thức về tầm quan trọng của yêu thương và chấp nhận bản thân của sinh viên Đại học Sư Phạm Đà Nẵng</t>
  </si>
  <si>
    <t>Trần Thị Thanh Tuyền</t>
  </si>
  <si>
    <t>TS. Lê Thị Hiền</t>
  </si>
  <si>
    <t>Lê Hoàng Thùy An</t>
  </si>
  <si>
    <t>Nguyễn Thị Ngọc Hương</t>
  </si>
  <si>
    <t>Nguyễn Thị Phương Ánh</t>
  </si>
  <si>
    <t>Hoàng Anh Ngọc</t>
  </si>
  <si>
    <t>Nghiên cứu về niềm tin trong mối quan hệ bạn bè của sinh viên  trường Đại học Sư phạm - Đại học Đà Nẵng</t>
  </si>
  <si>
    <t>Nguyễn Thái Duy</t>
  </si>
  <si>
    <t>Nguyên Duy Chiến</t>
  </si>
  <si>
    <t>Lê Thị Tuyết Nga</t>
  </si>
  <si>
    <t>Nguyễn Thị Nhật Linh</t>
  </si>
  <si>
    <t>Nhóm vấn đề về sức khoẻ tâm thần (stress/lo âu/trầm cảm (phòng ngừa/can thiệp…)</t>
  </si>
  <si>
    <t>Trịnh Nguyễn Yến Nhi</t>
  </si>
  <si>
    <t>PGS.TS. Nguyễn Thị Hằng Phương</t>
  </si>
  <si>
    <t>Chỉ số trí tuệ cảm xúc của học sinh trường THCS-THPT Nguyễn Khuyến trên địa bàn thành phố Đà Nẵng</t>
  </si>
  <si>
    <t>Đặng Huỳnh Minh Thư</t>
  </si>
  <si>
    <t>Trần Thị Nam Tiên</t>
  </si>
  <si>
    <t>Mối quan hệ giữa trí tuệ cảm xúc và chỉ số thông minh vượt khó của sinh viên Đại học Sư Phạm - Đại học Đà Nẵng</t>
  </si>
  <si>
    <t>Hoàng Đình Minh Châu</t>
  </si>
  <si>
    <t>24CTL2</t>
  </si>
  <si>
    <t>TS. Hồ Thị Thuý Hằng</t>
  </si>
  <si>
    <t>Lê Huỳnh Việt Trân</t>
  </si>
  <si>
    <t>Nghiên cứu ảnh hưởng của truyền thông đến nhận thức về quyền của cộng đồng LGBTQ+ (Nghiên cứu tại địa bàn thành phố Đà Nẵng)</t>
  </si>
  <si>
    <t>Nguyễn Gia Hân</t>
  </si>
  <si>
    <t>Sự ảnh hưởng từ việc sử dụng mạng xã hội đến cảm xúc của sinh viên trường ĐHSP - ĐHĐN</t>
  </si>
  <si>
    <t>Lê Thị Yến Nhi</t>
  </si>
  <si>
    <t>ThS. Nguyễn Thị Phương Trang</t>
  </si>
  <si>
    <t>Đặng Thị Tuý Đào</t>
  </si>
  <si>
    <t>Nguyễn Kim Chi</t>
  </si>
  <si>
    <t>Trần Thị Khánh Ngọc</t>
  </si>
  <si>
    <t>Trần Thị Hải</t>
  </si>
  <si>
    <t>Thái độ đối với sống thử trước hôn nhân của sinh viên trường Đại học Sư phạm - Đại học Đà Nẵng</t>
  </si>
  <si>
    <t>Nông Thị Lan Anh</t>
  </si>
  <si>
    <t>Hồ Thu Nguyệt</t>
  </si>
  <si>
    <t>Ứng dụng cửa sổ Johari trong phát triển tự nhận thức của sinh viên Đại học Đà Nẵng</t>
  </si>
  <si>
    <t>Nguyễn Thị Kim Huệ</t>
  </si>
  <si>
    <t>PGS.TS. Lê Quang Sơn</t>
  </si>
  <si>
    <t>Thái độ đối với sức khỏe tinh thần của sinh viên tại Trường Đại học Sư phạm - Đại học Đà Nẵng</t>
  </si>
  <si>
    <t>Lê Thị Thùy Duyên</t>
  </si>
  <si>
    <t>Đậu Thị Huyền Trang</t>
  </si>
  <si>
    <t>Ứng dụng liệu pháp nhận thức hành vi trong giảm thiểu lo âu ở sinh viên trường Đại học Sư Phạm -Đại học Đà Nẵng.</t>
  </si>
  <si>
    <t>Nguyễn Văn Phúc</t>
  </si>
  <si>
    <t>ThS. Nguyễn Thị Hồng Nhung</t>
  </si>
  <si>
    <t>Thực trạng về cách ứng phó với căng thẳng, lo âu của sinh viên năm nhất tại trường Đại học Sư phạm - Đại học Đà Nẵng</t>
  </si>
  <si>
    <t>Nguyễn Trần Tiến</t>
  </si>
  <si>
    <t>21CTLC</t>
  </si>
  <si>
    <t>Sự ảnh hưởng của môi trường gia đình đến sự tự tin và khả năng xã hội của sinh viên khoa Tâm lý - Giáo dục, Trường Đại học Sư Phạm - Đại học Đà Nẵng</t>
  </si>
  <si>
    <t>Trần Ngọc Nam</t>
  </si>
  <si>
    <t>TS. Lê Thị Ngọc Lan</t>
  </si>
  <si>
    <t>Nguyễn Phước Minh Duy</t>
  </si>
  <si>
    <t>Phạm Nguyễn Yến Nhi</t>
  </si>
  <si>
    <t>Nguyễn Thị Mỹ Hương</t>
  </si>
  <si>
    <t>Ngô Thị Thu Xuân</t>
  </si>
  <si>
    <t>Ảnh hưởng của giáo dục gia đình đến cảm nhận hạnh phúc của sinh viên trường Đại học Sư Phạm- Đại học Đà Nẵng</t>
  </si>
  <si>
    <t>Trần Thị Thu Thư</t>
  </si>
  <si>
    <t>Trần Thị Kim Chi</t>
  </si>
  <si>
    <t>Mai Thị Tình Nhi</t>
  </si>
  <si>
    <t>Nguyễn Thị Hồng Ngọc</t>
  </si>
  <si>
    <t>Vấn đề mâu thuẫn, xung đột tâm lý giữa cha mẹ và sinh viên tâm lý giáo dục Đại học Sư phạm Đại học Đà Nẵng</t>
  </si>
  <si>
    <t>Trần Phùng Ngọc Hân</t>
  </si>
  <si>
    <t>TS. Hoàng Thế Hải</t>
  </si>
  <si>
    <t>Nguyễn Thị Minh Hiền</t>
  </si>
  <si>
    <t>Mối liên hệ giữa sức khỏe thể chất và sức khỏe tinh thần của sinh viên Đại học Đà Nẵng</t>
  </si>
  <si>
    <t>Hà Thị Thanh Tâm</t>
  </si>
  <si>
    <t>21CTL2</t>
  </si>
  <si>
    <t>TS. Bùi Thị Thanh Diệu</t>
  </si>
  <si>
    <t>Lê Thị Vân Anh</t>
  </si>
  <si>
    <t>Nguyễn Thị Vy</t>
  </si>
  <si>
    <t>Ứng dụng liệu pháp hành vi nhận thức trong can thiệp hỗ trợ thanh niên nghiện thế giới ảo trên địa bàn thành phố Đà Nẵng</t>
  </si>
  <si>
    <t>Đặng Thị Ngọc Điệp</t>
  </si>
  <si>
    <t xml:space="preserve">23CTL2
</t>
  </si>
  <si>
    <t>Nghiên cứu khó khăn học tập ở học sinh tiểu học và đề xuất biện pháp can thiệp cho học sinh</t>
  </si>
  <si>
    <t>Nguyễn Thị Chinh</t>
  </si>
  <si>
    <t>TS. Nguyễn Thị Quý</t>
  </si>
  <si>
    <t>Nguyễn Thu Trang</t>
  </si>
  <si>
    <t>Phan Nhất Linh</t>
  </si>
  <si>
    <t>Trần Nhật Linh</t>
  </si>
  <si>
    <t>Theo dõi và phát hiện hiện tượng tảo nở hoa ở vùng biển Nam Trung Bộ bằng ảnh viễn thám quang học</t>
  </si>
  <si>
    <t>23SDL</t>
  </si>
  <si>
    <t>TS. Nguyễn Văn An</t>
  </si>
  <si>
    <t>KHOA ĐỊA LÝ (07 đề tài)</t>
  </si>
  <si>
    <t>Nguyễn Nhật Long</t>
  </si>
  <si>
    <t>Bùi Khắc Phượng</t>
  </si>
  <si>
    <t>21SDL</t>
  </si>
  <si>
    <t>Nguyễn Thị Như Quỳnh</t>
  </si>
  <si>
    <t>Thiết kế và thử nghiệm chủ đề STEM trong dạy học Địa lí 10 THPT</t>
  </si>
  <si>
    <t>Trần Nguyễn Đức Hòa</t>
  </si>
  <si>
    <t>TS. Nguyễn Văn Thái</t>
  </si>
  <si>
    <t>Nguyễn Thị Thanh Hằng</t>
  </si>
  <si>
    <t>Quách Thị Huyền Trang</t>
  </si>
  <si>
    <t>Ứng dụng trò chơi tĩnh để nâng cao hiệu quả dạy học địa lí 10 THPT</t>
  </si>
  <si>
    <t>Phan Huỳnh Khánh Thương</t>
  </si>
  <si>
    <t>22SDL</t>
  </si>
  <si>
    <t>Nguyễn Thị Nguyệt</t>
  </si>
  <si>
    <t>Đặng Thị Thanh Thảo</t>
  </si>
  <si>
    <t>Nghiên cứu tác động của khả năng tiếp cận địa lý đến việc lựa chọn điểm đến du lịch của du khách, trường hợp nghiên cứu tại thành phố Đà Nẵng</t>
  </si>
  <si>
    <t>Lê Văn Thọ</t>
  </si>
  <si>
    <t xml:space="preserve"> TS. Nguyễn Phú Thắng </t>
  </si>
  <si>
    <t>Nguyễn Thị Ngọc Mai</t>
  </si>
  <si>
    <t>Võ Minh Hoàng</t>
  </si>
  <si>
    <t>Nghiên cứu tiềm năng tự nhiên phục vụ phát triển du lịch TP Đà Nẵng</t>
  </si>
  <si>
    <t>Phạm Văn Chiến</t>
  </si>
  <si>
    <t xml:space="preserve">   TS. Nguyễn Thị Diệu</t>
  </si>
  <si>
    <t>Nguyễn Thị Quyên</t>
  </si>
  <si>
    <t>Nguyễn Thị Yên Bình</t>
  </si>
  <si>
    <t>Huỳnh Lâm Hương Giang</t>
  </si>
  <si>
    <t>Nghiên cứu tiềm năng phát triển kinh tế sau khi lấn biển xây dựng và vận hành khu thương mại tự do ở khu vực Liên Chiểu, thành phố Đà Nẵng</t>
  </si>
  <si>
    <t>Lê Thị Mỹ Uyên</t>
  </si>
  <si>
    <t>TS. Nguyễn Thị Thu Hiền</t>
  </si>
  <si>
    <t>Nguyễn Thị Thanh Trang</t>
  </si>
  <si>
    <t>Nguyễn Văn Khánh</t>
  </si>
  <si>
    <t>Nguyễn Thị Thanh Tịnh</t>
  </si>
  <si>
    <t>23CDDL</t>
  </si>
  <si>
    <t>Đỗ Tấn Phát</t>
  </si>
  <si>
    <t xml:space="preserve"> Nghiên cứu mối quan hệ giữa Du lịch sinh thái và cộng đồng địa phương, lợi ích và thách thức tại thành phố Đà Nẵng</t>
  </si>
  <si>
    <t>Trương Văn Tâm</t>
  </si>
  <si>
    <t>Đinh Hữu Hận</t>
  </si>
  <si>
    <t>Võ Thị Ngọc Trâm</t>
  </si>
  <si>
    <t>Trần Công Nguyên Khánh</t>
  </si>
  <si>
    <t>24CDDL</t>
  </si>
  <si>
    <t>Phan Nhật Tân</t>
  </si>
  <si>
    <t>Giáo dục kỹ năng phân loại rác cho trẻ mẫu giáo 3-4 tuổi qua hoạt động vui chơi</t>
  </si>
  <si>
    <t>Đỗ Ngọc Bảo Quyên</t>
  </si>
  <si>
    <t>23SMN1</t>
  </si>
  <si>
    <t xml:space="preserve">TS. Nguyễn Thị Triều Tiên </t>
  </si>
  <si>
    <t>KHOA GIÁO DỤC MẦM NON (16 đề tài)</t>
  </si>
  <si>
    <t>Ngô Huyền Châu</t>
  </si>
  <si>
    <t>Võ Thị Sông Hương</t>
  </si>
  <si>
    <t>Hoàng Thu Hồng</t>
  </si>
  <si>
    <t>Thiết kế đồ chơi từ vật liệu tái chế nhằm giúp trẻ mẫu giáo 5-6 tuổi khám phá khoa học</t>
  </si>
  <si>
    <t>Nguyễn Hà Yến Nhi</t>
  </si>
  <si>
    <t>Đinh Thị Minh Nguyệt</t>
  </si>
  <si>
    <t>Nguyễn Thu Ngân</t>
  </si>
  <si>
    <t>Lê Ánh Tuyết</t>
  </si>
  <si>
    <t>22SMN1</t>
  </si>
  <si>
    <t>Trần Thị Thu Hương</t>
  </si>
  <si>
    <t>23SMN4</t>
  </si>
  <si>
    <t>Các biện pháp giáo dục giới tính cho trẻ 5-6 tuổi thông qua hoạt động vui chơi</t>
  </si>
  <si>
    <t>Hoàng Thị Bảo Trâm</t>
  </si>
  <si>
    <t>Trần Thị Thuý Nga</t>
  </si>
  <si>
    <t>Lê Thị Phương Thảo</t>
  </si>
  <si>
    <t>Nguyễn Trường An An</t>
  </si>
  <si>
    <t>Hoàng Thị Bảo Trang</t>
  </si>
  <si>
    <t>Giáo dục kỹ năng xã hội cho trẻ mẫu giáo 4-5 tuổi thông qua hoạt động vui chơi</t>
  </si>
  <si>
    <t>Nguyễn Thị Ngọc Ánh</t>
  </si>
  <si>
    <t>ThS. Phan Thị Nga</t>
  </si>
  <si>
    <t>Trần Thị Hoàng Anh</t>
  </si>
  <si>
    <t>Lê Thị Cát Tường</t>
  </si>
  <si>
    <t>Nguyễn Thị Mỹ Lệ</t>
  </si>
  <si>
    <t xml:space="preserve">Nghiên cứu thực trạng biếng ăn ở trẻ mẫu giáo 3-4 tuổi </t>
  </si>
  <si>
    <t>Nguyễn Thị Thuỷ Tiên</t>
  </si>
  <si>
    <t>Hồ Thị Kim Huệ</t>
  </si>
  <si>
    <t>Hoàng Ánh Diễm</t>
  </si>
  <si>
    <t>Lê Thị Thảo Hiếu</t>
  </si>
  <si>
    <t>Tống Thị Tường Linh</t>
  </si>
  <si>
    <t>Làm đồ chơi cho trẻ em mầm non từ nguyên liệu tự nhiên</t>
  </si>
  <si>
    <t>Võ Lê Bảo Trân</t>
  </si>
  <si>
    <t>ThS. Lê Thị Anh Kiều</t>
  </si>
  <si>
    <t>Lê Thị Mỹ Duyên</t>
  </si>
  <si>
    <t>Nguyễn Thị Thảo Vy</t>
  </si>
  <si>
    <t>Võ Thị Mỹ Tài</t>
  </si>
  <si>
    <t>Nguyên cứu ảnh hưởng của giáo dục gia đình trong việc hình thành tính cách cho trẻ 5-6 tuổi ở trường mầm non DBC"</t>
  </si>
  <si>
    <t>Nguyễn Phương Diễm Hạnh</t>
  </si>
  <si>
    <t>23SMN3</t>
  </si>
  <si>
    <t>Trần Thị Thu Hà</t>
  </si>
  <si>
    <t>Hồ Thị Khánh Ly</t>
  </si>
  <si>
    <t>Đinh Thị Bình</t>
  </si>
  <si>
    <t>Trần Vân Khánh</t>
  </si>
  <si>
    <t xml:space="preserve">Nghiên cứu quan điểm của Giáo viên Mầm non trên địa bàn Thành phố Đà Nẵng về giáo dục phát triển bền vững 
</t>
  </si>
  <si>
    <t>Nguyễn Thị Quỳnh Như</t>
  </si>
  <si>
    <t>22SMN3</t>
  </si>
  <si>
    <t>PGS.TS. Kiều Thị Kính</t>
  </si>
  <si>
    <t>Hồ Thị Thanh Tú</t>
  </si>
  <si>
    <t>Hồ Phạm Tâm Như</t>
  </si>
  <si>
    <t>24SMN1</t>
  </si>
  <si>
    <t>Trần Thị Huỳnh Trâm</t>
  </si>
  <si>
    <t>24SMN2</t>
  </si>
  <si>
    <t>Nguyễn Thị Hỷ Chí</t>
  </si>
  <si>
    <t>Thiết kế và hướng dẫn sử dụng sách khổ lớn để phát triển ngôn ngữ cho trẻ khiếm thính 5-6 tuổi</t>
  </si>
  <si>
    <t>Phạm Thị Hoài Trâm</t>
  </si>
  <si>
    <t>23SMN2</t>
  </si>
  <si>
    <t>TS. Chu Đình Kiên</t>
  </si>
  <si>
    <t>Ngô Thị Kim Lư</t>
  </si>
  <si>
    <t>Đặng Thị Nhã Phương</t>
  </si>
  <si>
    <t>Trần Thị Lan Anh</t>
  </si>
  <si>
    <t>Thiết kế website công cụ hỗ trợ phát triển ngôn ngữ cho trẻ 4-5 tuổi</t>
  </si>
  <si>
    <t>Lê Thị Lan Anh</t>
  </si>
  <si>
    <t xml:space="preserve">TS. Chu Đình Kiên </t>
  </si>
  <si>
    <t>Trần Thị Kim Ánh</t>
  </si>
  <si>
    <t>Hồ Thị Trúc My</t>
  </si>
  <si>
    <t>Lê Thị Kim Yến</t>
  </si>
  <si>
    <t>Thực trạng Giáo dục giới tính cho trẻ 4-5 tuổi ở trường mầm non Tiên Sa thành phố Đà Nẵng</t>
  </si>
  <si>
    <t>Nguyễn Thị Diễm Phúc</t>
  </si>
  <si>
    <t>TS. Trần Hồ Uyên</t>
  </si>
  <si>
    <t>Phạm Thị Kim Hòa</t>
  </si>
  <si>
    <t>Trịnh Thị Phương Nhân</t>
  </si>
  <si>
    <t>Trịnh Thị Phương Thảo</t>
  </si>
  <si>
    <t>Trần Nguyễn Yến Nhi</t>
  </si>
  <si>
    <t>Thiết kế trò chơi giáo dục môi trường cho trẻ 5-6 tuổi thông qua hoạt động ngoài trời</t>
  </si>
  <si>
    <t>Võ Thị Thu Thùy</t>
  </si>
  <si>
    <t>Cao Hoàng Diệu Linh</t>
  </si>
  <si>
    <t>Phạm Huỳnh Thị Trà My</t>
  </si>
  <si>
    <t>Trần Thùy Duyên</t>
  </si>
  <si>
    <t>Trần Thị Nhật Ly</t>
  </si>
  <si>
    <t>Đánh giá khả năng tái hiện hình ảnh trong hoạt động tạo hình của trẻ 5-6 tuổi ở trường mầm non Sao Vàng</t>
  </si>
  <si>
    <t>Nguyễn Thị Thu Hiền</t>
  </si>
  <si>
    <t>ThS. Mai Thị Cẩm Nhung</t>
  </si>
  <si>
    <t>Đặng Thị Cẩm Quỳnh</t>
  </si>
  <si>
    <t>Lê Thị Tường Vy</t>
  </si>
  <si>
    <t>Trần Mỹ Lê</t>
  </si>
  <si>
    <t>Phát triển trí nhớ hình ảnh cho trẻ 5-6 tuổi thông qua hoạt động tạo hình</t>
  </si>
  <si>
    <t>Trình Diệu Thanh Tú</t>
  </si>
  <si>
    <t>Nguyễn Phương Dung</t>
  </si>
  <si>
    <t>Đỗ Thị Tú Trinh</t>
  </si>
  <si>
    <t>Huỳnh Thị Ngọc Huyền</t>
  </si>
  <si>
    <t>Giáo dục hành vi giao tiếp có văn hóa cho trẻ 5-6 tuổi ở trường mầm non Hoa Mai</t>
  </si>
  <si>
    <t>Brôl Thị Thảo</t>
  </si>
  <si>
    <t>TS Nguyễn Thị Nhân</t>
  </si>
  <si>
    <t>A Lăng Thị Gái</t>
  </si>
  <si>
    <t>Phan Thu Hằng</t>
  </si>
  <si>
    <t>Trần Kim Chi</t>
  </si>
  <si>
    <t>Thiết kế bài tập thể dục sáng kết hợp đội hình - vận động cơ bản Aerobic nhằm phát triển thể chất cho trẻ 5-6 tuổi</t>
  </si>
  <si>
    <t>Võ Ngọc Minh Thư</t>
  </si>
  <si>
    <t>ThS. Lê Đình Hoàng</t>
  </si>
  <si>
    <t>Nguyễn Thị Huyền</t>
  </si>
  <si>
    <t>Trần Thị Kiều Trâm</t>
  </si>
  <si>
    <t>Về đường đẳng thời</t>
  </si>
  <si>
    <t xml:space="preserve">Nguyễn Viết Phan Hùng </t>
  </si>
  <si>
    <t>Toán-Tin</t>
  </si>
  <si>
    <t>Khoa Toán - Tin, Trường ĐHSP</t>
  </si>
  <si>
    <t>D2504200</t>
  </si>
  <si>
    <t>Nguyễn Tuấn Anh</t>
  </si>
  <si>
    <t>D2504201</t>
  </si>
  <si>
    <t>Nguyễn Gia Bảo</t>
  </si>
  <si>
    <t>D2504202</t>
  </si>
  <si>
    <t xml:space="preserve">Thí nghiệm ngẫu nhiên với các kết quả không đồng khả năng trong nội dung Xác suất – Thống kê lớp 8: Thiết kế và ứng dụng dạy học  </t>
  </si>
  <si>
    <t>Phạm Minh Mẫn</t>
  </si>
  <si>
    <t>25CKDL</t>
  </si>
  <si>
    <t>D2504203</t>
  </si>
  <si>
    <t>Nguyễn Phan Nguyên Thảo</t>
  </si>
  <si>
    <t>D2504204</t>
  </si>
  <si>
    <t>Nguyễn Lê Ngọc Thảo</t>
  </si>
  <si>
    <t>D2504205</t>
  </si>
  <si>
    <t>A Viết Nguyên Trân</t>
  </si>
  <si>
    <t>D2504206</t>
  </si>
  <si>
    <t>Đoàn Nhật Trường</t>
  </si>
  <si>
    <t>D2504207</t>
  </si>
  <si>
    <t>Sự hội tụ của dãy tổng có trọng số các biến ngẫu nhiên độc lập đôi một bị chặn ngẫu nhiên</t>
  </si>
  <si>
    <t>Lương Khánh Vân</t>
  </si>
  <si>
    <t>D2504208</t>
  </si>
  <si>
    <t>Nguyễn Thị Minh Phương</t>
  </si>
  <si>
    <t>D2504209</t>
  </si>
  <si>
    <t>Một số kết quả trên lớp hàm lồi logarit</t>
  </si>
  <si>
    <t>D2504210</t>
  </si>
  <si>
    <t>D2504211</t>
  </si>
  <si>
    <t>Ngô Thị Như Ý</t>
  </si>
  <si>
    <t>D2504212</t>
  </si>
  <si>
    <t>D2504213</t>
  </si>
  <si>
    <t>Nguyễn Trông</t>
  </si>
  <si>
    <t>D2504214</t>
  </si>
  <si>
    <t>Một số kết quả của toán tử Laplace của hàm điều hòa dưới</t>
  </si>
  <si>
    <t>D2504215</t>
  </si>
  <si>
    <t>D2504216</t>
  </si>
  <si>
    <t>Vũ Phương Liên</t>
  </si>
  <si>
    <t>D2504217</t>
  </si>
  <si>
    <t>Nguyễn Phạm Phương Trà</t>
  </si>
  <si>
    <t>D2504218</t>
  </si>
  <si>
    <t>Hồ Văn Anh Khê</t>
  </si>
  <si>
    <t>D2504219</t>
  </si>
  <si>
    <t xml:space="preserve">Nguyên lý ánh xạ co Banach và các định lý đảo của nó trên các không gian metric suy rộng </t>
  </si>
  <si>
    <t>Nguyễn Sỹ Thắng</t>
  </si>
  <si>
    <t>D2504220</t>
  </si>
  <si>
    <t>D2504221</t>
  </si>
  <si>
    <t>Biến ngẫu nhiên mờ</t>
  </si>
  <si>
    <t>Lê Trần Đức Hoàng</t>
  </si>
  <si>
    <t>D2504222</t>
  </si>
  <si>
    <t>Nguyễn Tấn Chiến</t>
  </si>
  <si>
    <t>D2504223</t>
  </si>
  <si>
    <t>Trịnh Thị Ly Na</t>
  </si>
  <si>
    <t>D2504224</t>
  </si>
  <si>
    <t xml:space="preserve">Về biến ngẫu nhiên phụ thuộc âm và ứng dụng </t>
  </si>
  <si>
    <t>D2504225</t>
  </si>
  <si>
    <t>Hồ Huỳnh Nguyên Bảo</t>
  </si>
  <si>
    <t>D2504226</t>
  </si>
  <si>
    <t xml:space="preserve">Ứng dụng học sâu kết hợp IoT trong việc xác thực người dùng </t>
  </si>
  <si>
    <t>Tạ Hồ Thanh Khương</t>
  </si>
  <si>
    <t>23CNTT3</t>
  </si>
  <si>
    <t>D2504227</t>
  </si>
  <si>
    <t>Trần Công Thành</t>
  </si>
  <si>
    <t>D2504228</t>
  </si>
  <si>
    <t xml:space="preserve">Topo trên đường thẳng thực </t>
  </si>
  <si>
    <t xml:space="preserve">Nguyễn Ngô Yến Nhi </t>
  </si>
  <si>
    <t>D2504229</t>
  </si>
  <si>
    <t>Lê Thị Quỳnh Như</t>
  </si>
  <si>
    <t>D2504230</t>
  </si>
  <si>
    <t>Phạm Thị Mỹ Duyên</t>
  </si>
  <si>
    <t>D2504231</t>
  </si>
  <si>
    <t>Huỳnh Viết Thắng</t>
  </si>
  <si>
    <t>D2504232</t>
  </si>
  <si>
    <t xml:space="preserve">Chỉ số chính quy của tập điểm béo trong không gian xạ ảnh với chiều thấp </t>
  </si>
  <si>
    <t xml:space="preserve">Trần Bảo Uyên </t>
  </si>
  <si>
    <t>D2504233</t>
  </si>
  <si>
    <t>Compact hoá và siêu không gian</t>
  </si>
  <si>
    <t xml:space="preserve">Nguyễn Thị Hồng Phúc </t>
  </si>
  <si>
    <t>D2504234</t>
  </si>
  <si>
    <t>Dương Thị Anh Thư</t>
  </si>
  <si>
    <t>D2504235</t>
  </si>
  <si>
    <t>Trần Thị Hạnh Thục</t>
  </si>
  <si>
    <t>D2504236</t>
  </si>
  <si>
    <t>Trần Định Minh Kiên</t>
  </si>
  <si>
    <t>D2504237</t>
  </si>
  <si>
    <t xml:space="preserve">Một vài tính chất của không gian Ideal dãy </t>
  </si>
  <si>
    <t xml:space="preserve">Nguyễn Thuận Hiếu </t>
  </si>
  <si>
    <t>D2504238</t>
  </si>
  <si>
    <t>Phương pháo giải bài toán thuận và ngược trong phương trình đạo hàm riêng elliptic bằng mạng neuron</t>
  </si>
  <si>
    <t xml:space="preserve">Nguyễn Thị Thanh Châu </t>
  </si>
  <si>
    <t>D2504239</t>
  </si>
  <si>
    <t>Nguyễn Đức Thành Danh</t>
  </si>
  <si>
    <t>D2504240</t>
  </si>
  <si>
    <t>Hồ Duy Hoàng</t>
  </si>
  <si>
    <t>D2504241</t>
  </si>
  <si>
    <t>Lê Quốc Huy</t>
  </si>
  <si>
    <t>D2504242</t>
  </si>
  <si>
    <t>Trần Thị Minh Khuê</t>
  </si>
  <si>
    <t>25ST1</t>
  </si>
  <si>
    <t>D2504243</t>
  </si>
  <si>
    <t>Vận dụng trò chơi trong dạy học phân số môn Toán lớp 6</t>
  </si>
  <si>
    <t>Lê Thị Thu Phượng</t>
  </si>
  <si>
    <t>D2504244</t>
  </si>
  <si>
    <t>D2504245</t>
  </si>
  <si>
    <t>Trần Thị Thu Hiền</t>
  </si>
  <si>
    <t>D2504246</t>
  </si>
  <si>
    <t xml:space="preserve">Phát triển mô hình đánh giá nhận thức – thái độ - hành vi và dashboard hỗ trợ giáo viên nhận diện xu hướng phụ thuộc AI của học sinh trung học cơ sở trong giải quyết các nhiệm vụ toán học </t>
  </si>
  <si>
    <t xml:space="preserve">Nguyễn Viết Duy Bảo </t>
  </si>
  <si>
    <t>D2504247</t>
  </si>
  <si>
    <t>D2504248</t>
  </si>
  <si>
    <t>Dương Khánh Huyền</t>
  </si>
  <si>
    <t>D2504249</t>
  </si>
  <si>
    <t>D2504250</t>
  </si>
  <si>
    <t>Hoàng Hữu Đông</t>
  </si>
  <si>
    <t>22SPT</t>
  </si>
  <si>
    <t>D2504251</t>
  </si>
  <si>
    <t>Phát triển hệ thống chăm sóc sức khoẻ thông minh ứng dụng trí tuệ nhân tạo trong chuẩn đoán và tư vấn cá nhân hoá phác đồ điều trị bệnh đái tháo đường TYP 2</t>
  </si>
  <si>
    <t xml:space="preserve">Nguyễn Văn Tiến </t>
  </si>
  <si>
    <t>D2504252</t>
  </si>
  <si>
    <t>Ngô Đình Anh Quân</t>
  </si>
  <si>
    <t>23CNTT2</t>
  </si>
  <si>
    <t>D2504253</t>
  </si>
  <si>
    <t>Hệ thống đối chiếu điểm tự động ứng dụng công nghệ học sâu trong nhận dạng chữ số viết tay: Giải pháp thông minh thúc đẩy chuyển đổi số trong giáo dục dựa trên nền tảng trí tuệ nhân tạo</t>
  </si>
  <si>
    <t xml:space="preserve">Trần Công Thành </t>
  </si>
  <si>
    <t>D2504254</t>
  </si>
  <si>
    <t>D2504255</t>
  </si>
  <si>
    <t>Hoàng Trà My</t>
  </si>
  <si>
    <t>25CNTT2</t>
  </si>
  <si>
    <t>D2504256</t>
  </si>
  <si>
    <t xml:space="preserve">Tính ổn định của hệ động lực tuyến tính </t>
  </si>
  <si>
    <t xml:space="preserve">Vũ Khánh Linh </t>
  </si>
  <si>
    <t>D2504257</t>
  </si>
  <si>
    <t>D2504258</t>
  </si>
  <si>
    <t>Ứng dụng kết nối dịch vụ sữa chữa tại nhà - FixNow</t>
  </si>
  <si>
    <t>Nguyễn Xuân Lợi</t>
  </si>
  <si>
    <t>D2504259</t>
  </si>
  <si>
    <t>Lê Văn Bảo</t>
  </si>
  <si>
    <t>D2504260</t>
  </si>
  <si>
    <t>Trần Đạo Nghĩa</t>
  </si>
  <si>
    <t>25CVK</t>
  </si>
  <si>
    <t>D2504261</t>
  </si>
  <si>
    <t>Xây dựng hệ thống giám sát và cảnh báo té ngã dành cho người cao tuổi</t>
  </si>
  <si>
    <t xml:space="preserve">Lê Vũ Quang Huy </t>
  </si>
  <si>
    <t>23CNTT1</t>
  </si>
  <si>
    <t>D2504262</t>
  </si>
  <si>
    <t>Phạm Xuân Nguyên</t>
  </si>
  <si>
    <t>D2504263</t>
  </si>
  <si>
    <t>Đặc trưng cho tính toàn xạ, toàn ánh của đồng cấu giữa các đại số trên một trường và ứng dụng</t>
  </si>
  <si>
    <t>Nguyễn Nhật Hà</t>
  </si>
  <si>
    <t>D2504264</t>
  </si>
  <si>
    <t>Khảo sát ảnh hưởng của chương trình Tiếng Việt lớp 1 đến hứng thú học tập môn Tiếng Việt của học sinh</t>
  </si>
  <si>
    <t>Nguyễn Anh Thư</t>
  </si>
  <si>
    <t>Giáo dục Tiểu học-Mầm non</t>
  </si>
  <si>
    <t>Khoa Giáo dục Tiểu học - Mầm non, Trường ĐHSP</t>
  </si>
  <si>
    <t>Nguyễn Thị Liên</t>
  </si>
  <si>
    <t xml:space="preserve">Ứng dụng công nghệ 3d vào thiết kế đồ dùng dạy học môn lịch sử và địa lý lớp 5 </t>
  </si>
  <si>
    <t>Phan Như Thành Ân</t>
  </si>
  <si>
    <t>24STC1</t>
  </si>
  <si>
    <t>Trần Vũ Khánh Huyền</t>
  </si>
  <si>
    <t>Nguyễn Huỳnh Trọng Luật</t>
  </si>
  <si>
    <t>24STC2</t>
  </si>
  <si>
    <t>Đỗ Ngọc Linh</t>
  </si>
  <si>
    <t>24STH2</t>
  </si>
  <si>
    <t>Tống Thị Kim Yến</t>
  </si>
  <si>
    <t xml:space="preserve">Hệ thống phụ đề tự động AI “giải pháp tăng cường tiếp cận kiến thức môn Toán cho học sinh khiếm thính cấp tiểu học” </t>
  </si>
  <si>
    <t>Đặng Yến Thy</t>
  </si>
  <si>
    <t>Nguyễn Hoàng Thu Nga</t>
  </si>
  <si>
    <t>Trần Thị Thu Sang</t>
  </si>
  <si>
    <t>Nguyễn Phương Anh</t>
  </si>
  <si>
    <t>Ngô Thị Diễm Phúc</t>
  </si>
  <si>
    <t>Ứng dụng AI thiết kế hoạt động trải nghiệm nhằm giáo dục tài chính cho học sinh lớp 4</t>
  </si>
  <si>
    <t>24STH3</t>
  </si>
  <si>
    <t>Nguyễn Thị Thương</t>
  </si>
  <si>
    <t>Dương Thị Cẩm Chi</t>
  </si>
  <si>
    <t>Nguyễn Thúy Huyền</t>
  </si>
  <si>
    <t>D2504265</t>
  </si>
  <si>
    <t>Nguyễn Văn Sáng</t>
  </si>
  <si>
    <t>D2504266</t>
  </si>
  <si>
    <t>Ứng dụng AI vào thiết kế trò chơi học tập trong dạy học hình học và đo lường lớp 2</t>
  </si>
  <si>
    <t>Phan Minh Ân</t>
  </si>
  <si>
    <t>24STH1</t>
  </si>
  <si>
    <t>D2504267</t>
  </si>
  <si>
    <t xml:space="preserve">Đặng Thị Quý Tín </t>
  </si>
  <si>
    <t>D2504268</t>
  </si>
  <si>
    <t>Đặng Nguyễn Thanh Nguyên</t>
  </si>
  <si>
    <t>D2504269</t>
  </si>
  <si>
    <t>Hồ Thị Lan Anh</t>
  </si>
  <si>
    <t>D2504270</t>
  </si>
  <si>
    <t>Nguyễn Thị Mai Hà</t>
  </si>
  <si>
    <t>D2504271</t>
  </si>
  <si>
    <t>Ảnh hưởng của mô hình giảng dạy tích hợp công nghệ và phương pháp dạy học dựa trên năng lực cảm xúc (SEL) đến sự phát triển toàn diện của học sinh tiểu học</t>
  </si>
  <si>
    <t>D2504272</t>
  </si>
  <si>
    <t>Đoàn Thị Ngọc Hoàn</t>
  </si>
  <si>
    <t>D2504273</t>
  </si>
  <si>
    <t>D2504274</t>
  </si>
  <si>
    <t>D2504275</t>
  </si>
  <si>
    <t>D2504276</t>
  </si>
  <si>
    <t>Ứng dụng trí tuệ nhân tạo để phân loại năng lực và cá nhân hóa dạy học toán cho HS lớp 5</t>
  </si>
  <si>
    <t>Nguyễn Thị Hiền Dịu</t>
  </si>
  <si>
    <t>D2504277</t>
  </si>
  <si>
    <t>Kỳ Thị Thùy Dương</t>
  </si>
  <si>
    <t>D2504278</t>
  </si>
  <si>
    <t>Nguyễn Tiểu Linh Đa</t>
  </si>
  <si>
    <t>D2504279</t>
  </si>
  <si>
    <t>Ngô Thị Thảo</t>
  </si>
  <si>
    <t>D2504280</t>
  </si>
  <si>
    <t>Nguyễn Thị Mỹ Duyên</t>
  </si>
  <si>
    <t>D2504281</t>
  </si>
  <si>
    <t>Ứng dụng AI trong thiết kế mô hình “trợ lý học tập ảo” nhằm phát triển năng lực giải quyết vấn đề toán học cho học sinh lớp 5</t>
  </si>
  <si>
    <t>Phan Thị Thuý Diễm</t>
  </si>
  <si>
    <t>D2504282</t>
  </si>
  <si>
    <t>Dương Hoàng Lan Nhi</t>
  </si>
  <si>
    <t>D2504283</t>
  </si>
  <si>
    <t>Lưu Yến Nhi</t>
  </si>
  <si>
    <t>D2504284</t>
  </si>
  <si>
    <t>Nguyễn Hồng Tú</t>
  </si>
  <si>
    <t>D2504285</t>
  </si>
  <si>
    <t>Bùi Thị Minh Thư</t>
  </si>
  <si>
    <t>D2504286</t>
  </si>
  <si>
    <t>Thiết kế trang web voice life nhằm phát triển năng lực văn học cho học sinh lớp 4 trong dạy học môn Tiếng Việt</t>
  </si>
  <si>
    <t>Nguyễn Thị Kim Cương</t>
  </si>
  <si>
    <t>D2504287</t>
  </si>
  <si>
    <t>Vi Thị Yến Nhi</t>
  </si>
  <si>
    <t>D2504288</t>
  </si>
  <si>
    <t>Trần Bảo Ngọc</t>
  </si>
  <si>
    <t>D2504289</t>
  </si>
  <si>
    <t>Nguyễn Thị Thu Hường</t>
  </si>
  <si>
    <t>D2504290</t>
  </si>
  <si>
    <t>Thiết kế từ điển mini từ láy tiếng Việt ứng dụng AI hỗ trợ dạy học Tiếng Việt cho học sinh lớp 4,5</t>
  </si>
  <si>
    <t>D2504291</t>
  </si>
  <si>
    <t>D2504292</t>
  </si>
  <si>
    <t>D2504293</t>
  </si>
  <si>
    <t>D2504294</t>
  </si>
  <si>
    <t>D2504295</t>
  </si>
  <si>
    <t>Xây dựng lớp học thông minh qua hệ thống trạm quét (classscan) và bảng điều khiển (dashboard) hỗ trợ đánh giá và quản lý học sinh</t>
  </si>
  <si>
    <t>D2504296</t>
  </si>
  <si>
    <t>D2504297</t>
  </si>
  <si>
    <t>D2504298</t>
  </si>
  <si>
    <t>D2504299</t>
  </si>
  <si>
    <t>D2504300</t>
  </si>
  <si>
    <t>Thiết kế và sử dụng trò chơi mô phỏng trong hoạt động dạy học môn khoa học lớp 4 theo hướng phát triển năng lực nhận thức khoa học</t>
  </si>
  <si>
    <t>D2504301</t>
  </si>
  <si>
    <t>D2504302</t>
  </si>
  <si>
    <t>Đặng Thị Thanh Nguyệt</t>
  </si>
  <si>
    <t>D2504303</t>
  </si>
  <si>
    <t>Ứng dụng công nghệ thực tế ảo (VR) vào thiết kế mô hình phòng tránh hỏa hoạn cho học sinh lớp 3 môn tự nhiên và xã hội</t>
  </si>
  <si>
    <t>Nguyễn Thảo Duyên</t>
  </si>
  <si>
    <t>D2504304</t>
  </si>
  <si>
    <t>Nguyễn Thị Thùy Dung</t>
  </si>
  <si>
    <t>D2504305</t>
  </si>
  <si>
    <t>Phạm Thị Gia Hân</t>
  </si>
  <si>
    <t>D2504306</t>
  </si>
  <si>
    <t>Nguyễn Hoàng Anh</t>
  </si>
  <si>
    <t>D2504307</t>
  </si>
  <si>
    <t>D2504308</t>
  </si>
  <si>
    <t>Thiết kế bộ thẻ tích hợp hình ảnh và video AI nâng cao hiệu quả dạy học môn lịch sử - địa lý lớp 5</t>
  </si>
  <si>
    <t>Hứa Trần Bảo Ngọc</t>
  </si>
  <si>
    <t>D2504309</t>
  </si>
  <si>
    <t>Huỳnh Thị Như Phương</t>
  </si>
  <si>
    <t>D2504310</t>
  </si>
  <si>
    <t>Nguyễn Thị Diệu Thanh</t>
  </si>
  <si>
    <t>D2504311</t>
  </si>
  <si>
    <t>Hồ Phan Quỳnh Như</t>
  </si>
  <si>
    <t>D2504312</t>
  </si>
  <si>
    <t>Thiết kế mô hình 3D kết hợp robot AI ứng dụng trong dạy học môn Lịch sử và địa lý lớp 5</t>
  </si>
  <si>
    <t>Nguyễn Ngọc Anh</t>
  </si>
  <si>
    <t>D2504313</t>
  </si>
  <si>
    <t>Đặng Thị Ngân</t>
  </si>
  <si>
    <t>D2504314</t>
  </si>
  <si>
    <t>Trần Thị Tấm</t>
  </si>
  <si>
    <t>D2504315</t>
  </si>
  <si>
    <t>Lê Thị Mai Loan</t>
  </si>
  <si>
    <t>D2504316</t>
  </si>
  <si>
    <t>Nguyễn Thị Thanh Huyền</t>
  </si>
  <si>
    <t>D2504317</t>
  </si>
  <si>
    <t>Thúc đẩy khả năng ghi nhớ của học sinh tiểu học thông qua kỹ thuật ‘ép não’ (brain-dump) và chia khối (chunking) trong môn Khoa học lớp 4</t>
  </si>
  <si>
    <t>D2504318</t>
  </si>
  <si>
    <t>Nguyễn Thị Thanh</t>
  </si>
  <si>
    <t>D2504319</t>
  </si>
  <si>
    <t>Trịnh Ánh Dương</t>
  </si>
  <si>
    <t>D2504320</t>
  </si>
  <si>
    <t>Hoàng Phương Oanh</t>
  </si>
  <si>
    <t>D2504321</t>
  </si>
  <si>
    <t>Huỳnh Lê Thanh Nhàn</t>
  </si>
  <si>
    <t>D2504322</t>
  </si>
  <si>
    <t>Ảnh hưởng của việc tiếp xúc với công nghệ AI đến nhận thức và góc nhìn về thế giới khoa học của học sinh lớp 5</t>
  </si>
  <si>
    <t>Nguyễn Trần Vân Nhi</t>
  </si>
  <si>
    <t>D2504323</t>
  </si>
  <si>
    <t>Phan Thị Trà My</t>
  </si>
  <si>
    <t>D2504324</t>
  </si>
  <si>
    <t>D2504325</t>
  </si>
  <si>
    <t>Nguyễn Thùy Trang</t>
  </si>
  <si>
    <t>D2504326</t>
  </si>
  <si>
    <t>Ngô Lê Bảo Vy</t>
  </si>
  <si>
    <t>D2504327</t>
  </si>
  <si>
    <t>Ứng dụng gamma AI tạp trang web hỗ trợ học sinh lớp 5 củng cố kiến thức hình học phẳng</t>
  </si>
  <si>
    <t>Nguyễn Phước Tâm Nguyên</t>
  </si>
  <si>
    <t>24STH5</t>
  </si>
  <si>
    <t>D2504328</t>
  </si>
  <si>
    <t>Phan Thị Hiếu</t>
  </si>
  <si>
    <t>D2504329</t>
  </si>
  <si>
    <t>Nguyễn Thị Hậu</t>
  </si>
  <si>
    <t>D2504330</t>
  </si>
  <si>
    <t>Quảng Nguyễn Như Ý</t>
  </si>
  <si>
    <t>24STH4</t>
  </si>
  <si>
    <t>D2504331</t>
  </si>
  <si>
    <t>Bùi Thị Hoa</t>
  </si>
  <si>
    <t>D2504332</t>
  </si>
  <si>
    <t>Thiết kế đồ dùng, đồ chơi nhằm giúp trẻ 24 – 36 tháng phối hợp các giác quan</t>
  </si>
  <si>
    <t>3230123073 </t>
  </si>
  <si>
    <t>D2504333</t>
  </si>
  <si>
    <t>Nguyễn Thị Thúy My</t>
  </si>
  <si>
    <t>24SMN3</t>
  </si>
  <si>
    <t>D2504334</t>
  </si>
  <si>
    <t>Nguyễn Thị Trà My</t>
  </si>
  <si>
    <t>24SMN4</t>
  </si>
  <si>
    <t>D2504335</t>
  </si>
  <si>
    <t>D2504336</t>
  </si>
  <si>
    <t>Đinh Thị Hải Yến</t>
  </si>
  <si>
    <t>D2504337</t>
  </si>
  <si>
    <t>Ứng dụng AI vào thiết kế học liệu số nhằm phát triển kĩ năng tiền đọc cho trẻ mẫu giáo 5-6 tuổi</t>
  </si>
  <si>
    <t>D2504338</t>
  </si>
  <si>
    <t>D2504339</t>
  </si>
  <si>
    <t>D2504340</t>
  </si>
  <si>
    <t>D2504341</t>
  </si>
  <si>
    <t>D2504342</t>
  </si>
  <si>
    <t>Ứng dụng trí tuệ nhân tạo AI trong thiết kế sách tranh nhằm giáo dục văn hoá địa phương cho trẻ mẫu giáo 5-6 tuổi tại thành phố Đà Nẵng.</t>
  </si>
  <si>
    <t>Lê Nguyễn Cát Tường</t>
  </si>
  <si>
    <t>D2504343</t>
  </si>
  <si>
    <t>D2504344</t>
  </si>
  <si>
    <t>Trần Thị Kim Mỹ Nguyệt</t>
  </si>
  <si>
    <t>23SMN</t>
  </si>
  <si>
    <t>D2504345</t>
  </si>
  <si>
    <t>Ứng dụng AI thiết kế video câu chuyện nhằm giáo dục cảm xúc xã hội cho trẻ mẫu giáo 3-4 tuổi</t>
  </si>
  <si>
    <t>D2504346</t>
  </si>
  <si>
    <t>D2504347</t>
  </si>
  <si>
    <t>D2504348</t>
  </si>
  <si>
    <t>Lương Thảo Ly</t>
  </si>
  <si>
    <t>D2504349</t>
  </si>
  <si>
    <t>Phát triển khả năng lắng nghe, hiểu lời nói trong giao tiếp hằng ngày cho trẻ 4-5 tuổi thông qua trò chơi đóng vai theo chủ đề ở trường mầm non</t>
  </si>
  <si>
    <t>Nguyễn Thị Thùy Trang</t>
  </si>
  <si>
    <t>D2504350</t>
  </si>
  <si>
    <t>Phạm Thị Bùi Nhung</t>
  </si>
  <si>
    <t>D2504351</t>
  </si>
  <si>
    <t>Xiêng Thị Bảo Uyên</t>
  </si>
  <si>
    <t>D2504352</t>
  </si>
  <si>
    <t>ALăng Thị Lệ</t>
  </si>
  <si>
    <t>D2504353</t>
  </si>
  <si>
    <t>Y Nu Ni</t>
  </si>
  <si>
    <t>D2504354</t>
  </si>
  <si>
    <t>Phát triển kỹ năng đặt câu hỏi khoa học của trẻ 5–6 tuổi thông qua hoạt động STEM có ứng dụng công nghệ số</t>
  </si>
  <si>
    <t>D2504355</t>
  </si>
  <si>
    <t>D2504356</t>
  </si>
  <si>
    <t>D2504357</t>
  </si>
  <si>
    <t>Hồ Thị Hạ My</t>
  </si>
  <si>
    <t>D2504358</t>
  </si>
  <si>
    <t>Ứng dụng AI trong thiết kế bài giảng điện tử nhằm giáo dục ý thức bảo vệ môi trường cho trẻ 5-6 tuổi</t>
  </si>
  <si>
    <t>D2504359</t>
  </si>
  <si>
    <t>D2504360</t>
  </si>
  <si>
    <t>D2504361</t>
  </si>
  <si>
    <t>D2504362</t>
  </si>
  <si>
    <t>D2504363</t>
  </si>
  <si>
    <t>Thiết kế bộ dụng cụ ( tool-kit ) giáo dục môi trường cho trẻ 4-5 tuổi thông qua hoạt động khám phá khoa học tại trường mầm non Hoa Mai – thành phố Đà Nẵng.</t>
  </si>
  <si>
    <t>D2504364</t>
  </si>
  <si>
    <t>Hoàng Thu Hạnh</t>
  </si>
  <si>
    <t>D2504365</t>
  </si>
  <si>
    <t>D2504366</t>
  </si>
  <si>
    <t>Nguyễn Thị Tiểu Phụng</t>
  </si>
  <si>
    <t>D2504367</t>
  </si>
  <si>
    <t>Huỳnh Thị Thu</t>
  </si>
  <si>
    <t>D2504368</t>
  </si>
  <si>
    <t>Ứng dụng AI vào thiết kế trò chơi học tập trong hoạt động khám phá khoa học cho trẻ 4 - 5 tuổi tại Trường mầm non Cẩm Nhung – Thành phố Đà Nẵng</t>
  </si>
  <si>
    <t>D2504369</t>
  </si>
  <si>
    <t>Đinh Thị Mi Na</t>
  </si>
  <si>
    <t>D2504370</t>
  </si>
  <si>
    <t>Thiết kế đồ chơi từ  vật liệu thiên nhiên để rèn luyện kỹ năng vận động tinh cho trẻ mẫu giáo 5-6 tuổi</t>
  </si>
  <si>
    <t>Nguyễn Lê Bảo Trinh</t>
  </si>
  <si>
    <t>D2504371</t>
  </si>
  <si>
    <t>Nguyễn Thị Kim Ngân</t>
  </si>
  <si>
    <t>D2504372</t>
  </si>
  <si>
    <t>Trần Thị Hà Phương</t>
  </si>
  <si>
    <t>D2504373</t>
  </si>
  <si>
    <t>Trần Thị Vân Khánh</t>
  </si>
  <si>
    <t>D2504374</t>
  </si>
  <si>
    <t>Nguyễn Thị Mỹ Phượng</t>
  </si>
  <si>
    <t>D2504375</t>
  </si>
  <si>
    <t>Khảo sát thực trạng ứng dụng STEAM trong hoạt động lắp ghép và robotic cho trẻ 5-6 tuổi trên địa bàn thành phố Đà Nẵng</t>
  </si>
  <si>
    <t>Lê Thị Thùy Linh</t>
  </si>
  <si>
    <t>D2504376</t>
  </si>
  <si>
    <t>Hồ Thị Bông</t>
  </si>
  <si>
    <t>D2504377</t>
  </si>
  <si>
    <t>Đặng Thị Thanh Huyền</t>
  </si>
  <si>
    <t>D2504378</t>
  </si>
  <si>
    <t>Nguyễn Thị Mai Uyên</t>
  </si>
  <si>
    <t>D2504379</t>
  </si>
  <si>
    <t>Đinh Thị Ngọc Ánh</t>
  </si>
  <si>
    <t>D2504380</t>
  </si>
  <si>
    <t xml:space="preserve">Ứng dụng trí tuệ nhân tạo (AI) trong thiết kế video nhằm giáo dục kỹ năng cảm xúc xã hội cho trẻ mẫu giáo 5 - 6 tuổi </t>
  </si>
  <si>
    <t>Nguyễn Hải Ngọc</t>
  </si>
  <si>
    <t>D2504381</t>
  </si>
  <si>
    <t>Trần Thị Ngọc Mai</t>
  </si>
  <si>
    <t>D2504382</t>
  </si>
  <si>
    <t>Phạm Thị Ly Na</t>
  </si>
  <si>
    <t>D2504383</t>
  </si>
  <si>
    <t>Đặng Khả My</t>
  </si>
  <si>
    <t>D2504384</t>
  </si>
  <si>
    <t>Ứng dụng công nghệ thực tế ảo (VR – VIRTUAL REALITY) mô phỏng bối cảnh thiên nhiên để giáo dục môi trường cho trẻ 5-6 tuổi thông qua hoạt động trải nghiệm ở trường MN Khánh An – Đà Nẵng.</t>
  </si>
  <si>
    <t>D2504385</t>
  </si>
  <si>
    <t>D2504386</t>
  </si>
  <si>
    <t>Trần Thị Bích Trâm</t>
  </si>
  <si>
    <t>D2504387</t>
  </si>
  <si>
    <t>Dương Thị Hồng Hợp</t>
  </si>
  <si>
    <t>D2504388</t>
  </si>
  <si>
    <t>Phối hợp giữa gia đình và nhà trường trong giáo dục kỹ năng phòng chống xâm hại tình dục cho trẻ 5-6 tuổi tại Thành phố Đà Nẵng</t>
  </si>
  <si>
    <t>D2504389</t>
  </si>
  <si>
    <t>Lê Thanh Thúy</t>
  </si>
  <si>
    <t>D2504390</t>
  </si>
  <si>
    <t>D2504391</t>
  </si>
  <si>
    <t>D2504392</t>
  </si>
  <si>
    <t>Khảo sát đánh giá tư duy sáng tạo của trẻ mẫu giáo 5-6 tuổi qua hoạt động vẽ</t>
  </si>
  <si>
    <t>D2504393</t>
  </si>
  <si>
    <t>Trịnh Diệu Thanh Tú</t>
  </si>
  <si>
    <t>D2504394</t>
  </si>
  <si>
    <t>D2504395</t>
  </si>
  <si>
    <t>D2504396</t>
  </si>
  <si>
    <t>D2504397</t>
  </si>
  <si>
    <t>Sáng tác truyện tranh nhằm giáo dục tình cảm gia đình cho trẻ mẫu giáo 4-5 tuổi</t>
  </si>
  <si>
    <t>Nguyễn Đức Hà My</t>
  </si>
  <si>
    <t>D2504398</t>
  </si>
  <si>
    <t>A Lăng Thị Hạnh</t>
  </si>
  <si>
    <t>D2504399</t>
  </si>
  <si>
    <t>A Lăng Quyên</t>
  </si>
  <si>
    <t>D2504400</t>
  </si>
  <si>
    <t>Z’Râm Thị My Ly</t>
  </si>
  <si>
    <t>D2504401</t>
  </si>
  <si>
    <t>Nguyễn Như Hoàng Yến</t>
  </si>
  <si>
    <t>D2504402</t>
  </si>
  <si>
    <t>Sử dụng tiếp cận giáo dục STEAM để nâng cao nhận thức về bảo tồn đại dương cho trẻ 5 – 6 tuổi tại các trường mầm non thành phố Đà Nẵng</t>
  </si>
  <si>
    <t>Hồ Phạm  Tâm Như</t>
  </si>
  <si>
    <t>D2504403</t>
  </si>
  <si>
    <t>Nguyễn Thị Hà Nhi</t>
  </si>
  <si>
    <t>D2504404</t>
  </si>
  <si>
    <t>Nguyệt Việt Ánh</t>
  </si>
  <si>
    <t>D2504405</t>
  </si>
  <si>
    <t>Nguyễn Thị Mai Chi</t>
  </si>
  <si>
    <t>D2504406</t>
  </si>
  <si>
    <t>Phát triển khả năng quan sát cho trẻ 3-4 tuổi thông qua hoạt động khám phá khoa học ở trường mầm non</t>
  </si>
  <si>
    <t>Nguyễn Thị Ngọc Diểm</t>
  </si>
  <si>
    <t>D2504407</t>
  </si>
  <si>
    <t>Trần Thị Quỳnh Anh</t>
  </si>
  <si>
    <t>D2504408</t>
  </si>
  <si>
    <t>Lê Thị Thu Ba</t>
  </si>
  <si>
    <t>D2504409</t>
  </si>
  <si>
    <t>Mai Thị Xuân Uyên</t>
  </si>
  <si>
    <t>D2504410</t>
  </si>
  <si>
    <t>Trần Thị Trang</t>
  </si>
  <si>
    <t>D2504411</t>
  </si>
  <si>
    <t>Thiết kế đồ chơi nhằm phát triển tình cảm – kỹ năng xã hội cho trẻ mẫu giáo 3-4 tuổi</t>
  </si>
  <si>
    <t>D2504412</t>
  </si>
  <si>
    <t>Trần Thị Thúy Nga</t>
  </si>
  <si>
    <t>D2504413</t>
  </si>
  <si>
    <t>D2504414</t>
  </si>
  <si>
    <t>D2504415</t>
  </si>
  <si>
    <t>D2504416</t>
  </si>
  <si>
    <t>Thiết kế mô hình giáo dục STEM “Cảm biến 3D” ứng dụng trong dạy học chủ để “con người và sức khỏe” môn khoa học lớp 4,5</t>
  </si>
  <si>
    <t>Nguyễn Thị Thanh Ngân</t>
  </si>
  <si>
    <t>D2504417</t>
  </si>
  <si>
    <t>Đinh Thị Tố Như</t>
  </si>
  <si>
    <t>D2504418</t>
  </si>
  <si>
    <t>Trần Minh Thư</t>
  </si>
  <si>
    <t>D2504419</t>
  </si>
  <si>
    <t>Trần Bình Phương Trâm</t>
  </si>
  <si>
    <t>D2504420</t>
  </si>
  <si>
    <t>Lê Hoàng Dương</t>
  </si>
  <si>
    <t>D2504421</t>
  </si>
  <si>
    <t>Thiết kế và sử dụng mô hình xe tự hành mini cảm biến trong dạy học môn Công nghệ lớp 5</t>
  </si>
  <si>
    <t>Phạm Thanh Thảo</t>
  </si>
  <si>
    <t>D2504422</t>
  </si>
  <si>
    <t>Phan Thị Yến Nhi</t>
  </si>
  <si>
    <t>D2504423</t>
  </si>
  <si>
    <t>Bùi Huỳnh Đan Tâm</t>
  </si>
  <si>
    <t>D2504424</t>
  </si>
  <si>
    <t>Thiết kế mô hình chiếu sáng thông minh sử dụng năng lượng mặt trời theo hướng giáo dục STEM trong dạy học môn Công nghệ lớp 5</t>
  </si>
  <si>
    <t>Nguyễn Tăng Quỳnh Như</t>
  </si>
  <si>
    <t>D2504425</t>
  </si>
  <si>
    <t>Đỗ Vũ Như Ngọc</t>
  </si>
  <si>
    <t>D2504426</t>
  </si>
  <si>
    <t>Trần Ngọc Lan</t>
  </si>
  <si>
    <t>D2504427</t>
  </si>
  <si>
    <t>Phan Mỹ Hoàng Châu</t>
  </si>
  <si>
    <t>D2504428</t>
  </si>
  <si>
    <t>Lê Thị Bích Thuỷ</t>
  </si>
  <si>
    <t>D2504429</t>
  </si>
  <si>
    <r>
      <rPr>
        <sz val="10"/>
        <color theme="1"/>
        <rFont val="Arial"/>
      </rPr>
      <t>Thử</t>
    </r>
    <r>
      <rPr>
        <sz val="12"/>
        <color rgb="FFFF0000"/>
        <rFont val="Times New Roman"/>
      </rPr>
      <t xml:space="preserve"> </t>
    </r>
    <r>
      <rPr>
        <sz val="12"/>
        <color rgb="FF000000"/>
        <rFont val="Times New Roman"/>
      </rPr>
      <t>nghiệm</t>
    </r>
    <r>
      <rPr>
        <sz val="12"/>
        <color rgb="FFFF0000"/>
        <rFont val="Times New Roman"/>
      </rPr>
      <t xml:space="preserve"> </t>
    </r>
    <r>
      <rPr>
        <sz val="12"/>
        <color rgb="FF000000"/>
        <rFont val="Times New Roman"/>
      </rPr>
      <t>ứng</t>
    </r>
    <r>
      <rPr>
        <sz val="12"/>
        <color rgb="FFFF0000"/>
        <rFont val="Times New Roman"/>
      </rPr>
      <t xml:space="preserve"> </t>
    </r>
    <r>
      <rPr>
        <sz val="12"/>
        <color rgb="FF000000"/>
        <rFont val="Times New Roman"/>
      </rPr>
      <t>dụng</t>
    </r>
    <r>
      <rPr>
        <sz val="12"/>
        <color rgb="FFFF0000"/>
        <rFont val="Times New Roman"/>
      </rPr>
      <t xml:space="preserve"> </t>
    </r>
    <r>
      <rPr>
        <sz val="12"/>
        <color rgb="FF000000"/>
        <rFont val="Times New Roman"/>
      </rPr>
      <t>thiền</t>
    </r>
    <r>
      <rPr>
        <sz val="12"/>
        <color rgb="FFFF0000"/>
        <rFont val="Times New Roman"/>
      </rPr>
      <t xml:space="preserve"> </t>
    </r>
    <r>
      <rPr>
        <sz val="12"/>
        <color rgb="FF000000"/>
        <rFont val="Times New Roman"/>
      </rPr>
      <t>trong can thiệp</t>
    </r>
    <r>
      <rPr>
        <sz val="12"/>
        <color rgb="FFFF0000"/>
        <rFont val="Times New Roman"/>
      </rPr>
      <t xml:space="preserve"> </t>
    </r>
    <r>
      <rPr>
        <sz val="12"/>
        <color rgb="FF000000"/>
        <rFont val="Times New Roman"/>
      </rPr>
      <t>sớm</t>
    </r>
    <r>
      <rPr>
        <sz val="12"/>
        <color rgb="FFFF0000"/>
        <rFont val="Times New Roman"/>
      </rPr>
      <t xml:space="preserve"> </t>
    </r>
    <r>
      <rPr>
        <sz val="12"/>
        <color rgb="FF000000"/>
        <rFont val="Times New Roman"/>
      </rPr>
      <t>cho</t>
    </r>
    <r>
      <rPr>
        <sz val="12"/>
        <color rgb="FFFF0000"/>
        <rFont val="Times New Roman"/>
      </rPr>
      <t xml:space="preserve"> </t>
    </r>
    <r>
      <rPr>
        <sz val="12"/>
        <color rgb="FF000000"/>
        <rFont val="Times New Roman"/>
      </rPr>
      <t>trẻ</t>
    </r>
    <r>
      <rPr>
        <sz val="12"/>
        <color rgb="FFFF0000"/>
        <rFont val="Times New Roman"/>
      </rPr>
      <t xml:space="preserve"> </t>
    </r>
    <r>
      <rPr>
        <sz val="12"/>
        <color rgb="FF000000"/>
        <rFont val="Times New Roman"/>
      </rPr>
      <t>tăng</t>
    </r>
    <r>
      <rPr>
        <sz val="12"/>
        <color rgb="FFFF0000"/>
        <rFont val="Times New Roman"/>
      </rPr>
      <t xml:space="preserve"> </t>
    </r>
    <r>
      <rPr>
        <sz val="12"/>
        <color rgb="FF000000"/>
        <rFont val="Times New Roman"/>
      </rPr>
      <t>động</t>
    </r>
    <r>
      <rPr>
        <sz val="12"/>
        <color rgb="FFFF0000"/>
        <rFont val="Times New Roman"/>
      </rPr>
      <t xml:space="preserve"> </t>
    </r>
    <r>
      <rPr>
        <sz val="12"/>
        <color rgb="FF000000"/>
        <rFont val="Times New Roman"/>
      </rPr>
      <t>giảm</t>
    </r>
    <r>
      <rPr>
        <sz val="12"/>
        <color rgb="FFFF0000"/>
        <rFont val="Times New Roman"/>
      </rPr>
      <t xml:space="preserve"> </t>
    </r>
    <r>
      <rPr>
        <sz val="12"/>
        <color rgb="FF000000"/>
        <rFont val="Times New Roman"/>
      </rPr>
      <t>chú ý tại các cơ sở giáo dục trên địa bàn thành phố Đà Nẵng</t>
    </r>
  </si>
  <si>
    <t>Tâm lý-Giáo dục-Công tác xã hội</t>
  </si>
  <si>
    <t>Khoa Tâm lý - Giáo dục - Công tác Xã hội, Trường ĐHSP</t>
  </si>
  <si>
    <t>Thực trạng tư vấn tâm lý học đường cho học sinh trung học phổ thông (Nghiên cứu tại trường THPT số 1 Tư Nghĩa)</t>
  </si>
  <si>
    <t>Tạ Công Tính</t>
  </si>
  <si>
    <t>24CTL1</t>
  </si>
  <si>
    <t>Nguyễn Ngọc Hồng Mến</t>
  </si>
  <si>
    <t>Mối liên hệ giữa phong cách gắn bó và chất lượng mối quan hệ xã hội của sinh viên trường ĐHSP - ĐHĐN</t>
  </si>
  <si>
    <t>Trần Kiều Anh</t>
  </si>
  <si>
    <t>Nhận thức về chuẩn bị tâm lý tiền hôn nhân ở sinh viên trường Đại học Sư phạm - Đại học Đà Nẵng</t>
  </si>
  <si>
    <t>Trần Thị Vân Như</t>
  </si>
  <si>
    <t>23CLT2</t>
  </si>
  <si>
    <t>Mối liên hệ giữa khả năng điều chỉnh cảm xúc và mức độ lo âu, trầm cảm ở sinh viên Trường Đại học Sư phạm - Đại học Đà Nẵng</t>
  </si>
  <si>
    <t>Lê Thị Ánh Minh</t>
  </si>
  <si>
    <t>Nhận thức về lừa đảo trực tuyến của sinh viên Đại học Đà Nẵng</t>
  </si>
  <si>
    <t>Phan Lê Thục Anh</t>
  </si>
  <si>
    <t>Huỳnh Thị Thuỳ Giang</t>
  </si>
  <si>
    <t>Xây dựng mối quan hệ gắn bó giữa cha mẹ và trẻ rối loạn phổ tự kỷ (nghiên cứu tại Đà Nẵng)</t>
  </si>
  <si>
    <t>Nghiên cứu về nhận thức về giới, giới tính và sức khoẻ sinh sản của học sinh THCS Nguyễn Bỉnh Khiêm, Đà Nẵng</t>
  </si>
  <si>
    <t>Võ Kim Ngân</t>
  </si>
  <si>
    <t>Dương Thị Ngọc Hân</t>
  </si>
  <si>
    <t>Nguyễn Thị Thu Nguyệt</t>
  </si>
  <si>
    <t>Lê Dương Thảo Hương</t>
  </si>
  <si>
    <t>Năng lực vượt khó của sinh viên Trường Đại học Sư phạm – Đại học Đà Nẵng</t>
  </si>
  <si>
    <t>Ngô Nguyễn Uyên Phương</t>
  </si>
  <si>
    <t>Trần Mỹ Nhung</t>
  </si>
  <si>
    <t>Lương Trường Khang</t>
  </si>
  <si>
    <t>Mối quan hệ giữa hành vi sử dụng tiktok và khả năng tập trung chú ý trong học tập: nghiên cứu trên sinh viên trường Đại Học Sư Phạm - Đại Học Đà Nẵng</t>
  </si>
  <si>
    <t>Nguyễn Thị Bích Diệu</t>
  </si>
  <si>
    <t>Nguyễn Thị Thu Thắm</t>
  </si>
  <si>
    <t>Bùi Hải Ngân</t>
  </si>
  <si>
    <t>Võ Ngọc Hân</t>
  </si>
  <si>
    <t>Năng lực bảo mật thông tin trên môi trường số của sinh viên Đại học Đà Nẵng</t>
  </si>
  <si>
    <t>Hành vi tìm kiếm dịch vụ chăm sóc sức khỏe tinh thần của sinh viên Đại học tại Thành phố Đà Nẵng</t>
  </si>
  <si>
    <t>Lê Quang Thạch</t>
  </si>
  <si>
    <t>Định kiến giới trong lựa chọn ngành nghề của sinh viên trường Đại học Sư phạm - Đại học Đà Nẵng</t>
  </si>
  <si>
    <t>Nguyễn Thị Thảo Ngọc</t>
  </si>
  <si>
    <t>Lê Thị Hằng Nga</t>
  </si>
  <si>
    <t>Năng lực số của sinh viên Trường Đại học Sư Phạm - Đại học Đà Nẵng trong bối cảnh chuyển đổi số giáo dục</t>
  </si>
  <si>
    <t>Nguyễn Thị Kim Yến</t>
  </si>
  <si>
    <t>Nghiên cứu mối quan hệ  giữa hành vi sử dụng mạng xã hội đến chất lượng giấc ngủ của sinh viên Trường Đại học Sư phạm - Đại học Đà Nẵng</t>
  </si>
  <si>
    <t>Nghiên cứu thực trạng lo âu học đường của học sinh THCS trên địa bàn thành phố Đà Nẵng</t>
  </si>
  <si>
    <t>Đinh Hoàng Bảo Quyên</t>
  </si>
  <si>
    <t>25CTL2</t>
  </si>
  <si>
    <t>Bùi Nguyễn Ngọc Tuệ</t>
  </si>
  <si>
    <t>Hành vi tham gia các cộng đồng online ẩn danh trên Facebook của sinh viên trường Đại học Sư phạm – Đại học Đà Nẵng</t>
  </si>
  <si>
    <t>Nguyễn Thị Khánh Chi</t>
  </si>
  <si>
    <t>Nguyễn Thị Xuân Trâm</t>
  </si>
  <si>
    <t>Nguyễn Trần Bảo Trân</t>
  </si>
  <si>
    <t>Lê Thị Như Quỳnh</t>
  </si>
  <si>
    <t>25CTL1</t>
  </si>
  <si>
    <t>Đặng Thị Thu Hà</t>
  </si>
  <si>
    <t>Cảm nhận hạnh phúc của trẻ em sống tại Làng trẻ em SOS Đà Nẵng</t>
  </si>
  <si>
    <t>Kỹ năng sử dụng trí tuệ nhân tạo (AI) trong học tập của sinh viên Trường Đại học Sư phạm - Đại học Đà Nẵng</t>
  </si>
  <si>
    <t>Võ Trần Nguyên Anh</t>
  </si>
  <si>
    <t>Đinh Phạm Bích Hợp</t>
  </si>
  <si>
    <t>Đánh giá các yếu tố ảnh hưởng đến nhận thức về bắt cóc online của sinh viên Trường ĐHSP-ĐHĐN</t>
  </si>
  <si>
    <t>Nguyễn Phi Hùng</t>
  </si>
  <si>
    <t>Nghiên cứu phương pháp pomodoro trong việc nâng cao tính tự chủ trong học tập của sinh viên trường Đại học Sư phạm - Đại học Đà Nẵng</t>
  </si>
  <si>
    <t>Nghiên cứu đề xuất chương trình công tác xã hội học đường hỗ trợ phòng ngừa trầm cảm học sinh THPT tại thành phố Đà Nẵng</t>
  </si>
  <si>
    <t>Nguyễn Thị Thuý Sương</t>
  </si>
  <si>
    <t>24CTXH</t>
  </si>
  <si>
    <t>Phạm Thanh Phương</t>
  </si>
  <si>
    <t>Phạm Thị Mỹ Vân</t>
  </si>
  <si>
    <t>Mối quan hệ giữa áp lực đồng trang lứa và kết quả học tập của sinh viên Trường Đại học Sư phạm – Đại học Đà Nẵng.</t>
  </si>
  <si>
    <t>Phan Hà Ngọc Yến</t>
  </si>
  <si>
    <t>Lê Thị Ngọc Ánh</t>
  </si>
  <si>
    <t>Nguyễn Ngọc Khánh Vân</t>
  </si>
  <si>
    <t>Dương Trúc Linh</t>
  </si>
  <si>
    <t>Ứng dụng công tác xã hội trong giáo dục hành vi sức khỏe tinh thần cho sinh viên tai thành phố Đà Nẵng</t>
  </si>
  <si>
    <t>Lê Thị Loan</t>
  </si>
  <si>
    <t>Ảnh hưởng của công cụ trí tuệ nhân tạo đến phương pháp học tập của sinh viên Trường Đại học Sư phạm - Đại học Đà Nẵng</t>
  </si>
  <si>
    <t>Nguyễn Thị Tuyết Vân</t>
  </si>
  <si>
    <t>Khó khăn tâm lý trong định hướng nghề nghiệp của học sinh lớp 12 tại các trường THPT trên địa bàn TP Đà Nẵng</t>
  </si>
  <si>
    <t>Trần Thị Lan Hương</t>
  </si>
  <si>
    <t>24CLT2</t>
  </si>
  <si>
    <t>Mối quan hệ giữa việc sử dụng ChatGPT và sự chủ động, tính tích cực trong học tập của sinh viên Trường Đại học Sư phạm – Đại học Đà Nẵng</t>
  </si>
  <si>
    <t>Võ Hoài Nhi</t>
  </si>
  <si>
    <t>Lưu Tuyết Ngân</t>
  </si>
  <si>
    <t>Lê Thị Xuân Mơ</t>
  </si>
  <si>
    <t>Hoạt động công tác xã hội trong phòng ngừa lừa đảo trực tuyến cho sinh viên: Nghiên cứu tại Trường Đại học Sư phạm - Đại học Đà Nẵng</t>
  </si>
  <si>
    <t>Đoàn Thị Kiều Trinh</t>
  </si>
  <si>
    <t>Nguyễn Đoàn Phúc Ngân</t>
  </si>
  <si>
    <t>Vương Thị Thanh Huyền</t>
  </si>
  <si>
    <t>Phan Thị Mai Thương</t>
  </si>
  <si>
    <t>Phạm Thị Thu Thảo</t>
  </si>
  <si>
    <t>Tiếp cận dịch vụ công tác xã hội của học sinh trung học cơ sở người dân tộc thiểu số trên địa bàn thành phố Đà Nẵng</t>
  </si>
  <si>
    <t>Nghiêm Thị Hải Linh</t>
  </si>
  <si>
    <t>25CTXH</t>
  </si>
  <si>
    <t>Nguyễn Xuân Hiệp</t>
  </si>
  <si>
    <t>Nguyễn Thị Kim Thanh</t>
  </si>
  <si>
    <t>Trần Thị Thuận</t>
  </si>
  <si>
    <t>Phan Thị Yến Như</t>
  </si>
  <si>
    <t>Nghiên cúu đề xuất hoạt đông  hỗ trợ tâm lý - xã hôi cho sinh viên năm thứ nhất các trường Đại học trên địa bàn TP Đà Nẵng</t>
  </si>
  <si>
    <t>Nguyễn Trần Yến Nhi</t>
  </si>
  <si>
    <t>Nguyễn Lê Ánh Nguyệt</t>
  </si>
  <si>
    <t>Hoàng Thị Thanh Hiền</t>
  </si>
  <si>
    <t>Nguyễn Thị Hoài Tâm</t>
  </si>
  <si>
    <t>Nghiên cứu đề xuất mô hình hoạt động của phòng Tâm lý và Công tác xã hội trong các Trường phổ thông trên địa bàn thành phố Đà Nẵng</t>
  </si>
  <si>
    <t>Đặng Thị Bảo An</t>
  </si>
  <si>
    <t>Phan Lê Quỳnh Như</t>
  </si>
  <si>
    <t>Võ Thị Minh Thuỳ</t>
  </si>
  <si>
    <t>Mức độ gánh nặng chăm sóc của con cái trưởng thành đối với cha mẹ và nhu cầu hỗ trợ tâm lý xã hội cho cha mẹ cao tuổi.</t>
  </si>
  <si>
    <t>Nguyễn Lê Sông Thương</t>
  </si>
  <si>
    <t>Xây dựng chương trình hỗ trợ tâm lý xã hội cho học sinh THCS tại thành phố Đà Nẵng</t>
  </si>
  <si>
    <t>Nguyễn Thanh Nghi</t>
  </si>
  <si>
    <t>Hoạt động công tác xã hội trong hỗ trợ học sinh trung học phổ thông phòng ngừa rủi ro an ninh mạng trên địa bàn thành phố Đà Nẵng</t>
  </si>
  <si>
    <t>Vũ Thị Huyền</t>
  </si>
  <si>
    <t>Nguyễn Thị Minh Hằng</t>
  </si>
  <si>
    <t>Trần Thị Chi Na</t>
  </si>
  <si>
    <t>Vai trò của nhóm hỗ trợ đồng đẳng trong chăm sóc sức khỏe tâm thần cho học sinh trung học phổ thông</t>
  </si>
  <si>
    <t>Trần Thị Hoàng Ánh</t>
  </si>
  <si>
    <t>24 CTXH</t>
  </si>
  <si>
    <t>Hứa Hồ Vân Anh</t>
  </si>
  <si>
    <t>Phan Thị Tấn Na</t>
  </si>
  <si>
    <t>Chu Hồng Khanh</t>
  </si>
  <si>
    <t>Trần Thị Thanh Vân</t>
  </si>
  <si>
    <t>Tác động của hiện tượng “Viral Tourism” trên nền tảng Tiktok đến ý định lựa chọn các điểm du lịch tại thành phố Đà Nẵng của thế hệ Gen Z.</t>
  </si>
  <si>
    <t>Phạm Đinh Phương Đan</t>
  </si>
  <si>
    <t>24CVNH01</t>
  </si>
  <si>
    <t>Sử-Địa-Chính trị</t>
  </si>
  <si>
    <t>Khoa Sử - Địa - Chính trị, Trường ĐHSP</t>
  </si>
  <si>
    <t>Lê Trung Lý</t>
  </si>
  <si>
    <t>Nguyễn Thị Hải Yến</t>
  </si>
  <si>
    <t>Đánh giá tác động các hoạt động bảo vệ môi trường của cộng đồng địa phương hướng tới phát triển du lịch bền vững tại Hòa Bắc (nay thuộc phường Hải Vân, thành phố Đà Nẵng)</t>
  </si>
  <si>
    <t xml:space="preserve">Đỗ Thị Ngọc Duyên </t>
  </si>
  <si>
    <t>25CVNH1</t>
  </si>
  <si>
    <t>Nguyễn Viết Thiện</t>
  </si>
  <si>
    <t>Nghiên cứu vai trò của các bên liên quan trong phát triển du lịch có trách nhiệm tại xã Vạn Tường, tỉnh Quảng Ngãi</t>
  </si>
  <si>
    <t xml:space="preserve">Phan Thị Thuỵ Khuê </t>
  </si>
  <si>
    <t>Nguyễn Văn Trường An</t>
  </si>
  <si>
    <t>Nguyễn Thị Kiều Oanh</t>
  </si>
  <si>
    <t>Võ Thị Minh Phương</t>
  </si>
  <si>
    <t>25CDDL</t>
  </si>
  <si>
    <t>Đánh giá mức độ hài lòng của du khách đối với các ứng dụng du lịch thông minh tại thành phố Đà Nẵng</t>
  </si>
  <si>
    <t>Võ Xuân Đông</t>
  </si>
  <si>
    <t xml:space="preserve">Trần Thị Thanh Thảo </t>
  </si>
  <si>
    <t xml:space="preserve">Đinh Hữu Hận </t>
  </si>
  <si>
    <t>Thực trạng và giải pháp phát triển du lịch ở thánh địa Mỹ Sơn, thành phố Đà Nẵng</t>
  </si>
  <si>
    <t>Nguyễn Ngọc Hiếu</t>
  </si>
  <si>
    <t>25 CDDL</t>
  </si>
  <si>
    <t>Thiết kế website tích hợp bản đồ tương tác phát triển du lịch làng nghề đặc trưng của thành phố Đà Nẵng.</t>
  </si>
  <si>
    <t>Ngô Trâm Anh</t>
  </si>
  <si>
    <t>Đỗ Kim Cương</t>
  </si>
  <si>
    <t xml:space="preserve">Nguyễn Tiến Toàn </t>
  </si>
  <si>
    <t>Xây dựng cơ sở dữ liệu GIS phục vụ  phát triển du lịch thành phố Đà Nẵng</t>
  </si>
  <si>
    <t>Nguyễn Trần Minh Anh</t>
  </si>
  <si>
    <t>Hành vi sử dụng ứng dụng du lịch thông minh của khách du lịch nội địa tại Đà Nẵng.</t>
  </si>
  <si>
    <t>Dương Hương Giang</t>
  </si>
  <si>
    <t xml:space="preserve">Lê Hoàng Gia Bảo </t>
  </si>
  <si>
    <t>Đoàn Văn Thành Nhân</t>
  </si>
  <si>
    <t>Lê Dương Trọng Tuyển</t>
  </si>
  <si>
    <t>Ước tính độ sâu đáy biển và thành lập bản đồ độ sâu xung quanh các đảo thuộc Quần đảo Trường Sa và Hoàng Sa bằng dữ liệu Viễn thám và học máy..</t>
  </si>
  <si>
    <t>Đậu Thị Khánh Chi</t>
  </si>
  <si>
    <t>24SDL</t>
  </si>
  <si>
    <t>25SKT2</t>
  </si>
  <si>
    <t>Lý-Hóa</t>
  </si>
  <si>
    <t>Khoa Lý - Hóa, Trường ĐHSP</t>
  </si>
  <si>
    <t xml:space="preserve">Nguyễn Nhật Long </t>
  </si>
  <si>
    <t>Phạm Thanh Trâm</t>
  </si>
  <si>
    <t>25SDL</t>
  </si>
  <si>
    <t>Phân vùng nguy cơ trượt lở đất ở xã Tây Giang, Thành phố Đà Nẵng</t>
  </si>
  <si>
    <t>Đánh giá mức độ nhận thức và sử dụng dịch vụ đô thị thông minh của sinh viên trên địa bàn thành phố Đà Nẵng</t>
  </si>
  <si>
    <t>Trần Quỳnh Anh</t>
  </si>
  <si>
    <t>Trần Thị Thanh Trúc</t>
  </si>
  <si>
    <t>Trần Nguyễn Đức Hoà</t>
  </si>
  <si>
    <t>Giám sát biến động đường bờ biển Thành phố Đà Nẵng bằng viễn thám và GIS.</t>
  </si>
  <si>
    <t>Tích hợp GEE và viễn thám đa nguồn để định lượng tác động của đô thị hóa dài hạn đến động lực ngập lụt: Phân tích 30 năm tại Đà Nẵng, Việt Nam</t>
  </si>
  <si>
    <t>Huỳnh Hữu Bảo Tiên</t>
  </si>
  <si>
    <t>Lê Cao Thái Dương</t>
  </si>
  <si>
    <t>Plong Thị Thảo</t>
  </si>
  <si>
    <t>Phạm Tấn Nghĩa</t>
  </si>
  <si>
    <t>Đánh giá chất lượng cuộc sống người dân xã Hòa Vang - thành phố Đà Nẵng.</t>
  </si>
  <si>
    <t>Lê Thanh Nhật</t>
  </si>
  <si>
    <t>Nguyễn Văn Quang</t>
  </si>
  <si>
    <t>Thiết kế và sử dụng trò chơi trong dạy học Địa Lí lớp 11.</t>
  </si>
  <si>
    <t>Trần Thị Kha</t>
  </si>
  <si>
    <t>Nguyễn Thị Ngọc Trâm</t>
  </si>
  <si>
    <t>Huỳnh Trần Thảo Nguyên</t>
  </si>
  <si>
    <t>Nghiên cứu sinh kế bền vững của hộ gia đình vùng nông thôn ven trung tâm Thành phố Đà Nẵng, trường hợp nghiên cứu tại xã Bà Nà</t>
  </si>
  <si>
    <t>Mai Thị Anh</t>
  </si>
  <si>
    <t>24SLD1</t>
  </si>
  <si>
    <t>Nguyễn Thị Lanh</t>
  </si>
  <si>
    <t>24SLD2</t>
  </si>
  <si>
    <t>Giáp Thị Thu Thùy</t>
  </si>
  <si>
    <t>24SLD3</t>
  </si>
  <si>
    <t>Ứng dụng mô hình bảo tồn thích ứng  trong bảo tồn và phát huy di sản Văn hoá làng cổ Tuý Loan, xã Hoà Vang, thành phố Đà Nẵng.</t>
  </si>
  <si>
    <t>Phan Thị Hoài Nhi</t>
  </si>
  <si>
    <t>23SLD1</t>
  </si>
  <si>
    <t>Nguyễn Thị Thanh Nhàn</t>
  </si>
  <si>
    <t>Nguyễn Bùi Bảo Ngọc</t>
  </si>
  <si>
    <t>Lê Phước Thành</t>
  </si>
  <si>
    <t>Nguyễn Phi Hoàng Vũ</t>
  </si>
  <si>
    <t>Xây dựng nguồn tài nguyên số cho văn hóa của người Cơ Tu ở Thành phố Đà Nẵng</t>
  </si>
  <si>
    <t>Bnướch Thị Hằng</t>
  </si>
  <si>
    <t>Phạm Thị Kiều My</t>
  </si>
  <si>
    <t>Phạm Thị Hoài Nhị</t>
  </si>
  <si>
    <t>Võ Thị Thu Huyền</t>
  </si>
  <si>
    <t>Thiết kế và sử dụng website trong dạy học lịch sử Việt Nam lớp 7 từ thế kỉ XIII đến đầu thế kỉ XV (Giai đoạn Trần – Hồ), ở các trường THCS trên địa bàn thành phố Đà Nẵng</t>
  </si>
  <si>
    <t>Văn Thị Trúc Ly</t>
  </si>
  <si>
    <t>24SLSD1</t>
  </si>
  <si>
    <t>Nguyễn Thị Linh </t>
  </si>
  <si>
    <t>Nguyễn Lại Mai Thi </t>
  </si>
  <si>
    <t>Lê Thị Bích Hồng </t>
  </si>
  <si>
    <t>Mai Thị Huyền</t>
  </si>
  <si>
    <t>Biến đổi văn hóa - xã hội của các đô thị lớn ở miền Nam Việt Nam giai đoạn 1954-1975</t>
  </si>
  <si>
    <t>23SLD3</t>
  </si>
  <si>
    <t>Chính sách của chúa Nguyễn đối với Phật giáo và Thiên Chúa giáo (XVI – XVIII)</t>
  </si>
  <si>
    <t>Phạm Duy Thiện</t>
  </si>
  <si>
    <t>Chiến tranh tâm lý trong lịch sử Việt Nam từ thế kỷ X đến thế kỷ XIX</t>
  </si>
  <si>
    <t xml:space="preserve">Phan Lê Thảo Nguyên </t>
  </si>
  <si>
    <t>Ngoại giao Hàn Quốc với Tiểu vùng sông MeKong (2017-2025)</t>
  </si>
  <si>
    <t>Nguyễn Trần Hoài Đông</t>
  </si>
  <si>
    <t>Lê Thị Quỳnh An</t>
  </si>
  <si>
    <t>Phan Thùy Linh</t>
  </si>
  <si>
    <t>Cạnh tranh công nghệ trong quan hệ Mỹ- Trung: Trường hợp tiktok (2019-2025)</t>
  </si>
  <si>
    <t>Nguyễn Trần Hải Anh</t>
  </si>
  <si>
    <t>24CLS</t>
  </si>
  <si>
    <t xml:space="preserve">Trương Hồng Vân  </t>
  </si>
  <si>
    <t>Ngoại giao văn hóa Nhật Bản tại Đông Nam Á (2012 – 2020)</t>
  </si>
  <si>
    <t xml:space="preserve">Huỳnh Trương Miên Ngọc </t>
  </si>
  <si>
    <t>Lê Bình Nguyên</t>
  </si>
  <si>
    <t>Hôn nhân Việt - Hàn trong tiến trình giao lưu giữa nhân dân hai nước (1991–nay)</t>
  </si>
  <si>
    <t>Nguyễn Bảo Vy</t>
  </si>
  <si>
    <t>25CLS</t>
  </si>
  <si>
    <t>Mai Thu Huyền</t>
  </si>
  <si>
    <t>Võ Tường Vy</t>
  </si>
  <si>
    <t>Trương Thị Ngọc Thảo</t>
  </si>
  <si>
    <t>Công nghiệp văn hoá ở miền Trung Việt Nam từ năm 2000 đến nay</t>
  </si>
  <si>
    <t>Trần Quốc Đạt</t>
  </si>
  <si>
    <t>Đoàn Thị Mỹ Linh</t>
  </si>
  <si>
    <t>Lê Thị Phương Linh</t>
  </si>
  <si>
    <t>Sự phát triển của lực lượng cảnh sát biển ở Đông Nam Á trong hai thập kỉ đầu thế kỷ XXI và hàm ý chính sách cho Việt Nam</t>
  </si>
  <si>
    <t>Làng Cẩm Lậu (nay thuộc Thành phố Đà Nẵng) từ thế kỷ XVI đến thế kỷ XIX.</t>
  </si>
  <si>
    <t>Lê Thị Khánh Huyền</t>
  </si>
  <si>
    <t>Nguyễn Thuỳ Quyên</t>
  </si>
  <si>
    <t>Nguyễn Thị Khánh Uyên</t>
  </si>
  <si>
    <t>Nâng cao nhận thức về nghề nghiệp của sinh viên ngành Giáo dục công dân tại trường Đại học Sư phạm - Đại học Đà Nẵng.</t>
  </si>
  <si>
    <t>Phan Lâm Thương</t>
  </si>
  <si>
    <t>24SCD</t>
  </si>
  <si>
    <t>Ngô Hương Giang</t>
  </si>
  <si>
    <t>Vận dụng phương pháp dạy học trực quan nhằm giáo dục quyền con người qua môn GDKT&amp;PL từ thực tiễn trường THPT Nguyễn Trãi, thành phố Đà Nẵng</t>
  </si>
  <si>
    <t>Bùi Nguyệt Anh</t>
  </si>
  <si>
    <t>Nguyễn Thị Thu Huệ</t>
  </si>
  <si>
    <t>Lương Yến Nhi</t>
  </si>
  <si>
    <t>Ảnh hưởng của tin giả đối với sinh viên Trường Đại học Sư phạm - Đại học Đà Nẵng</t>
  </si>
  <si>
    <t>Mai Thị Ngọc Trâm</t>
  </si>
  <si>
    <t>Phạm Thị Thanh Huyền</t>
  </si>
  <si>
    <t>Nguyễn Thị Phương Vy</t>
  </si>
  <si>
    <t xml:space="preserve"> Lê Thị Trâm Anh</t>
  </si>
  <si>
    <t xml:space="preserve"> Vũ Thị Mỹ</t>
  </si>
  <si>
    <t>Vai trò Bảo hiểm xã hội trong việc đảm bảo quyền lợi cho người cao tuổi theo Luật Bảo hiểm Xã hội</t>
  </si>
  <si>
    <t>23 SCD</t>
  </si>
  <si>
    <t>Nguyễn Thị Mộng Kha</t>
  </si>
  <si>
    <t>25 SPL</t>
  </si>
  <si>
    <t>Hồ Trí Thuận</t>
  </si>
  <si>
    <t>Đoàn Ngọc Gia Hân</t>
  </si>
  <si>
    <t>Thực hiện chính sách y tế cho đồng bào Jrai trên địa bàn Tỉnh Gia Lai</t>
  </si>
  <si>
    <t>Ksor H’ Mỹ Uyên</t>
  </si>
  <si>
    <t>Nguyễn Trà My</t>
  </si>
  <si>
    <t>25SPL</t>
  </si>
  <si>
    <t>Lê Dương Khánh Ngọc</t>
  </si>
  <si>
    <t>Hoàn thiện pháp luật bảo vệ quyền lợi người tiêu dùng trong giao dịch thương mại điện tử ở Việt Nam trong thời kỳ chuyển đổi số</t>
  </si>
  <si>
    <t>Vận động thanh niên trong phong trào Đoàn, Hội tại trường Đại học Sư phạm, Đại học Đà Nẵng trong bối cảnh sáp nhập hiện nay. Thực trạng và giải pháp</t>
  </si>
  <si>
    <t>Mai Thị Thuỳ Dung</t>
  </si>
  <si>
    <t>Lường Thị Mai</t>
  </si>
  <si>
    <t>Quyền được đảm bảo an sinh xã hội của người dân thông qua chương trình xóa nhà tạm tại Thành phố Đà Nẵng</t>
  </si>
  <si>
    <t>Đặng Thị Bình An</t>
  </si>
  <si>
    <t>24SGC</t>
  </si>
  <si>
    <t>Lê Văn Quang</t>
  </si>
  <si>
    <t xml:space="preserve"> Lê Đặng Thu Hà</t>
  </si>
  <si>
    <t>Vai trò của Triết học Mác – Lênin trong củng cố niềm tin chính trị ở Việt Nam hiện nay</t>
  </si>
  <si>
    <t>Nguyễn Hợi</t>
  </si>
  <si>
    <t>Ảnh hưởng của Mạng xã hội tới nhận thức về tình yêu và hôn nhân của sinh viên trường Đại học Sư phạm - Đại học Đà Nẵng.</t>
  </si>
  <si>
    <t>Đoàn Tuấn Anh</t>
  </si>
  <si>
    <t>Lê Mai Thanh Nhàn</t>
  </si>
  <si>
    <t>Bùi Thị Anh Đào</t>
  </si>
  <si>
    <t>Hà Huy Đông</t>
  </si>
  <si>
    <t>Bảo tồn, phát huy giá trị văn hóa thổ cẩm của đồng bào Cơ Tu</t>
  </si>
  <si>
    <t>Ka Phu Giang</t>
  </si>
  <si>
    <t>Zơ Râm Ngọc Vĩnh</t>
  </si>
  <si>
    <t>24SLS</t>
  </si>
  <si>
    <t xml:space="preserve">Ảnh hưởng của trí tuệ nhân tạo đối với hoạt động giáo dục pháp luật tại các trường đại học thành viên Đại học Đà Nẵng </t>
  </si>
  <si>
    <t>Nguyễn Võ Bảo Trâm</t>
  </si>
  <si>
    <t>Nguyễn Hồng Quân</t>
  </si>
  <si>
    <t>Đào Thảo Vy</t>
  </si>
  <si>
    <t>Hà Thị Hương Lam</t>
  </si>
  <si>
    <t>Vi phạm bản quyền học liệu giáo trình trong sinh viên dưới góc nhìn Luật Sở hữu trí tuệ.</t>
  </si>
  <si>
    <t>Hồ Văn Châu</t>
  </si>
  <si>
    <t>Lê Thị Như Ý</t>
  </si>
  <si>
    <t>Đánh giá giá trị kinh tế và tiềm năng phát triển mô hình Du lịch Yoga – Biển tại bãi biển Mỹ Khê, Thành phố Đà Nẵng</t>
  </si>
  <si>
    <t>Hồ Thị Mỹ Trình</t>
  </si>
  <si>
    <t>Y Hoạch Niê</t>
  </si>
  <si>
    <t>Hồ Thị Thanh Hằng</t>
  </si>
  <si>
    <t xml:space="preserve">Sáng kiến Chương trình Chính sách An toàn và An ninh Hàng hải trong </t>
  </si>
  <si>
    <t xml:space="preserve">Tôn Nữ Thanh Son </t>
  </si>
  <si>
    <t xml:space="preserve">Lộc Nguyễn Hạ Vy </t>
  </si>
  <si>
    <t xml:space="preserve">Phan Ngọc Hà </t>
  </si>
  <si>
    <t xml:space="preserve">Lại Thị Hoàng Hà  </t>
  </si>
  <si>
    <t>Phát triển mô hình Du lịch cộng đồng - Nông nghiệp tái sinh kết hợp Yoga tại thành phố Đà Nẵng trong định hướng du lịch bền vững.</t>
  </si>
  <si>
    <t>Nguyễn Huy Hoàng</t>
  </si>
  <si>
    <t>Nguyễn Thị Thanh Trúc</t>
  </si>
  <si>
    <t>Đinh Văn Quỳnh</t>
  </si>
  <si>
    <t>Phan Xuân Mạnh</t>
  </si>
  <si>
    <t>Trần Thị Thu Thảo</t>
  </si>
  <si>
    <t>Số hoá di sản mái ngói Thanh Hà, Hội An Tây: Từ tri thức bản địa đến sản phẩm du lịch tương tác</t>
  </si>
  <si>
    <t>Lê Thuỳ Mỹ Ý</t>
  </si>
  <si>
    <t>23CVNH01</t>
  </si>
  <si>
    <t>Trần Thị Thu Uyên</t>
  </si>
  <si>
    <t>Phạm Thị Yến Vy</t>
  </si>
  <si>
    <t>23CVNH02</t>
  </si>
  <si>
    <t>Đánh giá vai trò du lịch cộng đồng trong phát triển bền vững ở làng Kim Bồng, Thành phố Đà Nẵng</t>
  </si>
  <si>
    <t>D2504430</t>
  </si>
  <si>
    <t>Hoàng Thị Thuý Nga</t>
  </si>
  <si>
    <t>D2504431</t>
  </si>
  <si>
    <t>Châu Thị Như Quỳnh</t>
  </si>
  <si>
    <t xml:space="preserve">23SLD1 </t>
  </si>
  <si>
    <t>D2504432</t>
  </si>
  <si>
    <t>Thực trạng và giải pháp nhằm hạn chế tình trạng tảo hôn ở cộng đồng người dân tộc thiểu số Đà Nẵng hiện nay</t>
  </si>
  <si>
    <t xml:space="preserve">Nguyễn Thị Hồng </t>
  </si>
  <si>
    <t>D2504433</t>
  </si>
  <si>
    <t xml:space="preserve">Nguyễn Thị Mỹ Duyên </t>
  </si>
  <si>
    <t>D2504434</t>
  </si>
  <si>
    <t xml:space="preserve">Đào Thị Yến Nhi </t>
  </si>
  <si>
    <t>D2504435</t>
  </si>
  <si>
    <t xml:space="preserve">Trịnh Khánh Đan </t>
  </si>
  <si>
    <t>D2504436</t>
  </si>
  <si>
    <t>Hồ Hoài Linh</t>
  </si>
  <si>
    <t>D2504437</t>
  </si>
  <si>
    <t>Ảnh hưởng của mạng xã hội đến nhận thức chính trị của sinh viên Đại học Đà Nẵng</t>
  </si>
  <si>
    <t>D2504438</t>
  </si>
  <si>
    <t>D2504439</t>
  </si>
  <si>
    <t>Ngô Nguyễn Thuỳ Dung</t>
  </si>
  <si>
    <t>D2504440</t>
  </si>
  <si>
    <t>Võ Huỳnh Thanh Phương</t>
  </si>
  <si>
    <t>D2504441</t>
  </si>
  <si>
    <t>D2504442</t>
  </si>
  <si>
    <t>Thiết kế và sử dụng thí nghiệm ảo trong dạy học Sinh học 10 theo hướng phát triển năng lực tìm hiểu thế giới sống của học sinh</t>
  </si>
  <si>
    <t>Nguyễn Xuân Lộc</t>
  </si>
  <si>
    <t>Sinh-Nông nghiệp-Môi trường</t>
  </si>
  <si>
    <t>Khoa Sinh - Nông nghiệp - Môi trường, Trường ĐHSP</t>
  </si>
  <si>
    <t xml:space="preserve">Phạm Thùy Trâm </t>
  </si>
  <si>
    <t>Chiến lược ứng dụng Board Game trong dạy học tích cực chủ đề 7 Virus chương trình sinh học lớp 10</t>
  </si>
  <si>
    <t>Nông Thúy Kiều</t>
  </si>
  <si>
    <t>Nguyễn Quỳnh Như</t>
  </si>
  <si>
    <t>Phạm Mai Trí</t>
  </si>
  <si>
    <t>Nguyễn Phạm Hải Anh</t>
  </si>
  <si>
    <t>25SS</t>
  </si>
  <si>
    <t>Ứng dụng học liệu mô phỏng theo định hướng SEPs trong dạy học Sinh học lớp 10</t>
  </si>
  <si>
    <t>Phạm Thị Thùy Dung</t>
  </si>
  <si>
    <t>Nguyễn Thành Tín</t>
  </si>
  <si>
    <t xml:space="preserve">Bùi Khánh Ly </t>
  </si>
  <si>
    <t>Thiết kế và tổ chức dạy học STEM chủ đề “Tế bào – Vi sinh vật” – Sinh học 10 theo hướng tích hợp công nghệ thông tin nhằm phát triển năng lực số cho học sinh</t>
  </si>
  <si>
    <t>Phạm Thị Anh Thư</t>
  </si>
  <si>
    <t>24SS</t>
  </si>
  <si>
    <t>Nguyễn Thị Thanh An</t>
  </si>
  <si>
    <t>Trần Hữu Thịnh</t>
  </si>
  <si>
    <t>Vũ Xuân Thủy</t>
  </si>
  <si>
    <t>Xây dựng bộ học liệu số về thiên nhiên và môi trường thành phố Đà Nẵng tích hợp trong dạy học chủ đề “Vật sống” –môn khoa học tự nhiên lớp 8</t>
  </si>
  <si>
    <t>Nguyễn Ngọc Thanh Huyền</t>
  </si>
  <si>
    <t>Phạm Trần Ái Ly</t>
  </si>
  <si>
    <t>Nguyễn Thị Mẫn</t>
  </si>
  <si>
    <r>
      <rPr>
        <sz val="10"/>
        <color theme="1"/>
        <rFont val="Arial"/>
      </rPr>
      <t xml:space="preserve">Đánh giá ảnh hưởng của các chế phẩm nấm men bao tinh dầu đến đặc điểm sinh học loài </t>
    </r>
    <r>
      <rPr>
        <i/>
        <sz val="12"/>
        <color theme="1"/>
        <rFont val="Times New Roman"/>
      </rPr>
      <t>Moina macrocopa</t>
    </r>
    <r>
      <rPr>
        <sz val="12"/>
        <color theme="1"/>
        <rFont val="Times New Roman"/>
      </rPr>
      <t xml:space="preserve"> (</t>
    </r>
    <r>
      <rPr>
        <i/>
        <sz val="12"/>
        <color theme="1"/>
        <rFont val="Times New Roman"/>
      </rPr>
      <t>Straus</t>
    </r>
    <r>
      <rPr>
        <sz val="12"/>
        <color theme="1"/>
        <rFont val="Times New Roman"/>
      </rPr>
      <t>, 1820)</t>
    </r>
  </si>
  <si>
    <t>Trần Thị Đoan Trang</t>
  </si>
  <si>
    <t>Huỳnh Thị Minh Châu</t>
  </si>
  <si>
    <t xml:space="preserve">Nguyễn Đình Doanh </t>
  </si>
  <si>
    <t>25CNSH</t>
  </si>
  <si>
    <t>Nghiên cứu ảnh hưởng của một số yếu tố môi trường lên độc tính của As đến loài Moina macrocopa (Straus, 1820)</t>
  </si>
  <si>
    <t>Lê Nguyễn Khánh Ngọc</t>
  </si>
  <si>
    <t>Phan Thị Bích Phượng</t>
  </si>
  <si>
    <t>Nguyễn Ngọc Hải Yến</t>
  </si>
  <si>
    <t>Nghiên cứu phân vùng và dự báo khu vực phân bố tiềm năng sâm Ngọc Linh bằng mô hình XGBOOST</t>
  </si>
  <si>
    <t>Phan Hồ Quốc Trường</t>
  </si>
  <si>
    <t>24CTM</t>
  </si>
  <si>
    <t>Đánh giá tiềm năng sử dụng nước thải sau xử lý của nhà máy lọc dầu để sản xuất sinh khối và lipid vi tảo</t>
  </si>
  <si>
    <t>Lê Việt Hoàng</t>
  </si>
  <si>
    <t>Trần Hòa Hiếu</t>
  </si>
  <si>
    <t>Nguyễn Bá Khuê</t>
  </si>
  <si>
    <t>25CTM</t>
  </si>
  <si>
    <t>Nghiên cứu ô nhiễm vi nhựa trong một số loại gia vị phổ biến ở Việt Nam và đánh giá rủi ro đến sức khỏe người tiêu dùng</t>
  </si>
  <si>
    <t>Lê nguyễn Hồng Hoa</t>
  </si>
  <si>
    <t xml:space="preserve">Nguyễn Nguyên Phương            </t>
  </si>
  <si>
    <t xml:space="preserve">Lê Trần Thiên Phương             </t>
  </si>
  <si>
    <t xml:space="preserve">Trần Huỳnh Thảo Phương     </t>
  </si>
  <si>
    <t xml:space="preserve"> Nguyễn Ngọc Ly Na</t>
  </si>
  <si>
    <t xml:space="preserve">25CTM </t>
  </si>
  <si>
    <t>Nghiên cứu tạo dòng và biểu hiện gen mã hóa Uricase từ Bacillus sp. phân lập tại khu nước thải nuôi tôm</t>
  </si>
  <si>
    <t xml:space="preserve">Lê Khánh Duyên                           </t>
  </si>
  <si>
    <t xml:space="preserve">Lại Phước Sơn          </t>
  </si>
  <si>
    <t>Trần Công Minh</t>
  </si>
  <si>
    <t>Phân lập, định danh và nghiên cứu một số đặc điểm sinh học của các chủng nấm mốc gây thối hỏng cam, quýt sau thu hoạch</t>
  </si>
  <si>
    <t xml:space="preserve">Hồ Thị Hoàn                         </t>
  </si>
  <si>
    <t>23CNSH</t>
  </si>
  <si>
    <t xml:space="preserve">Trần Mai Phương                    </t>
  </si>
  <si>
    <t>Chu Minh Châu</t>
  </si>
  <si>
    <t xml:space="preserve">Nguyễn Phan Khánh Linh              </t>
  </si>
  <si>
    <t xml:space="preserve">25SKT2 </t>
  </si>
  <si>
    <t>Nghiên cứu tạo chế phẩm vi sinh vật kháng nấm gây bệnh thực vật từ phụ phẩm cây quế (Cinnamomum cassia)</t>
  </si>
  <si>
    <t>Nguyễn Hồ Quỳnh Như</t>
  </si>
  <si>
    <t>Phạm Thị Bích Hợp</t>
  </si>
  <si>
    <t>Dương Thị Thùy Trang</t>
  </si>
  <si>
    <t>Nghiên cứu tính đa dạng di truyền cây Sâm khoẻ tại tỉnh Gia Lai bằng chỉ thị phân tử</t>
  </si>
  <si>
    <t>Hoàng Thị Thanh Tú</t>
  </si>
  <si>
    <t xml:space="preserve">Trần Minh Tâm </t>
  </si>
  <si>
    <t xml:space="preserve">24CNSH </t>
  </si>
  <si>
    <t>Nghiên cứu quy trình phát hiện vi khuẩn Vibrio spp. gây bệnh trên tôm thẻ chân trắng bằng kỹ thuật RPA kết hợp Crispr-Cas12a</t>
  </si>
  <si>
    <t>Đặng Ngọc Bảo Trân</t>
  </si>
  <si>
    <t>Lê Huy Đức</t>
  </si>
  <si>
    <t>24CNSH</t>
  </si>
  <si>
    <t xml:space="preserve">Lê Hồ Quỳnh Như </t>
  </si>
  <si>
    <t xml:space="preserve">22CNSH </t>
  </si>
  <si>
    <t>Nghiên cứu ảnh hưởng xuyên thế hệ của thuốc kháng sinh Ciprofloxacin (CIP) đến loài Moina macrocopa (Straus, 1820)</t>
  </si>
  <si>
    <t>Dương Trần Trí Minh</t>
  </si>
  <si>
    <t>Bùi Ánh Nguyệt</t>
  </si>
  <si>
    <t>Lê Thị Mai Phương</t>
  </si>
  <si>
    <t>Nghiên cứu ảnh hưởng của độ mặn và nồng độ Cu2+ đến hành vi di chuyển của loài Apocyclops dengizicus</t>
  </si>
  <si>
    <t xml:space="preserve">Võ Ngọc Gia Bảo                                     </t>
  </si>
  <si>
    <t xml:space="preserve">Bùi Hoàng Gia Bảo  </t>
  </si>
  <si>
    <t>Đỗ Thanh Bình</t>
  </si>
  <si>
    <t xml:space="preserve">Ảnh hưởng của độ mặn và tỉ lệ thức ăn đến sự sinh trưởng của quần thể Nitokra taylori (Gómez, Carrasco &amp; Morales-Serna, 2012). </t>
  </si>
  <si>
    <t>Võ Thị Thu Hằng</t>
  </si>
  <si>
    <t>24SKT2</t>
  </si>
  <si>
    <t>Hoàng Thị Thu Hà</t>
  </si>
  <si>
    <t>Lê Thị Xuân Mai</t>
  </si>
  <si>
    <t>Nghiên cứu tối ưu hóa điều kiện môi trường nuôi loài Apocyclops royi (Lindberg 1940) bằng phương pháp đáp ứng bề mặt</t>
  </si>
  <si>
    <t>Võ Như Khoa</t>
  </si>
  <si>
    <t>Huỳnh Văn Tân</t>
  </si>
  <si>
    <t>Hồ Nguyễn Ngọc Trang</t>
  </si>
  <si>
    <r>
      <rPr>
        <sz val="10"/>
        <color theme="1"/>
        <rFont val="Arial"/>
      </rPr>
      <t>Nghiên cứu nhân giống in vitro cây sa sâm nam (</t>
    </r>
    <r>
      <rPr>
        <i/>
        <sz val="12"/>
        <color theme="1"/>
        <rFont val="Times New Roman"/>
      </rPr>
      <t>Launaea sarmentosa)</t>
    </r>
    <r>
      <rPr>
        <sz val="12"/>
        <color theme="1"/>
        <rFont val="Times New Roman"/>
      </rPr>
      <t xml:space="preserve"> thông qua hình thức phát sinh phôi soma từ lóng thân</t>
    </r>
  </si>
  <si>
    <t>Mai Bảo Tịnh</t>
  </si>
  <si>
    <t>Lê Thị Kim Cúc</t>
  </si>
  <si>
    <t>Võ Ngọc Phương Nguyên</t>
  </si>
  <si>
    <t>Nghiên cứu ảnh hưởng của điều kiện nuôi cấy đến khả năng tái sinh chồi từ callus của cây Giọt băng (Mesembryanthemum crystallinum L.)</t>
  </si>
  <si>
    <t xml:space="preserve">Trần Thị Kim Nguyên            </t>
  </si>
  <si>
    <t xml:space="preserve">Trần Thị Mai </t>
  </si>
  <si>
    <t xml:space="preserve"> 22CNSH</t>
  </si>
  <si>
    <t>Khảo sát tiềm năng kháng oxy hóa của phân đoạn chloroform từ cao chiết củ Nghĩa Sâm thu hái tại Quảng Ngãi</t>
  </si>
  <si>
    <t>Phạm Kiều Thạnh</t>
  </si>
  <si>
    <t>Lê Thị Hiền</t>
  </si>
  <si>
    <t>Phan Khắc Anh</t>
  </si>
  <si>
    <t>Đánh giá tác dụng kháng viêm và điều hòa miễn dịch của cao chiết củ Nghĩa sâm, xã Đông Sơn, tỉnh Quảng Ngãi</t>
  </si>
  <si>
    <t>Phạm Hoàng Tuấn</t>
  </si>
  <si>
    <t>Bùi Thị Thắm</t>
  </si>
  <si>
    <r>
      <rPr>
        <sz val="10"/>
        <color theme="1"/>
        <rFont val="Arial"/>
      </rPr>
      <t>Đánh giá hoạt tính sinh học của cao chiết lá cây dâu tằm (</t>
    </r>
    <r>
      <rPr>
        <i/>
        <sz val="12"/>
        <color theme="1"/>
        <rFont val="Times New Roman"/>
      </rPr>
      <t>Morus alba</t>
    </r>
    <r>
      <rPr>
        <sz val="12"/>
        <color theme="1"/>
        <rFont val="Times New Roman"/>
      </rPr>
      <t>) thu hái tại thành phố Đà Nẵng</t>
    </r>
  </si>
  <si>
    <t>Hoàng Minh Khuê</t>
  </si>
  <si>
    <t>Nguyễn Nguyệt Dung</t>
  </si>
  <si>
    <t xml:space="preserve">Đoàn Trần Phú Tài </t>
  </si>
  <si>
    <t xml:space="preserve">25CNSH </t>
  </si>
  <si>
    <r>
      <rPr>
        <sz val="10"/>
        <color theme="1"/>
        <rFont val="Arial"/>
      </rPr>
      <t>Khảo sát thành phần hóa học và hoạt tính sinh học của cao chiết thân rễ sâm đá Kbang (</t>
    </r>
    <r>
      <rPr>
        <i/>
        <sz val="12"/>
        <color theme="1"/>
        <rFont val="Times New Roman"/>
      </rPr>
      <t>Curcuma singularis Gagnep.</t>
    </r>
    <r>
      <rPr>
        <sz val="12"/>
        <color theme="1"/>
        <rFont val="Times New Roman"/>
      </rPr>
      <t>)</t>
    </r>
  </si>
  <si>
    <t>Nguyễn Thành Nam</t>
  </si>
  <si>
    <t xml:space="preserve">23CNSH  </t>
  </si>
  <si>
    <t>Trần Nguyễn Hoàng Thiện</t>
  </si>
  <si>
    <t xml:space="preserve">23SS  </t>
  </si>
  <si>
    <t xml:space="preserve">Vi Lê Minh Ngọc </t>
  </si>
  <si>
    <t>25SKT1</t>
  </si>
  <si>
    <t>Nghiên cứu ứng dụng chế phẩm xạ khuẩn xử lý phụ phẩm nông nghiệp để trồng nấm ăn</t>
  </si>
  <si>
    <t>Nguyễn Quốc Hiếu</t>
  </si>
  <si>
    <t>Nguyễn Thị Hoài Thu</t>
  </si>
  <si>
    <t>Lê Nguyễn Đình Công</t>
  </si>
  <si>
    <t xml:space="preserve">Hà Thị Bảo Ngọc </t>
  </si>
  <si>
    <r>
      <rPr>
        <sz val="10"/>
        <color theme="1"/>
        <rFont val="Arial"/>
      </rPr>
      <t>Đánh giá tiềm năng sinh học của polysaccharide chiết xuất từ hệ sợi nấm hoàng chi (</t>
    </r>
    <r>
      <rPr>
        <i/>
        <sz val="12"/>
        <color theme="1"/>
        <rFont val="Times New Roman"/>
      </rPr>
      <t>Ganoderma colossus</t>
    </r>
    <r>
      <rPr>
        <sz val="12"/>
        <color theme="1"/>
        <rFont val="Times New Roman"/>
      </rPr>
      <t>)</t>
    </r>
  </si>
  <si>
    <t>Lê Đăng Thuần Nhất</t>
  </si>
  <si>
    <t>Vũ Thị Linh</t>
  </si>
  <si>
    <t xml:space="preserve">Đặng Tiến An </t>
  </si>
  <si>
    <t>Đánh giá hiệu quả bảo quản một số loài nấm ăn bằng phương pháp kết hợp sinh học</t>
  </si>
  <si>
    <t xml:space="preserve">Đỗ Trọng Huy   </t>
  </si>
  <si>
    <t>Nguyễn Thị Ly</t>
  </si>
  <si>
    <t>Trương Trần Minh Anh</t>
  </si>
  <si>
    <t>Phạm Thị Phương Thảo</t>
  </si>
  <si>
    <t>Trương Hùng Lâm</t>
  </si>
  <si>
    <t xml:space="preserve">25SKT1 </t>
  </si>
  <si>
    <r>
      <rPr>
        <sz val="10"/>
        <color theme="1"/>
        <rFont val="Arial"/>
      </rPr>
      <t>Nghiên cứu quy trình thu nhận dịch lên men từ vỏ cam (</t>
    </r>
    <r>
      <rPr>
        <i/>
        <sz val="12"/>
        <color theme="1"/>
        <rFont val="Times New Roman"/>
      </rPr>
      <t>Citrus sinensis)</t>
    </r>
    <r>
      <rPr>
        <sz val="12"/>
        <color theme="1"/>
        <rFont val="Times New Roman"/>
      </rPr>
      <t xml:space="preserve"> và ứng dụng trong bào chế dung dịch rửa tay sinh học kháng khuẩn.</t>
    </r>
  </si>
  <si>
    <t xml:space="preserve">Trần Thị Thanh Nhã  </t>
  </si>
  <si>
    <t xml:space="preserve">Hồ Gia Minh Ngọc  </t>
  </si>
  <si>
    <t>Trương Gia Tuệ</t>
  </si>
  <si>
    <t>Xây dựng và thử nghiệm công cụ nhận diện phong cách học tập của sinh viên sinh học và môi trường – cơ sở đề xuất biện pháp phát triển năng lực tự học</t>
  </si>
  <si>
    <t>Trần Khánh Ly</t>
  </si>
  <si>
    <t>Hồ Ngọc Huyền</t>
  </si>
  <si>
    <t>Nguyễn Thị Tuyết Hoa</t>
  </si>
  <si>
    <t>Nguyễn Thị Thùy Viên</t>
  </si>
  <si>
    <t>Nghiên cứu ứng dụng trí tuệ nhân tạo để phân loại các loài động vật hoang dã từ hình ảnh của bẫy ảnh tại Việt Nam</t>
  </si>
  <si>
    <t>Nguyễn Hà Nguyên Khang</t>
  </si>
  <si>
    <t>Bùi Văn Dũng</t>
  </si>
  <si>
    <t>Nguyễn Như Truyền</t>
  </si>
  <si>
    <t>Nguyễn Thị Huyền Trang</t>
  </si>
  <si>
    <t>Võ Thị Thuỳ Trang</t>
  </si>
  <si>
    <t>Xây dựng và sử dụng bộ tiêu bản hiển vi cố định phục vụ dạy học về "Tế bào và Vi sinh vật" trong các chủ đề sinh học phổ thông</t>
  </si>
  <si>
    <t>Võ Trần Bảo Trân</t>
  </si>
  <si>
    <t>Nguyễn Hoàng Hạnh Thảo</t>
  </si>
  <si>
    <t>﻿3140723088</t>
  </si>
  <si>
    <t>﻿23SKT2</t>
  </si>
  <si>
    <t>Nghiên cứu điều kiện dinh dưỡng và nhiệt độ tối ưu trong chọn lọc chủng tảo lục phục vụ cho sản xuất nhiên liệu sinh học</t>
  </si>
  <si>
    <t>Đinh Thị Thủy Tiên</t>
  </si>
  <si>
    <t>Thái Thị Thu Thủy</t>
  </si>
  <si>
    <t>Ngô Mẫn Nhi</t>
  </si>
  <si>
    <t>Đánh giá khả năng cố định CO2 của ba loài vi tảo Spirulina platensis, Scenedesmus obliquus và Tetraselmis suecica trong hệ nuôi cấy lỏng.</t>
  </si>
  <si>
    <t>Nguyễn Thị Thu Dư</t>
  </si>
  <si>
    <t>Lê Thị Thanh Hằng</t>
  </si>
  <si>
    <t>Huỳnh Thị Uyên Vy</t>
  </si>
  <si>
    <r>
      <rPr>
        <sz val="10"/>
        <color theme="1"/>
        <rFont val="Arial"/>
      </rPr>
      <t xml:space="preserve">Nghiên cứu độc tính sinh thái của </t>
    </r>
    <r>
      <rPr>
        <i/>
        <sz val="12"/>
        <color rgb="FF000000"/>
        <rFont val="Times New Roman"/>
      </rPr>
      <t>Permethrin</t>
    </r>
    <r>
      <rPr>
        <sz val="12"/>
        <color rgb="FF000000"/>
        <rFont val="Times New Roman"/>
      </rPr>
      <t xml:space="preserve"> lên loài giáp xác nước ngọt Moina macrocopa (Straus, 1820)</t>
    </r>
  </si>
  <si>
    <t>Bùi Gia Hân</t>
  </si>
  <si>
    <t>Phan Hà My</t>
  </si>
  <si>
    <t>Bùi Nhật Anh Thư</t>
  </si>
  <si>
    <t>Phan Linh Nhi</t>
  </si>
  <si>
    <t>Thiết kế và sử dụng website học tập phần sinh học cơ thể khoa học tự nhiên 7</t>
  </si>
  <si>
    <t>23 SKT1</t>
  </si>
  <si>
    <t>Nguyễn Ngọc Duy</t>
  </si>
  <si>
    <t>Lê Nguyễn Ngọc Vân</t>
  </si>
  <si>
    <t>Phạm Lại Mỹ Linh</t>
  </si>
  <si>
    <t>23 SS</t>
  </si>
  <si>
    <t>Trương Tuấn Thành</t>
  </si>
  <si>
    <r>
      <rPr>
        <sz val="10"/>
        <color theme="1"/>
        <rFont val="Arial"/>
      </rPr>
      <t xml:space="preserve">Nghiên cứu tuyển chọn và ứng dụng vi khuẩn lactic trong chế tạo mặt nạ sinh học hỗ trợ điều trị mụn trứng cá do </t>
    </r>
    <r>
      <rPr>
        <i/>
        <sz val="12"/>
        <color theme="1"/>
        <rFont val="Times New Roman"/>
      </rPr>
      <t>Cutibacterium acnes</t>
    </r>
    <r>
      <rPr>
        <sz val="12"/>
        <color theme="1"/>
        <rFont val="Times New Roman"/>
      </rPr>
      <t xml:space="preserve"> gây ra</t>
    </r>
  </si>
  <si>
    <t xml:space="preserve">Vi Lê Minh Ngọc  </t>
  </si>
  <si>
    <t>Lê Kiều Diễm</t>
  </si>
  <si>
    <t xml:space="preserve">Nguyễn Quốc Hiếu  </t>
  </si>
  <si>
    <t xml:space="preserve">Nguyễn Thị Thùy Dương  </t>
  </si>
  <si>
    <t>Phan Lê Phương Huệ</t>
  </si>
  <si>
    <t>Tuyển chọn và định danh các chủng vi khuẩn lactic từ hệ tiêu hóa cầy hương có khả năng ứng dụng trong lên men hạt cà phê</t>
  </si>
  <si>
    <t>Nguyễn Thị Kiều Linh</t>
  </si>
  <si>
    <t>Nguyễn Thị Phương Hà</t>
  </si>
  <si>
    <t xml:space="preserve">Trần Thị Bích Hồng  </t>
  </si>
  <si>
    <t xml:space="preserve">Nguyễn Hồ Anh Thư  </t>
  </si>
  <si>
    <t xml:space="preserve">Võ Anh Thức  </t>
  </si>
  <si>
    <t>Nghiên cứu tối ưu hóa điều kiện quang dị dưỡng nhằm nâng cao năng suất lipid của tảo lục phục vụ sản xuất nhiên liệu sinh học</t>
  </si>
  <si>
    <t>Nguyễn Ngô Ngọc Huy</t>
  </si>
  <si>
    <t>Nguyễn Trương Minh Tâm</t>
  </si>
  <si>
    <t>Lê Trùng Dương</t>
  </si>
  <si>
    <t>Nghiên cứu tuyển chọn các chủng vi tảo lục tiềm năng trong sản xuất nhiên liệu sinh học</t>
  </si>
  <si>
    <t>Nguyễn Ngọc Hậu</t>
  </si>
  <si>
    <t>Nguyễn Thị Thủy Tuyên</t>
  </si>
  <si>
    <t>Võ Thị Hà Linh</t>
  </si>
  <si>
    <t>Phạm Nguyễn Ý Nhi</t>
  </si>
  <si>
    <t>Ảnh hưởng của ánh sáng đến tốc độ sinh trưởng và khả năng tích lũy lipid của một số vi tảo lục</t>
  </si>
  <si>
    <t>Lê Nguyễn Nhất Nguyên</t>
  </si>
  <si>
    <t>Trương Ngọc Bình Thy</t>
  </si>
  <si>
    <t>Phan Hồng Ngọc</t>
  </si>
  <si>
    <t>Đánh giá ảnh hưởng của nồng độ N, P và vitamin đến khả năng xử lý kháng sinh Ciprofloxacin của vi tảo Scenedesmus obliquus</t>
  </si>
  <si>
    <t>Nguyễn Đức Trường Thịnh</t>
  </si>
  <si>
    <t>Trần Hồ Cao Nguyên</t>
  </si>
  <si>
    <t>Dương Trần Khánh Ngọc</t>
  </si>
  <si>
    <t>Thông điệp chính sách bảo tồn văn hóa trong phát triển du lịch bền vững thành phố Đà Nẵng trên báo điện tử</t>
  </si>
  <si>
    <t>Hồ Huy Thành</t>
  </si>
  <si>
    <t>Ngữ văn-Truyền thông</t>
  </si>
  <si>
    <t>Khoa Ngữ văn - Truyền thông, Trường ĐHSP</t>
  </si>
  <si>
    <t>Đỗ Thị Ngọc Oanh</t>
  </si>
  <si>
    <t>Lưu Ngọc Khuê</t>
  </si>
  <si>
    <t>Tâm lý tội phạm trong tiểu thuyết của Thomas Harris từ góc nhìn phân tâm học</t>
  </si>
  <si>
    <t>Nguyễn Nhật Khoa</t>
  </si>
  <si>
    <t>23CVH</t>
  </si>
  <si>
    <t>Nguyễn Linh Giang</t>
  </si>
  <si>
    <t>Trần Thị Khánh Huyền</t>
  </si>
  <si>
    <t>Trần Thị Trà My</t>
  </si>
  <si>
    <t>Truyền thông Khoa học công nghệ và sức khỏe ở Việt Nam - một tiếp cận về năng lực của chủ thể truyền thông</t>
  </si>
  <si>
    <t>Hồ Nguyễn Hải Yến</t>
  </si>
  <si>
    <t>Diễn ngôn chấn thương trong sáng tác của Svetlana Alexievich</t>
  </si>
  <si>
    <t>Phan Thị Hồng Ngọc</t>
  </si>
  <si>
    <t>23SNV2</t>
  </si>
  <si>
    <t>Trương Thị sao Mai</t>
  </si>
  <si>
    <t>Lê Hoàng My</t>
  </si>
  <si>
    <t>Lê Trần Bảo Ngọc</t>
  </si>
  <si>
    <t>Nguyễn Nữ Tú Nhi</t>
  </si>
  <si>
    <t>Từ Robot đến Trí tuệ Nhân tạo: Diễn ngôn dự báo xã hội trong văn học sci-fi Đông Á</t>
  </si>
  <si>
    <t>Trần Thị Ngọc Hà</t>
  </si>
  <si>
    <t>Đặng Nam Khang</t>
  </si>
  <si>
    <t>Trần Ý Nhiên</t>
  </si>
  <si>
    <t>Nguyễn Thị Nhung</t>
  </si>
  <si>
    <t>Mai Phan Thùy Trinh</t>
  </si>
  <si>
    <t>Biểu tượng hủy diệt và tái sinh trong truyện cổ Cơ Tu</t>
  </si>
  <si>
    <t>Phạm  Thị  Hiền Chi</t>
  </si>
  <si>
    <t>Dương Thị Thanh Nhã</t>
  </si>
  <si>
    <t>Năng lực thông hiểu trí tuệ nhân tạo của sinh viên chuyên ngành Báo chí - Truyền thông tại khu vực miền Trung</t>
  </si>
  <si>
    <t>Nguyễn Thị Kim Trang</t>
  </si>
  <si>
    <t>24CBC1</t>
  </si>
  <si>
    <t>Hoàn Thị Ngọc Linh</t>
  </si>
  <si>
    <t xml:space="preserve">Truyền thuyết hậu chiến Việt Nam: Từ diễn ngôn ký ức đến Folklore đương đại </t>
  </si>
  <si>
    <t>Trần Thị Phương Thảo</t>
  </si>
  <si>
    <t>So sánh truyện cổ tích Việt Nam và Korea nhìn từ type và motif</t>
  </si>
  <si>
    <t>Nguyễn Lê Phương</t>
  </si>
  <si>
    <t>Nguyễn Lê Khanh</t>
  </si>
  <si>
    <t>Bùi Thúy Ngân</t>
  </si>
  <si>
    <t>Trần Hồ Ái Phương</t>
  </si>
  <si>
    <t>Xây dựng khung ma trận tích hợp năng lực số trong dạy học môn Ngữ văn ở THPT</t>
  </si>
  <si>
    <t>Nguyễn Vũ Anh Thy</t>
  </si>
  <si>
    <t>Nguyễn Ngọc Hà Chi</t>
  </si>
  <si>
    <t>Nguyễn Bảo Hoàng</t>
  </si>
  <si>
    <t>Phùng Nguyễn Mai Trinh</t>
  </si>
  <si>
    <t>Nguyễn Bảo Uyên</t>
  </si>
  <si>
    <t>Vai trò của sinh viên trong sáng tạo và quảng bá sản phẩm công nghiệp văn hóa tại Đà Nẵng</t>
  </si>
  <si>
    <t>Sử Ngọc Nhung</t>
  </si>
  <si>
    <t>23CVHH</t>
  </si>
  <si>
    <t>Nguyễn Thị Ánh Ngân</t>
  </si>
  <si>
    <t>Thông điệp phát triển du lịch sinh thái theo hướng bền vững tại Đà Nẵng và Hội An trên báo điện tử trong giai đoạn 2020 - 2025</t>
  </si>
  <si>
    <t>Trần Hoàng Thủy Tiên</t>
  </si>
  <si>
    <t>24CQCC</t>
  </si>
  <si>
    <t>Đỗ Trà Lệ Giang</t>
  </si>
  <si>
    <t>Đoàn Nguyễn Phương Nam</t>
  </si>
  <si>
    <t>Đưa tin về rối loạn trầm cảm trên báo điện tử Việt Nam hiện nay: Thực trạng và gợi ý thực hành báo chí nhân văn</t>
  </si>
  <si>
    <t>Nguyễn Thùy Phương Anh</t>
  </si>
  <si>
    <t>Công nghệ số và sự tái định hình  giá trị văn hóa truyền thống ở sinh viên Đà Nẵng</t>
  </si>
  <si>
    <t xml:space="preserve">Ngô Phan Như Quỳnh </t>
  </si>
  <si>
    <t>24CVHH</t>
  </si>
  <si>
    <t>Võ Thị Thùy Trâm</t>
  </si>
  <si>
    <t>Xây dựng bộ tiêu chí và công cụ đánh giá năng lực sử dụng trí tuệ nhân tạo có trách nhiệm trong viết văn nghị luận xã hội của học sinh trung học phổ thông</t>
  </si>
  <si>
    <t xml:space="preserve">Nguyễn Việt Thuận </t>
  </si>
  <si>
    <t>Trương Thị Hiền</t>
  </si>
  <si>
    <t>Dương Lê Ny</t>
  </si>
  <si>
    <t>Nguyễn Thị Ngọc Quyên</t>
  </si>
  <si>
    <t>Truyền thông mạng xã hội về bình đẳng giới trong bối cảnh biến đổi khí hậu: Nghiên cứu trường hợp miền Bắc Việt Nam qua các cơn bão Yagi (2024) và Bualoi, Matmo (2025)</t>
  </si>
  <si>
    <t>Nguyễn Khánh Huyền</t>
  </si>
  <si>
    <t>Thực trạng sử dụng mạng xã hội của giới trẻ người Cơ Tu và định hướng phát triển văn hoá số</t>
  </si>
  <si>
    <t>Phan Khánh Linh</t>
  </si>
  <si>
    <t>Tiểu thuyết đồ họa (graphic novel) - Đặc trưng thể loại và mô hình tiệm cận ở Việt Nam</t>
  </si>
  <si>
    <t>Nguyễn Minh Tuyết</t>
  </si>
  <si>
    <t>24SNV2</t>
  </si>
  <si>
    <t>Đặng Lâm Thanh Vân</t>
  </si>
  <si>
    <t>Trang Tưởng Trâm Thuy</t>
  </si>
  <si>
    <t>Đặng Bình An</t>
  </si>
  <si>
    <t>Nguyễn Trịnh Thủy Tiên</t>
  </si>
  <si>
    <t>Đặc điểm ngôn ngữ đánh giá của diễn ngôn cảnh báo rủi ro thiên tai (Khảo sát trên ngữ liệu các bản tin dự báo thời tiết của đài truyền hình Việt Nam)</t>
  </si>
  <si>
    <t>Phan Nguyễn Bảo Chân</t>
  </si>
  <si>
    <t>Lý Hoàng Phương Mai</t>
  </si>
  <si>
    <t>24CVH</t>
  </si>
  <si>
    <t>Phạm thị Khánh Linh</t>
  </si>
  <si>
    <t>Nguyễn Văn Hoàng Long</t>
  </si>
  <si>
    <t>24SNV1</t>
  </si>
  <si>
    <t>Đặc điểm từ vựng tiếng Việt hiện đại trong ca từ nhạc trẻ</t>
  </si>
  <si>
    <t>Phan Quỳnh Hạnh Nguyên</t>
  </si>
  <si>
    <t>Trương Tâm Như</t>
  </si>
  <si>
    <t>Tái nhân bản con người trong văn học Han Kang: từ chấn thương hiện sinh đến giáo dục nhân văn khai phóng</t>
  </si>
  <si>
    <t xml:space="preserve">Tạ Quỳnh Giao  </t>
  </si>
  <si>
    <t>25SNV1</t>
  </si>
  <si>
    <t>Ngô Bảo Thy</t>
  </si>
  <si>
    <t>Nguyễn Trường An</t>
  </si>
  <si>
    <t>Nhân vật phản diện trong cổ tích thần kì Việt Nam</t>
  </si>
  <si>
    <t>Nguyễn Bé Ngọc</t>
  </si>
  <si>
    <t>Hoàng Tuấn Nam</t>
  </si>
  <si>
    <t>Hồ Thị Mai Anh</t>
  </si>
  <si>
    <t>Lương Thị Ngọc Mai</t>
  </si>
  <si>
    <t>Nghiên cứu xây dựng và triển khai hệ thống truyền thông sáng tạo để giảm thiểu “Nghịch lý Kỷ nguyên số” của Sinh viên Trường Đại học Sư phạm – Đại học Đà Nẵng</t>
  </si>
  <si>
    <t>Từ Công Đăng</t>
  </si>
  <si>
    <t>Nghiên cứu sự truyền năng lượng giữa các ion đất hiếm trong vật liệu silicate định hướng ứng dụng trong diode chiếu sáng.</t>
  </si>
  <si>
    <t xml:space="preserve">Hồ Thị Thúy Ngân </t>
  </si>
  <si>
    <t>Nghiên cứu sự ảnh hưởng của pha tạp Yttrium lên cấu trúc và tính chất quang của vật liệu  tổng hợp bằng phương pháp sol-gel.</t>
  </si>
  <si>
    <t>Nguyễn Thị Quỳnh</t>
  </si>
  <si>
    <t xml:space="preserve"> Diễm Dương Ngọc Chiến</t>
  </si>
  <si>
    <t>Lê Minh Phương</t>
  </si>
  <si>
    <t>Nguyễn Thục Linh</t>
  </si>
  <si>
    <t>Lê Võ Tường Vân</t>
  </si>
  <si>
    <t>Nghiên cứu chế tạo xe lăn điện hỗ trợ người gặp khó khăn về di chuyển</t>
  </si>
  <si>
    <t>Trần Nguyễn Khánh Dương</t>
  </si>
  <si>
    <t>Trần Thị Mỹ Linh</t>
  </si>
  <si>
    <t>Nguyễn Vân Quỳnh</t>
  </si>
  <si>
    <t>Bùi Ngọc Vy</t>
  </si>
  <si>
    <t xml:space="preserve"> Thiết kế sổ tay điện tử về mạch nội dung chất và sự biến đổi của chất trong môn Khoa học tự nhiên 9</t>
  </si>
  <si>
    <t>Trần Nguyễn Quang Hưng</t>
  </si>
  <si>
    <t>Trần Công Huân</t>
  </si>
  <si>
    <t>Nguyễn Hữu Quang</t>
  </si>
  <si>
    <t>Phạm Nguyễn Thuỳ Dung</t>
  </si>
  <si>
    <t>Nghiên cứu xây dựng bài giảng E- learning kết hợp với thực tế ảo VR/AR trong dạy học chủ đề Vật sống (môn Khoa học tự nhiên lớp 6) nhằm phát triển năng lực tự học cho học sinh.</t>
  </si>
  <si>
    <t xml:space="preserve">Võ Thị Kim Ngân </t>
  </si>
  <si>
    <t>Nguyễn Thị Kiều Ly</t>
  </si>
  <si>
    <t>Trần Diệp Ngọc Loan</t>
  </si>
  <si>
    <t>23SKT3</t>
  </si>
  <si>
    <t>Nguyễn Hồng Ngân</t>
  </si>
  <si>
    <t>Đồng hồ năng lượng mặt trời và năng lượng thân nhiệt</t>
  </si>
  <si>
    <t>Nguyễn Xuân Hùng</t>
  </si>
  <si>
    <t>Nguyễn Thị Thùy Trâm</t>
  </si>
  <si>
    <t>Nguyễn Thị Huyền Trinh</t>
  </si>
  <si>
    <r>
      <rPr>
        <sz val="10"/>
        <color theme="1"/>
        <rFont val="Arial"/>
      </rPr>
      <t>Ứng dụng học liệu số Mozaik 3D trong dạy học chủ đề “Nguyên tử – Nguyên tố hóa học” môn Khoa học tự nhiên lớp 7 nhằm phát triển năng lực tư duy cho học sinh</t>
    </r>
    <r>
      <rPr>
        <sz val="12"/>
        <color rgb="FF000000"/>
        <rFont val="Times New Roman"/>
      </rPr>
      <t xml:space="preserve"> </t>
    </r>
  </si>
  <si>
    <t xml:space="preserve">Nguyễn Thị Cẩm Tú </t>
  </si>
  <si>
    <t xml:space="preserve">Lê Thị Hoài Ngọc </t>
  </si>
  <si>
    <t>23SKT4</t>
  </si>
  <si>
    <t>23SKT5</t>
  </si>
  <si>
    <t>Trần Thị Thảo Vy</t>
  </si>
  <si>
    <t>23SKT6</t>
  </si>
  <si>
    <t>Nghiên cứu tối ưu hóa hiệu suất quá trình tổng hợp n-acetylphenylalanine bằng phương pháp bề mặt đáp ứng.</t>
  </si>
  <si>
    <t>Nguyễn Lê Quân</t>
  </si>
  <si>
    <t>Lê Khang Hy</t>
  </si>
  <si>
    <t>Lê Khánh Hưng</t>
  </si>
  <si>
    <t>Lê Minh Chiến Thắng</t>
  </si>
  <si>
    <t>Nghiên cứu vật liệu thủy tinh ứng dụng trong chế tạo liều kế cá nhân</t>
  </si>
  <si>
    <t>Huỳnh Đức Minh</t>
  </si>
  <si>
    <t>Nguyễn Thanh hà Giang</t>
  </si>
  <si>
    <t>Đào Tiến Duy</t>
  </si>
  <si>
    <t>Trần Ngọc Lĩnh</t>
  </si>
  <si>
    <t>Vật Liệu Thủy Tinh</t>
  </si>
  <si>
    <t>Đặng Đình Hùng</t>
  </si>
  <si>
    <t>Đinh Thanh Hậu</t>
  </si>
  <si>
    <t>Võ Thị Như Mỹ</t>
  </si>
  <si>
    <t>Lê Trúc Uyên</t>
  </si>
  <si>
    <t>Nguyễn Phạm Thiên Nhi</t>
  </si>
  <si>
    <t>Hệ thống Điều hướng Không cần GPS dựa trên Cảm biến Từ trường Vi sai (Differential Magnetic Sensing) mô phỏng Khả năng của Cá heo</t>
  </si>
  <si>
    <t>Hồ Trần Thùy Dương</t>
  </si>
  <si>
    <t>Huỳnh Thị Kim Nhàn</t>
  </si>
  <si>
    <t>Ngô Hoàng Nhi</t>
  </si>
  <si>
    <t>Phan Thị Hồng Nhung</t>
  </si>
  <si>
    <t>Nguyễn Thị Quỳnh Oanh</t>
  </si>
  <si>
    <r>
      <rPr>
        <sz val="10"/>
        <color theme="1"/>
        <rFont val="Arial"/>
      </rPr>
      <t>Thiết kế hệ đồng xúc tác acid Lewis – phức kim loại chuyển tiếp phosphine cho quá trình hoạt hóa CO</t>
    </r>
    <r>
      <rPr>
        <vertAlign val="subscript"/>
        <sz val="12"/>
        <color rgb="FF000000"/>
        <rFont val="Times New Roman"/>
      </rPr>
      <t>2</t>
    </r>
    <r>
      <rPr>
        <sz val="12"/>
        <color rgb="FF000000"/>
        <rFont val="Times New Roman"/>
      </rPr>
      <t xml:space="preserve"> bằng phương pháp hóa học tính toán.</t>
    </r>
  </si>
  <si>
    <t>Phan Huỳnh Ngọc Anh</t>
  </si>
  <si>
    <t>Đặng Bảo Ngọc</t>
  </si>
  <si>
    <t>Phát triển năng lực giải quyết vấn đề qua dạy học chủ đề STEM "Vật lí và môi trường" - Vật lý 10 theo mô hình 6E</t>
  </si>
  <si>
    <t>Phát triển tư duy thiết kế cho học sinh qua dạy học các chủ đề STEM thông minh chương "Dòng điện, mạch điện" - Vật lí 11.</t>
  </si>
  <si>
    <t>Nguyễn Phước Diệu Hiền</t>
  </si>
  <si>
    <t>Nghiên cứu tận dụng phụ phẩm nông nghiệp để tạo chế phẩm ứng dụng trong xử lý vi nhựa</t>
  </si>
  <si>
    <t>Nguyễn Trường Đăng Nguyên.</t>
  </si>
  <si>
    <t>Nguyễn Phan Hoàng Bách</t>
  </si>
  <si>
    <t>Trần Thị Thúy Hằng</t>
  </si>
  <si>
    <t>Lý Huy</t>
  </si>
  <si>
    <r>
      <rPr>
        <sz val="10"/>
        <color theme="1"/>
        <rFont val="Arial"/>
      </rPr>
      <t>Nghiên cứu chế tạo than hoạt tính từ vỏ dưa hấu và ứng dụng để hấp phụ kim loại nặng trong nước</t>
    </r>
    <r>
      <rPr>
        <i/>
        <sz val="12"/>
        <color rgb="FF000000"/>
        <rFont val="Times New Roman"/>
      </rPr>
      <t>.</t>
    </r>
    <r>
      <rPr>
        <sz val="12"/>
        <color rgb="FF000000"/>
        <rFont val="Times New Roman"/>
      </rPr>
      <t> </t>
    </r>
  </si>
  <si>
    <t>Trần Thị Kim Oanh </t>
  </si>
  <si>
    <t>Trương Quốc Toàn </t>
  </si>
  <si>
    <t>Phan Thị Kim Lưu </t>
  </si>
  <si>
    <t>Nghiên cứu sản xuất băng gạc sinh học từ nha đam</t>
  </si>
  <si>
    <t>Thiết kế thiết bị hỗ trợ di chuyển cho người khiếm thị bằng công nghệ cảm biến và cảnh báo âm thanh</t>
  </si>
  <si>
    <t>Nguyễn Thụy Thảo Vy</t>
  </si>
  <si>
    <t>Thiết kế và chế tạo các bộ lắp ghép STEM liên môn (Vật lý - Công nghệ - Tin học) về chủ đề “Lực - Năng lượng” dành cho Trung học Cơ sở.</t>
  </si>
  <si>
    <r>
      <rPr>
        <sz val="10"/>
        <color theme="1"/>
        <rFont val="Arial"/>
      </rPr>
      <t>Nghiên cứu sự phát quang của ion Mn</t>
    </r>
    <r>
      <rPr>
        <vertAlign val="superscript"/>
        <sz val="12"/>
        <color rgb="FF000000"/>
        <rFont val="Times New Roman"/>
      </rPr>
      <t>2+</t>
    </r>
    <r>
      <rPr>
        <sz val="12"/>
        <color rgb="FF000000"/>
        <rFont val="Times New Roman"/>
      </rPr>
      <t xml:space="preserve"> trong các mạng nền khác nhau, ứng dụng trong việc chế tạo vật liệu phát quang làm nguồn sáng trang trí.</t>
    </r>
  </si>
  <si>
    <t>1. Lê Thị Phương Thanh</t>
  </si>
  <si>
    <t>2.Phạm Thị Bích Diệp</t>
  </si>
  <si>
    <t>3. Trịnh Ngọc Bảo Ngọc</t>
  </si>
  <si>
    <t>Ảnh hưởng của pha tạp Ni đến cấu trúc, tính dẫn điện và hiệu suất xúc tác HER/OER của vật liệu Zr-S</t>
  </si>
  <si>
    <t>1.Trần Văn Bích Thảo</t>
  </si>
  <si>
    <t>24SHH</t>
  </si>
  <si>
    <t>2.Lê Khánh Hoàng</t>
  </si>
  <si>
    <t>3.Nguyễn Thị Hiền Mai</t>
  </si>
  <si>
    <t>4.Đỗ Thị Hồng</t>
  </si>
  <si>
    <r>
      <rPr>
        <sz val="10"/>
        <color theme="1"/>
        <rFont val="Arial"/>
      </rPr>
      <t>Thiết kế hệ đồng xúc tác acid Lewis – phức kim loại chuyển tiếp phosphine cho quá trình hoạt hóa CO</t>
    </r>
    <r>
      <rPr>
        <vertAlign val="subscript"/>
        <sz val="12"/>
        <color rgb="FF000000"/>
        <rFont val="Times New Roman"/>
      </rPr>
      <t>2</t>
    </r>
    <r>
      <rPr>
        <sz val="12"/>
        <color rgb="FF000000"/>
        <rFont val="Times New Roman"/>
      </rPr>
      <t xml:space="preserve"> bằng phương pháp hóa học tính toán. </t>
    </r>
  </si>
  <si>
    <t>Xây dựng website và ứng dụng mô hình AI hỗ trợ cá nhân hóa lộ trình học tập môn Khoa học Tự nhiên cho học sinh trung học cơ sở</t>
  </si>
  <si>
    <t>Nguyễn Chí Khoa</t>
  </si>
  <si>
    <t>Võ Thị Ngọc Trinh</t>
  </si>
  <si>
    <r>
      <rPr>
        <sz val="10"/>
        <color theme="1"/>
        <rFont val="Arial"/>
      </rPr>
      <t>Thiết kế eBook tích hợp Chatbox AI hỗ trợ dạy học chương “Dao động”, Vật lý</t>
    </r>
    <r>
      <rPr>
        <i/>
        <sz val="12"/>
        <color rgb="FF000000"/>
        <rFont val="Times New Roman"/>
      </rPr>
      <t xml:space="preserve"> </t>
    </r>
    <r>
      <rPr>
        <sz val="12"/>
        <color rgb="FF000000"/>
        <rFont val="Times New Roman"/>
      </rPr>
      <t>11.</t>
    </r>
  </si>
  <si>
    <t>Phạm Hồng Kim Phấn</t>
  </si>
  <si>
    <t>Nguyễn Thuý Hà</t>
  </si>
  <si>
    <t>Thiết kế và chế tạo thiết bị phát hiện bức xạ ion hoá bằng phương pháp quan sát trực quan</t>
  </si>
  <si>
    <t>Lê Nguyễn Quỳnh Như</t>
  </si>
  <si>
    <t>24CVK</t>
  </si>
  <si>
    <t>Trương Thị Minh Thảo</t>
  </si>
  <si>
    <t>Trần Khánh Dương</t>
  </si>
  <si>
    <t>Nguyễn Đoàn Gia Bảo</t>
  </si>
  <si>
    <t>Tính toán hiệu suất năng lượng toàn chuỗi của xe điện và xe xăng trong điều kiện Việt Nam.</t>
  </si>
  <si>
    <t>Phan Huỳnh Mỹ Linh</t>
  </si>
  <si>
    <t>Nông Ngọc Thuỳ Dương</t>
  </si>
  <si>
    <t>Hồ Nguyễn Bảo Nhi</t>
  </si>
  <si>
    <t>Ứng dụng AI trong việc cá nhân hóa trải nghiệm người học môn Khoa học tự nhiên 8 chủ đề Chất và sự biến đổi của chất.</t>
  </si>
  <si>
    <t>Nguyễn Hoàng Thiện</t>
  </si>
  <si>
    <t>Nguyễn Hồ Trường Phước</t>
  </si>
  <si>
    <t>Nguyễn Trần Hồng Trinh</t>
  </si>
  <si>
    <t>Đặng Thị Bích Trâm</t>
  </si>
  <si>
    <t>Vận dụng quan điểm dạy học phân hóa trong dạy học chủ đề chất và sự biến đổi của chất (khoa học tự nhiên 7)  nhằm phát triển năng lực giải quyết vấn đề và sáng tạo cho học sinh.</t>
  </si>
  <si>
    <t>Bùi Hồ Thủy Tiên</t>
  </si>
  <si>
    <t>Lê Đỗ Phương Uyên</t>
  </si>
  <si>
    <t>Lưu Thị Bảo Trâm</t>
  </si>
  <si>
    <t>Hoàng Nhi Ánh Ngọc</t>
  </si>
  <si>
    <t>Tạ Hoàng Như Ngọc</t>
  </si>
  <si>
    <t>Nghiên cứu tổng hợp vật liệu xúc tác điện hóa trên nền Silver ứng dụng trong phản ứng điện phân glucose hướng đến sản xuất hydrogen tiết kiệm năng lượng</t>
  </si>
  <si>
    <t>Nghiên cứu tổng hợp vật liệu cấu trúc lõi vỏ Nickel Cobalt Oxide và ứng dụng làm chất xúc tác điện phân nước</t>
  </si>
  <si>
    <t>Nghiên cứu tổng hợp vật liệu ZINC OXIDE từ phức chất ZINC IMIDAZOLE và ứng dụng làm chất xúc tác quang phân hủy chất màu hữu cơ dưới tác dụng của ánh sáng mặt trời</t>
  </si>
  <si>
    <t>Nghiên cứu thu nhận và ứng dụng hợp chất hữu cơ có giá trịt từ phụ phẩm quả bơ và cây cuối</t>
  </si>
  <si>
    <t>Phan Mỹ Hạnh</t>
  </si>
  <si>
    <t>Nguyễn Thị Hải Lý</t>
  </si>
  <si>
    <t>Huỳnh Phương Lam</t>
  </si>
  <si>
    <t>Trần Thị Diễm Hồng</t>
  </si>
  <si>
    <t>Mô phỏng vật liệu theo mô hình Fermi-Hubbard bằng thuật toán biến phân lai lượng tử</t>
  </si>
  <si>
    <t>Phan Văn Anh</t>
  </si>
  <si>
    <t>Trần Minh Đức</t>
  </si>
  <si>
    <t>Phạm Đăng Quang</t>
  </si>
  <si>
    <t>Dụng Văn Nhật Tân</t>
  </si>
  <si>
    <t>25CNTT1</t>
  </si>
  <si>
    <r>
      <rPr>
        <sz val="10"/>
        <color theme="1"/>
        <rFont val="Arial"/>
      </rPr>
      <t>Nghiên cứu tổng hơph NaNo Bạc từ AgN0</t>
    </r>
    <r>
      <rPr>
        <vertAlign val="subscript"/>
        <sz val="12"/>
        <color rgb="FF000000"/>
        <rFont val="Times New Roman"/>
      </rPr>
      <t>3</t>
    </r>
    <r>
      <rPr>
        <sz val="12"/>
        <color rgb="FF000000"/>
        <rFont val="Times New Roman"/>
      </rPr>
      <t xml:space="preserve"> bằng tác nhân khử dịch chiết nlas cây an xoa và ứng dụng trong lĩnh vực y sinh</t>
    </r>
  </si>
  <si>
    <t>Lưu Phạm Như Quỳnh</t>
  </si>
  <si>
    <t>Lê Thị Trà My</t>
  </si>
  <si>
    <t>Nghiên cứu tổng hợp vật liệu Co3O4/ZnO và ứng dụng làm chất chiết xuất pha rắn cho các Ion kim loại</t>
  </si>
  <si>
    <t>Trương Thủy Tiên</t>
  </si>
  <si>
    <t>Nguyễn Văn Đạt</t>
  </si>
  <si>
    <t>Nghiên cứu tổng hợp vật liệu COMPOSITE NIO/ZnO và ứng dụng xúc tác quang phân hủy chất màu hữu cơ</t>
  </si>
  <si>
    <t>Đặng Tiến Thành</t>
  </si>
  <si>
    <t>Nguyễn Văn Nghĩa</t>
  </si>
  <si>
    <t>Phát triển vật liệu xúc tác Fe pha tạp Ni-Zn-O/Ni Foam hiệu suất cao cho điện phân nước trong môi trường kiềm</t>
  </si>
  <si>
    <r>
      <rPr>
        <sz val="10"/>
        <color theme="1"/>
        <rFont val="Arial"/>
      </rPr>
      <t>Nghiên cứu mối tương quan giữa nồng độ pha tạp Cobalt và sự thay đổi trật tự mạng tinh thể, tính chất vật lí của vật liệu NiFe2O</t>
    </r>
    <r>
      <rPr>
        <vertAlign val="subscript"/>
        <sz val="12"/>
        <color rgb="FF000000"/>
        <rFont val="Times New Roman"/>
      </rPr>
      <t xml:space="preserve">4 </t>
    </r>
    <r>
      <rPr>
        <sz val="12"/>
        <color rgb="FF000000"/>
        <rFont val="Times New Roman"/>
      </rPr>
      <t>tổng hợp bằng phương pháp sol-gel.</t>
    </r>
  </si>
  <si>
    <t>Lê Tâm Đoan</t>
  </si>
  <si>
    <t>Bùi Thị Thảo Nguyên</t>
  </si>
  <si>
    <t>Nghiên cứu tính chất quang của một số ion đất hiếm trên nền spinel</t>
  </si>
  <si>
    <t>Nguyễn Ngọc Toàn</t>
  </si>
  <si>
    <t>Nguyễn Thị Hạnh</t>
  </si>
  <si>
    <t>Một số giải pháp nhằm nâng cao chất lượng học tập học phần thanh nhạc cho sinh viên ngành sư phạm âm nhạc- Trường Đại Học Sư Phạm Đà Nẵng.</t>
  </si>
  <si>
    <t>Phạm Thị Thu Thùy</t>
  </si>
  <si>
    <t>23SAN</t>
  </si>
  <si>
    <t>Giáo dục Nghệ thuật-Thể chất</t>
  </si>
  <si>
    <t>Khoa Giáo dục Nghệ thuật - Thể chất, Trường ĐHSP</t>
  </si>
  <si>
    <t>Hồ Thị Vi Thảo</t>
  </si>
  <si>
    <t xml:space="preserve">Dạy hát Bài Chòi cho học sinh lớp 8 trường THCS Nguyễn Lương Bằng thành phố Đà Nẵng </t>
  </si>
  <si>
    <t>Coor Liu</t>
  </si>
  <si>
    <t>Phan Trần Tâm Đoan</t>
  </si>
  <si>
    <t>Trần Thị Mỹ Hạnh</t>
  </si>
  <si>
    <t xml:space="preserve"> Biện pháp giúp học tốt mạch nội dung Hát môn Âm nhạc cho học sinh lớp 5 tại trường tiểu học Nguyễn Thành Ý, thành phố Đà Nẵng</t>
  </si>
  <si>
    <t>Nguyễn Thái Ninh An</t>
  </si>
  <si>
    <t>Võ Thị Xuân Duyên</t>
  </si>
  <si>
    <t>Thái Thanh Hân</t>
  </si>
  <si>
    <t>Giải pháp tăng cường tính sáng tạo và hứng thú học tập môn âm nhạc cho học sinh thcs thông qua các ứng dụng số</t>
  </si>
  <si>
    <t>Arất Hoài</t>
  </si>
  <si>
    <t>Nguyễn Nhật Huy</t>
  </si>
  <si>
    <t>Trương Đức Thịnh</t>
  </si>
  <si>
    <t>Dạy học dân ca ví giặm cho học sinh THPT tỉnh Nghệ An</t>
  </si>
  <si>
    <t>Trần Đỗ Ngọc Nhi</t>
  </si>
  <si>
    <t>Dương Thị Hồng Phúc</t>
  </si>
  <si>
    <t>Trần Hà Huyền Trâm</t>
  </si>
  <si>
    <t>Trần Hà Uyên</t>
  </si>
  <si>
    <t>Trần Đình Đông</t>
  </si>
  <si>
    <t>Ứng dụng hoa văn trang trí trên trang phục của dân tộc Chăm vào dạy học mĩ thuật góp phần bảo tồn di sản văn hóa địa phương.</t>
  </si>
  <si>
    <t>Trần Thị Diễm Hà</t>
  </si>
  <si>
    <t>24 SMT</t>
  </si>
  <si>
    <t>Nguyễn Thủy Trúc Linh</t>
  </si>
  <si>
    <t>25 SMT</t>
  </si>
  <si>
    <t>Nghiên cứu một số bài tập phát triển khả năng nhảy phát bóng trong môn Bóng chuyền</t>
  </si>
  <si>
    <t>Nghiên cứu lựa chọn một số giải pháp phát triển sức mạnh tốc độ cho sinh viên chuyên ngành Điền kinh ngành GDTC Trường ĐHSP – ĐHĐN</t>
  </si>
  <si>
    <t>23 SGT</t>
  </si>
  <si>
    <t>24 SGT</t>
  </si>
  <si>
    <t>25 SGT</t>
  </si>
  <si>
    <t>26 SGT</t>
  </si>
  <si>
    <t>Ứng dụng trí tuệ nhân tạo nhằm đánh giá khả năng linh hoạt và mềm dẻo cho nữ sinh viên trường đhsp – đhđn thông qua môn Aerobic</t>
  </si>
  <si>
    <t>STT</t>
  </si>
  <si>
    <t>Năm</t>
  </si>
  <si>
    <t>Khóa/ Lớp</t>
  </si>
  <si>
    <t>Họ và tên</t>
  </si>
  <si>
    <t>Ngày sinh</t>
  </si>
  <si>
    <t>Giới tính</t>
  </si>
  <si>
    <t>Quốc tịch</t>
  </si>
  <si>
    <t>Trường chủ quản ở nước ngoài (đối với LHS trao đổi/ thực tập)</t>
  </si>
  <si>
    <t>Ngành học tại đơn vị</t>
  </si>
  <si>
    <t>Ngành học</t>
  </si>
  <si>
    <t>donvi_ten</t>
  </si>
  <si>
    <t>Diện</t>
  </si>
  <si>
    <t>Số hộ chiếu</t>
  </si>
  <si>
    <t>Địa chỉ tạm trú</t>
  </si>
  <si>
    <t>Số visa/Thẻ tạm trú</t>
  </si>
  <si>
    <t>Ngày nhập cảnh</t>
  </si>
  <si>
    <t>Thời hạn tạm trú</t>
  </si>
  <si>
    <t>CHANTHAVISOUK SATSAMAY</t>
  </si>
  <si>
    <t>Nam</t>
  </si>
  <si>
    <t>Lào</t>
  </si>
  <si>
    <t>Nghiên cứu sinh ngành Hệ thống thông tin</t>
  </si>
  <si>
    <t>Hệ thống thông tin</t>
  </si>
  <si>
    <t>Học bổng TPTT 100%</t>
  </si>
  <si>
    <t>P 607808</t>
  </si>
  <si>
    <t>459 Tôn Đức Thắng, Liên Chiểu</t>
  </si>
  <si>
    <t>Đang ở Lào</t>
  </si>
  <si>
    <t>Teh Jia Rou</t>
  </si>
  <si>
    <t>Nữ</t>
  </si>
  <si>
    <t>Malaysia</t>
  </si>
  <si>
    <t>Nghiên cứu sinh ngành Lịch sử Việt Nam</t>
  </si>
  <si>
    <t>Lịch sử Việt Nam</t>
  </si>
  <si>
    <t>Tự túc</t>
  </si>
  <si>
    <t>A54965993</t>
  </si>
  <si>
    <t>123 Nguyễn Xuân Hữu, quận Cẩm Lệ, thành phố Đà Nẵng</t>
  </si>
  <si>
    <t>AI 1462691</t>
  </si>
  <si>
    <t xml:space="preserve">Liu Li Xian </t>
  </si>
  <si>
    <t>Trung Quốc</t>
  </si>
  <si>
    <t>Nghiên cứu sinh ngành Ngôn ngữ học</t>
  </si>
  <si>
    <t>Ngôn ngữ học</t>
  </si>
  <si>
    <t>Học bổng ĐHSP</t>
  </si>
  <si>
    <t>EJ2448338</t>
  </si>
  <si>
    <t>Zhang Qiuxia</t>
  </si>
  <si>
    <t>EI4285958</t>
  </si>
  <si>
    <t>chưa nhập cảnh</t>
  </si>
  <si>
    <t>Lonphanh Phaodavanh</t>
  </si>
  <si>
    <t>Nghiên cứu sinh ngành Quản lí giáo dục</t>
  </si>
  <si>
    <t>Quản lý giáo dục</t>
  </si>
  <si>
    <t>Học bổng Hiệp Định</t>
  </si>
  <si>
    <t>D 0037583</t>
  </si>
  <si>
    <t>Tổng LSQ Lào tại Thành phố Hồ Chí Minh</t>
  </si>
  <si>
    <t>Chứng minh thư lãnh sự số 172/LS-HCM/2022</t>
  </si>
  <si>
    <t>Umvong Kiengcay</t>
  </si>
  <si>
    <t>14/12/1986</t>
  </si>
  <si>
    <t xml:space="preserve">Lào </t>
  </si>
  <si>
    <t>Nghiên cứu sinh ngành Quản lí Giáo dục</t>
  </si>
  <si>
    <t>PA 0249189</t>
  </si>
  <si>
    <t>Miễn thị thực 28 ngày</t>
  </si>
  <si>
    <t>XAYAVONG SOMPHONE</t>
  </si>
  <si>
    <t>PA 0445175</t>
  </si>
  <si>
    <t xml:space="preserve"> Baolopet Songpon</t>
  </si>
  <si>
    <t>26/01/1981</t>
  </si>
  <si>
    <t>Thái Lan</t>
  </si>
  <si>
    <t>học bổng Trường ĐHSP</t>
  </si>
  <si>
    <t>OF2019890</t>
  </si>
  <si>
    <t>Chưa nhập cảnh</t>
  </si>
  <si>
    <t>DENG YANJIAO</t>
  </si>
  <si>
    <t>19/9/1992</t>
  </si>
  <si>
    <t>EJ7562017</t>
  </si>
  <si>
    <t>2023/K47</t>
  </si>
  <si>
    <t>ANONGSACK SOUKSAVATH</t>
  </si>
  <si>
    <t>K47 TPTT 100%
CV 8798/UBND-SNG
ngày 29/12/2021</t>
  </si>
  <si>
    <t>P2372620</t>
  </si>
  <si>
    <t>AI 2301642</t>
  </si>
  <si>
    <t>02/4/2025</t>
  </si>
  <si>
    <t>XAYSONGKHAM KHAMPHONG</t>
  </si>
  <si>
    <t>PA0369628</t>
  </si>
  <si>
    <t>AI 2301643</t>
  </si>
  <si>
    <t>PASANPHONE PHONEPASEUTH</t>
  </si>
  <si>
    <t>K47 TPTT 100%
CV 8797/UBND-SNG
ngày 29/12/2021</t>
  </si>
  <si>
    <t>P2376255</t>
  </si>
  <si>
    <t>AI1760826</t>
  </si>
  <si>
    <t>THONGSI KHAMMAI</t>
  </si>
  <si>
    <t>K47 TPTT 100%
CV 8795/UBND-SNG
ngày 29/12/2021</t>
  </si>
  <si>
    <t>P2376845</t>
  </si>
  <si>
    <t>AI1760825</t>
  </si>
  <si>
    <t>PHOMCHANTHA DONE</t>
  </si>
  <si>
    <t>Lý luận và Phương pháp dạy học bộ môn Vật lý</t>
  </si>
  <si>
    <t>K47 100 %
Công văn số 8798/UBND-SNG ngày 29/12/2021</t>
  </si>
  <si>
    <t>P2377600</t>
  </si>
  <si>
    <t>AI1760820</t>
  </si>
  <si>
    <t>ONCHANXAI KEONALIN</t>
  </si>
  <si>
    <t>K47 100 %
Công văn số 8795/UBND-SNG ngày 29/11/2021</t>
  </si>
  <si>
    <t>P2377160</t>
  </si>
  <si>
    <t>AI 2301646</t>
  </si>
  <si>
    <t>MANHMANYSAY VONGSACK</t>
  </si>
  <si>
    <t>Phương pháp toán sơ cấp</t>
  </si>
  <si>
    <t>AI1760822</t>
  </si>
  <si>
    <t>XAYAPHONE NOUNKHAM</t>
  </si>
  <si>
    <t xml:space="preserve">Nam </t>
  </si>
  <si>
    <t>K47 100%
Công văn số 7049/UBND-SNG ngày 22/12/2022</t>
  </si>
  <si>
    <t xml:space="preserve">P2075488 </t>
  </si>
  <si>
    <t>Ký túc xá Trường Đại học Sư phạm</t>
  </si>
  <si>
    <t>VILAISACK NANTAVATH</t>
  </si>
  <si>
    <t>Lý luận và Phương pháp dạy học bộ môn Địa lý</t>
  </si>
  <si>
    <t>K47 100%
Công văn số 7044/UBND-SNG ngày 22/12/2022</t>
  </si>
  <si>
    <t>PA0472659</t>
  </si>
  <si>
    <t>AI2301089</t>
  </si>
  <si>
    <t>SAITHONGDUANG OUDOMXAY</t>
  </si>
  <si>
    <t>Toán Giải tích</t>
  </si>
  <si>
    <t>K47 100% 
Công văn số 7050/UBND-SNG ngày 22/12/2022</t>
  </si>
  <si>
    <t>PA0236772</t>
  </si>
  <si>
    <t>AI 2301090</t>
  </si>
  <si>
    <t>Sisoulath Somsack</t>
  </si>
  <si>
    <t>PA0273394</t>
  </si>
  <si>
    <t>2023/K48</t>
  </si>
  <si>
    <t>Keosomvang Tadam</t>
  </si>
  <si>
    <t>10/06/1991</t>
  </si>
  <si>
    <t>Giáo dục học</t>
  </si>
  <si>
    <t>K48 100%
Công văn số 6041/UBND-SNG ngày 02/11/2023</t>
  </si>
  <si>
    <t>P2056368</t>
  </si>
  <si>
    <t>Mommabath Beng</t>
  </si>
  <si>
    <t>06/01/1995</t>
  </si>
  <si>
    <t>Hóa hữu cơ</t>
  </si>
  <si>
    <t>K48 100%
Công văn số 6043/UBND-SNG ngày 02/11/2023</t>
  </si>
  <si>
    <t>P2740079</t>
  </si>
  <si>
    <t>AI 2302849</t>
  </si>
  <si>
    <t>18/4/25</t>
  </si>
  <si>
    <t>11/5/2026</t>
  </si>
  <si>
    <t>Gia hạn lúc tháng 5/2025</t>
  </si>
  <si>
    <t>Saysongkham Latdavanh</t>
  </si>
  <si>
    <t>15/06/1987</t>
  </si>
  <si>
    <t>P2439512</t>
  </si>
  <si>
    <t>Kongmanivong Bounyong</t>
  </si>
  <si>
    <t>26/6/1983</t>
  </si>
  <si>
    <t>K48 100%
Công văn số 7044/UBND-SNG ngày 22/12/2022</t>
  </si>
  <si>
    <t>P2426969</t>
  </si>
  <si>
    <t>Khoonboudpounminur Daosadeth</t>
  </si>
  <si>
    <t>13/12/1983</t>
  </si>
  <si>
    <t>K48 100%
Công văn số 7049/UBND-SNG ngày 22/12/2022</t>
  </si>
  <si>
    <t>P2464425</t>
  </si>
  <si>
    <t>Phiewkhamphanh Phoudthasone</t>
  </si>
  <si>
    <t>07/12/1995</t>
  </si>
  <si>
    <t>K48 50%
Công văn số 7050/UBND-SNG ngày 22/12/2022</t>
  </si>
  <si>
    <t>P24633665</t>
  </si>
  <si>
    <t>Vongsa Phoumsavanh</t>
  </si>
  <si>
    <t>09/03/1988</t>
  </si>
  <si>
    <t>K48 100%
Công văn số 7045/UBND-SNG ngày 22/12/2022</t>
  </si>
  <si>
    <t>PA0470333</t>
  </si>
  <si>
    <t>AI 2302881</t>
  </si>
  <si>
    <t>17/4/2025</t>
  </si>
  <si>
    <t>22/5/2026</t>
  </si>
  <si>
    <t>Gia hạn lúc tháng 6/2025</t>
  </si>
  <si>
    <t>Douangchantha Sisamay</t>
  </si>
  <si>
    <t>24/11/1980</t>
  </si>
  <si>
    <t>K48 100%
Công văn số 7050/UBND-SNG ngày 22/12/2022</t>
  </si>
  <si>
    <t>P1587935</t>
  </si>
  <si>
    <t>Khanthachak Soulivong</t>
  </si>
  <si>
    <t>03/06/1990</t>
  </si>
  <si>
    <t>K48 50%
Công văn số 7044/UBND-SNG ngày 22/12/2022</t>
  </si>
  <si>
    <t>PA0479515</t>
  </si>
  <si>
    <t>AI 2302878</t>
  </si>
  <si>
    <t>18/4/2025</t>
  </si>
  <si>
    <t>Douanthavichine Souvanam</t>
  </si>
  <si>
    <t>PA0474263</t>
  </si>
  <si>
    <t>Thammakod Vanpheng</t>
  </si>
  <si>
    <t>06/06/1992</t>
  </si>
  <si>
    <t>P2780597</t>
  </si>
  <si>
    <t>Viengdavong Vilaythong</t>
  </si>
  <si>
    <t>03/12/1986</t>
  </si>
  <si>
    <t>P2435185</t>
  </si>
  <si>
    <t>2024/K49</t>
  </si>
  <si>
    <t>PHILAVONG CHANTHAXAI </t>
  </si>
  <si>
    <t>Học bổng TP Đà Nẵng</t>
  </si>
  <si>
    <t>P2462564</t>
  </si>
  <si>
    <t>Kí túc xá Trường Đại học Sư pham- ĐHĐN</t>
  </si>
  <si>
    <t>AI 3504031</t>
  </si>
  <si>
    <t>30/7/2025</t>
  </si>
  <si>
    <t>08/8/2026</t>
  </si>
  <si>
    <t>Gia hạn lúc tháng 8/2025</t>
  </si>
  <si>
    <t>CHANHSYSAMOUD EACKSAVANG </t>
  </si>
  <si>
    <t>P2756908</t>
  </si>
  <si>
    <t>AI 3504032</t>
  </si>
  <si>
    <t>THANELANGSY KEOTA </t>
  </si>
  <si>
    <t>P2752621</t>
  </si>
  <si>
    <t>AI 3504029</t>
  </si>
  <si>
    <t>VONEINTHYVONG KHAMSAMONE </t>
  </si>
  <si>
    <t>P2756910</t>
  </si>
  <si>
    <t>AI 3504028</t>
  </si>
  <si>
    <t xml:space="preserve">VILASAN SOMMIXAY </t>
  </si>
  <si>
    <t>P2740876</t>
  </si>
  <si>
    <t>AI 3504138</t>
  </si>
  <si>
    <t>31/7/2025</t>
  </si>
  <si>
    <t>18/9/2026</t>
  </si>
  <si>
    <t>Gia hạn lúc tháng 9/2025</t>
  </si>
  <si>
    <t>SOUDTHICHAK SOMPHAPHON</t>
  </si>
  <si>
    <t xml:space="preserve">P2798196
</t>
  </si>
  <si>
    <t>AI 2302029</t>
  </si>
  <si>
    <t>2025/K50</t>
  </si>
  <si>
    <t>PHATTHAVONG BOUAPHA</t>
  </si>
  <si>
    <t>Giáo dục Mầm non</t>
  </si>
  <si>
    <t>PA0311154</t>
  </si>
  <si>
    <t>KEO ONLA VILAVONG</t>
  </si>
  <si>
    <t>Lý luận và Phương pháp Dạy học bộ môn Địa lý</t>
  </si>
  <si>
    <t>P2773098</t>
  </si>
  <si>
    <t>VONGLATANA SENGPHEENITH</t>
  </si>
  <si>
    <t>29/7/1988</t>
  </si>
  <si>
    <t>Lý luận và Phương pháp Dạy học bộ môn Toán</t>
  </si>
  <si>
    <t>P2798187</t>
  </si>
  <si>
    <t>XAYALAT TUE</t>
  </si>
  <si>
    <t>P2611727</t>
  </si>
  <si>
    <t>KHAMKHOSY THONGLONE</t>
  </si>
  <si>
    <t>P1767213</t>
  </si>
  <si>
    <t>VIENGXAY VIENGDALAY</t>
  </si>
  <si>
    <t>P3122503</t>
  </si>
  <si>
    <t>HO CHI KO</t>
  </si>
  <si>
    <t>15/1/1977</t>
  </si>
  <si>
    <t>Tâm lý học</t>
  </si>
  <si>
    <t>KJ0632019</t>
  </si>
  <si>
    <t>V1208, TANG 12, lapaz tower 38 Nguyễn Chí Thanh</t>
  </si>
  <si>
    <t>2025/K51</t>
  </si>
  <si>
    <t>XAIYASITH KHAMKO</t>
  </si>
  <si>
    <t>17/7/1999</t>
  </si>
  <si>
    <t>P2283184</t>
  </si>
  <si>
    <t>YUANGYAYIA XOLA</t>
  </si>
  <si>
    <t>24/9/1994</t>
  </si>
  <si>
    <t>P3115953</t>
  </si>
  <si>
    <t>XAISANA SOMMAY</t>
  </si>
  <si>
    <t>01/11/1988</t>
  </si>
  <si>
    <t>P2460401</t>
  </si>
  <si>
    <t>AI3504527</t>
  </si>
  <si>
    <t>17/10/2026</t>
  </si>
  <si>
    <t>GIA HẠN LÚ C T10/25</t>
  </si>
  <si>
    <t>VERNKHAM THIENGTAVANH</t>
  </si>
  <si>
    <t>09/10/1993</t>
  </si>
  <si>
    <t>P3131932</t>
  </si>
  <si>
    <t>AI3794038</t>
  </si>
  <si>
    <t>16/12/2026</t>
  </si>
  <si>
    <t>Gia hạn lúc T12/2025</t>
  </si>
  <si>
    <t>JOUMMALY SOUKSAWAI</t>
  </si>
  <si>
    <t>24/4/1992</t>
  </si>
  <si>
    <t>P3114503</t>
  </si>
  <si>
    <t>AI3504498</t>
  </si>
  <si>
    <t>TONKEO KORLAKAN</t>
  </si>
  <si>
    <t>30/6/1990</t>
  </si>
  <si>
    <t>P3148960</t>
  </si>
  <si>
    <t>AI3504499</t>
  </si>
  <si>
    <t>PHANTHONGCHAN SOUKBANDIT</t>
  </si>
  <si>
    <t>14/7/1987</t>
  </si>
  <si>
    <t>P2779606</t>
  </si>
  <si>
    <t>AI3504530</t>
  </si>
  <si>
    <t>KEO OUNHEUAN SYTHANONGSAI</t>
  </si>
  <si>
    <t>04/4/1987</t>
  </si>
  <si>
    <t>P3104066</t>
  </si>
  <si>
    <t>AI3504496</t>
  </si>
  <si>
    <t>XAISANA KHAMBAI</t>
  </si>
  <si>
    <t>25/3/1992</t>
  </si>
  <si>
    <t>P3095965</t>
  </si>
  <si>
    <t>AI3504493</t>
  </si>
  <si>
    <t>KEOMALA KORLAKANH</t>
  </si>
  <si>
    <t>30/01/1986</t>
  </si>
  <si>
    <t>P3133478</t>
  </si>
  <si>
    <t>AI3504500</t>
  </si>
  <si>
    <t>CHANTHAMAT KHANTHALA</t>
  </si>
  <si>
    <t>04/02/1988</t>
  </si>
  <si>
    <t>P3029936</t>
  </si>
  <si>
    <t>AI3504538</t>
  </si>
  <si>
    <t>KEOSALY SI AMONE</t>
  </si>
  <si>
    <t>22/5/1985</t>
  </si>
  <si>
    <t>P3034867</t>
  </si>
  <si>
    <t>AI3794037</t>
  </si>
  <si>
    <t>KHAMMANIVONG DOZA</t>
  </si>
  <si>
    <t>18/8/1997</t>
  </si>
  <si>
    <t>Quản lý tài nguyên và môi trường</t>
  </si>
  <si>
    <t>PA0073908</t>
  </si>
  <si>
    <t>AI3504497</t>
  </si>
  <si>
    <t>YOO YUNGJONG</t>
  </si>
  <si>
    <t>22/10/1980</t>
  </si>
  <si>
    <t>Hàn Quốc</t>
  </si>
  <si>
    <t>Việt Nam học</t>
  </si>
  <si>
    <t>M421R4618</t>
  </si>
  <si>
    <t>84 Hồ Tùng Mậu, P. Hòa Khánh</t>
  </si>
  <si>
    <t>AI3318644</t>
  </si>
  <si>
    <t>17/7/2025</t>
  </si>
  <si>
    <t>17/10/2025</t>
  </si>
  <si>
    <t>2025/K51 đợt 2</t>
  </si>
  <si>
    <t>KHAMPHAMAY SYNGERNMANH</t>
  </si>
  <si>
    <t>01/6/1986</t>
  </si>
  <si>
    <t>Sekong</t>
  </si>
  <si>
    <t>HB TP ĐN</t>
  </si>
  <si>
    <t>P 2070503</t>
  </si>
  <si>
    <t>2457/QĐ-ĐHSP ngày 31/12/2025</t>
  </si>
  <si>
    <t>KISHIRO TAKESHI</t>
  </si>
  <si>
    <t>19/9/1987</t>
  </si>
  <si>
    <t>Nhật Bản</t>
  </si>
  <si>
    <t>2018/18CTM</t>
  </si>
  <si>
    <t>Keosoulita Singdalanikone</t>
  </si>
  <si>
    <t>Quản lý Tài nguyên và Môi trường</t>
  </si>
  <si>
    <t>K18 (TN 2022) (100%)
CV 10459/UBND-SNV
ngày 26/12/2017</t>
  </si>
  <si>
    <t>PA 0184748</t>
  </si>
  <si>
    <t>AI 2301698</t>
  </si>
  <si>
    <t>2019/19CNTT1</t>
  </si>
  <si>
    <t>Inthilath Chimmala</t>
  </si>
  <si>
    <t>19-06-2000</t>
  </si>
  <si>
    <t>Công nghệ thông tin</t>
  </si>
  <si>
    <t>K19 (TN 2022) (50 %)
CV 7637/UBND-SNG
ngày 04/10/2018</t>
  </si>
  <si>
    <t>PA0230822</t>
  </si>
  <si>
    <t>2019/19CNTT2</t>
  </si>
  <si>
    <t>Võ Đại Hứa</t>
  </si>
  <si>
    <t>27-07-2000</t>
  </si>
  <si>
    <t>K19 (TN 2022) (100%)
CV 6848/UBND-SNG
ngày 31/8/2018</t>
  </si>
  <si>
    <t>N1955858</t>
  </si>
  <si>
    <t>Hộ chiếu Việt Nam</t>
  </si>
  <si>
    <t>Vannida Nanthavongsa</t>
  </si>
  <si>
    <t>02-02-2000</t>
  </si>
  <si>
    <t>K19 (TN 2022) (100%)
CV 7637/UBND-SNG
ngày 04/10/2018</t>
  </si>
  <si>
    <t>PA0259906</t>
  </si>
  <si>
    <t>AI 2301144</t>
  </si>
  <si>
    <t>Sivilay Phimmasan</t>
  </si>
  <si>
    <t>09-09-2000</t>
  </si>
  <si>
    <t>PA0258119</t>
  </si>
  <si>
    <t>AI 1764884</t>
  </si>
  <si>
    <t>Phonepasit Silivongxay</t>
  </si>
  <si>
    <t>23-10-1999</t>
  </si>
  <si>
    <t>PA0181819</t>
  </si>
  <si>
    <t>AI 1448529</t>
  </si>
  <si>
    <t>2019/19SGC</t>
  </si>
  <si>
    <t>Vorlasin Toulakhom</t>
  </si>
  <si>
    <t>25-10-1999</t>
  </si>
  <si>
    <t>Giáo dục Chính trị</t>
  </si>
  <si>
    <t>K19 (TN 2022) (100%)
CV 649/UBND-SNG
ngày 30/01/2019</t>
  </si>
  <si>
    <t>PA0262169</t>
  </si>
  <si>
    <t>2019/19SNV</t>
  </si>
  <si>
    <t>Chanthavisouk Bouasavanh</t>
  </si>
  <si>
    <t>07-10-1999</t>
  </si>
  <si>
    <t>Sư phạm Ngữ văn</t>
  </si>
  <si>
    <t>PA0149869</t>
  </si>
  <si>
    <t>AI 2301699</t>
  </si>
  <si>
    <t>2021/21CNTT3</t>
  </si>
  <si>
    <t>Akkhavong Dao Oxy</t>
  </si>
  <si>
    <t>02-05-2001</t>
  </si>
  <si>
    <t>TPTT 100%
CV 6606/UBND-SNG
Ngày 30/09/2019</t>
  </si>
  <si>
    <t>PA0328555</t>
  </si>
  <si>
    <t>AI 2302746</t>
  </si>
  <si>
    <t>12/02/2025</t>
  </si>
  <si>
    <t>01/4/2026</t>
  </si>
  <si>
    <t>Gia hạn lúc tháng 4/2025</t>
  </si>
  <si>
    <t>Phommachanh Mekky</t>
  </si>
  <si>
    <t>03-01-1999</t>
  </si>
  <si>
    <t>K21 TPTT 100%
CV 7226/UBND-SNG
Ngày 23/10/2019</t>
  </si>
  <si>
    <t>PA0328185</t>
  </si>
  <si>
    <t>AI 2302751</t>
  </si>
  <si>
    <t>13/02/2025</t>
  </si>
  <si>
    <t>2021/21CTM</t>
  </si>
  <si>
    <t>Chansina Patsaya</t>
  </si>
  <si>
    <t>25-08-2001</t>
  </si>
  <si>
    <t>K21 TPTT 100%
CV 8270/UBND SNG
Ngày 06/12/2019</t>
  </si>
  <si>
    <t>PA 0307749</t>
  </si>
  <si>
    <t>AI2342844</t>
  </si>
  <si>
    <t>23/3/2026</t>
  </si>
  <si>
    <t>visa code 1 lần</t>
  </si>
  <si>
    <t>Saythavy Xaynoy</t>
  </si>
  <si>
    <t>04-09-2001</t>
  </si>
  <si>
    <t>Công nghệ Thông tin</t>
  </si>
  <si>
    <t>K21 TPTT 100%
CV 8799/UBND-SNG  ngày 29/12/2021</t>
  </si>
  <si>
    <t>P 2247446</t>
  </si>
  <si>
    <t>AI 2302706</t>
  </si>
  <si>
    <t>08/02/2025</t>
  </si>
  <si>
    <t>25/02/2026</t>
  </si>
  <si>
    <t>Gia hạn lúc tháng 3/2025</t>
  </si>
  <si>
    <t>2021/21CNTT4</t>
  </si>
  <si>
    <t>Leukhamhan Xaypanya</t>
  </si>
  <si>
    <t>09-04-2000</t>
  </si>
  <si>
    <t>K21 TPTT 50%
CV 8270/UBND-SNG
Ngày 06/12/2019</t>
  </si>
  <si>
    <t>P 2258273</t>
  </si>
  <si>
    <t>AI 2302631</t>
  </si>
  <si>
    <t>2021/21SGC</t>
  </si>
  <si>
    <t>Xaiyaseng Phonpaseuth</t>
  </si>
  <si>
    <t>11-10-2000</t>
  </si>
  <si>
    <t>PA0194476</t>
  </si>
  <si>
    <t>AI 3504555</t>
  </si>
  <si>
    <t>30/8/2025</t>
  </si>
  <si>
    <t>03/10/2026</t>
  </si>
  <si>
    <t>Gia hạn lúc tháng 10/2025</t>
  </si>
  <si>
    <t>Phommasyda Namfon</t>
  </si>
  <si>
    <t>24-09-2001</t>
  </si>
  <si>
    <t>K21 TPTT 50%
 CV 8799/UBND-SNG ngày 29/12/2021</t>
  </si>
  <si>
    <t>PA 0314253</t>
  </si>
  <si>
    <t>AI 2302634</t>
  </si>
  <si>
    <t>13/2/2025</t>
  </si>
  <si>
    <t>Học xong đã về Lào</t>
  </si>
  <si>
    <t>CHANTHAVONGSA MEKVILAY</t>
  </si>
  <si>
    <t>TPTT 100%
CV 8194/UBND-SNG
ngày 07/12/2021</t>
  </si>
  <si>
    <t>P 2199758</t>
  </si>
  <si>
    <t>AI1415667</t>
  </si>
  <si>
    <t>16/02/2026</t>
  </si>
  <si>
    <t>KHATNIKONE KESAN</t>
  </si>
  <si>
    <t>TPTT 100%
CV 8799/UBND-SNG
ngày 29/12/2021</t>
  </si>
  <si>
    <t>P 2377091</t>
  </si>
  <si>
    <t>AI2302716</t>
  </si>
  <si>
    <t>PHOMMAVANH THIPPHACHANH</t>
  </si>
  <si>
    <t>K22 TPTT 100%
CV 8798/UBND-SNG
ngày 29/12/2021</t>
  </si>
  <si>
    <t>PA 0369858</t>
  </si>
  <si>
    <t>AI2302633</t>
  </si>
  <si>
    <t>11/02/2025</t>
  </si>
  <si>
    <t>SINGSAVATH PHOUDPHAVANH</t>
  </si>
  <si>
    <t>K22 TPTT 100%
CV 8798/UBND-SNG ngày 29/12/2021</t>
  </si>
  <si>
    <t>P 2377554</t>
  </si>
  <si>
    <t>AI2302701</t>
  </si>
  <si>
    <t>PHOMMASONE DOKHAK</t>
  </si>
  <si>
    <t>K22 TPTT 50%
CV 8798/UBND-SNG ngày 29/12/2021</t>
  </si>
  <si>
    <t>P 3193777</t>
  </si>
  <si>
    <t>AI 2302750</t>
  </si>
  <si>
    <t>02/3/2025</t>
  </si>
  <si>
    <t>MIVONG CHOULIA</t>
  </si>
  <si>
    <t>K22 TPTT 100%
CV 8795/UBND-SNG
ngày 29/12/2021</t>
  </si>
  <si>
    <t>P 2377748</t>
  </si>
  <si>
    <t>AI3504716</t>
  </si>
  <si>
    <t>28/9/2025</t>
  </si>
  <si>
    <t>Gia hạn lúc tháng 11/2025</t>
  </si>
  <si>
    <t>VIXAYKOUMMARN XAYPANYA</t>
  </si>
  <si>
    <t>K22 TPTT 100% CV 8796/UBND-SNG
ngày 29/12/2021</t>
  </si>
  <si>
    <t>PA 0369626</t>
  </si>
  <si>
    <t>AI2302703</t>
  </si>
  <si>
    <t>SAIPHOULUANG KHAM</t>
  </si>
  <si>
    <t>N 2208287</t>
  </si>
  <si>
    <t>XAIYASING FIM</t>
  </si>
  <si>
    <t>26/07/2005</t>
  </si>
  <si>
    <t>K23 100%
Công văn số 7049/UBND-SNG ngày 22/12/2022</t>
  </si>
  <si>
    <t>PA0466793</t>
  </si>
  <si>
    <t>AI 3504558</t>
  </si>
  <si>
    <t>Gia hạn lúc tháng 11/25</t>
  </si>
  <si>
    <t>TANVILAY KHAMCHANH</t>
  </si>
  <si>
    <t>K23 100%
Công văn số 7045/UBND-SNG ngày 22/12/2022</t>
  </si>
  <si>
    <t>P2391160</t>
  </si>
  <si>
    <t>AI 3504557</t>
  </si>
  <si>
    <t>MANOTHAM KAIKHAM</t>
  </si>
  <si>
    <t>18/10/2005</t>
  </si>
  <si>
    <t>Báo chí</t>
  </si>
  <si>
    <t>K23 100%
Công văn số 7044/UBND-SNG ngày 22/12/2022</t>
  </si>
  <si>
    <t>PA0470080</t>
  </si>
  <si>
    <t>AI 3504678</t>
  </si>
  <si>
    <t>PHONGPHAPHEUNE PORLA</t>
  </si>
  <si>
    <t>Sư phạm Vật lý</t>
  </si>
  <si>
    <t>PA0375644</t>
  </si>
  <si>
    <t>AI 3504677</t>
  </si>
  <si>
    <t>SEESOUPHAN PATHOUMPHONE</t>
  </si>
  <si>
    <t>PA0472216</t>
  </si>
  <si>
    <t>AI 3504679</t>
  </si>
  <si>
    <t>PHETMEUANGNEUA THAO</t>
  </si>
  <si>
    <t>K23 100%
Công văn số 6042/UBND-SNG ngày 02/11/2023</t>
  </si>
  <si>
    <t>P 2470718</t>
  </si>
  <si>
    <t>AI 2302705</t>
  </si>
  <si>
    <t>VANTHONG TANGSANGVONG</t>
  </si>
  <si>
    <t>15/05/1999</t>
  </si>
  <si>
    <t>Sư phạm Âm nhạc</t>
  </si>
  <si>
    <t>P 2424489</t>
  </si>
  <si>
    <t>AI 2302383</t>
  </si>
  <si>
    <t>đang chờ trả visa</t>
  </si>
  <si>
    <t>SAYTHONG IN SOMPHONE</t>
  </si>
  <si>
    <t>K23 50%
Công văn số 107/UBND-SNG ngày 09/01/2023</t>
  </si>
  <si>
    <t>PA037939</t>
  </si>
  <si>
    <t>AI3504742</t>
  </si>
  <si>
    <t>Gia hạn lúc tháng 01/26</t>
  </si>
  <si>
    <t>SOULICHANH SOUKTISONE</t>
  </si>
  <si>
    <t>K23 TPTT 100%
CV 8194/UBND-SNG
ngày 07/12/2021</t>
  </si>
  <si>
    <t>PA 0372598</t>
  </si>
  <si>
    <t>AI 3504680</t>
  </si>
  <si>
    <t>INTHAKOUMMAN PHETSANINDA</t>
  </si>
  <si>
    <t>16/03/2005</t>
  </si>
  <si>
    <t>K23 100%
Công văn số 7050/UBND-SNG ngày 22/12/2022</t>
  </si>
  <si>
    <t>PA0467964</t>
  </si>
  <si>
    <t>AI 3504559</t>
  </si>
  <si>
    <t>LATHONGSY MALAYLAK</t>
  </si>
  <si>
    <t>PA0458763</t>
  </si>
  <si>
    <t>AI 3504520</t>
  </si>
  <si>
    <t>HEUANGVONGSA PHITSAMAY</t>
  </si>
  <si>
    <t>PA 0436342</t>
  </si>
  <si>
    <t>AI 3504548</t>
  </si>
  <si>
    <t>18/10/2026</t>
  </si>
  <si>
    <t>Gia hạn lúc tháng 10/25</t>
  </si>
  <si>
    <t>HEUANGVONGSA SUTHAT</t>
  </si>
  <si>
    <t>P 2602205</t>
  </si>
  <si>
    <t>AI 3504545</t>
  </si>
  <si>
    <t>KEOMANY CHANSAMONE </t>
  </si>
  <si>
    <t>P 2756759</t>
  </si>
  <si>
    <t>AI 3504551</t>
  </si>
  <si>
    <t>31/8/2025</t>
  </si>
  <si>
    <t xml:space="preserve">KEOPHOXAY  PHAEVA </t>
  </si>
  <si>
    <t>P 2775099</t>
  </si>
  <si>
    <t>AI 3504533</t>
  </si>
  <si>
    <t>LUANGCHOM SANGA </t>
  </si>
  <si>
    <t>P 2758124</t>
  </si>
  <si>
    <t>AI 3504529</t>
  </si>
  <si>
    <t>24/8/2025</t>
  </si>
  <si>
    <t>PHOMMAKET HATSADY </t>
  </si>
  <si>
    <t>P 2742199</t>
  </si>
  <si>
    <t>AI 3504514</t>
  </si>
  <si>
    <t>25/8/2025</t>
  </si>
  <si>
    <t>SILAPHET THIT </t>
  </si>
  <si>
    <t>P 2744623</t>
  </si>
  <si>
    <t>AI 3504515</t>
  </si>
  <si>
    <t>VONGSENA SAUPHASITH</t>
  </si>
  <si>
    <t>P 2719159</t>
  </si>
  <si>
    <t>AI 3504544</t>
  </si>
  <si>
    <t>XAIYASITH YOI </t>
  </si>
  <si>
    <t>P 2745878</t>
  </si>
  <si>
    <t>AI 3504531</t>
  </si>
  <si>
    <t>XAPHOUVONG AISAVANH </t>
  </si>
  <si>
    <t>P 2709356</t>
  </si>
  <si>
    <t>AI 3504513</t>
  </si>
  <si>
    <t>29/8/2025</t>
  </si>
  <si>
    <t xml:space="preserve">XAYYATIEW PHOUTSANA </t>
  </si>
  <si>
    <t>P 2756882</t>
  </si>
  <si>
    <t>AI 3504537</t>
  </si>
  <si>
    <t>SISENGNAM PHOIPHAYLINH </t>
  </si>
  <si>
    <t>Giáo dục Tiểu học</t>
  </si>
  <si>
    <t>PA 443459</t>
  </si>
  <si>
    <t>AI 3504511</t>
  </si>
  <si>
    <t xml:space="preserve">KETKESONE POUPE </t>
  </si>
  <si>
    <t>P 2775227</t>
  </si>
  <si>
    <t>AI 3504543</t>
  </si>
  <si>
    <t>LADISA BOUAKEO</t>
  </si>
  <si>
    <t>Sư phạm Tin học</t>
  </si>
  <si>
    <t>P 2773112</t>
  </si>
  <si>
    <t>AI 3504546</t>
  </si>
  <si>
    <t>PHOMMADEE MOUKDA </t>
  </si>
  <si>
    <t>PA0474068</t>
  </si>
  <si>
    <t>AI 3504536</t>
  </si>
  <si>
    <t>PHIMMASONE KHAMPHOUVANH</t>
  </si>
  <si>
    <t>P 2798159</t>
  </si>
  <si>
    <t>AI 3504477</t>
  </si>
  <si>
    <t>24/10/2026</t>
  </si>
  <si>
    <t>THEPSOULIVONG SYVONE</t>
  </si>
  <si>
    <t>P 2678073</t>
  </si>
  <si>
    <t>AI2302146</t>
  </si>
  <si>
    <t>MYDOUANGCHANH SITTHIDETH</t>
  </si>
  <si>
    <t>P 2718662</t>
  </si>
  <si>
    <t>AI 3504264</t>
  </si>
  <si>
    <t>14/10/2025</t>
  </si>
  <si>
    <t>09/10/2026</t>
  </si>
  <si>
    <t>LABAO VIENGMONE</t>
  </si>
  <si>
    <t>P 2726503</t>
  </si>
  <si>
    <t>AI 3504260</t>
  </si>
  <si>
    <t>SENGSAVANG DOUANG ATHIT</t>
  </si>
  <si>
    <t>Hoá học</t>
  </si>
  <si>
    <t>P 2724058</t>
  </si>
  <si>
    <t>AI 3504265</t>
  </si>
  <si>
    <t>LATTANAPHIMPHONE CHINDAPHET</t>
  </si>
  <si>
    <t>P 2726578</t>
  </si>
  <si>
    <t>AI 3504261</t>
  </si>
  <si>
    <t>KHAMPHACHAN PALINYA</t>
  </si>
  <si>
    <t>P 2740047</t>
  </si>
  <si>
    <t>AI 3504259</t>
  </si>
  <si>
    <t>CHANTHAVONG APHAPHONE</t>
  </si>
  <si>
    <t>Sư phạm Sinh học</t>
  </si>
  <si>
    <t>P 2724807</t>
  </si>
  <si>
    <t>AI 3504258</t>
  </si>
  <si>
    <t>BOUNSAVATH AMEENA</t>
  </si>
  <si>
    <t>P 2567752</t>
  </si>
  <si>
    <t>AI 3504263</t>
  </si>
  <si>
    <t>KERN JOSEPH RYAN</t>
  </si>
  <si>
    <t>'07/5/1981</t>
  </si>
  <si>
    <t>Hoa Kỳ</t>
  </si>
  <si>
    <t>A05996945</t>
  </si>
  <si>
    <t xml:space="preserve">CHO HEEWON </t>
  </si>
  <si>
    <t>04/5/1971</t>
  </si>
  <si>
    <t>M26312664</t>
  </si>
  <si>
    <t>Hoàng việt apartment and hotel. 02 phạm thiều, phước mỹ, sơn trà</t>
  </si>
  <si>
    <t>AI 2302609</t>
  </si>
  <si>
    <t xml:space="preserve">MORGAN SOFIIA </t>
  </si>
  <si>
    <t>24/10/2002</t>
  </si>
  <si>
    <t>Nga</t>
  </si>
  <si>
    <t>118 Tô Hiến Thành, Phước Mỹ, Sơn Trà, Đà Nẵng</t>
  </si>
  <si>
    <t>AI3224721</t>
  </si>
  <si>
    <t>13/3/2024</t>
  </si>
  <si>
    <t>25/10/2025</t>
  </si>
  <si>
    <t>HUYNH HUY HOANG</t>
  </si>
  <si>
    <t>14/8/1996</t>
  </si>
  <si>
    <t>Úc</t>
  </si>
  <si>
    <t>RA4626864</t>
  </si>
  <si>
    <t>330 Tôn Đức Thắng</t>
  </si>
  <si>
    <t>PHATHEPSAVATH SOUKSAVANH</t>
  </si>
  <si>
    <t>14/8/2006</t>
  </si>
  <si>
    <t>Lịch sử</t>
  </si>
  <si>
    <t>P 3044109</t>
  </si>
  <si>
    <t>AI 1496687</t>
  </si>
  <si>
    <t>01/12/2025</t>
  </si>
  <si>
    <t>VIENGKEO DAOPHACHAN</t>
  </si>
  <si>
    <t>P3124229</t>
  </si>
  <si>
    <t>AI 3504506</t>
  </si>
  <si>
    <t>27/8/2025</t>
  </si>
  <si>
    <t>Gia hạn T10/25</t>
  </si>
  <si>
    <t>BOUDDAVONG ENNY</t>
  </si>
  <si>
    <t>P2670781</t>
  </si>
  <si>
    <t>AI 3504528</t>
  </si>
  <si>
    <t>PHETDAVAN INTHILA</t>
  </si>
  <si>
    <t>P3068798</t>
  </si>
  <si>
    <t>AI 3504503</t>
  </si>
  <si>
    <t>VANNATI PHOUTTHASATH</t>
  </si>
  <si>
    <t>PA0432112</t>
  </si>
  <si>
    <t>AI 3504510</t>
  </si>
  <si>
    <t>SIYAVONG KHAMHOU</t>
  </si>
  <si>
    <t>P2643352</t>
  </si>
  <si>
    <t>AI 3504495</t>
  </si>
  <si>
    <t>MALICHANSY PALINYA</t>
  </si>
  <si>
    <t>P3140878</t>
  </si>
  <si>
    <t>AI 3504535</t>
  </si>
  <si>
    <t>INTHALANGSY PANYAPHONE</t>
  </si>
  <si>
    <t>P2943520</t>
  </si>
  <si>
    <t>AI 3504526</t>
  </si>
  <si>
    <t>21/8/2025</t>
  </si>
  <si>
    <t>LARKHAMPANG SEEDA</t>
  </si>
  <si>
    <t>P3138760</t>
  </si>
  <si>
    <t>AI 3504504</t>
  </si>
  <si>
    <t xml:space="preserve">KHAMSUVAN PHOUTTHASONE </t>
  </si>
  <si>
    <t>P3046498</t>
  </si>
  <si>
    <t>AI 3504494</t>
  </si>
  <si>
    <t>SIMMAVATH BONIK</t>
  </si>
  <si>
    <t>P3140957</t>
  </si>
  <si>
    <t>AI 3504501</t>
  </si>
  <si>
    <t xml:space="preserve">BOUPPHAPHANH SOYKEO </t>
  </si>
  <si>
    <t>P3126142</t>
  </si>
  <si>
    <t>AI 3504492</t>
  </si>
  <si>
    <t xml:space="preserve">CHANTHASOUK SUPHALAK </t>
  </si>
  <si>
    <t>P3126144</t>
  </si>
  <si>
    <t>AI 3504508</t>
  </si>
  <si>
    <t>SIKHOUNXAI CHANSAMAI</t>
  </si>
  <si>
    <t>P3126195</t>
  </si>
  <si>
    <t>AI 3504502</t>
  </si>
  <si>
    <t>PHASAVENG INTHAVONG</t>
  </si>
  <si>
    <t>24/12/2006</t>
  </si>
  <si>
    <t>P3067889</t>
  </si>
  <si>
    <t>AI 3504534</t>
  </si>
  <si>
    <t xml:space="preserve">CHOMMANIVONG XAYLAVANH </t>
  </si>
  <si>
    <t>29/8/2006</t>
  </si>
  <si>
    <t>P3039340</t>
  </si>
  <si>
    <t>AI 3504532</t>
  </si>
  <si>
    <t>16/8/2025</t>
  </si>
  <si>
    <t>VIDATHONG SINXAY</t>
  </si>
  <si>
    <t>học lại DBTV</t>
  </si>
  <si>
    <t>1818/QĐ-ĐHSP ngày 24/9/2025</t>
  </si>
  <si>
    <t>P3071498</t>
  </si>
  <si>
    <t>AI 3504524</t>
  </si>
  <si>
    <t>15/10/2025</t>
  </si>
  <si>
    <t>TOUYYASENG KAYTHONG</t>
  </si>
  <si>
    <t>P3126993</t>
  </si>
  <si>
    <t>AI 3504522</t>
  </si>
  <si>
    <t>MANIKHOT SANTISOUK</t>
  </si>
  <si>
    <t>P3132175</t>
  </si>
  <si>
    <t>AI 2302461</t>
  </si>
  <si>
    <t>Đang chờ trả visa</t>
  </si>
  <si>
    <t>LOUANGMIXAY CHEM</t>
  </si>
  <si>
    <t>P3132920</t>
  </si>
  <si>
    <t>AI 3504541</t>
  </si>
  <si>
    <t>SINGSAVANG THINNAKONE</t>
  </si>
  <si>
    <t>P3141619</t>
  </si>
  <si>
    <t>AI 2302515</t>
  </si>
  <si>
    <t>VONGNADY THEPTHIDA</t>
  </si>
  <si>
    <t>P3140867</t>
  </si>
  <si>
    <t>AI 3504523</t>
  </si>
  <si>
    <t>20/8/2025</t>
  </si>
  <si>
    <t>XAYYALATH ANOUSONE</t>
  </si>
  <si>
    <t>P 3081370</t>
  </si>
  <si>
    <t>AI 3504542</t>
  </si>
  <si>
    <t>SENG ALOUN SANTIKONE</t>
  </si>
  <si>
    <t>1917/QĐ-ĐHSP ngày 10/10/2025</t>
  </si>
  <si>
    <t>P 3123313</t>
  </si>
  <si>
    <t>AI 3504521</t>
  </si>
  <si>
    <t>VINNAVONG PHOUTHONG</t>
  </si>
  <si>
    <t>24/6/2007</t>
  </si>
  <si>
    <t>P 3054173</t>
  </si>
  <si>
    <t>AI 3504512</t>
  </si>
  <si>
    <t>CHANTHADALA NALY</t>
  </si>
  <si>
    <t>DBTV</t>
  </si>
  <si>
    <t>HB Hiệp định - Số 2514/QĐ-BGDĐT ngày 04/9/2025</t>
  </si>
  <si>
    <t>PA 0219499</t>
  </si>
  <si>
    <t>AI 3062376</t>
  </si>
  <si>
    <t>23/9/2025</t>
  </si>
  <si>
    <t>23/9/2026</t>
  </si>
  <si>
    <t>THANCHUEA VILAKONE</t>
  </si>
  <si>
    <t>30/9/2007</t>
  </si>
  <si>
    <t>HB Hiệp định - Số 2514/QĐ-BGDĐT ngày 04/9/2026</t>
  </si>
  <si>
    <t>P 3315791</t>
  </si>
  <si>
    <t>AI 3504594</t>
  </si>
  <si>
    <t>HOMSOMBATH MALA</t>
  </si>
  <si>
    <t>14/11/2007</t>
  </si>
  <si>
    <t>HB Hiệp định - Số 2514/QĐ-BGDĐT ngày 04/9/2027</t>
  </si>
  <si>
    <t>PA 0498175</t>
  </si>
  <si>
    <t>AI 3504597</t>
  </si>
  <si>
    <t>KEOPHASOUK AAPHONE</t>
  </si>
  <si>
    <t>HB Hiệp định - Số 2514/QĐ-BGDĐT ngày 04/9/2028</t>
  </si>
  <si>
    <t>P 3309527</t>
  </si>
  <si>
    <t>AI 3504629</t>
  </si>
  <si>
    <t>SILIYAVONG ATHIDTIYA</t>
  </si>
  <si>
    <t>13/01/2008</t>
  </si>
  <si>
    <t>HB Hiệp định - Số 2514/QĐ-BGDĐT ngày 04/9/2029</t>
  </si>
  <si>
    <t>P 3309402</t>
  </si>
  <si>
    <t>AI 3504628</t>
  </si>
  <si>
    <t>PAKAYKHAM NOUNIM</t>
  </si>
  <si>
    <t>24/4/2001</t>
  </si>
  <si>
    <t>HB Hiệp định - Số 2514/QĐ-BGDĐT ngày 04/9/2030</t>
  </si>
  <si>
    <t>PA 0481622</t>
  </si>
  <si>
    <t>AI 3504598</t>
  </si>
  <si>
    <t>KEOKHOUNMEUANG VISET</t>
  </si>
  <si>
    <t>HB Hiệp định - Số 2514/QĐ-BGDĐT ngày 04/9/2031</t>
  </si>
  <si>
    <t>P 3366815</t>
  </si>
  <si>
    <t>AI 3504624</t>
  </si>
  <si>
    <t>SOUVANNA SOM</t>
  </si>
  <si>
    <t>HB Hiệp định - Số 2514/QĐ-BGDĐT ngày 04/9/2032</t>
  </si>
  <si>
    <t>P 3338284</t>
  </si>
  <si>
    <t>AI 3504627</t>
  </si>
  <si>
    <t>MOUNPHOXAI MOUKSAVANH</t>
  </si>
  <si>
    <t>29/7/2007</t>
  </si>
  <si>
    <t>HB Hiệp định - Số 2514/QĐ-BGDĐT ngày 04/9/2033</t>
  </si>
  <si>
    <t>P 3304738</t>
  </si>
  <si>
    <t>AI 3504626</t>
  </si>
  <si>
    <t>SOMCHAI VADSANA</t>
  </si>
  <si>
    <t>HB Hiệp định - Số 2514/QĐ-BGDĐT ngày 04/9/2034</t>
  </si>
  <si>
    <t>P 3340298</t>
  </si>
  <si>
    <t>AI 3504622</t>
  </si>
  <si>
    <t>SENGDAO DENG</t>
  </si>
  <si>
    <t>22/6/2005</t>
  </si>
  <si>
    <t>HB Hiệp định - Số 2514/QĐ-BGDĐT ngày 04/9/2035</t>
  </si>
  <si>
    <t>P 3348078</t>
  </si>
  <si>
    <t>AI 3504595</t>
  </si>
  <si>
    <t>KINNAVONG KHOUANTA</t>
  </si>
  <si>
    <t>HB Hiệp định - Số 2514/QĐ-BGDĐT ngày 04/9/2036</t>
  </si>
  <si>
    <t>P 3339702</t>
  </si>
  <si>
    <t>AI 3504625</t>
  </si>
  <si>
    <t>SAIKEO BOUNYOT</t>
  </si>
  <si>
    <t>HB Hiệp định - Số 2514/QĐ-BGDĐT ngày 04/9/2037</t>
  </si>
  <si>
    <t>P 3348339</t>
  </si>
  <si>
    <t>AI 3504596</t>
  </si>
  <si>
    <t>THIPPHAVONG XAYPANYA</t>
  </si>
  <si>
    <t>28/01/2007</t>
  </si>
  <si>
    <t>HB Hiệp định - Số 2514/QĐ-BGDĐT ngày 04/9/2038</t>
  </si>
  <si>
    <t>P 3365383</t>
  </si>
  <si>
    <t>AI 3504623</t>
  </si>
  <si>
    <t>VANTHANOUVONG DOMY</t>
  </si>
  <si>
    <t>23/3/2008</t>
  </si>
  <si>
    <t>HB Hiệp định - Số 2514/QĐ-BGDĐT ngày 04/9/2039</t>
  </si>
  <si>
    <t>P 3296418</t>
  </si>
  <si>
    <t>AI 3504621</t>
  </si>
  <si>
    <t>BOUNXOKVAN KONGKITDAKONE</t>
  </si>
  <si>
    <t>02/3/2008</t>
  </si>
  <si>
    <t>PA 0381007</t>
  </si>
  <si>
    <t>1788/QĐ-ĐHSP ngày 22/9/2025</t>
  </si>
  <si>
    <t>BOUNXOKVAN SIRIVIPHONE</t>
  </si>
  <si>
    <t>13/01/2007</t>
  </si>
  <si>
    <t>PA 0381184</t>
  </si>
  <si>
    <t>PHIMMAVONG XAYSANA</t>
  </si>
  <si>
    <t>26/7/2007</t>
  </si>
  <si>
    <t>Tổng lãnh sự Lào</t>
  </si>
  <si>
    <t>PA 0504939</t>
  </si>
  <si>
    <t>1747/QĐ-ĐHSP ngày 17/9/2025</t>
  </si>
  <si>
    <t>Đợi QĐ</t>
  </si>
  <si>
    <t xml:space="preserve">KEOMANYXAI LATDAVANH </t>
  </si>
  <si>
    <t>23/02/1997</t>
  </si>
  <si>
    <t>Savannakhet</t>
  </si>
  <si>
    <t xml:space="preserve"> (thạc sĩ)</t>
  </si>
  <si>
    <t>PA 0168515</t>
  </si>
  <si>
    <t>ĐỢI QĐ LÀM VISA CODE</t>
  </si>
  <si>
    <t>KEOPANYA LOBINSANH</t>
  </si>
  <si>
    <t>22/12/1982</t>
  </si>
  <si>
    <t>P 3389293</t>
  </si>
  <si>
    <t>AI 3504644</t>
  </si>
  <si>
    <t>21/11/2025</t>
  </si>
  <si>
    <t>25/10/2026</t>
  </si>
  <si>
    <t>PHONESAVANH SOMNAO</t>
  </si>
  <si>
    <t>10/11/1988</t>
  </si>
  <si>
    <t>P 3373297</t>
  </si>
  <si>
    <t>AI 3504782</t>
  </si>
  <si>
    <t>SOULIYA SOULICHANH</t>
  </si>
  <si>
    <t>10/10/1983</t>
  </si>
  <si>
    <t>P 3379330</t>
  </si>
  <si>
    <t>AI 3504788</t>
  </si>
  <si>
    <t>24/11/2025</t>
  </si>
  <si>
    <t>LADSAVATH SATHAPHONE</t>
  </si>
  <si>
    <t>10/4/1993</t>
  </si>
  <si>
    <t>PA 0301411</t>
  </si>
  <si>
    <t>AI 3504783</t>
  </si>
  <si>
    <t>CHANSOMPHOU KHANSAI</t>
  </si>
  <si>
    <t>15/01/1992</t>
  </si>
  <si>
    <t>P 3395579</t>
  </si>
  <si>
    <t>AI 3504646</t>
  </si>
  <si>
    <t>OUNPASERT KAIKEO</t>
  </si>
  <si>
    <t>13/10/1988</t>
  </si>
  <si>
    <t>P 3423896</t>
  </si>
  <si>
    <t>AI 3504786</t>
  </si>
  <si>
    <t>BOURPHAS LARNOY</t>
  </si>
  <si>
    <t>11/11/1987</t>
  </si>
  <si>
    <t>P 3423886</t>
  </si>
  <si>
    <t>AI 3504785</t>
  </si>
  <si>
    <t>SOUDTAVONG KAINA</t>
  </si>
  <si>
    <t>28/10/2007</t>
  </si>
  <si>
    <t>P 3395496</t>
  </si>
  <si>
    <t>AI 3504647</t>
  </si>
  <si>
    <t>LEUANVILAY LAVADY</t>
  </si>
  <si>
    <t>24/07/2007</t>
  </si>
  <si>
    <t>P 3377970</t>
  </si>
  <si>
    <t>AI 3504787</t>
  </si>
  <si>
    <t>KEOMIXAY THIPTHIDA</t>
  </si>
  <si>
    <t>03/11/2007</t>
  </si>
  <si>
    <t>P 3345247</t>
  </si>
  <si>
    <t>AI 3504781</t>
  </si>
  <si>
    <t>LOUANGPANHYA SOUKMIXOK</t>
  </si>
  <si>
    <t>P 3369574</t>
  </si>
  <si>
    <t>AI 3504789</t>
  </si>
  <si>
    <t>SISOULATH SOUVANNAPHOUM</t>
  </si>
  <si>
    <t>16/09/2006</t>
  </si>
  <si>
    <t>P 3134629</t>
  </si>
  <si>
    <t>AI 3504794</t>
  </si>
  <si>
    <t>THYKHAMMY SOUPHAXAY</t>
  </si>
  <si>
    <t>01/11/2007</t>
  </si>
  <si>
    <t>PA 0506579</t>
  </si>
  <si>
    <t>AI 3503649</t>
  </si>
  <si>
    <t>MIVAPADITH ANATDA</t>
  </si>
  <si>
    <t>26/09/2007</t>
  </si>
  <si>
    <t>PA 0417922</t>
  </si>
  <si>
    <t>AI 3504792</t>
  </si>
  <si>
    <t>RASASOMBATH SANTISOUK</t>
  </si>
  <si>
    <t>13/04/2007</t>
  </si>
  <si>
    <t>PA 0505145</t>
  </si>
  <si>
    <t>AI 3504650</t>
  </si>
  <si>
    <t>SOUTHALUCK KEOPANYA</t>
  </si>
  <si>
    <t>09/09/2007</t>
  </si>
  <si>
    <t>P 3372816</t>
  </si>
  <si>
    <t>AI 3504795</t>
  </si>
  <si>
    <t>SOUVANNASENG THAVYXAY</t>
  </si>
  <si>
    <t>03/02/2008</t>
  </si>
  <si>
    <t>P 3110206</t>
  </si>
  <si>
    <t>AI 3504793</t>
  </si>
  <si>
    <t>SAMONTY OLAVANH</t>
  </si>
  <si>
    <t>02/05/2008</t>
  </si>
  <si>
    <t>P 3385316</t>
  </si>
  <si>
    <t>AI 3504791</t>
  </si>
  <si>
    <t>VONGSENGDEUAN ALOUNPHONE</t>
  </si>
  <si>
    <t>17/12/2006</t>
  </si>
  <si>
    <t>P 3398242</t>
  </si>
  <si>
    <t>AI 3504796</t>
  </si>
  <si>
    <t>SOUVANNASING XALYSA</t>
  </si>
  <si>
    <t>18/02/2007</t>
  </si>
  <si>
    <t>PA 0455556</t>
  </si>
  <si>
    <t>AI 3504790</t>
  </si>
  <si>
    <t>SIPASERD PHIEN</t>
  </si>
  <si>
    <t>24/01/2005</t>
  </si>
  <si>
    <t>P 3384772</t>
  </si>
  <si>
    <t>AI 3504648</t>
  </si>
  <si>
    <t xml:space="preserve">ONDAVONG KANYAPHONE </t>
  </si>
  <si>
    <t>DBTV (thạc sĩ)</t>
  </si>
  <si>
    <t>PA 0513831</t>
  </si>
  <si>
    <t>AI3794121</t>
  </si>
  <si>
    <t xml:space="preserve">SOULYA THIDAPHONE </t>
  </si>
  <si>
    <t>17/4/2007</t>
  </si>
  <si>
    <t>P 2720841</t>
  </si>
  <si>
    <t>AI3794122</t>
  </si>
  <si>
    <t>VÕ ĐẠI QUÝ</t>
  </si>
  <si>
    <t>Q00476501</t>
  </si>
  <si>
    <t>HỘ CHIẾU VN</t>
  </si>
  <si>
    <t>KEOMANY PANIN</t>
  </si>
  <si>
    <t>03/11/2005</t>
  </si>
  <si>
    <t>Bolikhamxay</t>
  </si>
  <si>
    <t>HB TP ĐN - Số 3921/QĐ-ĐHĐN ngày 14/10/2025</t>
  </si>
  <si>
    <t>P 3327121</t>
  </si>
  <si>
    <t>0777064981</t>
  </si>
  <si>
    <t>PHOMMACHAK LATDAVANH</t>
  </si>
  <si>
    <t>04/5/2005</t>
  </si>
  <si>
    <t>P 3395963</t>
  </si>
  <si>
    <t>0777585804</t>
  </si>
  <si>
    <t>XAYKOUAHA KAYY</t>
  </si>
  <si>
    <t>12/7/2007</t>
  </si>
  <si>
    <t>P 3227940</t>
  </si>
  <si>
    <t>0776300641</t>
  </si>
  <si>
    <t>KHONGSOMBOUN LIDTHIDA</t>
  </si>
  <si>
    <t>24/1/2008</t>
  </si>
  <si>
    <t>P 2515746</t>
  </si>
  <si>
    <t>0589984324</t>
  </si>
  <si>
    <t>LOUANGBOUTDY BOUPPHA</t>
  </si>
  <si>
    <t>18/10/2009</t>
  </si>
  <si>
    <t>P 3018098</t>
  </si>
  <si>
    <t>0589986204</t>
  </si>
  <si>
    <t>BOUATHONG PHOUTTHASAK</t>
  </si>
  <si>
    <t>07/6/2007</t>
  </si>
  <si>
    <t>P 3093695</t>
  </si>
  <si>
    <t>0927539749</t>
  </si>
  <si>
    <t>INTHISAN SAYYAPHONG</t>
  </si>
  <si>
    <t>22/06/2006</t>
  </si>
  <si>
    <t>PA 0504365</t>
  </si>
  <si>
    <t>0589985849</t>
  </si>
  <si>
    <t>PHOMMAKONG ANGKHAM</t>
  </si>
  <si>
    <t>26/4/2007</t>
  </si>
  <si>
    <t>P 3346754</t>
  </si>
  <si>
    <t>0589985895</t>
  </si>
  <si>
    <t>XAYYASANE SITPHASONE</t>
  </si>
  <si>
    <t>P 3398030</t>
  </si>
  <si>
    <t>0589984317</t>
  </si>
  <si>
    <t>SOUANPHOUNSAVANH PHOMSAVANH</t>
  </si>
  <si>
    <t>15/8/2007</t>
  </si>
  <si>
    <t>PA 0508948</t>
  </si>
  <si>
    <t>0589986149</t>
  </si>
  <si>
    <t>HONG LAVIPHANH</t>
  </si>
  <si>
    <t>02/06/1983</t>
  </si>
  <si>
    <t>DBTV thạc sĩ</t>
  </si>
  <si>
    <t>P 3398581</t>
  </si>
  <si>
    <t>Đợi QĐ làm visa code</t>
  </si>
  <si>
    <t>SOUDTHICHACK SIVAD</t>
  </si>
  <si>
    <t>13/04/1984</t>
  </si>
  <si>
    <t>PA 0508789</t>
  </si>
  <si>
    <t>XANLUEXA NUXAI</t>
  </si>
  <si>
    <t>09/11/1986</t>
  </si>
  <si>
    <t>PA 0510427</t>
  </si>
  <si>
    <t>THALONGSENGCHAN KHAMPHOUN</t>
  </si>
  <si>
    <t>10/07/2007</t>
  </si>
  <si>
    <t>P 3414809</t>
  </si>
  <si>
    <t>XAYAVONG KONGKHAM</t>
  </si>
  <si>
    <t>P 3255858</t>
  </si>
  <si>
    <t>PHOMMACHANH KHANPHAVANH</t>
  </si>
  <si>
    <t>03/04/2007</t>
  </si>
  <si>
    <t>P 3384609</t>
  </si>
  <si>
    <t>SOULIYAPHAN LEXLAI</t>
  </si>
  <si>
    <t>07/08/2007</t>
  </si>
  <si>
    <t>P 3416819</t>
  </si>
  <si>
    <t>HILIOTH SONEDET</t>
  </si>
  <si>
    <t>27/10/2008</t>
  </si>
  <si>
    <t>P 3448483</t>
  </si>
  <si>
    <t>SAYXEKAMAN SAYSAMAY</t>
  </si>
  <si>
    <t>08/02/2008</t>
  </si>
  <si>
    <t>P 3415788</t>
  </si>
  <si>
    <t>KEOBOUAPHA PHONEKEO</t>
  </si>
  <si>
    <t>04/01/2008</t>
  </si>
  <si>
    <t>P 3418950</t>
  </si>
  <si>
    <t>SAENGJAIJALERN POUPAY</t>
  </si>
  <si>
    <t>06/07/2007</t>
  </si>
  <si>
    <t>P 3415782</t>
  </si>
  <si>
    <t>MAHAVONG NANTHIDA</t>
  </si>
  <si>
    <t>10/07/2008</t>
  </si>
  <si>
    <t>P 3391958</t>
  </si>
  <si>
    <t>VATSANGA PATHOUMMA</t>
  </si>
  <si>
    <t>05/11/2008</t>
  </si>
  <si>
    <t>PA 0510795</t>
  </si>
  <si>
    <t>PHOULA IAT SOUKPASERT</t>
  </si>
  <si>
    <t>28/09/2007</t>
  </si>
  <si>
    <t>P 3415704</t>
  </si>
  <si>
    <t>BOUDDALA KHANSAMAI</t>
  </si>
  <si>
    <t>12/06/2008</t>
  </si>
  <si>
    <t>P 3368160</t>
  </si>
  <si>
    <t>LOHASATH TAKHAM</t>
  </si>
  <si>
    <t>21/11/2007</t>
  </si>
  <si>
    <t>P 3104147</t>
  </si>
  <si>
    <t>CHANTHAVONG THIPPHAPHONE</t>
  </si>
  <si>
    <t>05/08/2007</t>
  </si>
  <si>
    <t>P 3416824</t>
  </si>
  <si>
    <t>DUANGPANYA SYTHAPHONE</t>
  </si>
  <si>
    <t>01/01/2006</t>
  </si>
  <si>
    <t>P 3427376</t>
  </si>
  <si>
    <t>KONEYER THIPPHAPHONE</t>
  </si>
  <si>
    <t>25/05/2009</t>
  </si>
  <si>
    <t>P 3444775</t>
  </si>
  <si>
    <t>VO THI DIEU ANH</t>
  </si>
  <si>
    <t>14/02/2008</t>
  </si>
  <si>
    <t>HB 100% Hội người Việt</t>
  </si>
  <si>
    <t>Q 00053966</t>
  </si>
  <si>
    <t>XAYYAVONG MANINOUT</t>
  </si>
  <si>
    <t>18/10/2007</t>
  </si>
  <si>
    <t>PA 0508192</t>
  </si>
  <si>
    <t>MANIVONGSACK Souphatthana</t>
  </si>
  <si>
    <t>06/02/1990</t>
  </si>
  <si>
    <t>Attapeu</t>
  </si>
  <si>
    <t>PA 0508077</t>
  </si>
  <si>
    <t>PHOMMASAN LEX</t>
  </si>
  <si>
    <t>15/11/1996</t>
  </si>
  <si>
    <t>PA 0509396</t>
  </si>
  <si>
    <t>PHANTHAVONG Asah</t>
  </si>
  <si>
    <t>21/04/1989</t>
  </si>
  <si>
    <t>P 2877327</t>
  </si>
  <si>
    <t>PHOMMAVONG Thatsaphone</t>
  </si>
  <si>
    <t>29/06/2005</t>
  </si>
  <si>
    <t>P 2898824</t>
  </si>
  <si>
    <t>CHANTHAVIXAY Vongphachanh</t>
  </si>
  <si>
    <t>25/12/2005</t>
  </si>
  <si>
    <t>P 3355783</t>
  </si>
  <si>
    <t>KEOBOUNNAM Bounthanom</t>
  </si>
  <si>
    <t>02/6/2006</t>
  </si>
  <si>
    <t>P 3333993</t>
  </si>
  <si>
    <t>SILUEXAY Chiladeth</t>
  </si>
  <si>
    <t>PA 0505654</t>
  </si>
  <si>
    <t>KEOMANY Phaxay</t>
  </si>
  <si>
    <t>12/4/2008</t>
  </si>
  <si>
    <t>P 2794150</t>
  </si>
  <si>
    <t>VONGSALASITH Channakhone</t>
  </si>
  <si>
    <t>13/08/2007</t>
  </si>
  <si>
    <t>P 3396342</t>
  </si>
  <si>
    <t>SENBOUTTRAT Bountien</t>
  </si>
  <si>
    <t>30/08/2006</t>
  </si>
  <si>
    <t>P 2710048</t>
  </si>
  <si>
    <t>KEOSOUVANH Ovia</t>
  </si>
  <si>
    <t>17/07/2007</t>
  </si>
  <si>
    <t>P 3423795</t>
  </si>
  <si>
    <t>NAVONGSA Kietthisai</t>
  </si>
  <si>
    <t>P 2819181</t>
  </si>
  <si>
    <t>INPHENGTHAVONG Thanakone</t>
  </si>
  <si>
    <t>19/11/2007</t>
  </si>
  <si>
    <t>DBTV (tự túc)</t>
  </si>
  <si>
    <t>P2682391</t>
  </si>
  <si>
    <t>SISAVENGSOUK Hatchinda</t>
  </si>
  <si>
    <t>P 3368497</t>
  </si>
  <si>
    <t>HODNAIVONG Mackkee</t>
  </si>
  <si>
    <t>P 3395499</t>
  </si>
  <si>
    <t>PHIMMASONE Chanmany</t>
  </si>
  <si>
    <t>15/10/2007</t>
  </si>
  <si>
    <t>P 3401599</t>
  </si>
  <si>
    <t>VONGPHOUTHONE Dalinop</t>
  </si>
  <si>
    <t>22/05/1991</t>
  </si>
  <si>
    <t>PA 0307895</t>
  </si>
  <si>
    <t>VONGPASEUTH Khammixay</t>
  </si>
  <si>
    <t>23/02/2006</t>
  </si>
  <si>
    <t>P 3346411</t>
  </si>
  <si>
    <t>NINTHILATH Soukdavy</t>
  </si>
  <si>
    <t>24/09/2007</t>
  </si>
  <si>
    <t>PA 0504895</t>
  </si>
  <si>
    <t>BOUPPHAPHANH Chanthida</t>
  </si>
  <si>
    <t>PA 0507084</t>
  </si>
  <si>
    <t>CHANTHAVISOUK Khamphousy</t>
  </si>
  <si>
    <t>P 3426005</t>
  </si>
  <si>
    <t>SINLAPA Chanpasong</t>
  </si>
  <si>
    <t>14/01/2008</t>
  </si>
  <si>
    <t>PA 0509406</t>
  </si>
  <si>
    <t>KOMMASANE Invalin</t>
  </si>
  <si>
    <t>23/01/2008</t>
  </si>
  <si>
    <t>PA 0509408</t>
  </si>
  <si>
    <t>SOULIXAY Soukmixay</t>
  </si>
  <si>
    <t>22/9/2006</t>
  </si>
  <si>
    <t xml:space="preserve">HB tỉnh Quảng Nam (cũ)  </t>
  </si>
  <si>
    <t>P 3382491</t>
  </si>
  <si>
    <t>SAMANOCHACK Pysa</t>
  </si>
  <si>
    <t>15/3/2007</t>
  </si>
  <si>
    <t>PA 0504126</t>
  </si>
  <si>
    <t>KHAMTHAVONG Pet</t>
  </si>
  <si>
    <t>13/3/2006</t>
  </si>
  <si>
    <t>P 3408779</t>
  </si>
  <si>
    <t>VORVONGCHIT Phetmixay</t>
  </si>
  <si>
    <t>06/01/2007</t>
  </si>
  <si>
    <t>P 3389141</t>
  </si>
  <si>
    <t>NUNTHASEN Phoudthavee</t>
  </si>
  <si>
    <t>22/3/2006</t>
  </si>
  <si>
    <t>P 3398961</t>
  </si>
  <si>
    <t>XAIYASENA Sintham</t>
  </si>
  <si>
    <t>18/01/2007</t>
  </si>
  <si>
    <t>PA 0509931</t>
  </si>
  <si>
    <t>OUDOMXAYXANAVONG Phoukham</t>
  </si>
  <si>
    <t>P 3422907</t>
  </si>
  <si>
    <t>CHANTHAKHOT Bot</t>
  </si>
  <si>
    <t>PA 0508095</t>
  </si>
  <si>
    <t>LAYTHIVONG Souphida</t>
  </si>
  <si>
    <t>PA 0509479</t>
  </si>
  <si>
    <t>BOUTBOUNMY Yem</t>
  </si>
  <si>
    <t>PA 0508093</t>
  </si>
  <si>
    <t>PHEDSAVANH Naly</t>
  </si>
  <si>
    <t>07/8/2007</t>
  </si>
  <si>
    <t>PA 0509407</t>
  </si>
  <si>
    <t>SILITHAM Anny</t>
  </si>
  <si>
    <t>14/7/2008</t>
  </si>
  <si>
    <t>P 3382549</t>
  </si>
  <si>
    <t>VONGXALAXITH Souknapha</t>
  </si>
  <si>
    <t>29/6/2007</t>
  </si>
  <si>
    <t>P 3382548</t>
  </si>
  <si>
    <t>MAIBOUNMANY Soysayjai</t>
  </si>
  <si>
    <t>02/12/2007</t>
  </si>
  <si>
    <t>P 3310214</t>
  </si>
  <si>
    <t>PHUANGPHANH Phouttavanh</t>
  </si>
  <si>
    <t>24/10/2007</t>
  </si>
  <si>
    <t>P 3409313</t>
  </si>
  <si>
    <t>CHANSAMOUT Soukanan</t>
  </si>
  <si>
    <t>25/10/2006</t>
  </si>
  <si>
    <t>PA 0510041</t>
  </si>
  <si>
    <t>XAIXAMLUANG Phoneaun</t>
  </si>
  <si>
    <t>22/01/2008</t>
  </si>
  <si>
    <t>PA 0507856</t>
  </si>
  <si>
    <t>CHANTHAKALY Thit Aloun</t>
  </si>
  <si>
    <t>07/7/2006</t>
  </si>
  <si>
    <t>P 2719089</t>
  </si>
  <si>
    <t>VILAHEUANG Lot</t>
  </si>
  <si>
    <t>10/5/2005</t>
  </si>
  <si>
    <t>P 3439912</t>
  </si>
  <si>
    <t>XAYYAVONGSA Banchay</t>
  </si>
  <si>
    <t>29/4/2007</t>
  </si>
  <si>
    <t>P 3418790</t>
  </si>
  <si>
    <t>KETTHONGKHAM NOUANELA ONG</t>
  </si>
  <si>
    <t>06/12/1992</t>
  </si>
  <si>
    <t>Salavan</t>
  </si>
  <si>
    <t>PA 0131478</t>
  </si>
  <si>
    <t>ANON HONG</t>
  </si>
  <si>
    <t>14/11/1991</t>
  </si>
  <si>
    <t>P 3435615</t>
  </si>
  <si>
    <t>SIVIXAI BOUNTHALA</t>
  </si>
  <si>
    <t>01/6/1988</t>
  </si>
  <si>
    <t>P 3435616</t>
  </si>
  <si>
    <t>KEOBOUAPHA NAMTHIP</t>
  </si>
  <si>
    <t>P 3436191</t>
  </si>
  <si>
    <t>SENG ALOUN PHONESAMAI</t>
  </si>
  <si>
    <t>20/6/1008</t>
  </si>
  <si>
    <t>P 3445968</t>
  </si>
  <si>
    <t>KHAMBOUNHEUANG NEUANGLUETHAI</t>
  </si>
  <si>
    <t>17/12/2008</t>
  </si>
  <si>
    <t>PA 0507573</t>
  </si>
  <si>
    <t>CHANTHAVONG MALISA</t>
  </si>
  <si>
    <t>16/8/2008</t>
  </si>
  <si>
    <t>P 3370776</t>
  </si>
  <si>
    <t>THIDALAK KHANTHALY</t>
  </si>
  <si>
    <t>16/6/2008</t>
  </si>
  <si>
    <t>P 3354415</t>
  </si>
  <si>
    <t>SISOMPHONE TANANNY</t>
  </si>
  <si>
    <t>22/4/2007</t>
  </si>
  <si>
    <t>P 3436190</t>
  </si>
  <si>
    <t>PHONGSENA PANITDA</t>
  </si>
  <si>
    <t>04/02/2008</t>
  </si>
  <si>
    <t>P 3436189</t>
  </si>
  <si>
    <t>SIPASEUTH MAYSAVANH</t>
  </si>
  <si>
    <t>28/01/2008</t>
  </si>
  <si>
    <t>P 3436213</t>
  </si>
  <si>
    <t>SIPHACHANH THIDALAT</t>
  </si>
  <si>
    <t>09/12/2008</t>
  </si>
  <si>
    <t>P 3370777</t>
  </si>
  <si>
    <t>TUEXONGDETH ANONGHUK</t>
  </si>
  <si>
    <t>02/10/2008</t>
  </si>
  <si>
    <t>P 3436212</t>
  </si>
  <si>
    <t>CHIEMCHANYAR MANOHUK</t>
  </si>
  <si>
    <t>P 3436211</t>
  </si>
  <si>
    <t>DOUANGMETTA SIVANBANG</t>
  </si>
  <si>
    <t>12/02/2008</t>
  </si>
  <si>
    <t>P 3439245</t>
  </si>
  <si>
    <t>SENGKEO OUDOM HATTHAPHONE</t>
  </si>
  <si>
    <t>19/6/2008</t>
  </si>
  <si>
    <t>P 3433463</t>
  </si>
  <si>
    <t>DOUANGPHACHANH KHIEOSAKDA</t>
  </si>
  <si>
    <t>05/01/2005</t>
  </si>
  <si>
    <t>P 3414222</t>
  </si>
  <si>
    <t>THEPVONGSA NAXAY</t>
  </si>
  <si>
    <t>31/10/2007</t>
  </si>
  <si>
    <t>PA 0505255</t>
  </si>
  <si>
    <t>ORPHANAPHAY SOURISAK</t>
  </si>
  <si>
    <t>09/10/2005</t>
  </si>
  <si>
    <t>P3133483</t>
  </si>
  <si>
    <t>SYPHARATH SOULIXAY</t>
  </si>
  <si>
    <t>22/10/1991</t>
  </si>
  <si>
    <t>P 3435614</t>
  </si>
  <si>
    <t>PHOMMAVONGSA SOULIKONE</t>
  </si>
  <si>
    <t>04/5/1987</t>
  </si>
  <si>
    <t>P 3435276</t>
  </si>
  <si>
    <t>XAYTHANASY VANNASIN</t>
  </si>
  <si>
    <t xml:space="preserve">21/8/2007    </t>
  </si>
  <si>
    <t>Champasak</t>
  </si>
  <si>
    <t>P 2410115</t>
  </si>
  <si>
    <t xml:space="preserve">MEUANGSEN SOUKSAVANH  </t>
  </si>
  <si>
    <t>20/10/2006</t>
  </si>
  <si>
    <t>PA 0508843</t>
  </si>
  <si>
    <t xml:space="preserve">CHANTHALANGSY KAIYASID  </t>
  </si>
  <si>
    <t xml:space="preserve">21/4/2008    </t>
  </si>
  <si>
    <t>P 3360414</t>
  </si>
  <si>
    <t xml:space="preserve">PHURYBOUNXOM VILAYVANH  </t>
  </si>
  <si>
    <t xml:space="preserve">14/10/2007    </t>
  </si>
  <si>
    <t>P 3449092</t>
  </si>
  <si>
    <t xml:space="preserve">LUANTHAMMAKHAN SIVA  </t>
  </si>
  <si>
    <t>P 3362288</t>
  </si>
  <si>
    <t xml:space="preserve">SOUPHAN SANTIXAY  </t>
  </si>
  <si>
    <t xml:space="preserve">23/10/1990    </t>
  </si>
  <si>
    <t>P 3438135</t>
  </si>
  <si>
    <t>SENGDALA THATSANA</t>
  </si>
  <si>
    <t xml:space="preserve">26/9/1985    </t>
  </si>
  <si>
    <t>PA 0516410</t>
  </si>
  <si>
    <t xml:space="preserve">NAKHONEXAY AENOY  </t>
  </si>
  <si>
    <t>P 3453888</t>
  </si>
  <si>
    <t xml:space="preserve">LOUNLIVONGSA SAYFON  </t>
  </si>
  <si>
    <t xml:space="preserve">13/02/1993    </t>
  </si>
  <si>
    <t>P 3457795</t>
  </si>
  <si>
    <t xml:space="preserve">SALAKHAM KHANTY  </t>
  </si>
  <si>
    <t>P 3453558</t>
  </si>
  <si>
    <t xml:space="preserve">BOUABANE XAIYAVONG  </t>
  </si>
  <si>
    <t xml:space="preserve">19/4/2007    </t>
  </si>
  <si>
    <t>P 2894520</t>
  </si>
  <si>
    <t xml:space="preserve">SOULIVONG PHOUTDAVANH  </t>
  </si>
  <si>
    <t>P 3071952</t>
  </si>
  <si>
    <t xml:space="preserve">SIHATHEP VIPHADA  </t>
  </si>
  <si>
    <t>P 3315335</t>
  </si>
  <si>
    <t xml:space="preserve">KHAMVONGSY THITTHIDA  </t>
  </si>
  <si>
    <t xml:space="preserve">23/9/2007    </t>
  </si>
  <si>
    <t>P 3377211</t>
  </si>
  <si>
    <t xml:space="preserve">SIHAVONG LATDAVONE  </t>
  </si>
  <si>
    <t>P 3447907</t>
  </si>
  <si>
    <t xml:space="preserve">XAIYANTHONE KHONESAVANH  </t>
  </si>
  <si>
    <t xml:space="preserve">24/02/1997    </t>
  </si>
  <si>
    <t>P 3466056</t>
  </si>
  <si>
    <t xml:space="preserve">OUDOMDY PHITSAMAY  </t>
  </si>
  <si>
    <t>P 3297961</t>
  </si>
  <si>
    <t xml:space="preserve">VATSANASONG BOUNTHANOM  </t>
  </si>
  <si>
    <t xml:space="preserve">18/6/2006   </t>
  </si>
  <si>
    <t>P 2411316</t>
  </si>
  <si>
    <t xml:space="preserve">KHOUNVIHEUANG DANNY  </t>
  </si>
  <si>
    <t xml:space="preserve">22/4/2008    </t>
  </si>
  <si>
    <t>P 3461070</t>
  </si>
  <si>
    <t xml:space="preserve">PHANTHAVONG VEODAO  </t>
  </si>
  <si>
    <t xml:space="preserve">14/8/2007    </t>
  </si>
  <si>
    <t>P 3405106</t>
  </si>
  <si>
    <t xml:space="preserve">SOMSESOUK PANINKHAM  </t>
  </si>
  <si>
    <t>29/01/2007</t>
  </si>
  <si>
    <t>P 3400130</t>
  </si>
  <si>
    <t xml:space="preserve">VONGSOUVANH CHANTHIDA  </t>
  </si>
  <si>
    <t xml:space="preserve">30/12/2008    </t>
  </si>
  <si>
    <t>P 3453826</t>
  </si>
  <si>
    <t xml:space="preserve">SIBOUNHUK CHANSAMAY  </t>
  </si>
  <si>
    <t xml:space="preserve">16/4/2007    </t>
  </si>
  <si>
    <t>P 3378866</t>
  </si>
  <si>
    <t xml:space="preserve">VIXAYVONG MANICHANH  </t>
  </si>
  <si>
    <t>P 3387211</t>
  </si>
  <si>
    <t xml:space="preserve">VONGSAPHAY PHAYMANY  </t>
  </si>
  <si>
    <t>P 3383315</t>
  </si>
  <si>
    <t>KOUNLABOUD PHOUTTHALAK</t>
  </si>
  <si>
    <t>PA 0515199</t>
  </si>
  <si>
    <t>THEPSOUVANH PHOUTTAVANH</t>
  </si>
  <si>
    <t xml:space="preserve">20/9/2006    </t>
  </si>
  <si>
    <t>P 2388180</t>
  </si>
  <si>
    <t>XAYTHANASY RATTANASAVANH</t>
  </si>
  <si>
    <t xml:space="preserve">18/12/2008    </t>
  </si>
  <si>
    <t>P 2410114</t>
  </si>
  <si>
    <t xml:space="preserve">VONGSIKHAY KANLAYA  </t>
  </si>
  <si>
    <t xml:space="preserve">26/11/2007    </t>
  </si>
  <si>
    <t>P 2601701</t>
  </si>
  <si>
    <t>VONGSAHALARD NOKVITHAYA</t>
  </si>
  <si>
    <t>27/8/2008</t>
  </si>
  <si>
    <t>P 3404377</t>
  </si>
  <si>
    <t>ALOUNSAVAT LATTANA</t>
  </si>
  <si>
    <t>P 2572293</t>
  </si>
  <si>
    <t xml:space="preserve">MUENSANIT PHOKHAM  </t>
  </si>
  <si>
    <t>P 3414938</t>
  </si>
  <si>
    <t xml:space="preserve">VONGLUENTHONG SAMLAN  </t>
  </si>
  <si>
    <t xml:space="preserve">29/9/2006    </t>
  </si>
  <si>
    <t>P 3464251</t>
  </si>
  <si>
    <t xml:space="preserve">YOKKHANTHONE THANVA  </t>
  </si>
  <si>
    <t>P 3046362</t>
  </si>
  <si>
    <t>XAYYADET TEVIT</t>
  </si>
  <si>
    <t>PA 0513972</t>
  </si>
  <si>
    <t>KEOPHASOUK HATSAKANH</t>
  </si>
  <si>
    <t>P 3041890</t>
  </si>
  <si>
    <t xml:space="preserve">THAMMALAKSA PHOUDTHASONE  </t>
  </si>
  <si>
    <t>P 3447902</t>
  </si>
  <si>
    <t xml:space="preserve">SISOMBAT SONEMIXAY  </t>
  </si>
  <si>
    <t>P 3410241</t>
  </si>
  <si>
    <t xml:space="preserve">PHAISALY NANTHA  </t>
  </si>
  <si>
    <t>P 3369028</t>
  </si>
  <si>
    <t xml:space="preserve">KHAMMAVONG ANONGSAK  </t>
  </si>
  <si>
    <t xml:space="preserve">26/6/2007    </t>
  </si>
  <si>
    <t>PA 0512905</t>
  </si>
  <si>
    <t>SYDAPONE CHITTAKONE</t>
  </si>
  <si>
    <t>P 3342689</t>
  </si>
  <si>
    <t xml:space="preserve">SISOMBATH SONEXAY  </t>
  </si>
  <si>
    <t xml:space="preserve">18/11/2006    </t>
  </si>
  <si>
    <t>P 3418387</t>
  </si>
  <si>
    <t>KEOKHOUNPASAK PHONEPASEUT</t>
  </si>
  <si>
    <t xml:space="preserve">13/06/2007    </t>
  </si>
  <si>
    <t>P 3391320</t>
  </si>
  <si>
    <t>MILAVONG PANYA</t>
  </si>
  <si>
    <t>31/5/2007</t>
  </si>
  <si>
    <t>P 3451218</t>
  </si>
  <si>
    <t>KHOUNVISET BOUNKAO</t>
  </si>
  <si>
    <t>P 3394965</t>
  </si>
  <si>
    <t>CHAMPASONG MANIXAY</t>
  </si>
  <si>
    <t>PA 0509217</t>
  </si>
  <si>
    <t>LOUNMALA DENLAXA</t>
  </si>
  <si>
    <t>P 3449815</t>
  </si>
  <si>
    <t>SOUKDAVONG THAKSIT</t>
  </si>
  <si>
    <t>25/01/2008</t>
  </si>
  <si>
    <t>HB Đắk Lắk</t>
  </si>
  <si>
    <t>P3412972</t>
  </si>
  <si>
    <t>NORRASING NANTHIDA</t>
  </si>
  <si>
    <t>P3399152</t>
  </si>
  <si>
    <t>PHILAVONG PHUTAVANH</t>
  </si>
  <si>
    <t>26/8/2007</t>
  </si>
  <si>
    <t>P3404756</t>
  </si>
  <si>
    <t>KOMMAMEUANG SATAYKHOB</t>
  </si>
  <si>
    <t>P3108807</t>
  </si>
  <si>
    <t xml:space="preserve">SIXANON SOUKPHACHANH </t>
  </si>
  <si>
    <t>27/9/2008</t>
  </si>
  <si>
    <t>P3393700</t>
  </si>
  <si>
    <t>VOLALAT VIMALA</t>
  </si>
  <si>
    <t>31/01/2008</t>
  </si>
  <si>
    <t>P3429770</t>
  </si>
  <si>
    <t>TEUMTHAVIKHOUN THAVIXOIK</t>
  </si>
  <si>
    <t>P3250014</t>
  </si>
  <si>
    <t xml:space="preserve">CRUCHET THIERRY JOSE O. </t>
  </si>
  <si>
    <t>Bỉ</t>
  </si>
  <si>
    <t>Học tiếng Việt</t>
  </si>
  <si>
    <t>ES594000</t>
  </si>
  <si>
    <t>31-1 Hòa Minh 4, Hoà Minh, Liên Chiểu, Đà Nẵng</t>
  </si>
  <si>
    <t>1758/QĐ-ĐHSP ngày 18/9/2025</t>
  </si>
  <si>
    <t>Hu Qiaozhen</t>
  </si>
  <si>
    <t>E74182696</t>
  </si>
  <si>
    <t>132 Trần Minh Tông, Hoà Minh, Liên Chiểu , Đà Nẵng</t>
  </si>
  <si>
    <t>1757/QĐ-ĐHSP ngày 18/9/2025</t>
  </si>
  <si>
    <t>EGOGODANIELS ODEGUA BLESSING</t>
  </si>
  <si>
    <t>Nigeria</t>
  </si>
  <si>
    <t>A12305120</t>
  </si>
  <si>
    <t>28-30 Đông Kinh Nghĩa Thục</t>
  </si>
  <si>
    <t>984/QĐ-ĐHSP ngày 15/5/2025</t>
  </si>
  <si>
    <t>NWANKWO MICHAEL CHIKA</t>
  </si>
  <si>
    <t>D2504443</t>
  </si>
  <si>
    <t>A11482646</t>
  </si>
  <si>
    <t>SADEGHI LAILO</t>
  </si>
  <si>
    <t>Thụy Sĩ</t>
  </si>
  <si>
    <t>D2504444</t>
  </si>
  <si>
    <t>X7480542</t>
  </si>
  <si>
    <t>32 Trần Văn Dư, Bắc Mỹ An, Ngũ Hành Sơn, Đà Nẵng</t>
  </si>
  <si>
    <t>NWACHUKWU ARINZE DAVID</t>
  </si>
  <si>
    <t>D2504445</t>
  </si>
  <si>
    <t>B01559460</t>
  </si>
  <si>
    <t>72 Nguyễn Trọng Nghĩa</t>
  </si>
  <si>
    <t>OKAFOR KINGSLEY HAPULUCHUKWU</t>
  </si>
  <si>
    <t>D2504446</t>
  </si>
  <si>
    <t>A12386513</t>
  </si>
  <si>
    <t>987/QĐ-ĐHSP ngày 15/5/2025</t>
  </si>
  <si>
    <t>TIMOTHY JEPHTHAH ADERINTO</t>
  </si>
  <si>
    <t>D2504447</t>
  </si>
  <si>
    <t>A12211936</t>
  </si>
  <si>
    <t>CHIDIOBI MICHAEL ABUCHI</t>
  </si>
  <si>
    <t>D2504448</t>
  </si>
  <si>
    <t>A12456723</t>
  </si>
  <si>
    <t>ILOABUCHI DIVINE CHIEMERIE</t>
  </si>
  <si>
    <t>D2504449</t>
  </si>
  <si>
    <t>B50418971</t>
  </si>
  <si>
    <t>54 Hoàng Bích Sơn, Sơn trà, Đà Nẵng</t>
  </si>
  <si>
    <t>979/QĐ-ĐHSP ngày 15/5/2025</t>
  </si>
  <si>
    <t>AGBO SOMADINA ABRAHAM</t>
  </si>
  <si>
    <t>D2504450</t>
  </si>
  <si>
    <t>B01646454</t>
  </si>
  <si>
    <t>54 Hoàng Bích Sơn</t>
  </si>
  <si>
    <t>OZOBIA OKWUDILI PAUL</t>
  </si>
  <si>
    <t>D2504451</t>
  </si>
  <si>
    <t>B01738943</t>
  </si>
  <si>
    <t>1843/QĐ-ĐHSP ngày 29/9/2025</t>
  </si>
  <si>
    <t>EGEONU EDWARD UCHECHUKWU</t>
  </si>
  <si>
    <t>D2504452</t>
  </si>
  <si>
    <t>B50280262</t>
  </si>
  <si>
    <t>ANAZODO CHIDOZIE KELVIN</t>
  </si>
  <si>
    <t>D2504453</t>
  </si>
  <si>
    <t>B01345678</t>
  </si>
  <si>
    <t>Lô 42, An Thượng 30, Ngũ Hành Sơn</t>
  </si>
  <si>
    <t>EDEH CHIZOBA PAUL</t>
  </si>
  <si>
    <t>D2504454</t>
  </si>
  <si>
    <t>A10560057</t>
  </si>
  <si>
    <t>54 Phạm Thiều, Sơn Trà</t>
  </si>
  <si>
    <t>1842/QĐ-ĐHSP ngày 29/9/2025</t>
  </si>
  <si>
    <t>NNAWUIHE HENRY CHIJINDU</t>
  </si>
  <si>
    <t>D2504455</t>
  </si>
  <si>
    <t>A10205354</t>
  </si>
  <si>
    <t>ALISIGWE CHRISLOGUS CHINEME</t>
  </si>
  <si>
    <t>D2504456</t>
  </si>
  <si>
    <t>B00362180</t>
  </si>
  <si>
    <t>28-30 Đông Kinh Nghĩa Thục, Sơn Trà, Đà Nẵng</t>
  </si>
  <si>
    <t>DEVATHASAN JASON</t>
  </si>
  <si>
    <t>Canada</t>
  </si>
  <si>
    <t>D2504457</t>
  </si>
  <si>
    <t>AS547759</t>
  </si>
  <si>
    <t>136 Mai Thúc Lân, Ngũ Hành Sơn</t>
  </si>
  <si>
    <t>235/QĐ-ĐHSP ngày 18/02/2025</t>
  </si>
  <si>
    <t>ODUWA ELOCHUKWU IGNATIUS</t>
  </si>
  <si>
    <t>D2504458</t>
  </si>
  <si>
    <t>A11684138</t>
  </si>
  <si>
    <t>KIM JONG WON</t>
  </si>
  <si>
    <t>D2504459</t>
  </si>
  <si>
    <t>M550C1953</t>
  </si>
  <si>
    <t>A2112,fhome, 25 Lý Thường Kiệt, Hải Châu</t>
  </si>
  <si>
    <t>945/QĐ-ĐHSP ngày 08/5/2025</t>
  </si>
  <si>
    <t>DECHAMPS ARNAUD MICHAEL C.</t>
  </si>
  <si>
    <t>D2504460</t>
  </si>
  <si>
    <t>GA8288543</t>
  </si>
  <si>
    <t>51 Trần Bạch Đằng, Bắc Mỹ Phú, Sơn Trà, Đà Nẵng 550000, Vietnam</t>
  </si>
  <si>
    <t>WU BINGXU</t>
  </si>
  <si>
    <t>D2504461</t>
  </si>
  <si>
    <t>EH5361996</t>
  </si>
  <si>
    <t>OBANDO ROSA ELISA</t>
  </si>
  <si>
    <t>Ý</t>
  </si>
  <si>
    <t>YB3373083</t>
  </si>
  <si>
    <t>16 Lý Thường Kiệt, Thạch Thang, Hải Châu</t>
  </si>
  <si>
    <t>1581/QĐ-ĐHSP ngày 20/8/2025</t>
  </si>
  <si>
    <t>BORISOV DIMITAR VENTSISLAVOV</t>
  </si>
  <si>
    <t>Bulgaria</t>
  </si>
  <si>
    <t>474 Núi Thành, Hoà Cường Nam</t>
  </si>
  <si>
    <t>SYNEK VÁCLAV</t>
  </si>
  <si>
    <t>Cộng Hoà Séc</t>
  </si>
  <si>
    <t>1273/QĐ-ĐHSP ngày 20/6/2025</t>
  </si>
  <si>
    <t>MARTINI MIRCO EMILIANO CARLOS</t>
  </si>
  <si>
    <t>YC3500786</t>
  </si>
  <si>
    <t>51 An Thượng 1</t>
  </si>
  <si>
    <t>2570/QĐ-ĐHSP ngày 10/12/2025</t>
  </si>
  <si>
    <t>GUYETT TYLER HUGH</t>
  </si>
  <si>
    <t>56 Võ Văn Kiệt, Phước Mỹ, Sơn Trà</t>
  </si>
  <si>
    <t>1536/QĐ-ĐHSP ngày 11/8/2025</t>
  </si>
  <si>
    <t>T12/2024</t>
  </si>
  <si>
    <t>KIM JONGBOK</t>
  </si>
  <si>
    <t>M250V8243</t>
  </si>
  <si>
    <t>125  Lê Quang Đạo, P. Mỹ An, Q. Ngũ Hành Sơn</t>
  </si>
  <si>
    <t>KIM SEUNGHYE</t>
  </si>
  <si>
    <t>M36724497</t>
  </si>
  <si>
    <t>535 Trần Hưng Đạo, An Hải Tây, Sơn Trà</t>
  </si>
  <si>
    <t>PARK YOUNG JUN</t>
  </si>
  <si>
    <t>M60790774</t>
  </si>
  <si>
    <t>NIETO GARCIA IVAN</t>
  </si>
  <si>
    <t>Tây Ban Nha</t>
  </si>
  <si>
    <t>PAR391102</t>
  </si>
  <si>
    <t>34 Trần Văn Thành, Phường Khuê Mỹ</t>
  </si>
  <si>
    <t>1274/QĐ-ĐHSP ngày 20/6/2025</t>
  </si>
  <si>
    <t>MIIGA CHARITY</t>
  </si>
  <si>
    <t>Uganda</t>
  </si>
  <si>
    <t>B00197088</t>
  </si>
  <si>
    <t>15 Lê Đức Thọ, Thọ Quang, Sơn Trà, Đà Nẵng</t>
  </si>
  <si>
    <t>KAZENE VITA</t>
  </si>
  <si>
    <t>Cộng hòa Lithuania</t>
  </si>
  <si>
    <t xml:space="preserve">7 Bằng Lăng 1, An Hải Tây, Sơn Trà, Đà Nẵng </t>
  </si>
  <si>
    <t>TAIM ADAM</t>
  </si>
  <si>
    <t>39 Võ Văn Kiệt, Phước Mỹ, Sơn Trà, Đà Nẵng</t>
  </si>
  <si>
    <t>HAN HEESUNG</t>
  </si>
  <si>
    <t>28/8/1988</t>
  </si>
  <si>
    <t>D2504462</t>
  </si>
  <si>
    <t>M18088347</t>
  </si>
  <si>
    <t>01 Lê Văn Duyệt, Nại Hiên Đông, Sơn Trà, Đà Nẵng</t>
  </si>
  <si>
    <t>2671/QĐ-ĐHSP ngày 23/12/2024</t>
  </si>
  <si>
    <t>AUNG MYO KHAING</t>
  </si>
  <si>
    <t>23/8/1992</t>
  </si>
  <si>
    <t>Myanmar</t>
  </si>
  <si>
    <t>D2504463</t>
  </si>
  <si>
    <t>MJ794291</t>
  </si>
  <si>
    <t>190/QĐ-ĐHSP ngày 06/02/2025</t>
  </si>
  <si>
    <t>KIM YUMI</t>
  </si>
  <si>
    <t>D2504464</t>
  </si>
  <si>
    <t>M535P0827</t>
  </si>
  <si>
    <t>Hiyory Garden Tower, A2 Võ Văn Kiệt, An Hải Bắc, Sơn Trà, Đà Nẵng</t>
  </si>
  <si>
    <t>168/QĐ-ĐHSP ngày 04/02/2025</t>
  </si>
  <si>
    <t>SARIKUS YUCEL HAKAN</t>
  </si>
  <si>
    <t>Thổ Nhĩ Kỳ</t>
  </si>
  <si>
    <t>U16033489</t>
  </si>
  <si>
    <t>95 Lê Thanh Nghị, P, Hòa Cường Bắc, Q. Hải Châu</t>
  </si>
  <si>
    <t>474/QĐ-ĐHSP ngày 12/3/2025</t>
  </si>
  <si>
    <t>MARSHALL DEREK JOHN</t>
  </si>
  <si>
    <t>Vương Quốc Anh</t>
  </si>
  <si>
    <t>D2504465</t>
  </si>
  <si>
    <t>102-104 Hồ Xuân Hương, Đà Nẵng</t>
  </si>
  <si>
    <t>750/QĐ-ĐHSP ngày 08/4/2025</t>
  </si>
  <si>
    <t>MOON YOUNGKYUN</t>
  </si>
  <si>
    <t>20/01/1980</t>
  </si>
  <si>
    <t>D2504466</t>
  </si>
  <si>
    <t>M598T3428</t>
  </si>
  <si>
    <t>230 Lý Tự Trọng</t>
  </si>
  <si>
    <t>749/QĐ-ĐHSP ngày 08/4/2025</t>
  </si>
  <si>
    <t>CHEN MINGDONG</t>
  </si>
  <si>
    <t>D2504467</t>
  </si>
  <si>
    <t>EJ4010334</t>
  </si>
  <si>
    <t>06 Phần Lăng 14, Thanh Khê</t>
  </si>
  <si>
    <t>791/QĐ-ĐHSP ngày 11/4/2025</t>
  </si>
  <si>
    <t>CROSSLEY DANIEL ROY</t>
  </si>
  <si>
    <t>15/11/1972</t>
  </si>
  <si>
    <t>D2504468</t>
  </si>
  <si>
    <t>K21 25-27 Chế Lan Viên, P. Mỹ An, Q. Ngũ Hành Sơn</t>
  </si>
  <si>
    <t>829/QĐ-ĐHSP ngày 18/4/2025</t>
  </si>
  <si>
    <t>YOON CHANSU</t>
  </si>
  <si>
    <t>19/02/1979</t>
  </si>
  <si>
    <t>D2504469</t>
  </si>
  <si>
    <t>M534K4424</t>
  </si>
  <si>
    <t>116 Triệu Nữ Vương, P. Hải Châu</t>
  </si>
  <si>
    <t>1386/QĐ-ĐHSP ngày 08/7/2025</t>
  </si>
  <si>
    <t>KIM MIJU</t>
  </si>
  <si>
    <t>31/7/1979</t>
  </si>
  <si>
    <t>D2504470</t>
  </si>
  <si>
    <t>M63401489</t>
  </si>
  <si>
    <t xml:space="preserve">535 Trần Hưng Đạo, P. An Hải </t>
  </si>
  <si>
    <t>1538/QĐ-ĐHSP ngày 11/8/2025</t>
  </si>
  <si>
    <t>AL-RAMAMI AMAL MOHAMMED SALEH</t>
  </si>
  <si>
    <t>Cộng hòa Yemen</t>
  </si>
  <si>
    <t>D2504471</t>
  </si>
  <si>
    <t xml:space="preserve">250/38 Nguyễn Công Trứ, P. An Hải </t>
  </si>
  <si>
    <t>1299/QĐ-ĐHSP ngày 25/6/2025</t>
  </si>
  <si>
    <t>NOUANPHACHANH DANGBOUN</t>
  </si>
  <si>
    <t>17/5/2008</t>
  </si>
  <si>
    <t>D2504472</t>
  </si>
  <si>
    <t>P2479554</t>
  </si>
  <si>
    <t>1504/QĐ-ĐHSP ngày 04/8/2025</t>
  </si>
  <si>
    <t>TOMINAGA YUTAKA</t>
  </si>
  <si>
    <t>D2504473</t>
  </si>
  <si>
    <t>TT2152517</t>
  </si>
  <si>
    <t>1673/QĐ-ĐHSP ngày 05/9/2025</t>
  </si>
  <si>
    <t>TIAN XIAOKE</t>
  </si>
  <si>
    <t>D2504474</t>
  </si>
  <si>
    <t>EQ0499393</t>
  </si>
  <si>
    <t>1534/QĐ-ĐHSP ngày 11/8/2025</t>
  </si>
  <si>
    <t>KOFEL ANASTASIIA</t>
  </si>
  <si>
    <t>Ukraine</t>
  </si>
  <si>
    <t>D2504475</t>
  </si>
  <si>
    <t>Hiệp định</t>
  </si>
  <si>
    <t>UA215403</t>
  </si>
  <si>
    <t>1670/QĐ-ĐHSP ngày 04/9/2025</t>
  </si>
  <si>
    <t>BYEON JAEHEE</t>
  </si>
  <si>
    <t>29/01/1996</t>
  </si>
  <si>
    <t>D2504476</t>
  </si>
  <si>
    <t>M418N0273</t>
  </si>
  <si>
    <t>30 Hòa Phú 24, P. Hòa Khánh</t>
  </si>
  <si>
    <t>1186/QĐ-ĐHSP ngày 05/6/2025</t>
  </si>
  <si>
    <t>ERSHOV ANDREI</t>
  </si>
  <si>
    <t>15/4/1988</t>
  </si>
  <si>
    <t>D2504477</t>
  </si>
  <si>
    <t>76 9998293</t>
  </si>
  <si>
    <t>63 Hòa Phú 29, P. Hòa Khánh</t>
  </si>
  <si>
    <t>1660/QĐ-ĐHSP ngày 03/9/2025</t>
  </si>
  <si>
    <t>MONGELLI ALESSANDRO</t>
  </si>
  <si>
    <t>D2504478</t>
  </si>
  <si>
    <t>YB3373608</t>
  </si>
  <si>
    <t>16 Lý Thường Kiệt, P.Hải Châu</t>
  </si>
  <si>
    <t>1535/QĐ-ĐHSP ngày 11/8/2025</t>
  </si>
  <si>
    <t>WANG XUAN</t>
  </si>
  <si>
    <t>D2504479</t>
  </si>
  <si>
    <t>EJ7820178</t>
  </si>
  <si>
    <t>1734/QĐ-ĐHSP ngày 16/9/2025</t>
  </si>
  <si>
    <t>D2504480</t>
  </si>
  <si>
    <t>OZUNA DIANA DESIREE</t>
  </si>
  <si>
    <t>27/9/1986</t>
  </si>
  <si>
    <t>D2504481</t>
  </si>
  <si>
    <t>A51143528</t>
  </si>
  <si>
    <t>62/2C Núi Thành, P. Hải Châu</t>
  </si>
  <si>
    <t>1694/QĐ-ĐHSP ngày 08/9/2025</t>
  </si>
  <si>
    <t>PETRUSEVA ANASTASIIA</t>
  </si>
  <si>
    <t>16/01/1992</t>
  </si>
  <si>
    <t>D2504482</t>
  </si>
  <si>
    <t>1752/QĐ-ĐHSP ngày 17/9/2025</t>
  </si>
  <si>
    <t>DUGLAS PAVEL</t>
  </si>
  <si>
    <t>D2504483</t>
  </si>
  <si>
    <t>1750/QĐ-ĐHSP ngày 17/9/2025</t>
  </si>
  <si>
    <t>TROILO MICHAEL</t>
  </si>
  <si>
    <t>31/5/1991</t>
  </si>
  <si>
    <t>D2504484</t>
  </si>
  <si>
    <t>X6795470</t>
  </si>
  <si>
    <t>25 An Thượng 21, P. Ngũ Hành Sơn</t>
  </si>
  <si>
    <t>1751/QĐ-ĐHSP ngày 17/9/2025</t>
  </si>
  <si>
    <t>ZHANG SEN</t>
  </si>
  <si>
    <t>D2504485</t>
  </si>
  <si>
    <t>EJ7514763</t>
  </si>
  <si>
    <t>173 Nguyễn Lương Bằng, P. Liên Chiểu</t>
  </si>
  <si>
    <t>1753/QĐ-ĐHSP ngày 17/9/2025</t>
  </si>
  <si>
    <t>YANG ZHIGUO</t>
  </si>
  <si>
    <t>13/11/1985</t>
  </si>
  <si>
    <t>D2504486</t>
  </si>
  <si>
    <t>EE2301943</t>
  </si>
  <si>
    <t>44 Hòa Phú 24, P. Hòa Khánh</t>
  </si>
  <si>
    <t>2031/QĐ-ĐHSP ngày 03/11/2025</t>
  </si>
  <si>
    <t>KAJAN ANNA ELISA</t>
  </si>
  <si>
    <t>27/8/1966</t>
  </si>
  <si>
    <t>Phần Lan</t>
  </si>
  <si>
    <t>D2504487</t>
  </si>
  <si>
    <t>CP2771435</t>
  </si>
  <si>
    <t>Lô 3,4 Khuê Mỹ Đông 7, P. Ngũ Hành Sơn</t>
  </si>
  <si>
    <t>1737/QĐ-ĐHSP ngày 16/9/2025</t>
  </si>
  <si>
    <t>BENAROUSSI ABDELILLAH</t>
  </si>
  <si>
    <t>16/01/2007</t>
  </si>
  <si>
    <t>Algeria</t>
  </si>
  <si>
    <t>D2504488</t>
  </si>
  <si>
    <t>1741/QĐ-ĐHSP ngày 29/9/2025</t>
  </si>
  <si>
    <t>HABTE NAHOM</t>
  </si>
  <si>
    <t>26/7/1981</t>
  </si>
  <si>
    <t>D2504489</t>
  </si>
  <si>
    <t>A34826442</t>
  </si>
  <si>
    <t>1888/QĐ-ĐHSP ngày 06/10/2025</t>
  </si>
  <si>
    <t>MUNDT MELANIE</t>
  </si>
  <si>
    <t>28/4/1984</t>
  </si>
  <si>
    <t>Đức</t>
  </si>
  <si>
    <t>D2504490</t>
  </si>
  <si>
    <t>C47Z25Y1R</t>
  </si>
  <si>
    <t>HKD Thanh House, khối Hà My Đông B, P. Điện Bàn Đông</t>
  </si>
  <si>
    <t>1907/QĐ-ĐHSP ngày 08/10/2025</t>
  </si>
  <si>
    <t>PARK JI WOONG</t>
  </si>
  <si>
    <t>18/5/1978</t>
  </si>
  <si>
    <t>D2504491</t>
  </si>
  <si>
    <t>M53793728</t>
  </si>
  <si>
    <t>30 Đỗ Xuân Hợp, P. An Hải</t>
  </si>
  <si>
    <t>1975/QĐ-ĐHSP ngày 20/10/2025</t>
  </si>
  <si>
    <t>THITSAR KHINE</t>
  </si>
  <si>
    <t>17/7/1992</t>
  </si>
  <si>
    <t>D2504492</t>
  </si>
  <si>
    <t>MF315242</t>
  </si>
  <si>
    <t>56 Lâm Hoành, Phước Mỹ, Sơn Trà, Đà Nẵng</t>
  </si>
  <si>
    <t>1972/QĐ-ĐHSP ngày 17/10/2025</t>
  </si>
  <si>
    <t>HOFMANN ERNST ARTHUR</t>
  </si>
  <si>
    <t>15/7/2000</t>
  </si>
  <si>
    <t>D2504493</t>
  </si>
  <si>
    <t>C39G9LVPM</t>
  </si>
  <si>
    <t>2198/QĐ-ĐHSP ngày 01/12/2025</t>
  </si>
  <si>
    <t>KIM JUNGKWAN</t>
  </si>
  <si>
    <t>D2504494</t>
  </si>
  <si>
    <t>M927P0728</t>
  </si>
  <si>
    <t>2279/QĐ-ĐHSP ngày 10/12/2025</t>
  </si>
  <si>
    <t>SORNSENA PHIMCHANOK</t>
  </si>
  <si>
    <t>25/6/2003</t>
  </si>
  <si>
    <t xml:space="preserve">Thái Lan </t>
  </si>
  <si>
    <t>tham gia chương trình trao đổi tại Trường Đại học Sư phạm - ĐHĐN</t>
  </si>
  <si>
    <t>AC7385579</t>
  </si>
  <si>
    <t>03/01/2025 đến ngày 22/01/2025</t>
  </si>
  <si>
    <t>Trường Đại học Udon Thani Rajabhat</t>
  </si>
  <si>
    <t>KHOTSAENGON ANY AMANEE</t>
  </si>
  <si>
    <t>29/5/2003</t>
  </si>
  <si>
    <t>AC7357401</t>
  </si>
  <si>
    <t>CHAIJONGMEE PATCHAROTHAI</t>
  </si>
  <si>
    <t>31/03/2004</t>
  </si>
  <si>
    <t>AC7386150</t>
  </si>
  <si>
    <t>SITTHISOONGNERN PORNPAWEE</t>
  </si>
  <si>
    <t>AC7386148</t>
  </si>
  <si>
    <t>SAISUD PARAMAPON</t>
  </si>
  <si>
    <t>AC7385571</t>
  </si>
  <si>
    <t>YABUKI YUNA</t>
  </si>
  <si>
    <t>19/9/2003</t>
  </si>
  <si>
    <t>trao đổi, giao lưu văn hóa và ngôn ngữ</t>
  </si>
  <si>
    <t>TT7677196</t>
  </si>
  <si>
    <t>08/3/2025 đến ngày 12/03/2025</t>
  </si>
  <si>
    <t xml:space="preserve">Trường Đại học Shokei Gakuin </t>
  </si>
  <si>
    <t>OGIHARA CHIKA</t>
  </si>
  <si>
    <t>MJ4282834</t>
  </si>
  <si>
    <t>KUBOTA SHOHEI</t>
  </si>
  <si>
    <t>14/11/2003</t>
  </si>
  <si>
    <t>MJ4386993</t>
  </si>
  <si>
    <t>OTA KENTARO</t>
  </si>
  <si>
    <t>28/02/2003</t>
  </si>
  <si>
    <t>MARUYAMA SHUN</t>
  </si>
  <si>
    <t>18/12/2002</t>
  </si>
  <si>
    <t>TT7723189</t>
  </si>
  <si>
    <t>OTTA RANRAN</t>
  </si>
  <si>
    <t>TT4785890</t>
  </si>
  <si>
    <t xml:space="preserve">De Block Karen </t>
  </si>
  <si>
    <t>24/8/2002</t>
  </si>
  <si>
    <t xml:space="preserve">thực tập tại Trường Đại học Sư phạm và học sinh tại các trường tiểu học trên địa bàn thành phố Đà Nẵng </t>
  </si>
  <si>
    <t>GC3018028</t>
  </si>
  <si>
    <t>10/02/2025 - 10/5/2025</t>
  </si>
  <si>
    <t>Trường Đại học Odisee</t>
  </si>
  <si>
    <t xml:space="preserve">Leny 
</t>
  </si>
  <si>
    <t>15/03/2004</t>
  </si>
  <si>
    <t>GA2837093</t>
  </si>
  <si>
    <t>Christiaens Jarno</t>
  </si>
  <si>
    <t>13/06/2002</t>
  </si>
  <si>
    <t>GC4012874</t>
  </si>
  <si>
    <t>Masashi KOISHIKAWA</t>
  </si>
  <si>
    <t>19/9/2002</t>
  </si>
  <si>
    <t>trao đổi 1 tháng</t>
  </si>
  <si>
    <t>TT5965450</t>
  </si>
  <si>
    <t>01/08/2025 đến ngày 31/8/2025</t>
  </si>
  <si>
    <t>Đại học Mie</t>
  </si>
  <si>
    <t>Satoru SHINKAI</t>
  </si>
  <si>
    <t>TT5784497</t>
  </si>
  <si>
    <t>Kensuke YAMAMOTO</t>
  </si>
  <si>
    <t>MJ3299693</t>
  </si>
  <si>
    <t>Miki NAKAJIMA</t>
  </si>
  <si>
    <t>TT6167428</t>
  </si>
  <si>
    <t>Panmapuek Chayanan</t>
  </si>
  <si>
    <t>27/3/2008</t>
  </si>
  <si>
    <t>trao đổi 10 ngày</t>
  </si>
  <si>
    <t>AC8338075</t>
  </si>
  <si>
    <t>10/9/2025 đến ngày 20/9/2025</t>
  </si>
  <si>
    <t>Trường thực hành Sư phạm, Trường Đại học Udon Thani Rajabhat</t>
  </si>
  <si>
    <t>Tantaha Kornkamon</t>
  </si>
  <si>
    <t>AC8338060</t>
  </si>
  <si>
    <t>Konsan Treetipnipa</t>
  </si>
  <si>
    <t>AC6534259</t>
  </si>
  <si>
    <t>Raksawong Yannatep</t>
  </si>
  <si>
    <t>AC8338631</t>
  </si>
  <si>
    <t>ANNA KISLINGOVÁ</t>
  </si>
  <si>
    <t>CH Séc</t>
  </si>
  <si>
    <t>trao đổi 5 tháng</t>
  </si>
  <si>
    <t>01/9/2025 đến ngày 28/2/2026</t>
  </si>
  <si>
    <t>Trường ĐH Placky Olomouc</t>
  </si>
  <si>
    <t>SLAVÍKOVÁ CLAUDIE</t>
  </si>
  <si>
    <t>SÁRA NGUYENOVÁ</t>
  </si>
  <si>
    <t>C5919479</t>
  </si>
  <si>
    <t>TRANOVÁ ANH</t>
  </si>
  <si>
    <t>16/10/1997</t>
  </si>
  <si>
    <t>KLUKOVÁ ANNA</t>
  </si>
  <si>
    <t>24/10/2004</t>
  </si>
  <si>
    <t>HOSKOVCOVÁ HANA</t>
  </si>
  <si>
    <t>ZUZANA PETRŽILKOVÁ</t>
  </si>
  <si>
    <t>20/9/2004</t>
  </si>
  <si>
    <t>Zhang Dan</t>
  </si>
  <si>
    <t>18/01/2004</t>
  </si>
  <si>
    <t>Trao đổi 3+1</t>
  </si>
  <si>
    <t>EP4275841</t>
  </si>
  <si>
    <t>15/8/2025 đến ngày 14/8/2026</t>
  </si>
  <si>
    <t>Trường Đại học Dân tộc Quý Châu</t>
  </si>
  <si>
    <t>Zhao Dengkai</t>
  </si>
  <si>
    <t>14/10/2004</t>
  </si>
  <si>
    <t>EP4274506</t>
  </si>
  <si>
    <t>Ma Dong</t>
  </si>
  <si>
    <t>EP4285244</t>
  </si>
  <si>
    <t>He Guangting</t>
  </si>
  <si>
    <t>17/10/2004</t>
  </si>
  <si>
    <t>EP4274501</t>
  </si>
  <si>
    <t>Shi Guiju</t>
  </si>
  <si>
    <t>20/4/2005</t>
  </si>
  <si>
    <t>EP4274205</t>
  </si>
  <si>
    <t>Liu Guosheng</t>
  </si>
  <si>
    <t>EP4274507</t>
  </si>
  <si>
    <t>Ma Hao</t>
  </si>
  <si>
    <t>23/3/2004</t>
  </si>
  <si>
    <t>EP4274509</t>
  </si>
  <si>
    <t>An Hao</t>
  </si>
  <si>
    <t>28/11/2005</t>
  </si>
  <si>
    <t>EP4274512</t>
  </si>
  <si>
    <t>Shi Hualing</t>
  </si>
  <si>
    <t>27/01/2005</t>
  </si>
  <si>
    <t>EP4277774</t>
  </si>
  <si>
    <t>Liu Jiangfei</t>
  </si>
  <si>
    <t>30/7/2003</t>
  </si>
  <si>
    <t>EP4274573</t>
  </si>
  <si>
    <t>Wang Jiaxin</t>
  </si>
  <si>
    <t>EP4274203</t>
  </si>
  <si>
    <t>Liu Li</t>
  </si>
  <si>
    <t>25/7/2004</t>
  </si>
  <si>
    <t>EP4278037</t>
  </si>
  <si>
    <t>Bao Lingjie</t>
  </si>
  <si>
    <t>23/12/2005</t>
  </si>
  <si>
    <t>EL5249639</t>
  </si>
  <si>
    <t xml:space="preserve">Yang Liyan </t>
  </si>
  <si>
    <t>EP4274508</t>
  </si>
  <si>
    <t>Zhang Manman</t>
  </si>
  <si>
    <t>EP4275845</t>
  </si>
  <si>
    <t>Tang Ningjie</t>
  </si>
  <si>
    <t>19/02/2005</t>
  </si>
  <si>
    <t>EP4285248</t>
  </si>
  <si>
    <t>Ni Rongxi</t>
  </si>
  <si>
    <t>16/8/2005</t>
  </si>
  <si>
    <t>EP4274567</t>
  </si>
  <si>
    <t>Feng Shuangsheng</t>
  </si>
  <si>
    <t>20/9/2003</t>
  </si>
  <si>
    <t>EP4274568</t>
  </si>
  <si>
    <t>Li Xingyan</t>
  </si>
  <si>
    <t>EP4278458</t>
  </si>
  <si>
    <t>Song Xinlei</t>
  </si>
  <si>
    <t>14/02/2003</t>
  </si>
  <si>
    <t>EP4274571</t>
  </si>
  <si>
    <t>Wang Xinmiao</t>
  </si>
  <si>
    <t>EP4431373</t>
  </si>
  <si>
    <t>Zhang Yafu</t>
  </si>
  <si>
    <t>22/9/2002</t>
  </si>
  <si>
    <t>EP4275842</t>
  </si>
  <si>
    <t>PENGSUK PONGPISUT</t>
  </si>
  <si>
    <t>AC4578638</t>
  </si>
  <si>
    <t>04/10/2025 - 01/11/2025</t>
  </si>
  <si>
    <t>Hội hữu nghị Việt – Thái, Trường Đại học Udon Thani Rajabhat</t>
  </si>
  <si>
    <t>SAKPIBOONCHAI SOMSAK</t>
  </si>
  <si>
    <t>AC7824316</t>
  </si>
  <si>
    <t>PUTTHAPONPITAK SUCHANAN</t>
  </si>
  <si>
    <t>21/12/2004</t>
  </si>
  <si>
    <t>AC8317697</t>
  </si>
  <si>
    <t>AROONSRIPIMARN PAISARN</t>
  </si>
  <si>
    <t>29/3/1973</t>
  </si>
  <si>
    <t>trao đổi, học tập</t>
  </si>
  <si>
    <t>AC8059010</t>
  </si>
  <si>
    <t>21/9/2025 - 24/9/2025</t>
  </si>
  <si>
    <t xml:space="preserve">Trường Nawamintrachinuthit Benjamarachalai </t>
  </si>
  <si>
    <t>PLAINOEN WILASINEE</t>
  </si>
  <si>
    <t>AD0770885</t>
  </si>
  <si>
    <t>TONGNUM PETCHARAT</t>
  </si>
  <si>
    <t>31/10/1989</t>
  </si>
  <si>
    <t>AD0791050</t>
  </si>
  <si>
    <t>PLEEPOOL SUNAREE</t>
  </si>
  <si>
    <t>26/4/1990</t>
  </si>
  <si>
    <t>AC6389397</t>
  </si>
  <si>
    <t>RUKNGAM ARUNEE</t>
  </si>
  <si>
    <t>14/6/1987</t>
  </si>
  <si>
    <t>AC5871333</t>
  </si>
  <si>
    <t>TEERAKULLERTTHIRAN MINTITA</t>
  </si>
  <si>
    <t>AC8326564</t>
  </si>
  <si>
    <t>MATHONG NATTAWADEE</t>
  </si>
  <si>
    <t>18/3/2009</t>
  </si>
  <si>
    <t>AC8291071</t>
  </si>
  <si>
    <t>KIATPAISALSOPON KORROONG</t>
  </si>
  <si>
    <t>16/7/2009</t>
  </si>
  <si>
    <t>AC8383137</t>
  </si>
  <si>
    <t>NETNIRAMOL PARITCHAYA</t>
  </si>
  <si>
    <t>AC6761614</t>
  </si>
  <si>
    <t>SUWAPRADUB KANYARAT</t>
  </si>
  <si>
    <t>14/9/2008</t>
  </si>
  <si>
    <t>AC8326186</t>
  </si>
  <si>
    <t>KHOPO PLOYNICHA</t>
  </si>
  <si>
    <t>14/7/2009</t>
  </si>
  <si>
    <t>AC8359381</t>
  </si>
  <si>
    <t>SRIMOOLKHIEW CHAYANAN</t>
  </si>
  <si>
    <t>AC8326667</t>
  </si>
  <si>
    <t>CHAICHIRAWAN TAMONRATCH</t>
  </si>
  <si>
    <t>18/01/2009</t>
  </si>
  <si>
    <t>AC8362633</t>
  </si>
  <si>
    <t>CHAMNIPONG JIRATCHAYA</t>
  </si>
  <si>
    <t>AC8356026</t>
  </si>
  <si>
    <t>KLAYBOON THANSIREE</t>
  </si>
  <si>
    <t>16/9/2008</t>
  </si>
  <si>
    <t>AC4419075</t>
  </si>
  <si>
    <t>CHERNTHONG JITPHATTRA</t>
  </si>
  <si>
    <t>13/3/2009</t>
  </si>
  <si>
    <t>AC8388301</t>
  </si>
  <si>
    <t>KHODMANEE SASINAN</t>
  </si>
  <si>
    <t>21/3/2009</t>
  </si>
  <si>
    <t>AC8155897</t>
  </si>
  <si>
    <t>KHEMKHAENG RANCHIDA</t>
  </si>
  <si>
    <t>AC3672255</t>
  </si>
  <si>
    <t>RAVHDRAM LALIPAT</t>
  </si>
  <si>
    <t>AC8083209</t>
  </si>
  <si>
    <t>CHUAPRANG THITICHAYA</t>
  </si>
  <si>
    <t>24/10/2008</t>
  </si>
  <si>
    <t>AC8370512</t>
  </si>
  <si>
    <t>LUANGDET JARUWAN</t>
  </si>
  <si>
    <t>23/9/2008</t>
  </si>
  <si>
    <t>AC8369390</t>
  </si>
  <si>
    <t>KUISAP SUPANNIKA</t>
  </si>
  <si>
    <t>AC8330403</t>
  </si>
  <si>
    <t>SUANGTHO WANNAPORN</t>
  </si>
  <si>
    <t>23/02/2009</t>
  </si>
  <si>
    <t>AC7098374</t>
  </si>
  <si>
    <t>THAWORN SITTHICHOK</t>
  </si>
  <si>
    <t>19/8/2008</t>
  </si>
  <si>
    <t>AC8386687</t>
  </si>
  <si>
    <t>BOONYAPHATAUNGKOON THANTHAPHAT</t>
  </si>
  <si>
    <t>26/5/2009</t>
  </si>
  <si>
    <t>AC8370462</t>
  </si>
  <si>
    <t>CHAIYAMA AKKHARADET</t>
  </si>
  <si>
    <t>21/6/2008</t>
  </si>
  <si>
    <t>AC8358092</t>
  </si>
  <si>
    <t>MUANGTHONG THANAKIT</t>
  </si>
  <si>
    <t>AC8334030</t>
  </si>
  <si>
    <t>TIPPAYAWONG KITTINUT</t>
  </si>
  <si>
    <t>14/03/2009</t>
  </si>
  <si>
    <t>AD0552378</t>
  </si>
  <si>
    <t>JARATHPONGSAKORN KRITTAPAS</t>
  </si>
  <si>
    <t>AC8389326</t>
  </si>
  <si>
    <t>SANTOON PORNCHAI</t>
  </si>
  <si>
    <t>16/01/1986</t>
  </si>
  <si>
    <t>AC6341490</t>
  </si>
  <si>
    <t>REA DIVJANOVIC</t>
  </si>
  <si>
    <t>30/11/2002</t>
  </si>
  <si>
    <t>Croatia</t>
  </si>
  <si>
    <t>trao đổi sinh viên trong chương trình Eramus</t>
  </si>
  <si>
    <t>06/10/2025 đến ngày 10/10/2025</t>
  </si>
  <si>
    <t>Trường Đại học Rejika, Croatia</t>
  </si>
  <si>
    <t>KANTAPHUM MAJAD</t>
  </si>
  <si>
    <t>23/11/2004</t>
  </si>
  <si>
    <t>trao đổi học thuật, tham quan học tập về du lịch</t>
  </si>
  <si>
    <t>AD2503808</t>
  </si>
  <si>
    <t>01/12/2025 - 05/12/2025</t>
  </si>
  <si>
    <t>Khoa Quản trị Du lịch và Khách sạn, Trường Đại học Mahasarakham</t>
  </si>
  <si>
    <t>KITTIPAKORN KHAMTAN</t>
  </si>
  <si>
    <t>14/11/2005</t>
  </si>
  <si>
    <t>AC8342051</t>
  </si>
  <si>
    <t>KAWISARA THANAKULVIRAPAKDEE</t>
  </si>
  <si>
    <t>21/01/2004</t>
  </si>
  <si>
    <t>AD1801486</t>
  </si>
  <si>
    <t>JUTHARAT SARABAN</t>
  </si>
  <si>
    <t>AC7356207</t>
  </si>
  <si>
    <t>CHONLAYA SEEHAMART</t>
  </si>
  <si>
    <t>AC7727335</t>
  </si>
  <si>
    <t>CHALITA YAMYUAN</t>
  </si>
  <si>
    <t>19/10/2004</t>
  </si>
  <si>
    <t>AD2503917</t>
  </si>
  <si>
    <t>CHAKRIYA PHOSEE</t>
  </si>
  <si>
    <t>22/10/2005</t>
  </si>
  <si>
    <t>AD2653501</t>
  </si>
  <si>
    <t>NATTANICHA DONNAM</t>
  </si>
  <si>
    <t>20/6/2004</t>
  </si>
  <si>
    <t>AD1865610</t>
  </si>
  <si>
    <t>NATTANICHA PITAKPHUN</t>
  </si>
  <si>
    <t>15/10/2004</t>
  </si>
  <si>
    <t>AD2653411</t>
  </si>
  <si>
    <t>THEERAWAT LONLAB</t>
  </si>
  <si>
    <t>AD2506279</t>
  </si>
  <si>
    <t>NANTHITA DONTAOLEK</t>
  </si>
  <si>
    <t>AD2504696</t>
  </si>
  <si>
    <t>PARICHAT SOMIN</t>
  </si>
  <si>
    <t>AD2504156</t>
  </si>
  <si>
    <t>PIYAPORN PHUMSUK</t>
  </si>
  <si>
    <t>23/10/2004</t>
  </si>
  <si>
    <t>PLAYFON PONGBUNJAN</t>
  </si>
  <si>
    <t>17/9/2003</t>
  </si>
  <si>
    <t>AD2044243</t>
  </si>
  <si>
    <t>PHITCHANAT JANPET</t>
  </si>
  <si>
    <t>AD2019772</t>
  </si>
  <si>
    <t>PEERAPAT YANASAN</t>
  </si>
  <si>
    <t>23/11/2005</t>
  </si>
  <si>
    <t>AD2502519</t>
  </si>
  <si>
    <t>PATTARADA PAKBUAKAEW</t>
  </si>
  <si>
    <t>AD2503546</t>
  </si>
  <si>
    <t>RAKPHON BUASABAN</t>
  </si>
  <si>
    <t>AD2503826</t>
  </si>
  <si>
    <t>VATCHARAPORN NONSRIRAT</t>
  </si>
  <si>
    <t>AC8026649</t>
  </si>
  <si>
    <t>WANNATHIDA SUWANTAMMA</t>
  </si>
  <si>
    <t>21/4/2006</t>
  </si>
  <si>
    <t>AD2502784</t>
  </si>
  <si>
    <t>WUTTICHAI JAMNONGBUN</t>
  </si>
  <si>
    <t>AD2503553</t>
  </si>
  <si>
    <t>SALUTA FHOITHONG</t>
  </si>
  <si>
    <t>AD2504998</t>
  </si>
  <si>
    <t>SASITHON SURAPHA</t>
  </si>
  <si>
    <t>24/02/2006</t>
  </si>
  <si>
    <t>AD2504561</t>
  </si>
  <si>
    <t>SIWAKORN KHANANKHAENG</t>
  </si>
  <si>
    <t>AC3912618</t>
  </si>
  <si>
    <t>SARANYA BUNCHAMNAN</t>
  </si>
  <si>
    <t>27/3/2006</t>
  </si>
  <si>
    <t>AD2504012</t>
  </si>
  <si>
    <t>SUCHATHIP AMJANYAKUL</t>
  </si>
  <si>
    <t>AD2047949</t>
  </si>
  <si>
    <t>SERENA SAIRAT</t>
  </si>
  <si>
    <t>22/7/2003</t>
  </si>
  <si>
    <t>AC8246731</t>
  </si>
  <si>
    <t>ANANTAKAN LAOPHISAI</t>
  </si>
  <si>
    <t>AD2503240</t>
  </si>
  <si>
    <t>APIMONGKOL MUANGCHAN</t>
  </si>
  <si>
    <t>AD2505788</t>
  </si>
  <si>
    <t>ONPREEYA SRICHANA</t>
  </si>
  <si>
    <t>AC3085495</t>
  </si>
  <si>
    <t>ARANYA OUANDUANGDI</t>
  </si>
  <si>
    <t>18/8/2005</t>
  </si>
  <si>
    <t>AD2502557</t>
  </si>
  <si>
    <t>ARAYA MANCKONG</t>
  </si>
  <si>
    <t>23/6/2005</t>
  </si>
  <si>
    <t>AC8538015</t>
  </si>
  <si>
    <t>KHAMSAKPASIT CHALEUNSAK</t>
  </si>
  <si>
    <t>15/5/1981</t>
  </si>
  <si>
    <t>Cán bộ tập huấn theo diện học bổng hiệp định của Bộ GD&amp;ĐT</t>
  </si>
  <si>
    <t>S 0152836</t>
  </si>
  <si>
    <t>14/8/2025-30/11/2025</t>
  </si>
  <si>
    <t>THANNAVONG PHANSONE</t>
  </si>
  <si>
    <t>18/4/1971</t>
  </si>
  <si>
    <t>S 0114820</t>
  </si>
  <si>
    <t>OUTHAIVANH PHONESIRI</t>
  </si>
  <si>
    <t>22/8/1969</t>
  </si>
  <si>
    <t>S 0096837</t>
  </si>
  <si>
    <t>CHITTAVONG LATHDAVANH</t>
  </si>
  <si>
    <t>16/8/1984</t>
  </si>
  <si>
    <t>S 0169299</t>
  </si>
  <si>
    <t>KEOBOUASAMAI SOUDDAPHONE</t>
  </si>
  <si>
    <t>S 0096838</t>
  </si>
  <si>
    <t>SOUNAKHEN SAY</t>
  </si>
  <si>
    <t>S 0129533</t>
  </si>
  <si>
    <t>PHETSAVONG KHOUPHAKONE</t>
  </si>
  <si>
    <t>14/5/1971</t>
  </si>
  <si>
    <t>S 0154509</t>
  </si>
  <si>
    <t>SITTHISACK KHAMDY</t>
  </si>
  <si>
    <t>28/02/1977</t>
  </si>
  <si>
    <t>S 0111276</t>
  </si>
  <si>
    <t>SISANONH LAMMONE</t>
  </si>
  <si>
    <t>S 0099740</t>
  </si>
  <si>
    <t>SONEPHET THA</t>
  </si>
  <si>
    <t>21/12/1984</t>
  </si>
  <si>
    <t>S 0096839</t>
  </si>
  <si>
    <t>THAVISOUK KHAMSING</t>
  </si>
  <si>
    <t>S 0096842</t>
  </si>
  <si>
    <t>SEEPASERD SAENGSOUK</t>
  </si>
  <si>
    <t>S 0096840</t>
  </si>
  <si>
    <t>PHOMVONGSA METKEO</t>
  </si>
  <si>
    <t>S 0129841</t>
  </si>
  <si>
    <t>INTHASOUK KHEN</t>
  </si>
  <si>
    <t>S 0096841</t>
  </si>
  <si>
    <t>PHONEMANY BOUNTHANORM</t>
  </si>
  <si>
    <t>28/11/1996</t>
  </si>
  <si>
    <t>S 0096880</t>
  </si>
  <si>
    <t>PHONETHAVY DAOVONE</t>
  </si>
  <si>
    <t>19/8/1995</t>
  </si>
  <si>
    <t>S 0096843</t>
  </si>
  <si>
    <t>THIPMANY THIPPHACHANH</t>
  </si>
  <si>
    <t>18/02/1990</t>
  </si>
  <si>
    <t>S 0096844</t>
  </si>
  <si>
    <t>DUANGVILAY KEOMANY</t>
  </si>
  <si>
    <t>13/9/1989</t>
  </si>
  <si>
    <t>S 0096845</t>
  </si>
  <si>
    <t>THAMMAVONG VONGDEUAN</t>
  </si>
  <si>
    <t>28/6/1990</t>
  </si>
  <si>
    <t>S 0096846</t>
  </si>
  <si>
    <t>XAIYASITH LATHSAMY</t>
  </si>
  <si>
    <t>20/10/1981</t>
  </si>
  <si>
    <t>S 0096847</t>
  </si>
  <si>
    <t>BRIL ZLATA</t>
  </si>
  <si>
    <t>13/10/2005</t>
  </si>
  <si>
    <t>Chương trình Thực tập 10 tháng (Học bổng HĐ)</t>
  </si>
  <si>
    <t>1/10/2025-31/3/2026</t>
  </si>
  <si>
    <t>SIMONENKOVA ANNA</t>
  </si>
  <si>
    <t>30/7/2005</t>
  </si>
  <si>
    <t>KUZYANOVA ALEXANDRA</t>
  </si>
  <si>
    <t>27/5/2005</t>
  </si>
  <si>
    <t>BOROVINSKIKH EKATERINA</t>
  </si>
  <si>
    <t>PILIPASOVA DARIA</t>
  </si>
  <si>
    <t>GARKUSHA OLGA</t>
  </si>
  <si>
    <t>26/9/2004</t>
  </si>
  <si>
    <t>FUDIN MATVEI</t>
  </si>
  <si>
    <t>30/7/2006</t>
  </si>
  <si>
    <t>GRIGORENKO DMITRII</t>
  </si>
  <si>
    <t>KOROLEV IAROSLAV</t>
  </si>
  <si>
    <t>25/4/2003</t>
  </si>
  <si>
    <t>DUANGSAPOL VIRAPORN</t>
  </si>
  <si>
    <t xml:space="preserve">chương trình trao đổi sinh viên </t>
  </si>
  <si>
    <t>AC8535337</t>
  </si>
  <si>
    <t>05/-31/01/2026</t>
  </si>
  <si>
    <t xml:space="preserve">Trường Đại học Udon Thani Rajabhat </t>
  </si>
  <si>
    <t>CHAOSURIN YUPHARAT</t>
  </si>
  <si>
    <t>20/10/2004</t>
  </si>
  <si>
    <t>AC8534900</t>
  </si>
  <si>
    <t>MAHASENA KANTICHA</t>
  </si>
  <si>
    <t>AC8496136</t>
  </si>
  <si>
    <t>CHAISAENTHAO PHOORITAD</t>
  </si>
  <si>
    <t>23/3/2005</t>
  </si>
  <si>
    <t>AC8496479</t>
  </si>
  <si>
    <t>NOIPHITHAK KUNCHAYADA</t>
  </si>
  <si>
    <t>AC8493100</t>
  </si>
  <si>
    <t>TAWSANIT PIMWIPA</t>
  </si>
  <si>
    <t>30/9/2004</t>
  </si>
  <si>
    <t>AC8071006</t>
  </si>
  <si>
    <t xml:space="preserve"> trao đổi học thuật tại Khoa Tâm lý - Giáo dục - Công tác xã hội</t>
  </si>
  <si>
    <t>MJ4387389</t>
  </si>
  <si>
    <t>159/QĐ-ĐHSP ngày 05/02/2026</t>
  </si>
  <si>
    <t>09/3-15/3/2026</t>
  </si>
  <si>
    <t>OGATA MAO</t>
  </si>
  <si>
    <t>01/4/2006</t>
  </si>
  <si>
    <t>TM1853416</t>
  </si>
  <si>
    <t>ΜΙΖΟΙ AI</t>
  </si>
  <si>
    <t>09/12/2005</t>
  </si>
  <si>
    <t>MJ2120331</t>
  </si>
  <si>
    <t>KAWABATA YOKO</t>
  </si>
  <si>
    <t>05/6/2005</t>
  </si>
  <si>
    <t>TM2019164</t>
  </si>
  <si>
    <t xml:space="preserve">Witchuda Kaewkhamson </t>
  </si>
  <si>
    <t xml:space="preserve">20/8/2004 </t>
  </si>
  <si>
    <t xml:space="preserve">Nữ </t>
  </si>
  <si>
    <t>Trường Đại học Sakon Nakhon Rajabhat</t>
  </si>
  <si>
    <t>học tập, trao đổi</t>
  </si>
  <si>
    <t>AD3283042</t>
  </si>
  <si>
    <t>249/QĐ-ĐHSP ngày 05/03/2026</t>
  </si>
  <si>
    <t>15/3-10/4/2026</t>
  </si>
  <si>
    <t xml:space="preserve">Duangsamon Srinaphaeng </t>
  </si>
  <si>
    <t xml:space="preserve">20/12/2004 </t>
  </si>
  <si>
    <t>AD3283047</t>
  </si>
  <si>
    <t xml:space="preserve">Suchanaree Phaimuanghung </t>
  </si>
  <si>
    <t xml:space="preserve">21/02/2003 </t>
  </si>
  <si>
    <t>AD3283023</t>
  </si>
  <si>
    <t xml:space="preserve">Wirachinee Boonruksa </t>
  </si>
  <si>
    <t xml:space="preserve">27/10/2004 </t>
  </si>
  <si>
    <t>AD3283030</t>
  </si>
  <si>
    <t xml:space="preserve">Phinlada Nakhowong </t>
  </si>
  <si>
    <t>11/6/2004</t>
  </si>
  <si>
    <t>AD3283025</t>
  </si>
  <si>
    <t xml:space="preserve">Ratchada Praking </t>
  </si>
  <si>
    <t xml:space="preserve">21/8/2005 </t>
  </si>
  <si>
    <t>AD3283044</t>
  </si>
  <si>
    <t xml:space="preserve">Ladthika Worangon </t>
  </si>
  <si>
    <t xml:space="preserve">17/4/2004 </t>
  </si>
  <si>
    <t>AD3283032</t>
  </si>
  <si>
    <t xml:space="preserve">Khanittha Thammayot </t>
  </si>
  <si>
    <t xml:space="preserve">24/01/2005 </t>
  </si>
  <si>
    <t>AD3283026</t>
  </si>
  <si>
    <t xml:space="preserve">Nattakran Duangpakdee </t>
  </si>
  <si>
    <t xml:space="preserve">14/4/2004 </t>
  </si>
  <si>
    <t>AD3283046</t>
  </si>
  <si>
    <t xml:space="preserve">Wanatchaporn Salaksin </t>
  </si>
  <si>
    <t xml:space="preserve">16/8/2004 </t>
  </si>
  <si>
    <t>AD3283024</t>
  </si>
  <si>
    <t>Tielemans Hanne</t>
  </si>
  <si>
    <t>07/3/2005</t>
  </si>
  <si>
    <t>Thực tập</t>
  </si>
  <si>
    <t>2172/QĐ-ĐHSP ngày 24/11/2025</t>
  </si>
  <si>
    <t>25/02-20/5/2026</t>
  </si>
  <si>
    <t>Roels Robin Thara X</t>
  </si>
  <si>
    <t>10/9/1991</t>
  </si>
  <si>
    <t>Lackman Emma</t>
  </si>
  <si>
    <t>02/7/2005</t>
  </si>
  <si>
    <t>Pitteurs Gitte</t>
  </si>
  <si>
    <t>01/11/2004</t>
  </si>
  <si>
    <t>Neckebroeck LeonieGwendoline E.</t>
  </si>
  <si>
    <t>15/3/2004</t>
  </si>
  <si>
    <t>nckh_id</t>
  </si>
  <si>
    <t>nckh_name</t>
  </si>
  <si>
    <t>chu_nhiem_ten</t>
  </si>
  <si>
    <t>ten_xuly</t>
  </si>
  <si>
    <t>chu_nhiem_id</t>
  </si>
  <si>
    <t>don_vi_name</t>
  </si>
  <si>
    <t>don_vi_id</t>
  </si>
  <si>
    <t>kinhphi_pheduyet</t>
  </si>
  <si>
    <t>thoigian_batdau</t>
  </si>
  <si>
    <t>thoigian_ketthuc</t>
  </si>
  <si>
    <t>is_giahan</t>
  </si>
  <si>
    <t>thoigian_giahan</t>
  </si>
  <si>
    <t>trangthai_pheduyet</t>
  </si>
  <si>
    <t>trangthaiDeTai</t>
  </si>
  <si>
    <t>Năm nghiệm thu</t>
  </si>
  <si>
    <t>04-10/HĐ-SKHCN</t>
  </si>
  <si>
    <t>Nghiên cứu mô hình chăm sóc sức khỏe tâm thần tại các trường THPT trên địa bàn Thành phố Đà Nẵng</t>
  </si>
  <si>
    <t>Lê Thị Lâm</t>
  </si>
  <si>
    <t>D2504260.120043</t>
  </si>
  <si>
    <t>989,431,000.00 đ</t>
  </si>
  <si>
    <t>Đã phê duyệt</t>
  </si>
  <si>
    <t>503.01-2024.02
 02/2025/VI/HĐXH</t>
  </si>
  <si>
    <t>Phát triển năng lực số và sử dụng trí tuệ nhân tạo trong dạy học và đánh giá cho sinh viên sư phạm và giáo viên trong bối cảnh hiện nay</t>
  </si>
  <si>
    <t>D2504270.211090</t>
  </si>
  <si>
    <t>1,150,000,000.00 đ</t>
  </si>
  <si>
    <t>506.01-2024.15
 06/2025/I/HĐXH</t>
  </si>
  <si>
    <t>Ngoại giao cảnh sát biển của Hoa Kỳ và Nhật Bản ở khu vực Đông Nam Á trong những thập niên đầu thế kỷ XXI và hàm ý chính sách đối với Việt Nam</t>
  </si>
  <si>
    <t>Nguyễn Văn Sang</t>
  </si>
  <si>
    <t>D2504240.100116</t>
  </si>
  <si>
    <t>Phòng Khoa học - Công nghệ thông tin - Hợp tác quốc tế - Trường ĐHSP</t>
  </si>
  <si>
    <t>D2504050</t>
  </si>
  <si>
    <t>1,000,000,000.00 đ</t>
  </si>
  <si>
    <t>503.01-2025.11</t>
  </si>
  <si>
    <t>GIÁO DỤC ĐA VĂN HÓA TRÊN NỀN TẢNG SỐ Ở VIỆT NAM</t>
  </si>
  <si>
    <t>D2504320.210202</t>
  </si>
  <si>
    <t>1,087,000,000.00 đ</t>
  </si>
  <si>
    <t>602.04-2025.13</t>
  </si>
  <si>
    <t>Ký ức, công nghệ và bản thể: Diễn ngôn Posthumanism trong văn học khoa học viễn tưởng Đông Á đương đại</t>
  </si>
  <si>
    <t>Nguyễn Phương Khánh</t>
  </si>
  <si>
    <t>D2504320.050008</t>
  </si>
  <si>
    <t>800,000,000.00 đ</t>
  </si>
  <si>
    <t>NCUD.01-2025.14</t>
  </si>
  <si>
    <t>Nghiên cứu phát triển công nghệ chế tạo các vật liệu composite tiên tiến nền ferrite/vật liệu dẫn điện định hướng ứng dụng làm lớp hấp thụ sóng radar và che chắn nhiễu sóng điện từ băng tần X và Ku</t>
  </si>
  <si>
    <t>Nguyễn Quý Tuấn</t>
  </si>
  <si>
    <t>D2504210.070035</t>
  </si>
  <si>
    <t>1,766,000,000.00 đ</t>
  </si>
  <si>
    <t>NCUD.10-2025.05</t>
  </si>
  <si>
    <t>Giải pháp tăng cường khả năng tiếp cận giáo dục cho trẻ khuyết tật khu vực Miền Trung – Tây Nguyên.</t>
  </si>
  <si>
    <t>Lê Thị Duyên</t>
  </si>
  <si>
    <t>D2504260.211089</t>
  </si>
  <si>
    <t>2,270,000,000.00 đ</t>
  </si>
  <si>
    <t>NCUD.12-2025.06</t>
  </si>
  <si>
    <t>Giá trị văn hóa gốm thủ công Nam Trung Bộ và ứng dụng trong phát triển bền vững văn hóa – du lịch</t>
  </si>
  <si>
    <t>Nguyễn Minh Phương</t>
  </si>
  <si>
    <t>D2504240.050077</t>
  </si>
  <si>
    <t>1,675,000,000.00 đ</t>
  </si>
  <si>
    <t>104.06-2025.04</t>
  </si>
  <si>
    <t>Thiết kế và nghiên cứu cơ chế phản ứng hydrogen hóa CO2 trên các phức kim loại chuyển tiếp chứa phối tử pincer tích hợp acid Lewis thứ cấp bằng phương pháp hóa tính toán</t>
  </si>
  <si>
    <t>Nguyễn Minh Thông</t>
  </si>
  <si>
    <t>D2506000.130058</t>
  </si>
  <si>
    <t>1,254,000,000.00 đ</t>
  </si>
  <si>
    <t>104.06-2025.166</t>
  </si>
  <si>
    <t>Nghiên cứu thiết kế và sàng lọc cảm biến huỳnh quang phân tử phát hiện chọn lọc ion kim loại nặng bằng phương pháp hóa học tính toán</t>
  </si>
  <si>
    <t>Mai Văn Bảy</t>
  </si>
  <si>
    <t>D2504220.100013</t>
  </si>
  <si>
    <t>1,058,000,000.00 đ</t>
  </si>
  <si>
    <t>103.02-2025.122</t>
  </si>
  <si>
    <t>Nghiên cứu hiệu chỉnh cấu trúc điện tử vật liệu nano 2D định hướng ứng dụng trong công nghệ sản xuất hydrogen xanh.</t>
  </si>
  <si>
    <t>Nguyễn Đình Chương</t>
  </si>
  <si>
    <t>D2504220.090082</t>
  </si>
  <si>
    <t>1,800,000,000.00 đ</t>
  </si>
  <si>
    <t>106.02-2025.179</t>
  </si>
  <si>
    <t>Phân tích so sánh hệ gen nhằm xác định các gen mục tiêu trong con đường sinh tổng hợp và tích lũy lipid ở các chủng vi tảo lục (Chlorophyta) bản địa Việt Nam</t>
  </si>
  <si>
    <t>Nguyễn Minh Lý</t>
  </si>
  <si>
    <t>D2504230.201504</t>
  </si>
  <si>
    <t>1,646,000,000.00 đ</t>
  </si>
  <si>
    <t>106.01-2025.196</t>
  </si>
  <si>
    <t>Phát triển kỹ thuật real-time PCR ứng dụng chỉ thị gen độc tố đặc hiệu cho hệ thống cảnh báo sớm tảo Lam độc trong nuôi trồng thủy sản và hồ chứa nước ngọt</t>
  </si>
  <si>
    <t>Bùi Thị Như Quỳnh</t>
  </si>
  <si>
    <t>D2504230.250101</t>
  </si>
  <si>
    <t>1,740,000,000.00 đ</t>
  </si>
  <si>
    <t>NCUD.10-2025.30</t>
  </si>
  <si>
    <t>Xây dựng mô hình chăm sóc sức khỏe tâm thần tích hợp công nghệ số và trí tuệ nhân tạo cho công nhân Việt Nam</t>
  </si>
  <si>
    <t>Bùi thị Thanh Diệu</t>
  </si>
  <si>
    <t>D2504260.090080</t>
  </si>
  <si>
    <t>1,625,000,000.00 đ</t>
  </si>
  <si>
    <t>03/2025/HĐ-NCUD/504</t>
  </si>
  <si>
    <t>Dịch vụ công tác xã hội trong chăm sóc sức khoẻ tâm thần cho học sinh dân tộc thiểu số</t>
  </si>
  <si>
    <t>Hà Văn Hoàng</t>
  </si>
  <si>
    <t>D2504260.211005</t>
  </si>
  <si>
    <t>1,463,000,000.00 đ</t>
  </si>
  <si>
    <t>B2025-DNA-01</t>
  </si>
  <si>
    <t>Nghiên cứu sản xuất chế phẩm nấm men bao tinh dầu tự phụ phẩm nông nghiệp ứng dụng diệt ấu trùng muỗi truyền bệnh (Aedes aegypti, Culex quinquefasciatus)</t>
  </si>
  <si>
    <t>Võ Văn Minh</t>
  </si>
  <si>
    <t>D2504230.000403</t>
  </si>
  <si>
    <t>680,000,000.00 đ</t>
  </si>
  <si>
    <t>B2025-DNA-02</t>
  </si>
  <si>
    <t>Năng lực truyền thông khoa học công nghệ (TTKHCN) trong bối cảnh chuyển đổi số ở Việt nam</t>
  </si>
  <si>
    <t>Trần Thị Yến Minh</t>
  </si>
  <si>
    <t>D2504320.090099</t>
  </si>
  <si>
    <t>400,000,000.00 đ</t>
  </si>
  <si>
    <t>B2025-DNA-03</t>
  </si>
  <si>
    <t>Nghiên cứu cơ chế và động học phản ứng trùng hợp gốc bằng phương pháp hóa học tính toán</t>
  </si>
  <si>
    <t>500,000,000.00 đ</t>
  </si>
  <si>
    <t>B2025-DNA-04</t>
  </si>
  <si>
    <t>Chế tạo và khảo sát tính chất hấp thụ sóng vi ba của vật liệu nền hexaferrite định hướng ứng dụng làm sơn tàng hình cho các thiết bị quan sự</t>
  </si>
  <si>
    <t>570,000,000.00 đ</t>
  </si>
  <si>
    <t>B2025-DNA-05</t>
  </si>
  <si>
    <t>Nghiên cứu biến tính vật liệu khung hữu cơ kim loại nickle/cobalt (Ni-MOF/Co-MOF) và ứng dụng làm chất xúc tác</t>
  </si>
  <si>
    <t>Vũ Thị Duyên</t>
  </si>
  <si>
    <t>D2504220.120012</t>
  </si>
  <si>
    <t>700,000,000.00 đ</t>
  </si>
  <si>
    <t>B2025-DN03-01</t>
  </si>
  <si>
    <t>Bảo vệ môi trường tại các di tích lịch sử - văn hóa, danh lam thắng cảnh cấp quốc gia ở thành phố Đà Nẵng</t>
  </si>
  <si>
    <t>Nguyễn Thanh Tưởng</t>
  </si>
  <si>
    <t>D2504280.060015</t>
  </si>
  <si>
    <t>Khoa sử - Địa - Chính trị, Trường ĐHSP</t>
  </si>
  <si>
    <t>150,000,000.00 đ</t>
  </si>
  <si>
    <t>B2025-DN03-02</t>
  </si>
  <si>
    <t>Năng lực tiếp cận pháp luật của phụ nữ nông thôn ở thành phố Đà Nẵng</t>
  </si>
  <si>
    <t>Võ Công Khôi</t>
  </si>
  <si>
    <t>D2504270.250212</t>
  </si>
  <si>
    <t>B2025-DN03-03</t>
  </si>
  <si>
    <t>Nghiên cứu hệ phiên mã và cơ chế tích luỹ lipid của tảo lục Scenedesmus sp. dưới các điều kiện dinh dưỡng thay đổi.</t>
  </si>
  <si>
    <t>B2025-DN03-04</t>
  </si>
  <si>
    <t>Phân lập và tuyển chọn vi khuẩn có khả năng phân giải alginate từ rong nâu làm cơ sở sản xuất alginate oligosaccharides (AOS).</t>
  </si>
  <si>
    <t>Lê Vũ Khánh Trang</t>
  </si>
  <si>
    <t>D2504230.170306</t>
  </si>
  <si>
    <t>B2025-DN03-05</t>
  </si>
  <si>
    <t>Thiết kế hệ thống AI Co-Pilot hỗ trợ giáo viên mầm non ra quyết định sư phạm theo thời gian thực dựa trên phân tích hành vi lớp học</t>
  </si>
  <si>
    <t>Đinh Thị Thu Hằng</t>
  </si>
  <si>
    <t>D2504512.100119</t>
  </si>
  <si>
    <t>B2025-DN03-06</t>
  </si>
  <si>
    <t>Phát triển kỹ năng cảm xúc – xã hội (SEL) cho trẻ 5-6 tuổi qua hoạt động trải nghiệm</t>
  </si>
  <si>
    <t>Nguyễn Thị Triều Tiên</t>
  </si>
  <si>
    <t>D2504512.115634</t>
  </si>
  <si>
    <t>T2025-ĐH-01</t>
  </si>
  <si>
    <t>Xây dựng mô hình sản xuất công nghệ cao và chế biến các sản phẩm vi tảo phục vụ nền kinh tế xanh và các sản phẩm quà tặng của Trường Đại học Sư phạm - Đại học Đà Nẵng</t>
  </si>
  <si>
    <t>Trịnh Đăng Mậu</t>
  </si>
  <si>
    <t>D2504230.201601</t>
  </si>
  <si>
    <t>380,000,000.00 đ</t>
  </si>
  <si>
    <t>T2025-ĐH-02</t>
  </si>
  <si>
    <t>Xây dựng và phát triển học hiệu UED - 50 năm từ quá khứ đến hiện tại</t>
  </si>
  <si>
    <t>Nguyễn Thị Trâm Anh</t>
  </si>
  <si>
    <t>D2504260.060001</t>
  </si>
  <si>
    <t>120,000,000.00 đ</t>
  </si>
  <si>
    <t>T2025-ĐH-03</t>
  </si>
  <si>
    <t>Xây dựng sản phẩm nghệ thuật ứng dụng nhận diện thương hiệu UED</t>
  </si>
  <si>
    <t>TS. Trương Quang Minh Đức</t>
  </si>
  <si>
    <t>Trương Quang Minh Đức</t>
  </si>
  <si>
    <t>D2504330.211101</t>
  </si>
  <si>
    <t>100,000,000.00 đ</t>
  </si>
  <si>
    <t>T2025-ĐH-04</t>
  </si>
  <si>
    <t>Thiết kế, chế tạo và mô phỏng các dự án STEM tích hợp AI, IoT vào hỗ trợ công tác đào tạo, bồi dưỡng tại Trường Đại học Sư phạm - Đại học Đà Nẵng</t>
  </si>
  <si>
    <t>TS. Trân Văn Hưng</t>
  </si>
  <si>
    <t>Trân Văn Hưng</t>
  </si>
  <si>
    <t>T2025-TN-01</t>
  </si>
  <si>
    <t>Nghiên cứu mô hình cho kiểm thử các ứng dụng ngữ cảnh</t>
  </si>
  <si>
    <t>TS. Lê Thị Thanh Bình</t>
  </si>
  <si>
    <t>Lê Thị Thanh Bình</t>
  </si>
  <si>
    <t>D2504270.190211</t>
  </si>
  <si>
    <t>35,000,000.00 đ</t>
  </si>
  <si>
    <t>T2025-TN-02</t>
  </si>
  <si>
    <t>Thông điệp chính sách phát triển du lịch bền vững thành phố Đà Nẵng trên báo điện tử</t>
  </si>
  <si>
    <t>ThS. NCS. Trần Thị Tuyết</t>
  </si>
  <si>
    <t>Trần Thị Tuyết</t>
  </si>
  <si>
    <t>D2504320.180901</t>
  </si>
  <si>
    <t>T2025-TN-03</t>
  </si>
  <si>
    <t>Các yếu tố ảnh hưởng đến hành vi bảo vệ môi trường của cộng đồng địa phương trong phát triển du lịch tại xã Hoà Bắc, huyện Hoà Vang, thành phố Đà Nẵng</t>
  </si>
  <si>
    <t>ThS. NCS. Phạm Thị Lấm</t>
  </si>
  <si>
    <t>Phạm Thị Lấm</t>
  </si>
  <si>
    <t>D2504240.190108</t>
  </si>
  <si>
    <t>T2025-LK-04</t>
  </si>
  <si>
    <t>Đánh giá mức độ tích hợp năng lực thông tin truyền thông trong chương trình Ngữ văn hiện hành theo khung tham chiếu của UNESCO</t>
  </si>
  <si>
    <t>TS. Lê Thị Thanh Tịnh</t>
  </si>
  <si>
    <t>Lê Thị Thanh Tịnh</t>
  </si>
  <si>
    <t>D2504320.120114</t>
  </si>
  <si>
    <t>stt</t>
  </si>
  <si>
    <t>detai_id</t>
  </si>
  <si>
    <t>sinh_vien_ma</t>
  </si>
  <si>
    <t>nv_id</t>
  </si>
  <si>
    <t>donvi_id</t>
  </si>
  <si>
    <t>vai_tro</t>
  </si>
  <si>
    <t>nam</t>
  </si>
  <si>
    <t>gio_nckh</t>
  </si>
  <si>
    <t>B2025.DNA.01</t>
  </si>
  <si>
    <t>D2509000.060023</t>
  </si>
  <si>
    <t>Ban Giám hiệu - Trường ĐHSP</t>
  </si>
  <si>
    <t>D2504010</t>
  </si>
  <si>
    <t>Chủ nhiệm</t>
  </si>
  <si>
    <t>Thành viên</t>
  </si>
  <si>
    <t>B2025.DNA.02</t>
  </si>
  <si>
    <t>D2504210.070086</t>
  </si>
  <si>
    <t>B2025.DNA.03</t>
  </si>
  <si>
    <t>B2025.DNA.04</t>
  </si>
  <si>
    <t>D2504200.000069</t>
  </si>
  <si>
    <t>B2025.DNA.05</t>
  </si>
  <si>
    <t>D2504510.211085</t>
  </si>
  <si>
    <t>Phòng Đào tạo - Trường ĐHSP</t>
  </si>
  <si>
    <t>D2504030</t>
  </si>
  <si>
    <t>B2025.DNA.06</t>
  </si>
  <si>
    <t>D2504230.130082</t>
  </si>
  <si>
    <t>B2025.DNA.07</t>
  </si>
  <si>
    <t>D2504230.211098</t>
  </si>
  <si>
    <t>B2025.DNA.08</t>
  </si>
  <si>
    <t>D2504030.315253</t>
  </si>
  <si>
    <t>B2025.DNA.09</t>
  </si>
  <si>
    <t>D2501120.211158</t>
  </si>
  <si>
    <t>B2025.DNA.10</t>
  </si>
  <si>
    <t>D2504030.000498</t>
  </si>
  <si>
    <t>B2025.DNA.11</t>
  </si>
  <si>
    <t>D2504500.000032</t>
  </si>
  <si>
    <t>B2025.DNA.12</t>
  </si>
  <si>
    <t>D2501120.211159</t>
  </si>
  <si>
    <t>B2025.DNA.13</t>
  </si>
  <si>
    <t>D2504030.210110</t>
  </si>
  <si>
    <t>B2025.DNA.14</t>
  </si>
  <si>
    <t>D2504220.070102</t>
  </si>
  <si>
    <t>B2025.DNA.15</t>
  </si>
  <si>
    <t>D2504220.090075</t>
  </si>
  <si>
    <t>B2025.DNA.16</t>
  </si>
  <si>
    <t>D2504511.120063</t>
  </si>
  <si>
    <t>B2025.DNA.17</t>
  </si>
  <si>
    <t>D2504500.000527</t>
  </si>
  <si>
    <t>B2025.DNA.18</t>
  </si>
  <si>
    <t>D2504500.000505</t>
  </si>
  <si>
    <t>B2025.DNA.19</t>
  </si>
  <si>
    <t>D2504030.220114</t>
  </si>
  <si>
    <t>B2025.DNA.20</t>
  </si>
  <si>
    <t>D2504270.190212</t>
  </si>
  <si>
    <t>B2025.DNA.21</t>
  </si>
  <si>
    <t>D2504510.170303</t>
  </si>
  <si>
    <t>B2025.DNA.22</t>
  </si>
  <si>
    <t>D2504040.170501</t>
  </si>
  <si>
    <t>Phòng Kế hoạch - Tài chính - Trường ĐHSP</t>
  </si>
  <si>
    <t>D2504040</t>
  </si>
  <si>
    <t>B2025.DNA.23</t>
  </si>
  <si>
    <t>D2504230.000525</t>
  </si>
  <si>
    <t>B2025.DNA.24</t>
  </si>
  <si>
    <t>D2504020.000520</t>
  </si>
  <si>
    <t>B2025.DNA.25</t>
  </si>
  <si>
    <t>D2504040.302257</t>
  </si>
  <si>
    <t>B2025.DNA.26</t>
  </si>
  <si>
    <t>D2504040.211076</t>
  </si>
  <si>
    <t>B2025.DNA.27</t>
  </si>
  <si>
    <t>D2504040.070301</t>
  </si>
  <si>
    <t>B2025.DNA.28</t>
  </si>
  <si>
    <t>D2504040.210112</t>
  </si>
  <si>
    <t>B2025.DNA.29</t>
  </si>
  <si>
    <t>D2504040.220115</t>
  </si>
  <si>
    <t>B2025.DNA.30</t>
  </si>
  <si>
    <t>D2504040.211074</t>
  </si>
  <si>
    <t>B2025.DNA.31</t>
  </si>
  <si>
    <t>D2504500.000008</t>
  </si>
  <si>
    <t>Phòng Quản lý người học - Thư viện, Trường ĐHSP</t>
  </si>
  <si>
    <t>D2504060</t>
  </si>
  <si>
    <t>B2025.DNA.32</t>
  </si>
  <si>
    <t>D2504060.220205</t>
  </si>
  <si>
    <t>B2025.DNA.33</t>
  </si>
  <si>
    <t>D2504060.190115</t>
  </si>
  <si>
    <t>B2025.DNA.34</t>
  </si>
  <si>
    <t>D2504090.130097</t>
  </si>
  <si>
    <t>B2025.DNA.35</t>
  </si>
  <si>
    <t>D2504030.000521</t>
  </si>
  <si>
    <t>B2025.DNA.36</t>
  </si>
  <si>
    <t>D2504030.050027</t>
  </si>
  <si>
    <t>B2025.DNA.37</t>
  </si>
  <si>
    <t>D2504240.100113</t>
  </si>
  <si>
    <t>B2025.DNA.38</t>
  </si>
  <si>
    <t>D2504340.090099</t>
  </si>
  <si>
    <t>B2025.DNA.39</t>
  </si>
  <si>
    <t>D2501520.000163</t>
  </si>
  <si>
    <t>B2025.DNA.40</t>
  </si>
  <si>
    <t>D2504060.220112</t>
  </si>
  <si>
    <t>B2025.DNA.41</t>
  </si>
  <si>
    <t>D2504020.012014</t>
  </si>
  <si>
    <t>B2025.DNA.42</t>
  </si>
  <si>
    <t>D2504060.190118</t>
  </si>
  <si>
    <t>B2025.DNA.43</t>
  </si>
  <si>
    <t>D2504060.140719</t>
  </si>
  <si>
    <t>B2025.DNA.44</t>
  </si>
  <si>
    <t>D2504060.260118</t>
  </si>
  <si>
    <t>B2025.DNA.45</t>
  </si>
  <si>
    <t>D2504200.050110</t>
  </si>
  <si>
    <t>B2025.DNA.46</t>
  </si>
  <si>
    <t>D2504270.070085</t>
  </si>
  <si>
    <t>B2025.DNA.47</t>
  </si>
  <si>
    <t>D2504200.000067</t>
  </si>
  <si>
    <t>B2025.DNA.48</t>
  </si>
  <si>
    <t>D2504200.090078</t>
  </si>
  <si>
    <t>B2025.DNA.49</t>
  </si>
  <si>
    <t>D2504200.190101</t>
  </si>
  <si>
    <t>B2025.DNA.50</t>
  </si>
  <si>
    <t>D2504200.135964</t>
  </si>
  <si>
    <t>nv_hoten</t>
  </si>
  <si>
    <t>nv_ngaysinh</t>
  </si>
  <si>
    <t>nv_gioitinh</t>
  </si>
  <si>
    <t>nv_soBHXH</t>
  </si>
  <si>
    <t>nv_honnhan</t>
  </si>
  <si>
    <t>nv_soCCCD</t>
  </si>
  <si>
    <t>nv_noicap</t>
  </si>
  <si>
    <t>nv_ngaycap</t>
  </si>
  <si>
    <t>nv_quequan</t>
  </si>
  <si>
    <t>nv_noisinh</t>
  </si>
  <si>
    <t>nv_thuongtru</t>
  </si>
  <si>
    <t>nv_noiohiennay</t>
  </si>
  <si>
    <t>nv_sdt</t>
  </si>
  <si>
    <t>nv_email</t>
  </si>
  <si>
    <t>nv_tongiao</t>
  </si>
  <si>
    <t>nv_uutienGD</t>
  </si>
  <si>
    <t>nv_ngaytuyendung</t>
  </si>
  <si>
    <t>nv_ngaybanngach</t>
  </si>
  <si>
    <t>nv_coquantiepnhan</t>
  </si>
  <si>
    <t>nv_viec_tuyendung</t>
  </si>
  <si>
    <t>nv_loaicanbo</t>
  </si>
  <si>
    <t>nv_viec_hiennay</t>
  </si>
  <si>
    <t>nv_nghiBHXH</t>
  </si>
  <si>
    <t>nv_chucvu</t>
  </si>
  <si>
    <t>nv_ngaybonhiem</t>
  </si>
  <si>
    <t>nv_chucvu_coquankiemnhiem</t>
  </si>
  <si>
    <t>nv_chucvu_coquancao nhat</t>
  </si>
  <si>
    <t>nv_ngayvaodang</t>
  </si>
  <si>
    <t>nv_chucvudang</t>
  </si>
  <si>
    <t>nv_doanvien</t>
  </si>
  <si>
    <t>nv_chuyenmon</t>
  </si>
  <si>
    <t>nv_khoinganh</t>
  </si>
  <si>
    <t>nv_linhvuc</t>
  </si>
  <si>
    <t>nv_chuyennganh</t>
  </si>
  <si>
    <t>nv_chức danh</t>
  </si>
  <si>
    <t>nv_noidaotao</t>
  </si>
  <si>
    <t>nv_hinhthucdaotao_id</t>
  </si>
  <si>
    <t>nv_quocgiadaotao</t>
  </si>
  <si>
    <t>nv_cosodaotao</t>
  </si>
  <si>
    <t>nv_namtotnghiep</t>
  </si>
  <si>
    <t>nv_trinhdochinhtri</t>
  </si>
  <si>
    <t>nv_trinhdoqlnn</t>
  </si>
  <si>
    <t>nv_trinhdotinhoc</t>
  </si>
  <si>
    <t>nv_danhhieu</t>
  </si>
  <si>
    <t>nv_namcongnhan</t>
  </si>
  <si>
    <t>nv_hocham</t>
  </si>
  <si>
    <t>nv_huong85</t>
  </si>
  <si>
    <t>nv_loaichucdanh</t>
  </si>
  <si>
    <t>nv_batluong</t>
  </si>
  <si>
    <t>nv_hsluong</t>
  </si>
  <si>
    <t>Đinh Thị Mỹ Hạnh</t>
  </si>
  <si>
    <t>Có gia đình</t>
  </si>
  <si>
    <t>Cục Cảnh sát QLHC về TTXH</t>
  </si>
  <si>
    <t>2/28/2024</t>
  </si>
  <si>
    <t>Thượng Long - Thuỷ Nguyên -</t>
  </si>
  <si>
    <t>Cẩm lệ, Đà Nẵng</t>
  </si>
  <si>
    <t>số 63 Lý Nhân Tông, Khuê Trung, Cẩm Lệ, Đà Nẵng</t>
  </si>
  <si>
    <t>dtmhanh@ac.udn.vn</t>
  </si>
  <si>
    <t>Mường</t>
  </si>
  <si>
    <t>Trường Cao đẳng Công nghệ Thông tin</t>
  </si>
  <si>
    <t>Cán bộ giảng dạy kiêm quản lý</t>
  </si>
  <si>
    <t>Biên chế CC,VC</t>
  </si>
  <si>
    <t>Giảng viên</t>
  </si>
  <si>
    <t>Phó Hiệu trưởng</t>
  </si>
  <si>
    <t>1/17/2025</t>
  </si>
  <si>
    <t>Trưởng ban Ban Công tác Sinh viên, Quan hệ doanh nghiệp và Truyền thông</t>
  </si>
  <si>
    <t>4/18/2006</t>
  </si>
  <si>
    <t>UV BCH Đảng bộ Cơ quan ĐHĐN</t>
  </si>
  <si>
    <t>Tiến sỹ</t>
  </si>
  <si>
    <t>V</t>
  </si>
  <si>
    <t>Máy tính và công nghệ thông tin</t>
  </si>
  <si>
    <t>Lý luận và Phương pháp dạy học</t>
  </si>
  <si>
    <t>Giảng viên chính (hạng II)</t>
  </si>
  <si>
    <t>Chính quy</t>
  </si>
  <si>
    <t>Việt Nam</t>
  </si>
  <si>
    <t>Đại học Bách khoa Hà Nội</t>
  </si>
  <si>
    <t>Trung cấp</t>
  </si>
  <si>
    <t>Chứng chỉ Nghiệp vụ sư phạm</t>
  </si>
  <si>
    <t>Thạc sỹ</t>
  </si>
  <si>
    <t>Viên chức loại A2 - nhóm 1</t>
  </si>
  <si>
    <t>4.74</t>
  </si>
  <si>
    <t>Nguyễn Văn Hiếu</t>
  </si>
  <si>
    <t>Cục Cảnh sát Quản lý hành chính về trật tự xã hội</t>
  </si>
  <si>
    <t>6/28/2021</t>
  </si>
  <si>
    <t>Xuân Hội, Nghi Xuân - - Hà Tĩnh</t>
  </si>
  <si>
    <t>Xuân Hội, Nghi Xuân, Hà Tĩnh</t>
  </si>
  <si>
    <t>37 Hà Xuân, Chính Gián, Thanh Khê, Đà Nẵng</t>
  </si>
  <si>
    <t>nvhieu@ued.udn.vn</t>
  </si>
  <si>
    <t>Kinh</t>
  </si>
  <si>
    <t>Trường ĐHSP - ĐHĐN</t>
  </si>
  <si>
    <t>HĐ không xác định thời hạn</t>
  </si>
  <si>
    <t>4/15/2024</t>
  </si>
  <si>
    <t>Phụ trách, điều hành Khoa GDMN (25/6/2024); Trưởng Bộ môn Vật lý lý thuyết (ngày 06/5/2020 - hết ngày 05/5/2025)</t>
  </si>
  <si>
    <t>Trưởng khoa Khoa Vật lý (23/3/2020)</t>
  </si>
  <si>
    <t>8/16/2010</t>
  </si>
  <si>
    <t>IV</t>
  </si>
  <si>
    <t>Khoa học tự nhiên</t>
  </si>
  <si>
    <t>Vật lý lý thuyết và Vật lý toán</t>
  </si>
  <si>
    <t>Giảng viên cao cấp (hạng I)</t>
  </si>
  <si>
    <t>Trường ĐH Khoa học tự nhiên (ĐHQGHN)</t>
  </si>
  <si>
    <t>Cao cấp</t>
  </si>
  <si>
    <t>Trình độ C</t>
  </si>
  <si>
    <t>Phó giáo sư</t>
  </si>
  <si>
    <t>Viên chức loại A3 - nhóm 1</t>
  </si>
  <si>
    <t>6.92</t>
  </si>
  <si>
    <t>11/22/2022</t>
  </si>
  <si>
    <t>Bình Phước - Bình Sơn - Quảng Ngãi</t>
  </si>
  <si>
    <t>Bình Phước, Bình Sơn, Quảng Ngãi</t>
  </si>
  <si>
    <t>27 Đồng Trí 3, Hòa Khánh Nam, Liên Chiểu, Đà Nẵng</t>
  </si>
  <si>
    <t>vvminh@ued.udn.vn</t>
  </si>
  <si>
    <t>Gia đình thương binh</t>
  </si>
  <si>
    <t>Trường Đại học Sư phạm ĐHĐN</t>
  </si>
  <si>
    <t>Hiệu trưởng</t>
  </si>
  <si>
    <t>Điều hành Khoa Giáo dục Mầm non (610/QĐ-ĐHSP, 14/4/2020)</t>
  </si>
  <si>
    <t>Chủ tịch Hội đồng trường, Phó Hiệu trưởng, Giám đốc Trung tâm Hỗ trợ Sinh viên và Quan hệ doanh nghiệp,Trưởng phòng Đào tạo, Trưởng khoa Sinh - Môi trường</t>
  </si>
  <si>
    <t>12/13/2001</t>
  </si>
  <si>
    <t>VII</t>
  </si>
  <si>
    <t>Môi trường và bảo vệ môi trường</t>
  </si>
  <si>
    <t>Khoa học Môi trường</t>
  </si>
  <si>
    <t>Kỹ thuật viên</t>
  </si>
  <si>
    <t>7.28</t>
  </si>
  <si>
    <t>Phan Đức Tuấn</t>
  </si>
  <si>
    <t>Bình Dương, Thăng Bình - - Quảng Nam</t>
  </si>
  <si>
    <t>Bình Dương, Thăng Bình, Quảng Nam</t>
  </si>
  <si>
    <t>Số 24 Nguyễn Đỗ Mục, Khuê Trung, Cẩm Lệ, Đà Nẵng</t>
  </si>
  <si>
    <t>pdtuan@ued.udn.vn</t>
  </si>
  <si>
    <t>Trưởng phòng Đào tạo, Trưởng khoa Toán</t>
  </si>
  <si>
    <t>I</t>
  </si>
  <si>
    <t>Khoa học giáo dục và đào tạo giáo viên</t>
  </si>
  <si>
    <t>Trình độ A</t>
  </si>
  <si>
    <t>Đàm Minh Anh</t>
  </si>
  <si>
    <t>7/24/2023</t>
  </si>
  <si>
    <t>Đông Phương, Đông Hưng - - Thái Bình</t>
  </si>
  <si>
    <t>Đông Phương, Đông Hưng, Thái Bình</t>
  </si>
  <si>
    <t>24 Đồng Bài 1, Hòa Khánh Bắc, Liên Chiểu, Đà Nẵng</t>
  </si>
  <si>
    <t>ttanh@ued.udn.vn</t>
  </si>
  <si>
    <t>Chuyên viên</t>
  </si>
  <si>
    <t>Phó Trưởng phòng</t>
  </si>
  <si>
    <t>3/21/2025</t>
  </si>
  <si>
    <t>Giám đốc Trung tâm Tin học Trường ĐHSP - ĐHĐN</t>
  </si>
  <si>
    <t>Trưởng phòng KT-BĐCL</t>
  </si>
  <si>
    <t>7/16/2013</t>
  </si>
  <si>
    <t>Đo lường và đánh giá trong giáo dục</t>
  </si>
  <si>
    <t>Giảng viên (hạng III)</t>
  </si>
  <si>
    <t>Trường Đại học Giáo dục - Đại học Quốc gia Hà Nội</t>
  </si>
  <si>
    <t>Chuẩn kỹ năng CNTT cơ bản</t>
  </si>
  <si>
    <t>Viên chức loại A1</t>
  </si>
  <si>
    <t>3.66</t>
  </si>
  <si>
    <t>Nguyễn Thị Xuân Ánh</t>
  </si>
  <si>
    <t>Hòa Tiến, Hòa Vang - - Đà Nẵng</t>
  </si>
  <si>
    <t>Đà Nẵng</t>
  </si>
  <si>
    <t>K748A/7 Trần Cao Vân, Thanh Khê, Đà Nẵng</t>
  </si>
  <si>
    <t>Khu Tập thể Lữ đoàn 532, Hòa Khánh Nam, Liên Chiểu, Đà Nẵng</t>
  </si>
  <si>
    <t>ntxanh@ued.udn.vn</t>
  </si>
  <si>
    <t>Văn thư khoa</t>
  </si>
  <si>
    <t>0000-00-00</t>
  </si>
  <si>
    <t>Đại học</t>
  </si>
  <si>
    <t>III</t>
  </si>
  <si>
    <t>Kinh doanh và quản lý</t>
  </si>
  <si>
    <t>Kế toán tài chính</t>
  </si>
  <si>
    <t>Trường Đại học Kinh tế - Đại học Đà Nẵng</t>
  </si>
  <si>
    <t>Công chức loại A1</t>
  </si>
  <si>
    <t>3.33</t>
  </si>
  <si>
    <t>Trịnh Thế Anh</t>
  </si>
  <si>
    <t>12/27/2021</t>
  </si>
  <si>
    <t>Quảng Châu, Quảng Trạch - - Quảng Bình</t>
  </si>
  <si>
    <t>Quảng Châu, Quảng Trạch, Quảng Bình</t>
  </si>
  <si>
    <t>Thôn Hạ Lý, Quảng Châu, Quảng Trạch, Quảng Bình</t>
  </si>
  <si>
    <t>Tổ 42, Hòa Minh, Liên Chiểu, Đà Nẵng</t>
  </si>
  <si>
    <t>dmanh@ued.udn.vn</t>
  </si>
  <si>
    <t>Phó Bí thư Đoàn trường</t>
  </si>
  <si>
    <t>7/30/2009</t>
  </si>
  <si>
    <t>Sinh thái học</t>
  </si>
  <si>
    <t>Đại học Đà Nẵng</t>
  </si>
  <si>
    <t>Lê Anh Bảo Châu</t>
  </si>
  <si>
    <t>Độc thân</t>
  </si>
  <si>
    <t>Cục QLHC về TTXH</t>
  </si>
  <si>
    <t>- Phú Vang - Thừa Thiên - Huế</t>
  </si>
  <si>
    <t>Trung tâm y tế quận Hải Châu</t>
  </si>
  <si>
    <t>k18, H28/16 Đường Phan Kế Bính, Hải Châu, Đà Nẵng</t>
  </si>
  <si>
    <t>labchau@ued.udn.vn</t>
  </si>
  <si>
    <t>HĐ xác định thời hạn (1-5 năm)</t>
  </si>
  <si>
    <t>Trường Đại học Sư phạm - Đại học Đà Nẵng</t>
  </si>
  <si>
    <t>2.34</t>
  </si>
  <si>
    <t>Phạm Thị Ngọc Diệu</t>
  </si>
  <si>
    <t>4/16/2021</t>
  </si>
  <si>
    <t>- - Quảng Nam</t>
  </si>
  <si>
    <t>Quảng Nam</t>
  </si>
  <si>
    <t>40 Trần Quý Khoách, Hòa Minh, Liên Chiểu, Đà Nẵng</t>
  </si>
  <si>
    <t>ptndieu@ued.udn.vn</t>
  </si>
  <si>
    <t>ĐHĐN</t>
  </si>
  <si>
    <t>Đã hết tập sự</t>
  </si>
  <si>
    <t>Sinh môi trường</t>
  </si>
  <si>
    <t>Trường Đại học Bách khoa - Đại học Đà Nẵng</t>
  </si>
  <si>
    <t>Sơ cấp</t>
  </si>
  <si>
    <t>Lê Thị Giang</t>
  </si>
  <si>
    <t>8/17/2021</t>
  </si>
  <si>
    <t>Cát Trinh, Phù Cát - - Bình Định</t>
  </si>
  <si>
    <t>Hà Nội</t>
  </si>
  <si>
    <t>Tổ 20, Quang Thành 3A, Hòa Khánh Bắc, Liên Chiểu, Đà Nẵng</t>
  </si>
  <si>
    <t>K9/26 Lạc Long Quân, Hòa Khánh Bắc, Liên Chiểu, Đà Nẵng</t>
  </si>
  <si>
    <t>ltgiang@ued.udn.vn</t>
  </si>
  <si>
    <t>Giáo vụ</t>
  </si>
  <si>
    <t>6/22/2015</t>
  </si>
  <si>
    <t>Quản lý Giáo dục</t>
  </si>
  <si>
    <t>4.65</t>
  </si>
  <si>
    <t>Phạm Thị Lam Giang</t>
  </si>
  <si>
    <t>Hợp Thành, Yên Thành - - Nghệ An</t>
  </si>
  <si>
    <t>Điện Phương, Điện Bàn, Quảng Nam</t>
  </si>
  <si>
    <t>03 Nguyễn Thái Học, Hải Châu I, Hải Châu, Đà Nẵng</t>
  </si>
  <si>
    <t>106 Nguyễn Xuân Khoát, An Hải Bắc, Sơn Trà, Đà Nẵng</t>
  </si>
  <si>
    <r>
      <rPr>
        <u/>
        <sz val="11"/>
        <color rgb="FF1155CC"/>
        <rFont val="Calibri, sans-serif"/>
      </rPr>
      <t>ptlgiang@ued.udn.vn</t>
    </r>
  </si>
  <si>
    <t>Đại học Huế</t>
  </si>
  <si>
    <t>Từ xa</t>
  </si>
  <si>
    <t>Tin học VP</t>
  </si>
  <si>
    <t>4.98</t>
  </si>
  <si>
    <t>Nguyễn Thị Bích Huyền</t>
  </si>
  <si>
    <t>Hòa Minh, Liên Chiểu - - Đà Nẵng</t>
  </si>
  <si>
    <t>Hòa Minh, Liên Chiểu, Đà Nẵng</t>
  </si>
  <si>
    <t>52 Nguyễn Như Hạnh, Hòa Minh, Liên Chiểu, Đà Nẵng</t>
  </si>
  <si>
    <t>ntbhuyen@ued.udn.vn</t>
  </si>
  <si>
    <t>Tài chính Ngân hàng</t>
  </si>
  <si>
    <t>Trình độ B</t>
  </si>
  <si>
    <t>Nguyễn Linh</t>
  </si>
  <si>
    <t>Tam Thái, Phú Ninh - - Quảng Nam</t>
  </si>
  <si>
    <t>Tiên Lập, Tiên Phước, Quảng Nam</t>
  </si>
  <si>
    <t>Thôn 2, Tiên Lập, Tiên Phước, Quảng Nam</t>
  </si>
  <si>
    <t>Tổ 63, Hòa Minh, Liên Chiểu, Đà Nẵng</t>
  </si>
  <si>
    <t>nlinh@ued.udn.vn</t>
  </si>
  <si>
    <t>3/30/2016</t>
  </si>
  <si>
    <t>Quản lý Kinh tế</t>
  </si>
  <si>
    <t>2.67</t>
  </si>
  <si>
    <t>Trần Đức Mạnh</t>
  </si>
  <si>
    <t>- Tx Tam Kỳ -</t>
  </si>
  <si>
    <t>Đặng Sơn, Đô Lương, Nghệ An</t>
  </si>
  <si>
    <t>149/36 Lê Đình Lý, Hòa Thuận Đông, Hải Châu, Đà Nẵng</t>
  </si>
  <si>
    <t>tdmanh@ued.udn.vn</t>
  </si>
  <si>
    <t>Trường Đại học Sư phạm - ĐHĐN</t>
  </si>
  <si>
    <t>Trưởng Phòng</t>
  </si>
  <si>
    <t>4/23/2024</t>
  </si>
  <si>
    <t>Trưởng khoa Khoa Hóa học (23/3/2020), Phó Trưởng khoa (01-01-2019)</t>
  </si>
  <si>
    <t>6/28/2008</t>
  </si>
  <si>
    <t>Hóa Hữu cơ</t>
  </si>
  <si>
    <t>Đặng Thị Minh</t>
  </si>
  <si>
    <t>11/23/2022</t>
  </si>
  <si>
    <t>Nam Kim, Nam Đàn - - Nghệ An</t>
  </si>
  <si>
    <t>Nam Kim, Nam Đàn, Nghệ An</t>
  </si>
  <si>
    <t>Tổ 17, Hòa Khánh Nam, Liên Chiểu, Đà Nẵng</t>
  </si>
  <si>
    <t>67 Nguyễn Công Hoan, Hòa An, Cẩm Lệ, Đà Nẵng</t>
  </si>
  <si>
    <t>dtminh@ued.udn.vn</t>
  </si>
  <si>
    <t>2/21/2011</t>
  </si>
  <si>
    <t>Kế toán</t>
  </si>
  <si>
    <t>Trường ĐH Thương mại</t>
  </si>
  <si>
    <t>Tại chức</t>
  </si>
  <si>
    <t>3.99</t>
  </si>
  <si>
    <t>4/19/2021</t>
  </si>
  <si>
    <t>Phúc Thành - Yên Thành - Nghệ An</t>
  </si>
  <si>
    <t>Phúc Thành, Yên Thành, Nghệ An</t>
  </si>
  <si>
    <t>191 Lê Văn Hiến, Khuê Mỹ, Ngũ Hành Sơn, Đà Nẵng</t>
  </si>
  <si>
    <t>ntlna@ued.udn.vn</t>
  </si>
  <si>
    <t>Nhân văn</t>
  </si>
  <si>
    <t>Địa lý</t>
  </si>
  <si>
    <t>Trường ĐH Sư phạm (ĐH Đà Nẵng)</t>
  </si>
  <si>
    <t>Nguyễn Minh Phong</t>
  </si>
  <si>
    <t>8/20/2021</t>
  </si>
  <si>
    <t>Văn Hóa, Tuyên Hóa - - Quảng Bình</t>
  </si>
  <si>
    <t>Hòa Khánh, Liên Chiểu, Đà Nẵng</t>
  </si>
  <si>
    <t>Số 77 Phạm Như Xương, Hòa Khánh Nam, Liên Chiểu, Đà Nẵng</t>
  </si>
  <si>
    <t>nmphong@ued.udn.vn</t>
  </si>
  <si>
    <t>Văn học Việt Nam</t>
  </si>
  <si>
    <t>Đỗ Thị Kim Phượng</t>
  </si>
  <si>
    <t>12/22/2021</t>
  </si>
  <si>
    <t>Cẩm Phô, Hội An - - Quảng Nam</t>
  </si>
  <si>
    <t>Hội An, Quảng Nam</t>
  </si>
  <si>
    <t>Số 640 Điện Biên Phủ, Thanh Khê Tây, Thanh Khê, Đà Nẵng</t>
  </si>
  <si>
    <t>Số 66 Đà Sơn, Hòa Khánh Nam, Liên Chiểu, Đà Nẵng</t>
  </si>
  <si>
    <t>dtkphuong@ued.udn.vn</t>
  </si>
  <si>
    <t>Trường Thực hành Sư phạm</t>
  </si>
  <si>
    <t>Công tác tuyển sinh đào tạo</t>
  </si>
  <si>
    <t>Quản lí giáo dục</t>
  </si>
  <si>
    <t>4.32</t>
  </si>
  <si>
    <t>Văn Thị Ngọc Trâm</t>
  </si>
  <si>
    <t>Nam Thái - Nam Đàn - Nghệ An</t>
  </si>
  <si>
    <t>Nam Thái, Nam Đàn, Nghệ An</t>
  </si>
  <si>
    <t>07 Chơn Tâm 3, Hòa Khánh Nam, Liên Chiểu, Đà Nẵng</t>
  </si>
  <si>
    <t>vtntram@ued.udn.vn</t>
  </si>
  <si>
    <t>Văn học</t>
  </si>
  <si>
    <t>Trần Thùy Trang</t>
  </si>
  <si>
    <t>- Hoà Vang - Đà Nẵng</t>
  </si>
  <si>
    <t>701 Tôn Đức Thắng, Hòa Khánh Bắc, Liên Chiểu, Đà Nẵng</t>
  </si>
  <si>
    <t>tttrang@ued.udn.vn</t>
  </si>
  <si>
    <t>Hoa</t>
  </si>
  <si>
    <t>Thư ký khoa</t>
  </si>
  <si>
    <t>Trương Minh Tú</t>
  </si>
  <si>
    <t>Chính Gián, Thanh Khê - - Đà Nẵng</t>
  </si>
  <si>
    <t>Chính Gián, Thanh Khê, Đà Nẵng</t>
  </si>
  <si>
    <t>461/12 Hải Phòng, Chính Gián, Thanh Khê, Đà Nẵng</t>
  </si>
  <si>
    <t>tmtu@ued.udn.vn</t>
  </si>
  <si>
    <t>Sinh - Môi trường</t>
  </si>
  <si>
    <t>Dương Thị Yến</t>
  </si>
  <si>
    <t>8/13/2021</t>
  </si>
  <si>
    <t>Điện Phương, Điện Bàn - - Quảng Nam</t>
  </si>
  <si>
    <t>Đông Phú, Đại Hiệp, Đại Lộc, Quảng Nam</t>
  </si>
  <si>
    <t>Đường số 7, Đông Phú, Đại Hiệp, Đại Lộc, Quảng Nam</t>
  </si>
  <si>
    <t>dtyen@ued.udn.vn</t>
  </si>
  <si>
    <t>Kế toán viên</t>
  </si>
  <si>
    <t>Kế Toán trưởng (01/01/2025 -31/12/2029))</t>
  </si>
  <si>
    <t>Trường ĐH Kinh tế và QT Kinh doanh (ĐH Đà Nẵng)</t>
  </si>
  <si>
    <t>Điện Thắng Trung, Điện Bàn - - Quảng Nam</t>
  </si>
  <si>
    <t>Điện Thắng Trung, Điện Bàn, Quảng Nam</t>
  </si>
  <si>
    <t>Tổ 127, Hòa Minh, Liên Chiểu, Đà Nẵng</t>
  </si>
  <si>
    <t>nvkhanh@ued.udn.vn</t>
  </si>
  <si>
    <t>3/18/2025</t>
  </si>
  <si>
    <t>Phó Trưởng phòng Hành chính - Tổng hợp</t>
  </si>
  <si>
    <t>Khoa học và sự sống</t>
  </si>
  <si>
    <t>Trần Thị Minh Lựu</t>
  </si>
  <si>
    <t>Quế Hiệp, Quế Sơn - - Quảng Nam</t>
  </si>
  <si>
    <t>Thôn 3, Quế Hiệp, Quế Sơn, Quảng Nam</t>
  </si>
  <si>
    <t>Tổ 37, Hòa Khánh Nam, Liên Chiểu, Đà Nẵng</t>
  </si>
  <si>
    <t>ttmluu@ued.udn.vn</t>
  </si>
  <si>
    <t>5/26/2011</t>
  </si>
  <si>
    <t>Nguyễn Văn Tấn Tài</t>
  </si>
  <si>
    <t>Điện Phương - Điện Bàn - Quảng Nam</t>
  </si>
  <si>
    <t>Điên Phương - Điện Bàn - Quảng Nam</t>
  </si>
  <si>
    <t>Điên Phương - Điện BànI - Quảng Nam</t>
  </si>
  <si>
    <t>nvttai@ued.udn.vn</t>
  </si>
  <si>
    <t>Xây dựng cầu đường</t>
  </si>
  <si>
    <t>Trường Đại học Bách khoa - ĐHĐN</t>
  </si>
  <si>
    <t>Phạm Thị Giang Thanh</t>
  </si>
  <si>
    <t>Hòa Quý, Hòa Sơn - - Đà Nẵng</t>
  </si>
  <si>
    <t>Hòa Thuận Đông, Hải Châu, Đà Nẵng</t>
  </si>
  <si>
    <t>569/4 Hoàng Diệu, Hòa Thuận Đông, Hải Châu, Đà Nẵng</t>
  </si>
  <si>
    <t>ptgthanh@ued.udn.vn</t>
  </si>
  <si>
    <t>Lê Đình Úy</t>
  </si>
  <si>
    <t>8/15/2022</t>
  </si>
  <si>
    <t>Liên Thủy, Lệ Thủy - Lệ Thuỷ - Quảng Bình</t>
  </si>
  <si>
    <t>Liên Thủy, Lệ Thủy, Quảng Bình</t>
  </si>
  <si>
    <t>Đội 4, thôn Xuân Hồi, Liên Thủy, Lệ Thủy, Quảng Bình</t>
  </si>
  <si>
    <t>Tổ 64, Hòa Minh, Liên Chiểu, Đà Nẵng</t>
  </si>
  <si>
    <t>lduy@ued.udn.vn</t>
  </si>
  <si>
    <t>Trường ĐH Dân lập Duy Tân (Đà Nẵng)</t>
  </si>
  <si>
    <t>Nguyễn Thị Hồng Vân</t>
  </si>
  <si>
    <t>Thạch Đài - Thạch Hà - Hà Tĩnh</t>
  </si>
  <si>
    <t>Thọ Quang, Sơn Trà, Đà Nẵng</t>
  </si>
  <si>
    <t>28 Đặng Nhữ Lâm, Thọ Quang, Sơn Trà, Đà Nẵng</t>
  </si>
  <si>
    <t>nthvan@ued.udn.vn</t>
  </si>
  <si>
    <t>Dương Thị Hoàng Vi</t>
  </si>
  <si>
    <t>8/27/2021</t>
  </si>
  <si>
    <t>Thanh Lộc Đán, Thanh Khê, Đà Nẵng</t>
  </si>
  <si>
    <t>50 Hải Phòng, Hải Châu 1, Hải Châu, Đà Nẵng</t>
  </si>
  <si>
    <t>K874/16 Ngô Quyền, An Hải Bắc, Sơn Trà, Đà Nẵng</t>
  </si>
  <si>
    <t>dthvi@ued.udn.vn</t>
  </si>
  <si>
    <t>Cử nhân Kinh tế</t>
  </si>
  <si>
    <t>Thái Thị Ngọc Vỹ</t>
  </si>
  <si>
    <t>Hải Châu - - Đà Nẵng</t>
  </si>
  <si>
    <t>Nhà bảo sanh Minh Phương, Hải Châu, Đà Nẵng</t>
  </si>
  <si>
    <t>81 Hồ Nguyên Trừng, Hòa Cường Nam, Hải Châu, Đà Nẵng</t>
  </si>
  <si>
    <t>ttnvy@ued.udn.vn</t>
  </si>
  <si>
    <t>Thủ kho</t>
  </si>
  <si>
    <t>Pháp luật</t>
  </si>
  <si>
    <t>Luật kinh tế</t>
  </si>
  <si>
    <t>Phạm Thị Kim Chi</t>
  </si>
  <si>
    <t>Cẩm Kim, Hội An - - Quảng Nam</t>
  </si>
  <si>
    <t>Cẩm Kim, Hội An, Quảng Nam</t>
  </si>
  <si>
    <t>457/21 Tôn Đức Thắng, Hòa Khánh Nam, Liên Chiểu, Đà Nẵng</t>
  </si>
  <si>
    <t>ptkchi@ued.udn.vn</t>
  </si>
  <si>
    <t>Trường PTCS 3 Hòa hiệp</t>
  </si>
  <si>
    <t>Giáo viên dạy THCS</t>
  </si>
  <si>
    <t>8/24/2011</t>
  </si>
  <si>
    <t>Giáo viên Trung học cơ sở chính</t>
  </si>
  <si>
    <t>Chuyên tu</t>
  </si>
  <si>
    <t>Viên chức loại A0</t>
  </si>
  <si>
    <t>Đỗ Đinh Dân</t>
  </si>
  <si>
    <t>Hoài Sơn - Hoài Nhơn - Bình Định</t>
  </si>
  <si>
    <t>Hoài Sơn, Hoài Nhơn, Bình Định</t>
  </si>
  <si>
    <t>Thôn Túy Sơn, Hoài Sơn, Hoài Nhơn, Bình Định</t>
  </si>
  <si>
    <t>151 Lê Văn Sĩ, Hòa Minh, Liên Chiểu, Đà Nẵng</t>
  </si>
  <si>
    <t>dddan@ued.udn.vn</t>
  </si>
  <si>
    <t>4/29/2022</t>
  </si>
  <si>
    <t>Địa lý học</t>
  </si>
  <si>
    <t>Phạm Xuân Dũng</t>
  </si>
  <si>
    <t>Triệu Thành - Triệu Phong - Quảng trị</t>
  </si>
  <si>
    <t>Khe Sanh, Hướng Hóa, Quảng Trị</t>
  </si>
  <si>
    <t>Tổ 17, Khu 532, Hòa Khánh Nam, Liên Chiểu, Đà Nẵng</t>
  </si>
  <si>
    <t>pxdung@ued.udn.vn</t>
  </si>
  <si>
    <t>Kỹ thuật Điện tử - Tin học</t>
  </si>
  <si>
    <t>Trường Đại học Bách Khoa - Đại học Đà Nẵng</t>
  </si>
  <si>
    <t>Nguyễn Viết Hải Hiệp</t>
  </si>
  <si>
    <t>Hòa Hải, Ngũ Hành Sơn - - Đà Nẵng</t>
  </si>
  <si>
    <t>Thuận Phước, Hải Châu, Đà Nẵng</t>
  </si>
  <si>
    <t>16 Đinh Công Tráng, Thuận Phước, Hải Châu, Đà Nẵng</t>
  </si>
  <si>
    <t>nvhhiep@ued.udn.vn</t>
  </si>
  <si>
    <t>Phó Trưởng phòng Tổ chức - Hành chính (01/7/2018), Chủ tịch Hội sinh viên Trường, Phó Bí thư Đoàn trường</t>
  </si>
  <si>
    <t>5/13/2011</t>
  </si>
  <si>
    <t>Việt Nam học (Định hướng ứng dung)</t>
  </si>
  <si>
    <t>Nguyễn Trường Khánh</t>
  </si>
  <si>
    <t>Trường Yên - Hoa Lư - Ninh Bình</t>
  </si>
  <si>
    <t>Tổ 31, Chơn Tâm 1B, Hòa Khánh Nam, Liên Chiểu, Đà Nẵng</t>
  </si>
  <si>
    <t>K109/78 Phạm Như Xương, Hòa Khánh Nam, Liên Chiểu, Đà Nẵng</t>
  </si>
  <si>
    <t>ntkhanh@ued.udn.vn</t>
  </si>
  <si>
    <t>Thư viện viên</t>
  </si>
  <si>
    <t>Báo chí và thông tin</t>
  </si>
  <si>
    <t>Thư viện thông tin</t>
  </si>
  <si>
    <t>Trường ĐH Văn hoá</t>
  </si>
  <si>
    <t>Tam Kỳ, Tam Nghĩa - Tam Bình - Quảng Nam</t>
  </si>
  <si>
    <t>Nghi Hải, Nghi Lộc, Nghệ An</t>
  </si>
  <si>
    <t>02 Phạm Ngũ Lão, Hải Châu 2, Hải Châu, Đà Nẵng</t>
  </si>
  <si>
    <t>ntkoanh@ued.udn.vn</t>
  </si>
  <si>
    <t>Trương Trung Phương</t>
  </si>
  <si>
    <t>Quảng Thuận, Quảng Trạch - - Quảng Bình</t>
  </si>
  <si>
    <t>Cao Quảng, Quảng Trạch, Quảng Bình</t>
  </si>
  <si>
    <t>Bố Trạch, Quảng Bình</t>
  </si>
  <si>
    <t>Tổ 73 Chơn Tâm 2B, Hòa Khánh Nam, Liên Chiểu, Đà Nẵng</t>
  </si>
  <si>
    <t>ttphuong@ued.udn.vn</t>
  </si>
  <si>
    <t>6/18/2024</t>
  </si>
  <si>
    <t>Bí thư Đoàn trường</t>
  </si>
  <si>
    <t>Phó Trưởng khoa (14-04-2020)</t>
  </si>
  <si>
    <t>2/22/2010</t>
  </si>
  <si>
    <t>Khoa học giáo dục (Lý luận và Phương pháp dạy học bộ môn Lịch sử)</t>
  </si>
  <si>
    <t>Trường Đại học Sư phạm Hà Nội</t>
  </si>
  <si>
    <t>Tăng Thị Thu Sương</t>
  </si>
  <si>
    <t>Hoà Minh - Liên Chiểu - Đà Nẵng</t>
  </si>
  <si>
    <t>K43/H20/2 Nguyễn Như Hạnh, Hòa Minh, Liên Chiểu, Đà Nẵng</t>
  </si>
  <si>
    <t>tttsuong@ued.udn.vn</t>
  </si>
  <si>
    <t>Huỳnh Ngọc Minh Thi</t>
  </si>
  <si>
    <t>Quy Nhơn - Quận 1 - Bình Định</t>
  </si>
  <si>
    <t>Lê Lợi, Quy Nhơn, Bình Định</t>
  </si>
  <si>
    <t>K48/22 Ngô Sĩ Liên, Hòa Khánh Bắc, Liên Chiểu, Đà Nẵng</t>
  </si>
  <si>
    <t>hnmthi@ued.udn.vn</t>
  </si>
  <si>
    <t>Quản lý Thư viện</t>
  </si>
  <si>
    <t>Tổ trưởng Tổ Thư viện (13/9/2012)</t>
  </si>
  <si>
    <t>Tiếng Nga</t>
  </si>
  <si>
    <t>Trường ĐH Sư phạm Qui nhơn</t>
  </si>
  <si>
    <t>Nguyễn Văn Thoan</t>
  </si>
  <si>
    <t>Tân Thủy - Lệ Thuỷ - Quảng Bình</t>
  </si>
  <si>
    <t>Tân Thủy, Lệ Thủy, Quảng Bình</t>
  </si>
  <si>
    <t>Thôn Tân Hòa, Tân Thủy, Lệ Thủy, Quảng Bình</t>
  </si>
  <si>
    <t>H4/18 Bùi Chát, Hòa Khánh Bắc, Liên Chiểu, Đà Nẵng</t>
  </si>
  <si>
    <t>nvthoan@ued.udn.vn</t>
  </si>
  <si>
    <t>Lê Trang Thư</t>
  </si>
  <si>
    <t>Tây Vinh - Tây Sơn - Bình Định</t>
  </si>
  <si>
    <t>Bình Định, An Nhơn, Bình Định</t>
  </si>
  <si>
    <t>150 Trưng Nữ Vương, Bình Hiên, Hải Châu, Đà Nẵng</t>
  </si>
  <si>
    <t>ltthu@ued.udn.vn</t>
  </si>
  <si>
    <t>Y tế đơn vị</t>
  </si>
  <si>
    <t>VI</t>
  </si>
  <si>
    <t>Sức khỏe</t>
  </si>
  <si>
    <t>Điều dưỡng</t>
  </si>
  <si>
    <t>Y sỹ</t>
  </si>
  <si>
    <t>Liên thông</t>
  </si>
  <si>
    <t>Trường Đại học Đông Đô</t>
  </si>
  <si>
    <t>Viên chức loại B</t>
  </si>
  <si>
    <t>2.86</t>
  </si>
  <si>
    <t>Lê Trang Tin</t>
  </si>
  <si>
    <t>Thị trấn Bình Định, An Nhơn, Bình Định</t>
  </si>
  <si>
    <t>157/16 Nguyễn Văn Cừ, Hòa Hiệp Bắc, Liên Chiểu, Đà Nẵng</t>
  </si>
  <si>
    <t>lttin@ued.udn.vn</t>
  </si>
  <si>
    <t>Trường Đại học Kiến trúc Đà Nẵng</t>
  </si>
  <si>
    <t>Nguyễn Thị Vân</t>
  </si>
  <si>
    <t>Tam Thuận, Thanh Khê, Đà Nẵng</t>
  </si>
  <si>
    <t>Tổ 79, Chơn Tâm 2, Hòa Khánh Nam, Liên Chiểu, Đà Nẵng</t>
  </si>
  <si>
    <t>11 Đà Sơn, Hòa Khánh Nam, Liên Chiểu, Đà Nẵng</t>
  </si>
  <si>
    <t>ntvan@ued.udn.vn</t>
  </si>
  <si>
    <t>Nhân viên</t>
  </si>
  <si>
    <t>Cao đẳng</t>
  </si>
  <si>
    <t>Sư phạm Mầm non</t>
  </si>
  <si>
    <t>Nhân viên văn thư</t>
  </si>
  <si>
    <t>2.25</t>
  </si>
  <si>
    <t>Nguyễn Khánh Vy</t>
  </si>
  <si>
    <t>1/18/2022</t>
  </si>
  <si>
    <t>- -</t>
  </si>
  <si>
    <t>Hòa Cường, Đà Nẵng</t>
  </si>
  <si>
    <t>K40/14 Nguyễn Thành Hãn, Hòa Cường, Đà Nẵng</t>
  </si>
  <si>
    <t>nkvy@ued.udn.vn</t>
  </si>
  <si>
    <t>HĐ dưới 1 năm (Tập sự)</t>
  </si>
  <si>
    <t>Dịch vụ xã hội</t>
  </si>
  <si>
    <t>Quản trị và kinh doanh quốc tế</t>
  </si>
  <si>
    <t>Tin học cơ bản</t>
  </si>
  <si>
    <t>Điện Thọ - Điện Bàn - Quảng Nam</t>
  </si>
  <si>
    <t>Điện Bàn, Quảng Nam</t>
  </si>
  <si>
    <t>Tổ 10, Hòa Khánh Bắc, Liên Chiểu, Đà Nẵng</t>
  </si>
  <si>
    <t>90 Đoàn Văn Cừ, Hòa Minh, Liên Chiểu, Đà Nẵng</t>
  </si>
  <si>
    <t>pqnanh@ued.udn.vn</t>
  </si>
  <si>
    <t>Toán và thống kê</t>
  </si>
  <si>
    <t>Phương pháp Toán Sơ cấp</t>
  </si>
  <si>
    <t>Phan Quang Như Anh</t>
  </si>
  <si>
    <t>Bình Định, Thăng Bình - - Quảng Nam</t>
  </si>
  <si>
    <t>Bình Định, Thăng Bình, Quảng Nam</t>
  </si>
  <si>
    <t>K99/70 Thái Thị Bôi, Chính Gián, Thanh Khê, Đà Nẵng</t>
  </si>
  <si>
    <t>ntnanh@ued.udn.vn</t>
  </si>
  <si>
    <t>Phó Trưởng phòng Đào tạo</t>
  </si>
  <si>
    <t>8/17/2006</t>
  </si>
  <si>
    <t>Khoa học Máy tính</t>
  </si>
  <si>
    <t>Đoàn Duy Bình</t>
  </si>
  <si>
    <t>Triệu Long, Triệu Phong - - Quảng trị</t>
  </si>
  <si>
    <t>Liên Trạch, Bố Trạch, Quảng Bình</t>
  </si>
  <si>
    <t>106/4 Đinh Tiên Hoàng, Tam Thuận, Thanh Khê, Đà Nẵng</t>
  </si>
  <si>
    <t>ddbinh@ued.udn.vn</t>
  </si>
  <si>
    <t>Trưởng bộ môn</t>
  </si>
  <si>
    <t>Lê Văn Dũng</t>
  </si>
  <si>
    <t>Cẩm Hưng, Cẩm Xuyên - - Hà Tĩnh</t>
  </si>
  <si>
    <t>Cẩm Hưng, Cẩm Xuyên, Hà Tĩnh</t>
  </si>
  <si>
    <t>60 Chơn Tâm 2, Hòa Khánh Nam, Liên Chiểu, Đà Nẵng</t>
  </si>
  <si>
    <t>lvdung@ued.udn.vn</t>
  </si>
  <si>
    <t>Trưởng Bộ môn</t>
  </si>
  <si>
    <t>9/22/2004</t>
  </si>
  <si>
    <t>Toán học (Lý thuyết xác suất và thống kê toán học)</t>
  </si>
  <si>
    <t>Trường Đại học Khoa học Tự nhiên - Đại học Quốc gia Hà Nội</t>
  </si>
  <si>
    <t>8/25/2023</t>
  </si>
  <si>
    <t>- Nông Cống - Thanh hoá</t>
  </si>
  <si>
    <t>Phổ Cường, Đức Phổ, Quảng Ngãi</t>
  </si>
  <si>
    <t>Phường Quảng Phú, thành phố Quảng Ngãi, tỉnh Quảng Ngãi</t>
  </si>
  <si>
    <t>Số nhà 46 Nguyễn Khuyến, phường Hòa Khánh, Đà Nẵng</t>
  </si>
  <si>
    <t>ndduong@ued.udn.vn</t>
  </si>
  <si>
    <t>Toán học (Đại số và Lý thuyết số)</t>
  </si>
  <si>
    <t>Viện Toán học</t>
  </si>
  <si>
    <t>Nguyễn Đại Dương</t>
  </si>
  <si>
    <t>Phú Nhiêu, Tây Hòa - - Phú Yên</t>
  </si>
  <si>
    <t>Phú Nhiêu, Tây Hòa, Phú Yên</t>
  </si>
  <si>
    <t>Tổ 19, Hòa Thuận Đông, Hải Châu, Đà Nẵng</t>
  </si>
  <si>
    <t>Căn hộ 514 chung cư Hòa Thuận, Hòa Thuận Đông, Hải Châu, Đà Nẵng</t>
  </si>
  <si>
    <t>nttduong@ued.udn.vn</t>
  </si>
  <si>
    <t>Toán học</t>
  </si>
  <si>
    <t>Đại học Tổng hợp Quốc gia Voronezh</t>
  </si>
  <si>
    <t>Nguyễn Hoàng Hải</t>
  </si>
  <si>
    <t>D2504270.100115</t>
  </si>
  <si>
    <t>Kiến Giang - Lệ Thuỷ - Quảng Bình</t>
  </si>
  <si>
    <t>Thanh Bình, Hải Châu, Đà Nẵng</t>
  </si>
  <si>
    <t>61 Trần Tấn, Hòa Hiệp Nam, Liên Chiểu, Đà Nẵng</t>
  </si>
  <si>
    <t>28 Nguyễn Khắc Nhu, Hòa Minh, Liên Chiểu, Đà Nẵng</t>
  </si>
  <si>
    <t>nhhai@vku.udn.vn</t>
  </si>
  <si>
    <t>Phạm Dương Thu Hằng</t>
  </si>
  <si>
    <t>D2504270.000401</t>
  </si>
  <si>
    <t>Sơn Giang, Hương Sơn - - Hà Tĩnh</t>
  </si>
  <si>
    <t>58/28 Ngô Sĩ Liên, Hòa Khánh Bắc, Liên Chiểu, Đà Nẵng</t>
  </si>
  <si>
    <t>pdthang@ued.udn.vn</t>
  </si>
  <si>
    <t>Trường Đại học SƯ phạm</t>
  </si>
  <si>
    <t>Phó Giám đốc Trung tâm Tin học (27/12/2021)</t>
  </si>
  <si>
    <t>Khoa học giáo dục</t>
  </si>
  <si>
    <t>D2504200.210106</t>
  </si>
  <si>
    <t>9/26/2022</t>
  </si>
  <si>
    <t>Bùi Xá - Đức Thọ - Hà Tĩnh</t>
  </si>
  <si>
    <t>Bùi Xá, Đức Thọ, Hà Tĩnh</t>
  </si>
  <si>
    <t>TDP9, EaTam, TP. Buôn Ma Thuột, Đăk Lăk</t>
  </si>
  <si>
    <t>310 Trần Nguyên Đán, Hòa Minh, Liên Chiểu, Đà Nẵng</t>
  </si>
  <si>
    <t>nthung@ued.udn.vn</t>
  </si>
  <si>
    <t>Trường Đại học Vinh</t>
  </si>
  <si>
    <t>Nguyễn Thanh Hưng</t>
  </si>
  <si>
    <t>Gio Mai, Gio Linh - - Quảng trị</t>
  </si>
  <si>
    <t>Gio Mai, Gio Linh, Quảng Trị</t>
  </si>
  <si>
    <t>Tổ 45, Chính Gián, Thanh Khê, Đà Nẵng</t>
  </si>
  <si>
    <t>K142/39A Điện Biên Phủ, Thanh Khê, Đà Nẵng</t>
  </si>
  <si>
    <t>tvhung@ued.udn.vn</t>
  </si>
  <si>
    <t>Lý luận và Phương pháp dạy học Kỹ thuật</t>
  </si>
  <si>
    <t>Trường Đại học Bách Khoa Hà Nội</t>
  </si>
  <si>
    <t>Nghiệp vụ sư phạm</t>
  </si>
  <si>
    <t>Nguyễn Đình Lầu</t>
  </si>
  <si>
    <t>D2504270.201604</t>
  </si>
  <si>
    <t>Điện Thắng, Điện Bàn - Điện Bàn - Quảng Nam</t>
  </si>
  <si>
    <t>Điện Thắng, Điện Bàn, Quảng Nam</t>
  </si>
  <si>
    <t>Tổ 64, Hòa Khê, Thanh Khê, Đà Nẵng</t>
  </si>
  <si>
    <t>K94/53 Trần Xuân Lê, Hòa Khê, Thanh Khê, Đà Nẵng</t>
  </si>
  <si>
    <t>ndlau@ued.udn.vn</t>
  </si>
  <si>
    <t>Phó Trưởng Khoa</t>
  </si>
  <si>
    <t>8/19/2025</t>
  </si>
  <si>
    <t>3/30/2012</t>
  </si>
  <si>
    <t>Phan Trần Đức Minh</t>
  </si>
  <si>
    <t>D2504200.230101</t>
  </si>
  <si>
    <t>Bình Lãnh - Thăng Bình - Quảng Nam</t>
  </si>
  <si>
    <t>xã Cam Hiệp Bắc, huyện Cam Ranh, tỉnh Khánh Hòa</t>
  </si>
  <si>
    <t>Thôn Trung Hiệp 1, xã Cam Hiệp Bắc, Cam Lâm, Khánh Hòa</t>
  </si>
  <si>
    <t>38 Nguyễn Tường Phổ, Hòa Minh, Liên Chiểu, Đà Nẵng</t>
  </si>
  <si>
    <t>ptdminh@ued.udn.vn</t>
  </si>
  <si>
    <t>Cộng hòa Pháp</t>
  </si>
  <si>
    <t>Trường Đại học Toulon</t>
  </si>
  <si>
    <t>Phạm Quý Mười</t>
  </si>
  <si>
    <t>D2504200.000520</t>
  </si>
  <si>
    <t>Quảng Trung - Quảng Trạch - Quảng Bình</t>
  </si>
  <si>
    <t>Quảng Trung, Quảng Trạch, Quảng Bình</t>
  </si>
  <si>
    <t>175 Kỳ Đồng, Thanh Khê Đông, Thanh Khê, Đà Nẵng</t>
  </si>
  <si>
    <t>pqmuoi@ued.udn.vn</t>
  </si>
  <si>
    <t>Trưởng Khoa</t>
  </si>
  <si>
    <t>Trưởng phòng Khoa học và HTQT</t>
  </si>
  <si>
    <t>12/13/2008</t>
  </si>
  <si>
    <t>Bí thư chi bộ</t>
  </si>
  <si>
    <t>Cộng hòa LB Đức</t>
  </si>
  <si>
    <t>Trường Đại học Bremen</t>
  </si>
  <si>
    <t>Lê Văn Mỹ</t>
  </si>
  <si>
    <t>D2504200.000068</t>
  </si>
  <si>
    <t>An Hải Bắc, Sơn Trà - - Đà Nẵng</t>
  </si>
  <si>
    <t>An Hải Bắc, Sơn Trà, Đà Nẵng</t>
  </si>
  <si>
    <t>K231/H07/36 Nguyễn Công Trứ, An Hải Bắc, Sơn Trà, Đà Nẵng</t>
  </si>
  <si>
    <t>lvmy@ued.udn.vn</t>
  </si>
  <si>
    <t>Nguyễn Thành Chung</t>
  </si>
  <si>
    <t>D2504200.250201</t>
  </si>
  <si>
    <t>Hưng lộc - Tp Vinh - Nghệ An</t>
  </si>
  <si>
    <t>Diễn Châu, Nghệ An</t>
  </si>
  <si>
    <t>Tổ dân phố 2, phường Bắc Lý, thành phố Đồng Hới</t>
  </si>
  <si>
    <t>ntchung@ued.udn.vn</t>
  </si>
  <si>
    <t>Phạm Anh Phương</t>
  </si>
  <si>
    <t>D2504270.150001</t>
  </si>
  <si>
    <t>7/22/2022</t>
  </si>
  <si>
    <t>Thủy Dương, Hương Thủy - - Thừa Thiên - Huế</t>
  </si>
  <si>
    <t>Phú Hòa, Thành phố Huế, Thừa Thiên Huế</t>
  </si>
  <si>
    <t>466/1 Điện Biên Phủ, Thanh Lộc Đán, Thanh Khê, Đà Nẵng</t>
  </si>
  <si>
    <t>35 Nguyễn Sắc Kim, Hòa Xuân, Cẩm Lệ, Đà Nẵng</t>
  </si>
  <si>
    <t>paphuong@ued.udn.vn</t>
  </si>
  <si>
    <t>Viện Văn hóa - Thông tin</t>
  </si>
  <si>
    <t>Hoàng Nhật Quy</t>
  </si>
  <si>
    <t>D2504200.201602</t>
  </si>
  <si>
    <t>Thái Sơn, Đô Lương - Đô Lương - Nghệ An</t>
  </si>
  <si>
    <t>Thái Sơn, Đô Lương, Nghệ An</t>
  </si>
  <si>
    <t>Số 4 Trung Nghĩa 1, Hòa Minh, Liên Chiểu, Đà Nẵng</t>
  </si>
  <si>
    <t>hnquy@ued.udn.vn</t>
  </si>
  <si>
    <t>Trường THPT Phạm Phú Thứ</t>
  </si>
  <si>
    <t>4/15/2011</t>
  </si>
  <si>
    <t>Toán học (Toán Giải tích)</t>
  </si>
  <si>
    <t>Trương Công Quỳnh</t>
  </si>
  <si>
    <t>D2504200.070086</t>
  </si>
  <si>
    <t>Ly hôn</t>
  </si>
  <si>
    <t>Vinh Xuân, Phú Vang - - Thừa Thiên - Huế</t>
  </si>
  <si>
    <t>Vinh Xuân, Phú Vang, Thừa Thiên Huế</t>
  </si>
  <si>
    <t>Tổ 79 Hòa Phú, Hòa Minh, Liên Chiểu, Đà Nẵng</t>
  </si>
  <si>
    <t>tcquynh@ued.udn.vn</t>
  </si>
  <si>
    <t>Phó Trưởng phòng Khoa học và Hợp tác Quốc tế</t>
  </si>
  <si>
    <t>Trần Nam Sinh</t>
  </si>
  <si>
    <t>D2504200.190102</t>
  </si>
  <si>
    <t>Gio Việt - Gio Linh - Quảng trị</t>
  </si>
  <si>
    <t>Gio Việt, Gio Linh, Quảng Trị</t>
  </si>
  <si>
    <t>18 Kỳ Đồng, P. Xuân Hà, Q. Thanh Khê, TP. Đà Nẵng</t>
  </si>
  <si>
    <t>tnsinh@ued.udn.vn</t>
  </si>
  <si>
    <t>Đại số và Lý thuyết số</t>
  </si>
  <si>
    <t>Trường Đại học Sư phạm - Đại học Huế</t>
  </si>
  <si>
    <t>Nguyễn Thị Sinh</t>
  </si>
  <si>
    <t>D2504200.000530</t>
  </si>
  <si>
    <t>Minh Sơn - Đô Lương - Nghệ An</t>
  </si>
  <si>
    <t>236 Bế Văn Đàn, Hòa Khê, Thanh Khê, Đà Nẵng</t>
  </si>
  <si>
    <t>ntsinh@ued.udn.vn</t>
  </si>
  <si>
    <t>4/25/2010</t>
  </si>
  <si>
    <t>Khoa học (Phương pháp Toán Sơ cấp)</t>
  </si>
  <si>
    <t>Nguyễn Duy Thái Sơn</t>
  </si>
  <si>
    <t>D2504200.250207</t>
  </si>
  <si>
    <t>Thủy Phương, Hương Thủy - Hương Thủy - Thừa Thiên - Huế</t>
  </si>
  <si>
    <t>Cát Trinh, Phù Cát, Bình Định</t>
  </si>
  <si>
    <t>33 Bùi Viện, Hòa Cường Nam, Hải Châu, Đà Nẵng</t>
  </si>
  <si>
    <t>ndtson@ued.udn.vn</t>
  </si>
  <si>
    <t>Đại học Tổng hợp Huế</t>
  </si>
  <si>
    <t>HĐ NĐ 111/2023/NĐ-CP</t>
  </si>
  <si>
    <t>Phó Trưởng khoa Toán (03/12/2014)</t>
  </si>
  <si>
    <t>Toán Lí (Phương trình Vi phân và Tích phân)</t>
  </si>
  <si>
    <t>Viện Toán học - Viện Hàn lâm Khoa học và Công nghệ Việt Nam</t>
  </si>
  <si>
    <t>6.44</t>
  </si>
  <si>
    <t>Trần Văn Sự</t>
  </si>
  <si>
    <t>D2504200.210201</t>
  </si>
  <si>
    <t>Bình Trung - Thăng Bình - Quảng Nam</t>
  </si>
  <si>
    <t>Bình Trung, Thăng Bình, Quảng Nam</t>
  </si>
  <si>
    <t>Khối phố 5, phường An Sơn, thành phố Tam Kỳ, tỉnh Quảng Nam</t>
  </si>
  <si>
    <t>425/05/17 Trần Cao Vân, thành phố Tam Kỳ, tỉnh Quảng Nam</t>
  </si>
  <si>
    <t>tvsu@ued.udn.vn</t>
  </si>
  <si>
    <t>Toán học (Toán ứng dụng)</t>
  </si>
  <si>
    <t>Học viện Khoa học và Công nghệ</t>
  </si>
  <si>
    <t>Nguyễn Thị Thu Sương</t>
  </si>
  <si>
    <t>D2504200.190104</t>
  </si>
  <si>
    <t>Hà Lam - Thăng Bình - Quảng Nam</t>
  </si>
  <si>
    <t>Hà Lam, Thăng Bình, Quảng Nam</t>
  </si>
  <si>
    <t>Lô 5, Phạm Viết Chánh, Hòa Thọ Đông, Cẩm Lệ, Đà Nẵng</t>
  </si>
  <si>
    <t>nttsuong@ued.udn.vn</t>
  </si>
  <si>
    <t>Xác suất thống kê</t>
  </si>
  <si>
    <t>Đại học Aix - Marseille</t>
  </si>
  <si>
    <t>Nguyễn Ngọc Thạch</t>
  </si>
  <si>
    <t>D2504200.230102</t>
  </si>
  <si>
    <t>Phú Mậu - Phú Vang - Thừa Thiên - Huế</t>
  </si>
  <si>
    <t>Bệnh viện Trung ương Huế, thành phố Huế</t>
  </si>
  <si>
    <t>457/3 Tôn Đức Thắng, Hòa Khánh Nam, Liên Chiểu, Đà Nẵng</t>
  </si>
  <si>
    <t>nnthach@ued.udn.vn</t>
  </si>
  <si>
    <t>Trường Đại học Quốc gia Chungnam</t>
  </si>
  <si>
    <t>Đào Thị Thanh Thanh</t>
  </si>
  <si>
    <t>D2504320.120103</t>
  </si>
  <si>
    <t>Sài Sơn, Quốc Oai - - Hà Nội</t>
  </si>
  <si>
    <t>61 Phạm Như Xương, Hòa Khánh Nam, Liên Chiểu, Đà Nẵng</t>
  </si>
  <si>
    <t>22 Chơn Tâm 5, Hòa Khánh Nam, Liên Chiểu, Đà Nẵng</t>
  </si>
  <si>
    <t>dttthanh@ued.udn.vn</t>
  </si>
  <si>
    <t>Ngôn ngữ Thái</t>
  </si>
  <si>
    <t>Nguyễn Hoàng Thành</t>
  </si>
  <si>
    <t>D2504200.050039</t>
  </si>
  <si>
    <t>Công an Đà Nẵng</t>
  </si>
  <si>
    <t>8/19/2022</t>
  </si>
  <si>
    <t>Thôn Trung Đạo, xã Trung Hưng - - Hưng Yên</t>
  </si>
  <si>
    <t>Thạc Gián, Thanh Khê, Đà Nẵng</t>
  </si>
  <si>
    <t>Tổ 83, Hòa Khê - Thanh Khê - Đà Nẵng</t>
  </si>
  <si>
    <t>nhthanh@ued.udn.vn</t>
  </si>
  <si>
    <t>Toán học tính toán</t>
  </si>
  <si>
    <t>Pháp</t>
  </si>
  <si>
    <t>Mai Hà Thi</t>
  </si>
  <si>
    <t>D2504270.210101</t>
  </si>
  <si>
    <t>Quế Phong - Quế Sơn - Quảng Nam</t>
  </si>
  <si>
    <t>Tổ 41, Hòa Phú, Hòa Minh, Liên Chiểu, Đà Nẵng</t>
  </si>
  <si>
    <t>151 Nguyễn Thị Thập, Hòa Minh, Liên Chiểu, Đà Nẵng</t>
  </si>
  <si>
    <t>mhthi@ued.udn.vn</t>
  </si>
  <si>
    <t>Hệ thống thông minh</t>
  </si>
  <si>
    <t>Trường Đại học Khoa học Ứng dụng Kiel, CHLB Đức</t>
  </si>
  <si>
    <t>Ngô Thị Bích Thủy</t>
  </si>
  <si>
    <t>D2504200.000531</t>
  </si>
  <si>
    <t>Hoà Châu, Hòa Vang - - Đà Nẵng</t>
  </si>
  <si>
    <t>Hòa Châu, Hòa Vang, Đà Nẵng</t>
  </si>
  <si>
    <t>Thôn Phong Nam, Hòa Châu, Hòa Vang, Đà Nẵng</t>
  </si>
  <si>
    <t>ntbthuy@ued.udn.vn</t>
  </si>
  <si>
    <t>Trường Đại học Sư phạm Đại học Huế</t>
  </si>
  <si>
    <t>6/17/2010</t>
  </si>
  <si>
    <t>Phương pháp dạy học Toán</t>
  </si>
  <si>
    <t>Trường ĐH Sư phạm (ĐH Huế)</t>
  </si>
  <si>
    <t>Chử Văn Tiệp</t>
  </si>
  <si>
    <t>D2504200.180701</t>
  </si>
  <si>
    <t>Cục Cảnh sát ĐKQL cư trú và ĐLQG về dân cư</t>
  </si>
  <si>
    <t>2/22/2018</t>
  </si>
  <si>
    <t>Vạn Phúc, Thanh Trì - - Hà Nội</t>
  </si>
  <si>
    <t>Vạn Phúc, Thanh Trì, Hà Nội</t>
  </si>
  <si>
    <t>62-B6 Quỳnh Lôi, Hai Bà Trưng, Hà Nội</t>
  </si>
  <si>
    <t>K34/19 Đoàn Phú Tứ, Hòa Khánh Bắc, Liên Chiểu, Đà Nẵng</t>
  </si>
  <si>
    <t>cvtiep@ued.udn.vn</t>
  </si>
  <si>
    <t>SingaPore</t>
  </si>
  <si>
    <t>Singapore</t>
  </si>
  <si>
    <t>Vũ Thị Trà</t>
  </si>
  <si>
    <t>D2504270.150002</t>
  </si>
  <si>
    <t>ĐồngTỉnh, Thái Thụy - - Thái Bình</t>
  </si>
  <si>
    <t>Mai Lâm, Đông Anh, Hà Nội</t>
  </si>
  <si>
    <t>118-B1, Thanh Xuân Bắc, Thanh Xuân, Hà Nội</t>
  </si>
  <si>
    <t>46 Phạm Như Xương, Hoà Khánh Nam, Liên Chiểu, Đà Nẵng</t>
  </si>
  <si>
    <t>vttra@ued.udn.vn</t>
  </si>
  <si>
    <t>Khoa học Máy tính và Kỹ thuật</t>
  </si>
  <si>
    <t>CH Zech</t>
  </si>
  <si>
    <t>Cộng hòa Séc</t>
  </si>
  <si>
    <t>Nguyễn Lê Trâm</t>
  </si>
  <si>
    <t>D2504200.190201</t>
  </si>
  <si>
    <t>3/23/2024</t>
  </si>
  <si>
    <t>Vĩnh Hòa - Vĩnh Linh - Quảng trị</t>
  </si>
  <si>
    <t>Đăk Glây, Gia Lai, Kon Tum</t>
  </si>
  <si>
    <t>129/82 Phạm Như Xương, Hoà Khánh Nam, Liên Chiểu</t>
  </si>
  <si>
    <t>nltram@ued.udn.vn</t>
  </si>
  <si>
    <t>8/22/2011</t>
  </si>
  <si>
    <t>Đài Loan</t>
  </si>
  <si>
    <t>Trường Đại học Sư phạm Quốc lập Đài Loan</t>
  </si>
  <si>
    <t>Lê Hải Trung</t>
  </si>
  <si>
    <t>D2504200.100018</t>
  </si>
  <si>
    <t>Minh Bảo - - Yên Bái</t>
  </si>
  <si>
    <t>Bệnh viện Yên Bái, TP. Yên Bái, tỉnh Yên Bái</t>
  </si>
  <si>
    <t>P411, 598 Hoàng Diệu, Hòa Thuận Đông, Hải Châu, Đà Nẵng</t>
  </si>
  <si>
    <t>lhtrung@ued.udn.vn</t>
  </si>
  <si>
    <t>Phó Trưởng khoa Toán học (03/12/2014)</t>
  </si>
  <si>
    <t>Phó Bí thư chi bộ</t>
  </si>
  <si>
    <t>Toán học mô hình</t>
  </si>
  <si>
    <t>Tôn Thất Tú</t>
  </si>
  <si>
    <t>D2504270.211096</t>
  </si>
  <si>
    <t>Điện Trung, Điện Bàn - - Quảng Nam</t>
  </si>
  <si>
    <t>Điện Trung, Điện Bản, Quảng Nam</t>
  </si>
  <si>
    <t>457/51 Tôn Đức Thắng, Hòa Khánh Nam, Liên Chiểu, Đà Nẵng</t>
  </si>
  <si>
    <t>hntu@ued.udn.vn</t>
  </si>
  <si>
    <t>6/24/2011</t>
  </si>
  <si>
    <t>Trường ĐH Bách khoa Hà nội</t>
  </si>
  <si>
    <t>Hồ Ngọc Tú</t>
  </si>
  <si>
    <t>D2504200.090085</t>
  </si>
  <si>
    <t>Thuỷ Xuân - - Thừa Thiên - Huế</t>
  </si>
  <si>
    <t>Khu vực III, TP. Huế, Thừa Thiên - Huế</t>
  </si>
  <si>
    <t>Khuê Mỹ, Ngũ Hành Sơn, Đà Nẵng</t>
  </si>
  <si>
    <t>tttu@ued.udn.vn</t>
  </si>
  <si>
    <t>Lý thuyết xác suất và thống kê</t>
  </si>
  <si>
    <t>Belarut</t>
  </si>
  <si>
    <t>Trường Đại học Tổng hợp Belarut</t>
  </si>
  <si>
    <t>Phan Anh Tuấn</t>
  </si>
  <si>
    <t>D2504200.080100</t>
  </si>
  <si>
    <t>Điện Quang - - Quảng Nam</t>
  </si>
  <si>
    <t>Bệnh viện Đa khoa, Đà Nẵng</t>
  </si>
  <si>
    <t>K334/25 Đống Đa, Hải Châu, Đà Nẵng</t>
  </si>
  <si>
    <t>patuan@ued.udn.vn</t>
  </si>
  <si>
    <t>Khoa Toán ĐHSP</t>
  </si>
  <si>
    <t>Cán bộ giảng dạy</t>
  </si>
  <si>
    <t>Toán học lý thuyết</t>
  </si>
  <si>
    <t>Mỹ</t>
  </si>
  <si>
    <t>Lương Quốc Tuyển</t>
  </si>
  <si>
    <t>D2504200.070087</t>
  </si>
  <si>
    <t>Tràng Sơn, Đô Lương - - Nghệ An</t>
  </si>
  <si>
    <t>Tràng Sơn, Đô Lương, Nghệ An</t>
  </si>
  <si>
    <t>Xóm 2, Tràng Sơn, Đô Lương, Nghệ An</t>
  </si>
  <si>
    <t>7/52 Nhơn Hòa 6, Hòa An, Cẩm Lệ, Đà Nẵng</t>
  </si>
  <si>
    <t>lqtuyen@ued.udn.vn</t>
  </si>
  <si>
    <t>Trưởng khoa Toán học</t>
  </si>
  <si>
    <t>Đại học Vinh</t>
  </si>
  <si>
    <t>Đặng Hùng Vĩ</t>
  </si>
  <si>
    <t>D2504020.000533</t>
  </si>
  <si>
    <t>Hoà Tiến, Hòa Vang - - Đà Nẵng</t>
  </si>
  <si>
    <t>Hòa Tiến, Hòa Vang, Đà Nẵng</t>
  </si>
  <si>
    <t>K52/18 Đinh Tiên Hoàng, Thanh Bình, Hải Châu, Đà Nẵng</t>
  </si>
  <si>
    <t>dhvi@ued.udn.vn</t>
  </si>
  <si>
    <t>Cán bộ kỹ thuật</t>
  </si>
  <si>
    <t>11/15/2012</t>
  </si>
  <si>
    <t>Nguyễn Trần Quốc Vinh</t>
  </si>
  <si>
    <t>D2503260.070011</t>
  </si>
  <si>
    <t>Yến Nê 2, Hòa Tiến, Hòa Vang, Đà Nẵng</t>
  </si>
  <si>
    <t>ntqvinh@ued.udn.vn</t>
  </si>
  <si>
    <t>ĐHSP</t>
  </si>
  <si>
    <t>Phó Trưởng phòng KH, SĐH&amp;HTQT ĐHKT</t>
  </si>
  <si>
    <t>Hệ thống điều khiển tự động hóa vi tính và Công nghệ thông tin cấp tiến</t>
  </si>
  <si>
    <t>Ukraina</t>
  </si>
  <si>
    <t>D2504200.070090</t>
  </si>
  <si>
    <t>Việt Thống - Quế Võ - Bắc Ninh</t>
  </si>
  <si>
    <t>Bệnh xá B2 viện quân y 17, Đà Nẵng</t>
  </si>
  <si>
    <t>33 Thanh Lương 21, Tổ 77, Hòa Xuân, Cẩm Lệ, Đà Nẵng</t>
  </si>
  <si>
    <t>nthyen@ued.udn.vn</t>
  </si>
  <si>
    <t>Lê Thị Tuyết Anh</t>
  </si>
  <si>
    <t>D2504220.060034</t>
  </si>
  <si>
    <t>Thọ Thế, Triệu Sơn - - Thanh hoá</t>
  </si>
  <si>
    <t>Thọ Thế, Triệu Sơn, Thanh Hóa</t>
  </si>
  <si>
    <t>Tổ 8, Hòa Khánh Bắc, Liên Chiểu, Đà Nẵng</t>
  </si>
  <si>
    <t>62/03 Đồng Kè, Hòa Khánh Bắc, Liên Chiểu, Đà Nẵng</t>
  </si>
  <si>
    <t>lttanh@ued.udn.vn</t>
  </si>
  <si>
    <t>Giảng viên cơ hữu</t>
  </si>
  <si>
    <t>HD thí nghiệm/thực hành</t>
  </si>
  <si>
    <t>Nguyễn Thị Lan Anh</t>
  </si>
  <si>
    <t>D2504220.000532</t>
  </si>
  <si>
    <t>Đại Lãnh, Đại Lộc - - Quảng Nam</t>
  </si>
  <si>
    <t>147/7 Nguyễn Tri Phương, Vĩnh Trung, Thanh Khê, Đà Nẵng</t>
  </si>
  <si>
    <t>ntlanh@ued.udn.vn</t>
  </si>
  <si>
    <t>Trường Đại học Sư phạm Huế</t>
  </si>
  <si>
    <t>Hóa phân tích</t>
  </si>
  <si>
    <t>12/26/2024</t>
  </si>
  <si>
    <t>Bình Phục, Thăng Bình - - Quảng Nam</t>
  </si>
  <si>
    <t>Bình Phục, Thăng Bình, Quảng Nam</t>
  </si>
  <si>
    <t>196/4 Nguyễn Phước Nguyên, An Khê, Thanh Khê, Đà Nẵng</t>
  </si>
  <si>
    <t>mvbay@ued.udn.vn</t>
  </si>
  <si>
    <t>Hóa lý thuyết và Hóa lý</t>
  </si>
  <si>
    <t>D2501530.000218</t>
  </si>
  <si>
    <t>Đức Tân, Mộ Đức - - Quảng Ngãi</t>
  </si>
  <si>
    <t>Hoàn Kiếm, Hà Nội</t>
  </si>
  <si>
    <t>29 Lý Tự Trọng, Thạch Thang, Hải Châu, Đà Nẵng</t>
  </si>
  <si>
    <t>132/12 Lý Tự Trọng, Thuận Phước, Hải Châu, Đà Nẵng</t>
  </si>
  <si>
    <t>ttnbich@ued.udn.vn</t>
  </si>
  <si>
    <t>Trung tâm Thí nghiệm Tổng hợp</t>
  </si>
  <si>
    <t>Công nghệ thực phẩm</t>
  </si>
  <si>
    <t>Ngô Thị Mỹ Bình</t>
  </si>
  <si>
    <t>D2504220.000516</t>
  </si>
  <si>
    <t>Vạn Ninh, Quảng Ninh - - Quảng Bình</t>
  </si>
  <si>
    <t>Đại Thịnh, Mê Linh, Hà Nội</t>
  </si>
  <si>
    <t>K218/H6/2 Hoàng Văn Thái, Hòa Khánh Nam, Liên Chiểu, Đà Nẵng</t>
  </si>
  <si>
    <t>Lô 17 Đông Lợi 4, An Khê, Thanh Khê, Đà Nẵng</t>
  </si>
  <si>
    <t>ntmbinh@ued.udn.vn</t>
  </si>
  <si>
    <t>6/26/2009</t>
  </si>
  <si>
    <t>Hóa Vô cơ</t>
  </si>
  <si>
    <t>Bùi Ngọc Phương Châu</t>
  </si>
  <si>
    <t>D2504220.211080</t>
  </si>
  <si>
    <t>Cáu Nhi, Hải Lăng - - Quảng trị</t>
  </si>
  <si>
    <t>Thừa Thiên Huế</t>
  </si>
  <si>
    <t>bnpchau@ued.udn.vn</t>
  </si>
  <si>
    <t>Nguyễn Bá Vũ Chính</t>
  </si>
  <si>
    <t>D2504210.080101</t>
  </si>
  <si>
    <t>12/21/2022</t>
  </si>
  <si>
    <t>Điện Thắng - Điện Bàn - Quảng Nam</t>
  </si>
  <si>
    <t>Thanh Quýt, Điện Bàn Bắc, Đà Nẵng</t>
  </si>
  <si>
    <t>nbvchinh@ued.udn.vn</t>
  </si>
  <si>
    <t>Kỹ thuật an toàn hệ thống hạt nhân</t>
  </si>
  <si>
    <t>Nhật</t>
  </si>
  <si>
    <t>7/21/2022</t>
  </si>
  <si>
    <t>Hoà Thọ - - Đà Nẵng</t>
  </si>
  <si>
    <t>Hòa Thọ, Hòa Vang, Đà Nẵng</t>
  </si>
  <si>
    <t>Tổ 12, Hoà Thọ Tây, Cẩm lệ, Đà Nẵng</t>
  </si>
  <si>
    <t>ndchuong@ued.udn.vn</t>
  </si>
  <si>
    <t>Công nghệ hóa học</t>
  </si>
  <si>
    <t>Trường ĐH Chonbuk</t>
  </si>
  <si>
    <t>Đào Hùng Cường</t>
  </si>
  <si>
    <t>Giáo sư</t>
  </si>
  <si>
    <t>Nguyễn Văn Din</t>
  </si>
  <si>
    <t>D2504220.211099</t>
  </si>
  <si>
    <t>- Ngọc Lạc -</t>
  </si>
  <si>
    <t>k52/6 Bắc Đẩu, Hải Châu, Đà Nẵng</t>
  </si>
  <si>
    <t>nvdin@ued.udn.vn</t>
  </si>
  <si>
    <t>Trợ giảng</t>
  </si>
  <si>
    <t>4/17/2015</t>
  </si>
  <si>
    <t>Hóa học</t>
  </si>
  <si>
    <t>Đoàn Văn Dương</t>
  </si>
  <si>
    <t>D2504220.170310</t>
  </si>
  <si>
    <t>Phú An - - Thừa Thiên - Huế</t>
  </si>
  <si>
    <t>Phú An, Phú Vang, Thừa Thiên Huế</t>
  </si>
  <si>
    <t>Tổ 4A, Mân Thái, Sơn Trà, Đà Nẵng</t>
  </si>
  <si>
    <t>K142/42 Lê Văn Thứ, Sơn Trà, Đà Nẵng</t>
  </si>
  <si>
    <t>dvduong@ued.udn.vn</t>
  </si>
  <si>
    <t>Hóa vô cơ</t>
  </si>
  <si>
    <t>9/16/2024</t>
  </si>
  <si>
    <t>Đông Xá, Đông Hưng - - Thái Bình</t>
  </si>
  <si>
    <t>Đông Xá, Đông Hưng, Thái Bình</t>
  </si>
  <si>
    <t>P. 506, chung cư Hòa Thuận, Hòa Thuận Đông, Hải Châu, Đà Nẵng</t>
  </si>
  <si>
    <t>vtduyen@ued.udn.vn</t>
  </si>
  <si>
    <t>Trịnh Ngọc Đạt</t>
  </si>
  <si>
    <t>D2504210.130126</t>
  </si>
  <si>
    <t>Tổ 68, Chơn Tâm 2, Hòa Khánh Nam, Liên Chiểu, Đà Nẵng</t>
  </si>
  <si>
    <t>K419/4 Tôn Đức Thắng, Hòa Khánh Nam, Liên Chiểu, Đà Nẵng</t>
  </si>
  <si>
    <t>tndat@ued.udn.vn</t>
  </si>
  <si>
    <t>Kỹ thuật điện tử</t>
  </si>
  <si>
    <t>Sử dụng mạng</t>
  </si>
  <si>
    <t>Nguyễn Thị Mỹ Đức</t>
  </si>
  <si>
    <t>D2504210.070080</t>
  </si>
  <si>
    <t>Phú Lễ, Quảng Điền - - Thừa Thiên - Huế</t>
  </si>
  <si>
    <t>K14/5 Đinh Tiên Hoàng, Thanh Bình, Hải Châu, Đà Nẵng</t>
  </si>
  <si>
    <t>ntmduc@ued.udn.vn</t>
  </si>
  <si>
    <t>Vật lý chất rắn</t>
  </si>
  <si>
    <t>Phùng Việt Hải</t>
  </si>
  <si>
    <t>D2504220.000518</t>
  </si>
  <si>
    <t>Điện Thắng, Điện Bàn - - Quảng Nam</t>
  </si>
  <si>
    <t>lthai@ued.udn.vn</t>
  </si>
  <si>
    <t>Trưởng khoa Hóa học</t>
  </si>
  <si>
    <t>Điện hóa</t>
  </si>
  <si>
    <t>Viện Hóa học</t>
  </si>
  <si>
    <t>Lê Tự Hải</t>
  </si>
  <si>
    <t>D2504210.201510</t>
  </si>
  <si>
    <t>3/23/2022</t>
  </si>
  <si>
    <t>An Ninh, Quỳnh Phụ - - Thái Bình</t>
  </si>
  <si>
    <t>An Ninh, Quỳnh Phụ, Thái Bình</t>
  </si>
  <si>
    <t>52/17 Hồ Tùng Mậu, Tân Tiến, Buôn Ma Thuột, Đăk Lăk</t>
  </si>
  <si>
    <t>19/4 Trường Sơn, Hòa Thọ Tây, Cẩm Lệ, Đà Nẵng</t>
  </si>
  <si>
    <t>pvhai@ued.udn.vn</t>
  </si>
  <si>
    <t>6/24/2010</t>
  </si>
  <si>
    <t>Lý luận và phương pháp dạy học bộ môn Vật lý</t>
  </si>
  <si>
    <t>Trường ĐH Sư phạm Hà nội</t>
  </si>
  <si>
    <t>Hồ Khắc Hiếu</t>
  </si>
  <si>
    <t>D2504210.250213</t>
  </si>
  <si>
    <t>Bộ Công an</t>
  </si>
  <si>
    <t>10/14/2024</t>
  </si>
  <si>
    <t>Cửa Việt - - Quảng trị</t>
  </si>
  <si>
    <t>Cửa Việt - Quảng Trị</t>
  </si>
  <si>
    <t>Hòa Xuân - Đà Nẵng</t>
  </si>
  <si>
    <t>hkhieu@ued.udn.vn</t>
  </si>
  <si>
    <t>Lê Thị Hóa</t>
  </si>
  <si>
    <t>D2504210.260104</t>
  </si>
  <si>
    <t>2/19/2022</t>
  </si>
  <si>
    <t>Triệu Bình - - Quảng trị</t>
  </si>
  <si>
    <t>Triệu Bình, Quảng Trị</t>
  </si>
  <si>
    <t>156 Trần Hưng Đạo, Điện Bàn Đông, Đà nẵng</t>
  </si>
  <si>
    <t>lthoa@ued.udn.vn</t>
  </si>
  <si>
    <t>Vật lý lý thuyết và vậy lý toán</t>
  </si>
  <si>
    <t>Nguyễn Thị Xuân Hoài</t>
  </si>
  <si>
    <t>D2504210.211070</t>
  </si>
  <si>
    <t>3/19/2015</t>
  </si>
  <si>
    <t>Nam Phước, Duy Xuyên - - Quảng Nam</t>
  </si>
  <si>
    <t>Duy Phước, Duy Xuyên, Quảng Nam</t>
  </si>
  <si>
    <t>Tổ 39C, Hòa Khánh Bắc, Liên Chiểu, Đà Nẵng</t>
  </si>
  <si>
    <t>30 Hòa Minh 14, Hòa Minh, Liên Chiểu, Đà Nẵng</t>
  </si>
  <si>
    <t>ntxhoai@ued.udn.vn</t>
  </si>
  <si>
    <t>Nguyễn Thị Thu Hồng</t>
  </si>
  <si>
    <t>D2504220.211092</t>
  </si>
  <si>
    <t>- Mỹ Tú -</t>
  </si>
  <si>
    <t>K46/5 Dũng sĩ Thanh Khê, Đà Nẵng</t>
  </si>
  <si>
    <t>Tổ 17, Thanh Khê Tây, Quận Thanh Khê, ĐN</t>
  </si>
  <si>
    <t>ntthong@ued.udn.vn</t>
  </si>
  <si>
    <t>Khoa học và Quản lý môi trường</t>
  </si>
  <si>
    <t>Trường Đại học Quốc gia Donghwa</t>
  </si>
  <si>
    <t>Trần Thị Hồng</t>
  </si>
  <si>
    <t>D2504210.070081</t>
  </si>
  <si>
    <t>Điện Nam Bắc, Điện Bản - - Quảng Nam</t>
  </si>
  <si>
    <t>Điện An, Điện Bàn, Quảng Nam</t>
  </si>
  <si>
    <t>Điện Nam Bắc, Điện Bàn, Quảng Nam</t>
  </si>
  <si>
    <t>454/20 Tôn Đức Thắng, Hòa Minh, Liên Chiểu, Đà Nẵng</t>
  </si>
  <si>
    <t>tthong@ued.udn.vn</t>
  </si>
  <si>
    <t>Khoa học Vật liệu</t>
  </si>
  <si>
    <t>Lê Thanh Huy</t>
  </si>
  <si>
    <t>D2504500.050014</t>
  </si>
  <si>
    <t>Thanh Khai, Thanh Chương - - Nghệ An</t>
  </si>
  <si>
    <t>Thuận Sơn, Đô Lương, Nghệ An</t>
  </si>
  <si>
    <t>K57/12 Trần Quốc Toản, Phước Ninh, Hải Châu, Đà Nẵng</t>
  </si>
  <si>
    <t>72 Lâm Hoành, Phước Mỹ, Sơn Trà, Đà Nẵng</t>
  </si>
  <si>
    <t>lthuy@ued.udn.vn</t>
  </si>
  <si>
    <t>Gia đình bệnh binh</t>
  </si>
  <si>
    <t>Trường Thực hành Sư phạm ĐHSP ĐN</t>
  </si>
  <si>
    <t>Giám đốc Trung tâm NC&amp;BD NG, CBQLGD (23/3/2020); Phó Trưởng phòng Đào tạo</t>
  </si>
  <si>
    <t>Đinh Thanh Khẩn</t>
  </si>
  <si>
    <t>D2504210.211094</t>
  </si>
  <si>
    <t>Tam Thành, Phú Ninh - - Quảng Nam</t>
  </si>
  <si>
    <t>Tam Thành, Phú Ninh, Quảng Nam</t>
  </si>
  <si>
    <t>Thôn 9, Tam Thành, Phú Ninh, Quảng Nam</t>
  </si>
  <si>
    <t>K500/37 Tôn Đản, Hòa Phát, Cẩm Lệ, Đà Nẵng</t>
  </si>
  <si>
    <t>dtkhan@ued.udn.vn</t>
  </si>
  <si>
    <t>12/16/2017</t>
  </si>
  <si>
    <t>Mai Thị Kiều Liên</t>
  </si>
  <si>
    <t>D2504210.090088</t>
  </si>
  <si>
    <t>Khuê Trung - Tx Sầm Sơn -</t>
  </si>
  <si>
    <t>Khuê Trung, Cẩm Lệ, Đà Nẵng</t>
  </si>
  <si>
    <t>Số 23 Cách Mạng Tháng Tám, Cẩm Lệ, Tp.ĐN</t>
  </si>
  <si>
    <t>Phòng 406, Chung cư Phong Bắc, Hòa Thọ, Đà Nẵng</t>
  </si>
  <si>
    <t>mtklien@ued.udn.vn</t>
  </si>
  <si>
    <t>Phan Thị Hà Linh</t>
  </si>
  <si>
    <t>D2504210.260105</t>
  </si>
  <si>
    <t>1/21/2025</t>
  </si>
  <si>
    <t>An Cựu - - Thừa Thiên - Huế</t>
  </si>
  <si>
    <t>An Cựu, Huế</t>
  </si>
  <si>
    <t>23 Phạm Song, Nam Nhà Trang, Khánh Hòa</t>
  </si>
  <si>
    <t>pthlinh@ued.udn.vn</t>
  </si>
  <si>
    <t>LL&amp;PPDH Vật lý</t>
  </si>
  <si>
    <t>Dụng Văn Lữ</t>
  </si>
  <si>
    <t>D2504210.211003</t>
  </si>
  <si>
    <t>Vinh Thanh, Phú Vang - - Thừa Thiên - Huế</t>
  </si>
  <si>
    <t>Vinh Thanh, Phú Vang, Thừa Thiên Huế</t>
  </si>
  <si>
    <t>K24/5 Thanh Sơn, Thanh Bình, Hải Châu, Đà Nẵng</t>
  </si>
  <si>
    <t>K323/12 Nguyễn Tri Phương, Hòa Thuận Nam, Hải Châu, Đà Nẵng</t>
  </si>
  <si>
    <t>dvlu@ued.udn.vn</t>
  </si>
  <si>
    <t>Vật lý lý thuyết</t>
  </si>
  <si>
    <t>Đoàn Thị Lưu Luyến</t>
  </si>
  <si>
    <t>D2504210.260102</t>
  </si>
  <si>
    <t>Hà Nha, Đà Nẵng</t>
  </si>
  <si>
    <t>Tổ 16, Cẩm Lệ, Đà Nẵng</t>
  </si>
  <si>
    <t>dtlluyen@ued.udn.vn</t>
  </si>
  <si>
    <t>Công nghệ kỹ thuật</t>
  </si>
  <si>
    <t>Kỹ thuật công nghệ tích hợp Nano</t>
  </si>
  <si>
    <t>Đại học Quốc gia JEONBUK</t>
  </si>
  <si>
    <t>Nguyễn Thị Hồng Mận</t>
  </si>
  <si>
    <t>D2504210.260103</t>
  </si>
  <si>
    <t>11/27/2023</t>
  </si>
  <si>
    <t>Quy Nhơn Đông - - Gia Lai</t>
  </si>
  <si>
    <t>Quy Nhơn Đông, Gia Lai</t>
  </si>
  <si>
    <t>Tổ 70, Quy Nhơn, Gia Lai</t>
  </si>
  <si>
    <t>nthman@ued.udn.vn</t>
  </si>
  <si>
    <t>Vật lý</t>
  </si>
  <si>
    <t>Đại học CHARLES</t>
  </si>
  <si>
    <t>Nguyễn Thị Thy Nga</t>
  </si>
  <si>
    <t>D2504220.211079</t>
  </si>
  <si>
    <t>K92/19 Phan Thanh, Thạc Gián, Thanh Khê, Đà Nẵng</t>
  </si>
  <si>
    <t>nttnga@ued.udn.vn</t>
  </si>
  <si>
    <t>2/14/2014</t>
  </si>
  <si>
    <t>Hóa lí thuyết và hóa lí (định hướng ứng dụng)</t>
  </si>
  <si>
    <t>Đặng Công Nghĩa</t>
  </si>
  <si>
    <t>D2504220.314251</t>
  </si>
  <si>
    <t>8/27/2022</t>
  </si>
  <si>
    <t>Hòa Phong - Hoà Vang - Đà Nẵng</t>
  </si>
  <si>
    <t>Bệnh viên ba</t>
  </si>
  <si>
    <t>K142/04 Nguyễn Duy Hiệu, An Hải Đông, Sơn Trà, Đà Nẵng</t>
  </si>
  <si>
    <t>36 Nghiêm Xuân Yêm, Khuê Mỹ, Ngũ hành Sơn, Đà Nẵng</t>
  </si>
  <si>
    <t>dcnghia@ued.udn.vn</t>
  </si>
  <si>
    <t>Khoa học kỹ thuật</t>
  </si>
  <si>
    <t>Trường Tổng hợp kỹ thuật quốc gia VOLGOGRAD</t>
  </si>
  <si>
    <t>Võ Thị Minh Ngọc</t>
  </si>
  <si>
    <t>D2504210.000090</t>
  </si>
  <si>
    <t>Điện Thọ, Điện Bàn - - Quảng Nam</t>
  </si>
  <si>
    <t>K32/1 Núi Thành, Hòa Thuận Đông, Hải Châu, Đà Nẵng</t>
  </si>
  <si>
    <t>K254/4 Hoàng Diệu, Nam Dương, Hải Châu, Đà Nẵng</t>
  </si>
  <si>
    <t>ntmngoc@ued.udn.vn</t>
  </si>
  <si>
    <t>Trưởng phòng Tổ chức - Hành chính, Ủy viên BTV Đảng ủy, Bí thư Chi bộ</t>
  </si>
  <si>
    <t>5/13/1998</t>
  </si>
  <si>
    <t>UV Thường vụ Đảng uỷ cơ sở</t>
  </si>
  <si>
    <t>Quang học</t>
  </si>
  <si>
    <t>Trường ĐH Khoa học (ĐH Huế)</t>
  </si>
  <si>
    <t>Nguyễn Thị Minh Ngọc</t>
  </si>
  <si>
    <t>D2504210.260106</t>
  </si>
  <si>
    <t>3/29/2021</t>
  </si>
  <si>
    <t>Lâm Phong - - Quảng Ngãi</t>
  </si>
  <si>
    <t>Lâm Phong, Quảng Ngãi</t>
  </si>
  <si>
    <t>62 Tăng Bạc Hổ, xã La Grai, Gia Lai</t>
  </si>
  <si>
    <t>vtmngoc@ued.udn.vn</t>
  </si>
  <si>
    <t>Võ Thắng Nguyên</t>
  </si>
  <si>
    <t>D2504220.070094</t>
  </si>
  <si>
    <t>6/27/2021</t>
  </si>
  <si>
    <t>58 Đào Duy Từ, Hội An, Quảng Nam</t>
  </si>
  <si>
    <t>ntnguyen@ued.udn.vn</t>
  </si>
  <si>
    <t>Phó Trưởng khoa Hóa học (03/12/2014)</t>
  </si>
  <si>
    <t>11/19/2017</t>
  </si>
  <si>
    <t>Vương quốc Bỉ</t>
  </si>
  <si>
    <t>Trường Đại học KULEUVEN</t>
  </si>
  <si>
    <t>Nguyễn Trần Nguyên</t>
  </si>
  <si>
    <t>D2504220.070037</t>
  </si>
  <si>
    <t>- - Đà Nẵng</t>
  </si>
  <si>
    <t>149/36 Lê Đình Lý, Bình Thuận, Hải Châu, Đà Nẵng</t>
  </si>
  <si>
    <t>vtnguyen@ued.udn.vn</t>
  </si>
  <si>
    <t>úc</t>
  </si>
  <si>
    <t>Lê Thị Minh Phương</t>
  </si>
  <si>
    <t>D2504210.130040</t>
  </si>
  <si>
    <t>Tổ 28, Hòa Thọ Đông, Cẩm Lệ, Đà Nẵng</t>
  </si>
  <si>
    <t>llmphuong@ued.udn.vn</t>
  </si>
  <si>
    <t>Trần Quỳnh</t>
  </si>
  <si>
    <t>D2504210.190203</t>
  </si>
  <si>
    <t>- Hoài Ân - Bình Định</t>
  </si>
  <si>
    <t>Tân An, Buôn Ma Thuột, Đăk Lăk</t>
  </si>
  <si>
    <t>Căn hộ 808, Tầng 8, Tòa nhà C2, KĐT mới An Vân Dương, TP. Huế, Thừa Thiên Huế</t>
  </si>
  <si>
    <t>233 Bùi Tấn Diên, Hòa Minh, Liên Chiểu, Đà Nẵng</t>
  </si>
  <si>
    <t>tquynh@ued.udn.vn</t>
  </si>
  <si>
    <t>LL$PPDH Bộ môn Vật lý</t>
  </si>
  <si>
    <t>Lê Văn Thanh Sơn</t>
  </si>
  <si>
    <t>D2504210.190107</t>
  </si>
  <si>
    <t>8/31/2021</t>
  </si>
  <si>
    <t>Đại Phong - Đại Lộc - Quảng Nam</t>
  </si>
  <si>
    <t>Đại Phong, Đại Lộc, Quảng Nam</t>
  </si>
  <si>
    <t>Phú Bình Đông, Đại Thắng, Đại Lộc, Quảng Nam</t>
  </si>
  <si>
    <t>K05/H01/10 Nam Cao, Liên Chiểu, Đà Nẵng</t>
  </si>
  <si>
    <t>truongsonk36@gmail.com</t>
  </si>
  <si>
    <t>Lê Vũ Trường Sơn</t>
  </si>
  <si>
    <t>D2504210.000518</t>
  </si>
  <si>
    <t>Vĩnh Ninh, thành phố Huế - - Thừa Thiên - Huế</t>
  </si>
  <si>
    <t>Phú Hậu, thành phố Huế, Thừa Thiên Huế</t>
  </si>
  <si>
    <t>06 Nguyễn Quang Bích, Hòa Cường Bắc, Hải Châu, Đà Nẵng</t>
  </si>
  <si>
    <t>lvtson@ued.udn.vn</t>
  </si>
  <si>
    <t>Đại học Khoa học Huế</t>
  </si>
  <si>
    <t>Đinh Văn Tạc</t>
  </si>
  <si>
    <t>D2504220.120013</t>
  </si>
  <si>
    <t>4/22/2021</t>
  </si>
  <si>
    <t>Giao Thịnh, Giao Thủy - - Nam Định</t>
  </si>
  <si>
    <t>Giao Thịnh, Giao Thủy, Nam Định</t>
  </si>
  <si>
    <t>598 Hoàng Diệu, Hòa Thuận Đông, Hải Châu, Đà Nẵng</t>
  </si>
  <si>
    <t>Chung cư Hòa Thuận, 598 Hoàng Diệu, Hòa Thuận Đông, Hải Châu, Đà Nẵng</t>
  </si>
  <si>
    <t>dvtac@ued.udn.vn</t>
  </si>
  <si>
    <t>Trưởng Bộ môn Hóa vô cơ và Hóa phân tích (ngày 06/5/2020 - hết ngày 05/5/2025)</t>
  </si>
  <si>
    <t>Nguyễn Bảo Hoàng Thanh</t>
  </si>
  <si>
    <t>D2504210.250101</t>
  </si>
  <si>
    <t>Hòa Nhơn, Hòa Vang - - Đà Nẵng</t>
  </si>
  <si>
    <t>Hòa Nhơn, Hoà Vang, Đà Nẵng</t>
  </si>
  <si>
    <t>19A Thanh Long, Thanh Bình, Hải Châu, Đà Nẵng</t>
  </si>
  <si>
    <t>thanhnbh@ued.udn.vn</t>
  </si>
  <si>
    <t>Trường Đại học Bách khoa ĐN</t>
  </si>
  <si>
    <t>Kéo dài thời gian công tác</t>
  </si>
  <si>
    <t>Phương pháp giảng dạy Vật lý</t>
  </si>
  <si>
    <t>Trường ĐH Vinh</t>
  </si>
  <si>
    <t>D2504210.130056</t>
  </si>
  <si>
    <t>Duy Phước, Duy Xuyên - - Quảng Nam</t>
  </si>
  <si>
    <t>Đội 6a, thôn Hòa Bình, Duy Phước, Duy Xuyên, Quảng Nam</t>
  </si>
  <si>
    <t>Đội 6, thôn Trung Đông, Duy Trung, Duy Xuyên, Quảng Nam</t>
  </si>
  <si>
    <t>ltpthao@ued.udn.vn</t>
  </si>
  <si>
    <t>Vật lý nguyên tử</t>
  </si>
  <si>
    <t>Phước Hưng - Tuy Phước - Bình Định</t>
  </si>
  <si>
    <t>Phước Hưng, Tuy Phước, Bình Định</t>
  </si>
  <si>
    <t>158 Thanh Miên, Bình Định, An Nhơn, Bình Định</t>
  </si>
  <si>
    <t>nmthong@ued.udn.vn</t>
  </si>
  <si>
    <t>Trưởng phòng (12/11/2020)</t>
  </si>
  <si>
    <t>Hóa lý thuyết và hóa lý</t>
  </si>
  <si>
    <t>Trường Đại học Khoa học - Đại học Huế</t>
  </si>
  <si>
    <t>Hoàng Đình Triển</t>
  </si>
  <si>
    <t>D2504210.128343</t>
  </si>
  <si>
    <t>3/25/2021</t>
  </si>
  <si>
    <t>Hồng Thuỷ, Lệ Thủy - - Quảng Bình</t>
  </si>
  <si>
    <t>Hồng Thủy, Lệ Thủy, Quảng Bình</t>
  </si>
  <si>
    <t>Phòng 407, Chung cư Hòa Thuận, 598 Hoàng Diệu, Hòa Thuận Đông, Hải Châu, Đà Nẵng</t>
  </si>
  <si>
    <t>hdtrien@ued.udn.vn</t>
  </si>
  <si>
    <t>Trường Xuân, Tam Kỳ - - Quảng Nam</t>
  </si>
  <si>
    <t>Trường Xuân, Tam Kỳ, Quảng Nam</t>
  </si>
  <si>
    <t>Khối phố 5, Trường Xuân, Tam Kỳ, Quảng Nam</t>
  </si>
  <si>
    <t>69 Phước Lý 11, Hòa Minh, Liên Chiểu, Đà Nẵng</t>
  </si>
  <si>
    <t>nqtuan@ued.udn.vn</t>
  </si>
  <si>
    <t>Trưởng phòng Phòng KH&amp;HTQT (23/3/2020), Phó Trưởng khoa (01/01/2016)</t>
  </si>
  <si>
    <t>7/25/2006</t>
  </si>
  <si>
    <t>Nguyễn Thị Tùng</t>
  </si>
  <si>
    <t>D2504020.072015</t>
  </si>
  <si>
    <t>5/31/2022</t>
  </si>
  <si>
    <t>Quảng Minh, Quảng Xương - - Thanh hoá</t>
  </si>
  <si>
    <t>Quảng Minh, Quảng Xương, Thanh Hóa</t>
  </si>
  <si>
    <t>100 Nguyễn Tri Phương, Chính Gián, Thanh Khê, Đà Nẵng</t>
  </si>
  <si>
    <t>14 Phần Lăng 19, Hòa Thuận Tây, Hải Châu, Đà Nẵng</t>
  </si>
  <si>
    <t>nttung@ued.udn.vn</t>
  </si>
  <si>
    <t>Công tác Đảng/Đoàn/CĐ</t>
  </si>
  <si>
    <t>6/18/2008</t>
  </si>
  <si>
    <t>Khoa học xã hội và hành vi</t>
  </si>
  <si>
    <t>Lịch sử Thế giới</t>
  </si>
  <si>
    <t>Đỗ Thị Thúy Vân</t>
  </si>
  <si>
    <t>D2504220.070038</t>
  </si>
  <si>
    <t>Nghĩa Thịnh, Nghĩa Hưng - - Nam Định</t>
  </si>
  <si>
    <t>Tân Chính, Thanh Khê, Đà Nẵng</t>
  </si>
  <si>
    <t>K217/12 Hải Phòng, Tân Chính, Thanh Khê, Đà Nẵng</t>
  </si>
  <si>
    <t>dttvan@ued.udn.vn</t>
  </si>
  <si>
    <t>Trưởng Bộ môn (15-03-2021)</t>
  </si>
  <si>
    <t>Trần Thị Hương Xuân</t>
  </si>
  <si>
    <t>D2504210.130078</t>
  </si>
  <si>
    <t>4/27/2021</t>
  </si>
  <si>
    <t>Mân Thái, Sơn Trà, Đà Nẵng</t>
  </si>
  <si>
    <t>K101/4 Võ Duy Ninh, Mân Thái, Sơn Trà, Đà Nẵng</t>
  </si>
  <si>
    <t>174 Lê Tấn Trung, Thọ Quang, Sơn Trà, Đà Nẵng</t>
  </si>
  <si>
    <t>tthxuan@ued.udn.vn</t>
  </si>
  <si>
    <t>Trường ĐH Sư phạm tp HCM</t>
  </si>
  <si>
    <t>Nguyễn Văn An</t>
  </si>
  <si>
    <t>D2504280.201505</t>
  </si>
  <si>
    <t>Hòa Tiến - Hòa Vang - Đà Nẵng</t>
  </si>
  <si>
    <t>nvan@ued.udn.vn</t>
  </si>
  <si>
    <t>Viễn thám</t>
  </si>
  <si>
    <t>Phùng Khánh Chuyên</t>
  </si>
  <si>
    <t>D2504230.000513</t>
  </si>
  <si>
    <t>Điện Ngọc, Điện Bàn - - Quảng Nam</t>
  </si>
  <si>
    <t>Điện Ngọc, Điện Bàn, Quảng Nam</t>
  </si>
  <si>
    <t>25A Yên Bái, Hải Châu 1, Hải Châu, Đà Nẵng</t>
  </si>
  <si>
    <t>22 Hoa Phượng 1, Sơn Trà, Đà Nẵng</t>
  </si>
  <si>
    <t>pkchuyen@ued.udn.vn</t>
  </si>
  <si>
    <t>9/28/2010</t>
  </si>
  <si>
    <t>Khoa học môi trường</t>
  </si>
  <si>
    <t>Đoạn Chí Cường</t>
  </si>
  <si>
    <t>D2504230.211002</t>
  </si>
  <si>
    <t>Triệu Độ - Tx Đông Hà -</t>
  </si>
  <si>
    <t>Triệu Độ, Triệu phong, Quảng Trị</t>
  </si>
  <si>
    <t>Triệu phpng, Quảng Trị</t>
  </si>
  <si>
    <t>dccuong@ued.udn.vn</t>
  </si>
  <si>
    <t>Công nghệ thực vật</t>
  </si>
  <si>
    <t>Trường Đại học Saga</t>
  </si>
  <si>
    <t>Trần Quang Dần</t>
  </si>
  <si>
    <t>D2502340.100111</t>
  </si>
  <si>
    <t>3/20/2023</t>
  </si>
  <si>
    <t>Quảng Công - -</t>
  </si>
  <si>
    <t>Quảng Công, Quảng Điền, Thừa Thiên Huế</t>
  </si>
  <si>
    <t>tqdan@ued.udn.vn</t>
  </si>
  <si>
    <t>Công nghệ sinh học</t>
  </si>
  <si>
    <t>Trường ĐH ...</t>
  </si>
  <si>
    <t>Nguyễn Thị Diệu</t>
  </si>
  <si>
    <t>D2504240.000130</t>
  </si>
  <si>
    <t>Duy Tân, Duy Xuyên - - Quảng Nam</t>
  </si>
  <si>
    <t>Duy Tân, Duy Xuyên, Quảng Nam</t>
  </si>
  <si>
    <t>06 Nguyễn Phước Thái, An Khê, Thanh Khê, Đà Nẵng</t>
  </si>
  <si>
    <t>ntdieu@ued.udn.vn</t>
  </si>
  <si>
    <t>Nguyễn Thị Bích Hằng</t>
  </si>
  <si>
    <t>D2504230.130015</t>
  </si>
  <si>
    <t>Đông Phú, Quế Sơn - - Quảng Nam</t>
  </si>
  <si>
    <t>Đông Phú, Quế Sơn, Quảng Nam</t>
  </si>
  <si>
    <t>26 Hòa Nam 1, Hòa Minh, Liên Chiểu, Đà Nẵng</t>
  </si>
  <si>
    <t>ntbhang@ued.udn.vn</t>
  </si>
  <si>
    <t>Phó Trưởng Bộ môn phụ trách (15/3/2021)</t>
  </si>
  <si>
    <t>Sản xuất và chế biến</t>
  </si>
  <si>
    <t>Công nghệ thực phẩm và đồ uống</t>
  </si>
  <si>
    <t>Tống Thị Hải Hạnh</t>
  </si>
  <si>
    <t>D2504230.260108</t>
  </si>
  <si>
    <t>Duy Tân - - Ninh Bình</t>
  </si>
  <si>
    <t>Duy Tân, Ninh Bình</t>
  </si>
  <si>
    <t>68 Phạm Đình Hổ, Thanh Khê, Đà Nẵng</t>
  </si>
  <si>
    <t>tthhanh@ued.udn.vn</t>
  </si>
  <si>
    <t>Tài nguyên thiên nhiên và phát triển bền vững</t>
  </si>
  <si>
    <t>Thụy Điển</t>
  </si>
  <si>
    <t>Trường Đại học UPPSALA</t>
  </si>
  <si>
    <t>Vũ Đức Hoàng</t>
  </si>
  <si>
    <t>D2504230.180602</t>
  </si>
  <si>
    <t>- - Nam Định</t>
  </si>
  <si>
    <t>Trạm Y tế Hòa Phát, Hòa Văng, Đà Nẵng</t>
  </si>
  <si>
    <t>311/8A Trường Chinh, An Khê, Thanh Khê, Đà Nẵng</t>
  </si>
  <si>
    <t>vdhoang@ued.udn.vn</t>
  </si>
  <si>
    <t>Nguyễn Hồ Lam</t>
  </si>
  <si>
    <t>D2504230.250214</t>
  </si>
  <si>
    <t>Đông Thành - - Nghệ An</t>
  </si>
  <si>
    <t>Đông Thành - nghệ An</t>
  </si>
  <si>
    <t>22 Thích Nữ Diệu Không, phường Thuận Hóa, thành phố Huế</t>
  </si>
  <si>
    <t>nhlam@ued.udn.vn</t>
  </si>
  <si>
    <t>5/19/2005</t>
  </si>
  <si>
    <t>Nông lâm nghiệp và thủy sản</t>
  </si>
  <si>
    <t>Khoa học Nông nghiệp</t>
  </si>
  <si>
    <t>6.56</t>
  </si>
  <si>
    <t>Đinh Trần Mỹ Linh</t>
  </si>
  <si>
    <t>D2504280.090074</t>
  </si>
  <si>
    <t>Hoà Phong, Hòa Vang - - Đà Nẵng</t>
  </si>
  <si>
    <t>85/9 Lạc Long Quân, Hòa Khánh Bắc, Liên Chiểu, Đà Nẵng</t>
  </si>
  <si>
    <t>dtmlinh@ued.udn.vn</t>
  </si>
  <si>
    <t>Sư phạm Tiếng Trung</t>
  </si>
  <si>
    <t>Trương Thị Thanh Mai</t>
  </si>
  <si>
    <t>D2504230.090089</t>
  </si>
  <si>
    <t>Thiệu Giao, Thiệu Hóa - - Thanh hoá</t>
  </si>
  <si>
    <t>Bắc Sơn, Sầm Sơn, Thanh Hóa</t>
  </si>
  <si>
    <t>50 Nguyễn Thị Thập, Thanh Khê Tây, Thanh Khê, Đà Nẵng</t>
  </si>
  <si>
    <t>ltmai_smt@ued.udn.vn</t>
  </si>
  <si>
    <t>Lê Thị Mai</t>
  </si>
  <si>
    <t>D2504230.000495</t>
  </si>
  <si>
    <t>6/13/2022</t>
  </si>
  <si>
    <t>Tam Thăng, Tam Kỳ - - Quảng Nam</t>
  </si>
  <si>
    <t>Bệnh viện đa khoa Tam Kỳ, Quảng Nam</t>
  </si>
  <si>
    <t>Số 8 Đầm Rong 1, Thuận Phước, Hải Châu, Đà Nẵng</t>
  </si>
  <si>
    <t>tttmai@ued.udn.vn</t>
  </si>
  <si>
    <t>Phó Trưởng khoa Sinh - Môi trường (12/12/2011)</t>
  </si>
  <si>
    <t>Lý luận và phương pháp dạy học bộ môn Sinh học</t>
  </si>
  <si>
    <t>5/13/2023</t>
  </si>
  <si>
    <t>Hưng Lợi, Hưng Nguyên - - Nghệ An</t>
  </si>
  <si>
    <t>Hưng Lợi, Hưng Nguyên, Nghệ An</t>
  </si>
  <si>
    <t>Tổ 30, Hòa Minh, Liên Chiểu, Đà Nẵng</t>
  </si>
  <si>
    <t>tdmau@ued.udn.vn</t>
  </si>
  <si>
    <t>Trưởng Bộ môn (477/QĐ-ĐHSP, 15/3/2021)</t>
  </si>
  <si>
    <t>Phạm Thị Mỹ</t>
  </si>
  <si>
    <t>D2504230.290814</t>
  </si>
  <si>
    <t>Thạch Long, Thạch Hà - - Hà Tĩnh</t>
  </si>
  <si>
    <t>Thạch Long, Thạch Hà, Hà Tĩnh</t>
  </si>
  <si>
    <t>Tổ 59, Hòa Minh, Liên Chiểu, Đà Nẵng</t>
  </si>
  <si>
    <t>ptmy@ued.udn.vn</t>
  </si>
  <si>
    <t>Trợ lý Khoa học, Sau đại học</t>
  </si>
  <si>
    <t>Nguyễn Thị Khánh Ngọc</t>
  </si>
  <si>
    <t>D2504230.260110</t>
  </si>
  <si>
    <t>Quảng Điền - - Thừa Thiên - Huế</t>
  </si>
  <si>
    <t>Quảng Điền, Huế</t>
  </si>
  <si>
    <t>79 Trần Quốc Toản, Phú Xuân, Huế</t>
  </si>
  <si>
    <t>ntkngoc@ued.udn.vn</t>
  </si>
  <si>
    <t>Khoa học, Nông nghiệp và sự sống</t>
  </si>
  <si>
    <t>Đại học OKAYAMA</t>
  </si>
  <si>
    <t>Lê Mỹ Tiểu Ngọc</t>
  </si>
  <si>
    <t>D2504230.260109</t>
  </si>
  <si>
    <t>6/13/2023</t>
  </si>
  <si>
    <t>Mỹ Thương - - Thừa Thiên - Huế</t>
  </si>
  <si>
    <t>Phường Mỹ Thượng - Huế</t>
  </si>
  <si>
    <t>lmtngoc@ued.udn.vn</t>
  </si>
  <si>
    <t>Vật Liệu hoạt tính sinh học</t>
  </si>
  <si>
    <t>Đại học JEONBUK, Hàn Quốc</t>
  </si>
  <si>
    <t>Nguyễn Thị Lan Phương</t>
  </si>
  <si>
    <t>D2504230.090092</t>
  </si>
  <si>
    <t>Công an Quảng Bình</t>
  </si>
  <si>
    <t>Quảng Lưu - Quảng Trạch - Quảng Bình</t>
  </si>
  <si>
    <t>Quảng Lưu, Quảng Trạch, Quảng Bình</t>
  </si>
  <si>
    <t>Tổ 11, Khu phố 5, Thị trấn Ba Đồn, Quảng Trạch, Quảng Bình</t>
  </si>
  <si>
    <t>ntlphuong@ued.udn.vn</t>
  </si>
  <si>
    <t>7/24/2022</t>
  </si>
  <si>
    <t>Đại Lộc - - Đà Nẵng</t>
  </si>
  <si>
    <t>xã Đại Lộc, thành phố Đà Nẵng</t>
  </si>
  <si>
    <t>Xã Đại Lộc, thành phố Đà Nẵng</t>
  </si>
  <si>
    <t>btnquynh@ued.udn.vn</t>
  </si>
  <si>
    <t>Khoa học sự sống</t>
  </si>
  <si>
    <t>Đại học SangMyung</t>
  </si>
  <si>
    <t>Trần Ngọc Sơn</t>
  </si>
  <si>
    <t>D2504230.070040</t>
  </si>
  <si>
    <t>10/28/2022</t>
  </si>
  <si>
    <t>Cam Thành, Cam Lộ - - Quảng trị</t>
  </si>
  <si>
    <t>Cam Thành, Cam Lộ, Quảng Trị</t>
  </si>
  <si>
    <t>K40/01, Hòa Minh, Liên Chiểu, Đà Nẵng</t>
  </si>
  <si>
    <t>tnson@ued.udn.vn</t>
  </si>
  <si>
    <t>Bùi Thị Thơ</t>
  </si>
  <si>
    <t>D2504230.200069</t>
  </si>
  <si>
    <t>- Tp Thanh Hoá -</t>
  </si>
  <si>
    <t>Hòa Hiệp Bắc, Liên Chiểu, Đà Nẵng</t>
  </si>
  <si>
    <t>Tổ 27, Hòa Hiệp Bắc, Liên Chiểu, Đà Nẵng</t>
  </si>
  <si>
    <t>02 Vũ Ngọc Phan, Hòa Khánh Bắc, Liên Chiểu, Đà Nẵng</t>
  </si>
  <si>
    <t>bttho@ued.udn.vn</t>
  </si>
  <si>
    <t>Hóa dược</t>
  </si>
  <si>
    <t>2/13/2025</t>
  </si>
  <si>
    <t>Trung Ý, Nông Cống - Nông Cống - Thanh hoá</t>
  </si>
  <si>
    <t>Trung Ý, Nông Cống, Thanh Hóa</t>
  </si>
  <si>
    <t>Tổ 57, Thọ Quang, Sơn Trà, Đà Nẵng</t>
  </si>
  <si>
    <t>lvktrang@ued.udn.vn</t>
  </si>
  <si>
    <t>Công nghệ Sinh học</t>
  </si>
  <si>
    <t>Đại học Quốc gia TPHCM</t>
  </si>
  <si>
    <t>Chu Mạnh Trinh</t>
  </si>
  <si>
    <t>D2504230.250206</t>
  </si>
  <si>
    <t>K96/27/3 Điện Biên Phủ, Phường Chính Gián, Quận Thanh Khê, Đà Nẵng</t>
  </si>
  <si>
    <t>cmtrinh@ued.udn.vn</t>
  </si>
  <si>
    <t>Khoa học môi trường và bảo vệ môi trường</t>
  </si>
  <si>
    <t>Đại học quốc gia thành phố Hồ Chí Minh</t>
  </si>
  <si>
    <t>Phan Nhật Trường</t>
  </si>
  <si>
    <t>D2504230.315251</t>
  </si>
  <si>
    <t>3/13/2022</t>
  </si>
  <si>
    <t>Tứ Hạ - Hương Trà - Thừa Thiên - Huế</t>
  </si>
  <si>
    <t>Tứ Hạ, Hương Trà, Thừa Thiên Huế</t>
  </si>
  <si>
    <t>02 Mỹ Đa Tây 8, Khuê Mỹ, Ngũ Hành Sơn, Đà Nẵng</t>
  </si>
  <si>
    <t>pntruong@ued.udn.vn</t>
  </si>
  <si>
    <t>Khoa học và quản lý Biển và Hồ</t>
  </si>
  <si>
    <t>Trường Đại học GHENT</t>
  </si>
  <si>
    <t>Võ Châu Tuấn</t>
  </si>
  <si>
    <t>D2504230.000496</t>
  </si>
  <si>
    <t>Tam Giang - Quan Sơn -</t>
  </si>
  <si>
    <t>Tam Giang, Tx Tam Kỳ, Quảng Nam</t>
  </si>
  <si>
    <t>Khối II, Thị trấn Núi Thành, Quảng Nam</t>
  </si>
  <si>
    <t>182 Tô Hiệu Liên Chiểu, ĐN</t>
  </si>
  <si>
    <t>Trưởng khoa Sinh - Môi trường</t>
  </si>
  <si>
    <t>Sinh lý học thực vật</t>
  </si>
  <si>
    <t>Soạn thảo văn bản</t>
  </si>
  <si>
    <t>Ngô Thị Hoàng Vân</t>
  </si>
  <si>
    <t>D2504230.170305</t>
  </si>
  <si>
    <t>Thủy Vân, Hương Thủy - Hương Thủy - Thừa Thiên - Huế</t>
  </si>
  <si>
    <t>Thành phố Huế, Thừa Thiên Huế</t>
  </si>
  <si>
    <t>17/146 Trần Quốc Toản, Tây Lộc, thành phố Huế, Thừa Thiên Huế</t>
  </si>
  <si>
    <t>6/389 Trưng Nữ Vương, Hòa Thuận Đông, Hải Châu, Đà Nẵng</t>
  </si>
  <si>
    <t>Bí thư Liên chi đoàn</t>
  </si>
  <si>
    <t>Trần Nguyễn Quỳnh Anh</t>
  </si>
  <si>
    <t>D2504220.180801</t>
  </si>
  <si>
    <t>9/23/2022</t>
  </si>
  <si>
    <t>Quảng Vinh - Quảng Điền - Thừa Thiên - Huế</t>
  </si>
  <si>
    <t>Phú Thuận, thành phố Huế, Thừa Thiên - Huế</t>
  </si>
  <si>
    <t>8/172 Xuân 68, Thuận Lộc, thành phố Huế, Thừa Thiên - Huế</t>
  </si>
  <si>
    <t>tnqanh@ued.udn.vn</t>
  </si>
  <si>
    <t>Nghiên cứu Môi trường toàn cầu</t>
  </si>
  <si>
    <t>Võ Thị Bảy</t>
  </si>
  <si>
    <t>D2504250.100121</t>
  </si>
  <si>
    <t>Trà Bình, Trà Bồng - - Quảng Ngãi</t>
  </si>
  <si>
    <t>Trà Bình, Trà Bồng, Quảng Ngãi</t>
  </si>
  <si>
    <t>245 Phạm Như Xương, Hòa Khánh Nam, Liên Chiểu, Đà Nẵng</t>
  </si>
  <si>
    <t>vtbay@ued.udn.vn</t>
  </si>
  <si>
    <t>Chủ tịch Công đoàn bộ phận</t>
  </si>
  <si>
    <t>Phó Trưởng khoa phụ trách (30/8/2023), Phó Trưởng khoa (01/4/2019)</t>
  </si>
  <si>
    <t>Vũ Đình Chinh</t>
  </si>
  <si>
    <t>D2504200.190103</t>
  </si>
  <si>
    <t>Ninh Dân - Thanh Ba - Phú Thọ</t>
  </si>
  <si>
    <t>Phú Hòa, thành phố Huế, Thừa Thiên Huế</t>
  </si>
  <si>
    <t>B1709 Chung cư Xuân Mai Tower, đường Tô Hiệu, phường Hà Cầu, quận Hà Đông, thành phố Hà Nội</t>
  </si>
  <si>
    <t>35/3 Đồng Kè, Hòa Khánh Bắc, Liên Chiểu, Đà Nẵng</t>
  </si>
  <si>
    <t>vdchinh@ued.udn.vn</t>
  </si>
  <si>
    <t>Lý luận và Phương pháp dạy học môn Toán</t>
  </si>
  <si>
    <t>Trần Thị Kim Cúc</t>
  </si>
  <si>
    <t>D2504250.000500</t>
  </si>
  <si>
    <t>Quảng Vinh, Quảng Điền - - Thừa Thiên - Huế</t>
  </si>
  <si>
    <t>Tổ 24, Hòa Thọ Đông, Cẩm Lệ, Đà Nẵng</t>
  </si>
  <si>
    <t>48 Trần Đình Long, Hòa Thọ Đông, Cẩm Lệ, Đà Nẵng</t>
  </si>
  <si>
    <t>ttkcuc@ued.udn.vn</t>
  </si>
  <si>
    <t>Đào Thị Linh Giang</t>
  </si>
  <si>
    <t>D2504512.180606</t>
  </si>
  <si>
    <t>2/19/2019</t>
  </si>
  <si>
    <t>Nghĩa Ninh, Đồng Hới - - Quảng Bình</t>
  </si>
  <si>
    <t>Nghĩa Ninh, Đồng Hới, Quảng Bình</t>
  </si>
  <si>
    <t>Thôn Trung Nghĩa 4, Nghĩa Ninh, Đồng Hới, Quảng Bình</t>
  </si>
  <si>
    <t>Kiệt 25 Hà Huy Tập, Thạc Gián, Thanh Khê, Đà Nẵng</t>
  </si>
  <si>
    <t>dtlgiang@ued.udn.vn</t>
  </si>
  <si>
    <t>Tập sự</t>
  </si>
  <si>
    <t>Nguyễn Thị Diệu Hà</t>
  </si>
  <si>
    <t>D2504512.211081</t>
  </si>
  <si>
    <t>Đức Châu, Đức Thọ - - Hà Tĩnh</t>
  </si>
  <si>
    <t>K113/63 Nguyễn Chí Thanh, Hải Châu 1, Hải Châu, Đà Nẵng</t>
  </si>
  <si>
    <t>ntdha@ued.udn.vn</t>
  </si>
  <si>
    <t>Hoàng Nam Hải</t>
  </si>
  <si>
    <t>D2504250.291814</t>
  </si>
  <si>
    <t>Quảng Minh, Quảng Trạch - - Quảng Bình</t>
  </si>
  <si>
    <t>Đồng Hải, Đồng Hới, Quảng Bình</t>
  </si>
  <si>
    <t>K44/17 Ngô Xuân Thu, Hòa Hiệp Bắc, Liên Chiểu, Đà Nẵng</t>
  </si>
  <si>
    <t>hnhai@ued.udn.vn</t>
  </si>
  <si>
    <t>Trưởng Bộ môn Toán và Phương pháp giảng dạy (09/4/2021)</t>
  </si>
  <si>
    <t>Trưởng khoa Khoa GDTH</t>
  </si>
  <si>
    <t>7/18/1995</t>
  </si>
  <si>
    <t>Lý luận và PPDH bộ môn Toán</t>
  </si>
  <si>
    <t>D2504512.000526</t>
  </si>
  <si>
    <t>Diễn Phúc, Diễn Châu - - Nghệ An</t>
  </si>
  <si>
    <t>Dương Văn, Ứng Hòa, Hà Nội</t>
  </si>
  <si>
    <t>Tổ 145, Hòa Khê, Thanh Khê, Đà Nẵng</t>
  </si>
  <si>
    <t>353 Huỳnh Ngọc Huệ, Hòa Khê, Thanh Khê, Đà Nẵng</t>
  </si>
  <si>
    <t>tndhang@ued.udn.vn</t>
  </si>
  <si>
    <t>5/19/1999</t>
  </si>
  <si>
    <t>Tôn Nữ Diệu Hằng</t>
  </si>
  <si>
    <t>Quảng Sơn - Quảng Trạch - Quảng Bình</t>
  </si>
  <si>
    <t>Hòa Thuận Tây, Hải Châu, Đà Nẵng</t>
  </si>
  <si>
    <t>494 Nguyễn Tri Phương, Hòa Thuận Tây, Hải Châu, Đà Nẵng</t>
  </si>
  <si>
    <t>dtthang@ued.udn.vn</t>
  </si>
  <si>
    <t>Phạm Thị Mỹ hạnh</t>
  </si>
  <si>
    <t>D2504512.321251</t>
  </si>
  <si>
    <t>Nại Hiên Đông - Sơn Trà - Đà Nẵng</t>
  </si>
  <si>
    <t>57/57 Mẹ Suốt, Hòa Khánh Nam, Đà Nẵng</t>
  </si>
  <si>
    <t>ptmhanh-gdthmn@ued.udn.vn</t>
  </si>
  <si>
    <t>Nguyễn Tiên Hoàng</t>
  </si>
  <si>
    <t>D2504512.190208</t>
  </si>
  <si>
    <t>3/27/2023</t>
  </si>
  <si>
    <t>Xuân Lộc - Triệu Sơn - Thanh hoá</t>
  </si>
  <si>
    <t>Xuân Lộc, Triệu Sơn, Thanh Hóa</t>
  </si>
  <si>
    <t>457/44/8 Tôn Đức Thắng, Hòa Khánh Nam, Liên Chiểu, Đà Nẵng</t>
  </si>
  <si>
    <t>ldhoang@ued.udn.vn</t>
  </si>
  <si>
    <t>Lê Đình Hoàng</t>
  </si>
  <si>
    <t>D2504220.130002</t>
  </si>
  <si>
    <t>- Đông Sơn -</t>
  </si>
  <si>
    <t>CC Nam Tuyên Sơn, Khuê Mỹ, Ngũ Hành Sơn, Đà Nẵng</t>
  </si>
  <si>
    <t>Công nghệ hóa-sinh học</t>
  </si>
  <si>
    <t>Trường Đại học ...</t>
  </si>
  <si>
    <t>Kiều Mạnh Hùng</t>
  </si>
  <si>
    <t>D2504250.210105</t>
  </si>
  <si>
    <t>Trung Lương - Tx Hồng Lĩnh - Hà Tĩnh</t>
  </si>
  <si>
    <t>Trung Lương, Hồng Lĩnh, Hà Tĩnh</t>
  </si>
  <si>
    <t>120/9 Y Ngông, Tân Tiến, TP. Buôn Ma Thuột, Đăk Lăk</t>
  </si>
  <si>
    <t>168 Nguyễn Viết Xuân, Hòa Minh, Liên Chiểu, Đà Nẵng</t>
  </si>
  <si>
    <t>kmhung@ued.udn.vn</t>
  </si>
  <si>
    <t>Lý luận và Phương pháp dạy học bộ môn Toán</t>
  </si>
  <si>
    <t>Lê Thị Anh Kiều</t>
  </si>
  <si>
    <t>D2504512.100123</t>
  </si>
  <si>
    <t>Quế Phước, Nông Sơn - - Quảng Nam</t>
  </si>
  <si>
    <t>Quế Phước, Nông Sơn, Quảng Nam</t>
  </si>
  <si>
    <t>Thôn Phú Gia 2, xã Ninh Phước, huyện Nông Sơn, tỉnh Quảng Nam</t>
  </si>
  <si>
    <t>ltakieu@ued.udn.vn</t>
  </si>
  <si>
    <t>Kiều Thị Kính</t>
  </si>
  <si>
    <t>D2504230.211082</t>
  </si>
  <si>
    <t>8/30/2021</t>
  </si>
  <si>
    <t>Điện Nam, Điện Bàn - - Quảng Nam</t>
  </si>
  <si>
    <t>Điện Nam, Điện Bàn, Quảng Nam</t>
  </si>
  <si>
    <t>18 Lê Duy Lương, Hòa Phát, Cẩm Lệ, Đà Nẵng</t>
  </si>
  <si>
    <t>ktkinh@ued.udn.vn</t>
  </si>
  <si>
    <t>Quản lý môi trường</t>
  </si>
  <si>
    <t>Lê Sao Mai</t>
  </si>
  <si>
    <t>D2504250.120016</t>
  </si>
  <si>
    <t>Nghi Xuân - - Hà Tĩnh</t>
  </si>
  <si>
    <t>457/1 Tôn Đức Thắng, Hòa Khánh Nam, Liên Chiểu, Đà Nẵng</t>
  </si>
  <si>
    <t>lsmai@ued.udn.vn</t>
  </si>
  <si>
    <t>Phó Chủ tịch Hội Sinh viên</t>
  </si>
  <si>
    <t>Nguyễn Thị Thúy Nga</t>
  </si>
  <si>
    <t>D2504512.211068</t>
  </si>
  <si>
    <t>6/24/2022</t>
  </si>
  <si>
    <t>Hòa Hiệp Nam, Đông Hòa - - Phú Yên</t>
  </si>
  <si>
    <t>Hòa Hiệp Nam, Đông Hòa, Phú Yên</t>
  </si>
  <si>
    <t>Thôn Phú Lạc, Hòa Hiệp Nam, Đông Hòa, Phú Yên</t>
  </si>
  <si>
    <t>166/4 Nguyễn Lương Bằng, Hòa Khánh Bắc, Liên Chiểu, Đà Nẵng</t>
  </si>
  <si>
    <t>ptnga@ued.udn.vn</t>
  </si>
  <si>
    <t>Phan Thị Nga</t>
  </si>
  <si>
    <t>D2504250.050012</t>
  </si>
  <si>
    <t>Yên Thọ, Ý Yên - - Nam Định</t>
  </si>
  <si>
    <t>Yên Thọ, Ý Yên, Nam Định</t>
  </si>
  <si>
    <t>K29/8 Nguyễn Đức Trung, Xuân Hà, Thanh Khê, Đà Nẵng</t>
  </si>
  <si>
    <t>Trường Cao đẳng Sư phạm Nam Định</t>
  </si>
  <si>
    <t>3/24/2011</t>
  </si>
  <si>
    <t>Lý luận và phương pháp dạy học Văn - Tiếng Việt</t>
  </si>
  <si>
    <t>Trường ĐH Khoa học và xã hội nhân văn (ĐHQGHN)</t>
  </si>
  <si>
    <t>5.42</t>
  </si>
  <si>
    <t>Nguyễn Thị Nhân</t>
  </si>
  <si>
    <t>D2504512.220203</t>
  </si>
  <si>
    <t>Thạch Linh - Thạch Hà - Hà Tĩnh</t>
  </si>
  <si>
    <t>Thành phố Vinh, tỉnh Nghệ An</t>
  </si>
  <si>
    <t>Khối Trung Tiến, phường Hưng Dũng, thành phố Vinh, tỉnh Nghệ An</t>
  </si>
  <si>
    <t>131 Bế Văn Đàn, Chính Gián, Thanh Khê, Đà Nẵng</t>
  </si>
  <si>
    <t>ntnhan@ued.udn.vn</t>
  </si>
  <si>
    <t>Lý luận và lịch sử giáo dục</t>
  </si>
  <si>
    <t>Viện Khoa học Giáo dục Việt Nam</t>
  </si>
  <si>
    <t>Giảng viên chính</t>
  </si>
  <si>
    <t>Lê Thị Thanh Nhàn</t>
  </si>
  <si>
    <t>D2504512.141050</t>
  </si>
  <si>
    <t>Triệu Trạch, Triệu Phong - - Quảng trị</t>
  </si>
  <si>
    <t>Triệu Trạch, Triệu Phong, Quảng Trị</t>
  </si>
  <si>
    <t>Lệ Xuyên, Triệu Trạch, Triệu Phong, Quảng Trị</t>
  </si>
  <si>
    <t>18 Hòa Minh 10, Hòa Minh, Liên Chiểu, Đà Nẵng</t>
  </si>
  <si>
    <t>lttnhan@ued.udn.vn</t>
  </si>
  <si>
    <t>Trương Thị Lan Nhi</t>
  </si>
  <si>
    <t>D2504250.210205</t>
  </si>
  <si>
    <t>Văn Lộc - Hậu Lộc - Thanh hoá</t>
  </si>
  <si>
    <t>57 Thi Sách, Hòa Thuận Tây, Hải Châu, Đà Nẵng</t>
  </si>
  <si>
    <t>ttlnhi@ued.udn.vn</t>
  </si>
  <si>
    <t>Giáo dục học (Tiểu học)</t>
  </si>
  <si>
    <t>Mai Thị Cẩm Nhung</t>
  </si>
  <si>
    <t>D2504512.100015</t>
  </si>
  <si>
    <t>Thủy Lương, Hương Thủy - - Thừa Thiên - Huế</t>
  </si>
  <si>
    <t>Thủy Lương, Hương Thủy, Thừa Thiên Huế</t>
  </si>
  <si>
    <t>86/3 Nguyễn Huy Tưởng, Hòa Minh, Liên Chiểu, Đà Nẵng</t>
  </si>
  <si>
    <t>mtcnhung@ued.udn.vn</t>
  </si>
  <si>
    <t>Nguyễn Thị Hà Phương</t>
  </si>
  <si>
    <t>D2504200.050038</t>
  </si>
  <si>
    <t>Hoằng Lộc, Hoằng Hóa - - Thanh hoá</t>
  </si>
  <si>
    <t>Hải Châu, Đà Nẵng</t>
  </si>
  <si>
    <t>457/9 Tôn Đức Thắng, Hòa Khánh Nam, Liên Chiểu, Đà Nẵng</t>
  </si>
  <si>
    <t>nthphuong@ued.udn.vn</t>
  </si>
  <si>
    <t>Khoa Toán Trường Đại học Sư phạm ĐN</t>
  </si>
  <si>
    <t>11/25/2015</t>
  </si>
  <si>
    <t>Nguyễn Phan Lâm Quyên</t>
  </si>
  <si>
    <t>D2504250.000523</t>
  </si>
  <si>
    <t>K482/56 Hoàng Diệu, Bình Thuận, Hải Châu, Đà Nẵng</t>
  </si>
  <si>
    <t>01 Nam Sơn 1, Hòa Cường Bắc, Hải Châu, Đà Nẵng</t>
  </si>
  <si>
    <t>nplquyen@ued.udn.vn</t>
  </si>
  <si>
    <t>Phan Thảo Thơ</t>
  </si>
  <si>
    <t>D2504220.000517</t>
  </si>
  <si>
    <t>Nhơn Mỹ, An Nhơn - - Bình Định</t>
  </si>
  <si>
    <t>An Mỹ, Tam Kỳ, Quảng Nam</t>
  </si>
  <si>
    <t>05 Quang Thành, Hòa Khánh Bắc, Liên Chiểu, Đà Nẵng</t>
  </si>
  <si>
    <t>43 Nguyễn Cảnh Dị, Hòa Khánh Nam, Liên Chiểu, Đà Nẵng</t>
  </si>
  <si>
    <t>pttho@ued.udn.vn</t>
  </si>
  <si>
    <t>Lương Văn Thọ</t>
  </si>
  <si>
    <t>D2504210.000521</t>
  </si>
  <si>
    <t>9/24/2021</t>
  </si>
  <si>
    <t>Hòa Hải, Hòa Vang - - Đà Nẵng</t>
  </si>
  <si>
    <t>Thành Vinh, Sơn Trà, Đà Nẵng</t>
  </si>
  <si>
    <t>26 Phạm Vấn, Mân Thái, Sơn Trà, Đà Nẵng</t>
  </si>
  <si>
    <t>lvtho@ued.udn.vn</t>
  </si>
  <si>
    <t>Trường Đại học Sư phạm</t>
  </si>
  <si>
    <t>Vật lý Địa cầu</t>
  </si>
  <si>
    <t>Trường ĐH Khoa học tự nhiên (ĐHQG tp HCM)</t>
  </si>
  <si>
    <t>Đinh Thị Ngàn Thương</t>
  </si>
  <si>
    <t>D2504250.230108</t>
  </si>
  <si>
    <t>Sơn Hà - Nho Quan - Ninh Bình</t>
  </si>
  <si>
    <t>Thị xã Tam Kỳ, tỉnh Quảng Nam</t>
  </si>
  <si>
    <t>Tổ 3, Khối phố 3, phường An Xuân, thành phố Tam Kỳ, tỉnh Quảng Nam</t>
  </si>
  <si>
    <t>03 Nguyễn Hoàng, Tổ 3, Khối phố 3, phường An Xuân, thành phố Tam Kỳ, tỉnh Quảng Nam</t>
  </si>
  <si>
    <t>dtnthuong@ued.udn.vn</t>
  </si>
  <si>
    <t>5/19/2013</t>
  </si>
  <si>
    <t>Giáo dục học (Giáo dục Tiểu học)</t>
  </si>
  <si>
    <t>Nguyễn Thị Mai Thủy</t>
  </si>
  <si>
    <t>D2504250.190114</t>
  </si>
  <si>
    <t>Hương Thọ - Hương Trà - Thừa Thiên - Huế</t>
  </si>
  <si>
    <t>60 Hòa Minh 14, Hòa Minh, Liên Chiểu, Đà Nẵng</t>
  </si>
  <si>
    <t>ntmthuy@ued.udn.vn</t>
  </si>
  <si>
    <t>Lý luận và phương pháp dạy học bộ môn Toán học</t>
  </si>
  <si>
    <t>Võ Thị Bích Thủy</t>
  </si>
  <si>
    <t>D2504250.220202</t>
  </si>
  <si>
    <t>6/25/2021</t>
  </si>
  <si>
    <t>Triệu Lăng - Triệu Phong - Quảng trị</t>
  </si>
  <si>
    <t>Bệnh viện Triệu Hải, Phường 2, thị xã Quảng Trị, tỉnh Quảng Trị</t>
  </si>
  <si>
    <t>Khu phố 6, Phường 1, thành phố Đông Hà, tỉnh Quảng Trị</t>
  </si>
  <si>
    <t>19B-03 Hoàng Anh Gia Lai, 72 Hàm Nghi, Thạc Gián, Thanh Khê, Đà Nẵng</t>
  </si>
  <si>
    <t>vtbthuy_gdth@ued.udn.vn</t>
  </si>
  <si>
    <t>4/23/2011</t>
  </si>
  <si>
    <t>Phương pháp giảng dạy Sinh học</t>
  </si>
  <si>
    <t>6/22/2022</t>
  </si>
  <si>
    <t>Hoà Thuận, Tam Kỳ - - Quảng Nam</t>
  </si>
  <si>
    <t>Hòa Thuận, Tam Kỳ, Quảng Nam</t>
  </si>
  <si>
    <t>457/44/9 Tôn Đức Thắng, Hòa Khánh Nam, Liên Chiểu, Đà Nẵng</t>
  </si>
  <si>
    <t>ntttien@ued.udn.vn</t>
  </si>
  <si>
    <t>12/14/2017</t>
  </si>
  <si>
    <t>Nguyễn Công Thùy Trâm</t>
  </si>
  <si>
    <t>D2504230.000404</t>
  </si>
  <si>
    <t>Điện Minh, Điện Bàn - - Quảng Nam</t>
  </si>
  <si>
    <t>Thạch Thang, Hải Châu, Đà Nẵng</t>
  </si>
  <si>
    <t>81/3 Hải Phòng, Thạch Thang, Hải Châu, Đà Nẵng</t>
  </si>
  <si>
    <t>ncttram@ued.udn.vn</t>
  </si>
  <si>
    <t>Sinh lý người và động vật</t>
  </si>
  <si>
    <t>Trần Thị Huyền Trân</t>
  </si>
  <si>
    <t>D2504512.180607</t>
  </si>
  <si>
    <t>8/16/2021</t>
  </si>
  <si>
    <t>Nghi Vạn, Nghi Lộc - - Nghệ An</t>
  </si>
  <si>
    <t>Đức Mạnh, Đăk Mil, Đăk Nông</t>
  </si>
  <si>
    <t>107 Đức Vinh, Đức Mạnh, Đăk Mil, Đăk Nông</t>
  </si>
  <si>
    <t>40/01 Hoàng Văn Thái, Hòa Minh, Liên Chiểu, Đà Nẵng</t>
  </si>
  <si>
    <t>tthtran@ued.udn.vn</t>
  </si>
  <si>
    <t>Lê Văn Trung</t>
  </si>
  <si>
    <t>D2504250.122015</t>
  </si>
  <si>
    <t>Điện Phước, Điện Bàn - - Quảng Nam</t>
  </si>
  <si>
    <t>Cần Đước, Long An</t>
  </si>
  <si>
    <t>Điện Thọ, Điện Bàn, Quảng Nam</t>
  </si>
  <si>
    <t>lvtrung@ued.udn.vn</t>
  </si>
  <si>
    <t>Lý luận văn học</t>
  </si>
  <si>
    <t>Học viện Khoa học Xã hội</t>
  </si>
  <si>
    <t>Trần Hồ Uyên</t>
  </si>
  <si>
    <t>D2504512.120017</t>
  </si>
  <si>
    <t>8/22/2023</t>
  </si>
  <si>
    <t>Minh An, Hội An - - Quảng Nam</t>
  </si>
  <si>
    <t>Minh An, Hội An, Quảng Nam</t>
  </si>
  <si>
    <t>Tổ 28, Chơn Tâm 2C, Hoà Khánh Nam, Liên Chiểu, Đà Nẵng</t>
  </si>
  <si>
    <t>433/12 Tôn Đức Thắng, Hòa Khánh Nam, Liên Chiểu, Đà Nẵng</t>
  </si>
  <si>
    <t>thuyen@ued.udn.vn</t>
  </si>
  <si>
    <t>Giáo dục môi trường</t>
  </si>
  <si>
    <t>Đoàn Thị Vân</t>
  </si>
  <si>
    <t>D2504230.291014</t>
  </si>
  <si>
    <t>Nam Thanh, Hải Hưng</t>
  </si>
  <si>
    <t>Tổ 274, Phước Lý, Liên Chiểu</t>
  </si>
  <si>
    <t>dtvan@ued.udn.vn</t>
  </si>
  <si>
    <t>Trường Đại học Công nghệ Sinh học ứng dụng quốc gia Mátx-cơ-va</t>
  </si>
  <si>
    <t>D2504250.250204</t>
  </si>
  <si>
    <t>9/29/2022</t>
  </si>
  <si>
    <t>Quế An, Quế Sơn - - Quảng Nam</t>
  </si>
  <si>
    <t>86 Chi Lăng, Hải Châu II, Hải Châu, Đà Nẵng</t>
  </si>
  <si>
    <t>nttvi@ued.udn.vn</t>
  </si>
  <si>
    <t>Thủy sinh vật học</t>
  </si>
  <si>
    <t>Viện Hải dương học</t>
  </si>
  <si>
    <t>D2504230.100112</t>
  </si>
  <si>
    <t>3/25/2022</t>
  </si>
  <si>
    <t>Nam Lý, Đồng Hới - - Quảng Bình</t>
  </si>
  <si>
    <t>Quảng Tùng, Quảng Trạch, Quảng Bình</t>
  </si>
  <si>
    <t>55 Dương Thưởng, Hòa Cường Bắc, Hải Châu, Đà Nẵng</t>
  </si>
  <si>
    <t>Võ Thị Hà An</t>
  </si>
  <si>
    <t>D2504320.100011</t>
  </si>
  <si>
    <t>Thạch Trung, Hà Tĩnh - - Hà Tĩnh</t>
  </si>
  <si>
    <t>Hòa Khánh Nam, Liên Chiểu, Đà Nẵng</t>
  </si>
  <si>
    <t>K457/10 Tôn Đức Thắng, Hòa Khánh Nam, Liên Chiểu, Đà Nẵng</t>
  </si>
  <si>
    <t>vthan@ued.udn.vn</t>
  </si>
  <si>
    <t>Trần Xuân Bách</t>
  </si>
  <si>
    <t>D2501030.000034</t>
  </si>
  <si>
    <t>Thanh Tân - Kiến Xương - Thái Bình</t>
  </si>
  <si>
    <t>Vũ Lễ, Kiến Xương, Thái Bình</t>
  </si>
  <si>
    <t>48 Đỗ Huy Uyển, An Hải Bắc, Sơn Trà, Đà Nẵng</t>
  </si>
  <si>
    <t>txbach@ued.udn.vn</t>
  </si>
  <si>
    <t>Gia đình liệt sỹ</t>
  </si>
  <si>
    <t>Phòng Giáo dục TP Đà Lạt</t>
  </si>
  <si>
    <t>Đại học Quốc gia Hà Nội</t>
  </si>
  <si>
    <t>Tiến sỹ QLGD</t>
  </si>
  <si>
    <t>Vũ Đình Chuẩn</t>
  </si>
  <si>
    <t>D2504260.250201</t>
  </si>
  <si>
    <t>12 Giáng Hương 6, ERO 2 Hòa Xuân, Cẩm Lệ, TP. Đà Nẵng</t>
  </si>
  <si>
    <t>vdchuan@ued.udn.vn</t>
  </si>
  <si>
    <t>Bùi Thị Thanh Diệu</t>
  </si>
  <si>
    <t>Bình Phú, Thăng Bình - - Quảng Nam</t>
  </si>
  <si>
    <t>Phước Đức, Phước Sơn, Quảng Nam</t>
  </si>
  <si>
    <t>23 An Hải Bắc 7, An Hải Bắc, Sơn Trà, Đà Nẵng</t>
  </si>
  <si>
    <t>bttdieu@ued.udn.vn</t>
  </si>
  <si>
    <t>Tâm lý học lâm sàng trẻ em và vị thành niên</t>
  </si>
  <si>
    <t>Viện Khoa học Giáo dục</t>
  </si>
  <si>
    <t>Lê Mỹ Dung</t>
  </si>
  <si>
    <t>D2504260.201603</t>
  </si>
  <si>
    <t>368/11 Nguyễn Phước Nguyên, An Khê, Thanh Khê, Đà Nẵng</t>
  </si>
  <si>
    <t>lmdung@ued.udn.vn</t>
  </si>
  <si>
    <t>Phó Trưởng khoa TLGD (01/01/2019)</t>
  </si>
  <si>
    <t>Phạm Thị Kiều Duyên</t>
  </si>
  <si>
    <t>Nam Cường - Nam Trực - Nam Định</t>
  </si>
  <si>
    <t>Nam Cường, Nam Trực, Nam Định</t>
  </si>
  <si>
    <t>K06/18 Bàu Năng 11, Hòa Minh, Liên Chiểu, Đà Nẵng</t>
  </si>
  <si>
    <t>ltduyen@ued.udn.vn</t>
  </si>
  <si>
    <t>D2504260.180702</t>
  </si>
  <si>
    <t>2/26/2022</t>
  </si>
  <si>
    <t>Chánh Lộ, TP. Quảng Ngãi - - Quảng Ngãi</t>
  </si>
  <si>
    <t>Chánh Lộ, TP. Quảng Ngãi, Quảng Ngãi</t>
  </si>
  <si>
    <t>140 Lý Thường Kiệt, An Mỹ, Tam Kỳ, Quảng Nam</t>
  </si>
  <si>
    <t>ptkduyen@ued.udn.vn</t>
  </si>
  <si>
    <t>Trường Đại học Quảng Nam</t>
  </si>
  <si>
    <t>10/31/2012</t>
  </si>
  <si>
    <t>Công tác xã hội</t>
  </si>
  <si>
    <t>Hoàng Thế Hải</t>
  </si>
  <si>
    <t>D2504260.211004</t>
  </si>
  <si>
    <t>Hoằng Lương, Hoằng Hóa - - Thanh hoá</t>
  </si>
  <si>
    <t>Hoằng Sơn, Hoằng Hóa, Thanh Hóa</t>
  </si>
  <si>
    <t>Hoằng Lương, Hoằng Hóa, Thanh Hóa</t>
  </si>
  <si>
    <t>122 Phạm Đình Hổ, Hòa Minh, Liên Chiểu, Đà Nẵng</t>
  </si>
  <si>
    <t>hthai@ued.udn.vn</t>
  </si>
  <si>
    <t>Tâm lý học phát triển và giáo dục</t>
  </si>
  <si>
    <t>Lê Thị Hằng</t>
  </si>
  <si>
    <t>D2504260.050026</t>
  </si>
  <si>
    <t>Vĩnh Hưng, Vĩnh Lộc - - Thanh hoá</t>
  </si>
  <si>
    <t>Thiệu Hưng, Thiệu Yên, Thanh Hóa</t>
  </si>
  <si>
    <t>27 Phú Xuân 5, Hòa Minh, Liên Chiểu, Đà Nẵng</t>
  </si>
  <si>
    <t>lthang@ued.udn.vn</t>
  </si>
  <si>
    <t>Hồ Thị Thuý Hằng</t>
  </si>
  <si>
    <t>D2504260.100129</t>
  </si>
  <si>
    <t>9/13/2023</t>
  </si>
  <si>
    <t>Diễn Bích, Diễn Châu - - Nghệ An</t>
  </si>
  <si>
    <t>Diễn Bích, Diễn Châu, Nghệ An</t>
  </si>
  <si>
    <t>Xóm Trung Yên, Diễn Ngọc, Diễn Châu, Nghệ An</t>
  </si>
  <si>
    <t>Khu Tập thể Lữ đoàn 74, Hoà Hiệp Nam, Liên Chiểu, Đà Nẵng</t>
  </si>
  <si>
    <t>htthang@ued.udn.vn</t>
  </si>
  <si>
    <t>7/17/2012</t>
  </si>
  <si>
    <t>Nguyễn Thị Bích Hạnh</t>
  </si>
  <si>
    <t>D2504260.180605</t>
  </si>
  <si>
    <t>- - Hải Dương</t>
  </si>
  <si>
    <t>Tổ 74, Hòa Khánh Nam, Liên Chiểu, Đà Nẵng</t>
  </si>
  <si>
    <t>68 Kinh Dương Vương, Hòa Minh, Liên Chiểu, Đà Nẵng</t>
  </si>
  <si>
    <t>ntbhanh@ued.udn.vn</t>
  </si>
  <si>
    <t>Trường Đại học Giáo dục</t>
  </si>
  <si>
    <t>D2504260.120028</t>
  </si>
  <si>
    <t>6/17/2022</t>
  </si>
  <si>
    <t>Minh Thành - Tx Hội An -</t>
  </si>
  <si>
    <t>Nghệ An</t>
  </si>
  <si>
    <t>Khối 3, thị trấn Nghi Xuân, Nghi Xuân, Hà Tĩnh</t>
  </si>
  <si>
    <t>lthien@ued.udn.vn</t>
  </si>
  <si>
    <t>Trường ĐH Sư phạm Hoa Trung</t>
  </si>
  <si>
    <t>Lĩnh Sơn, Anh Sơn - - Nghệ An</t>
  </si>
  <si>
    <t>Lĩnh Sơn, Anh Sơn, Nghệ An</t>
  </si>
  <si>
    <t>Thôn 4, Lĩnh Sơn, Anh Sơn, Nghệ An</t>
  </si>
  <si>
    <t>Kiệt 9, Lạc Long Quân, Hòa Khánh Bắc, Liên Chiểu, Đà Nẵng</t>
  </si>
  <si>
    <t>hvhoang@ued.udn.vn</t>
  </si>
  <si>
    <t>7/27/2009</t>
  </si>
  <si>
    <t>Xã hội học</t>
  </si>
  <si>
    <t>Phạm Thế Kiên</t>
  </si>
  <si>
    <t>D2504260.250212</t>
  </si>
  <si>
    <t>- Đức Thọ - Hà Tĩnh</t>
  </si>
  <si>
    <t>Triệu Hải - Quảng Trị</t>
  </si>
  <si>
    <t>61 Dương Văn An - Huế</t>
  </si>
  <si>
    <t>ptkien@ued.udn.vn</t>
  </si>
  <si>
    <t>Mỹ Sơn, Đô Lương - - Nghệ An</t>
  </si>
  <si>
    <t>Thị trấn Tân Kỳ, Tân Kỳ, Nghệ An</t>
  </si>
  <si>
    <t>06 Đồng Trí 4, Hòa Khánh Nam, Liên Chiểu, Đà Nẵng</t>
  </si>
  <si>
    <t>ltlam@ued.udn.vn</t>
  </si>
  <si>
    <t>Học viên Khoa học xã hội Việt Nam</t>
  </si>
  <si>
    <t>Lê Thị Ngọc Lan</t>
  </si>
  <si>
    <t>D2504260.210102</t>
  </si>
  <si>
    <t>Quỳnh Hậu - Quỳnh Lưu - Nghệ An</t>
  </si>
  <si>
    <t>Quỳnh Hậu, Quỳnh Lưu, Nghệ An</t>
  </si>
  <si>
    <t>43 Nhuệ Giang, Tây Mỗ, Nam Từ Liêm, Hà Nội</t>
  </si>
  <si>
    <t>365 Đàm Văn Lễ, Hòa Minh, Liên Chiểu, Đà Nẵng</t>
  </si>
  <si>
    <t>ltnlan@ued.udn.vn</t>
  </si>
  <si>
    <t>Trường Đại học Khoa học Xã hội và Nhân văn - Đại học Quốc gia Hà Nội</t>
  </si>
  <si>
    <t>D2504260.250210</t>
  </si>
  <si>
    <t>Thái Chính - Thái Thụy - Thái Bình</t>
  </si>
  <si>
    <t>PhÚ Hưng - Ý Yên - Nam Định</t>
  </si>
  <si>
    <t>131, Trần phú, Hà Đông, Hà Nội</t>
  </si>
  <si>
    <t>ltlien@ued.udn.vn</t>
  </si>
  <si>
    <t>Nông Thị Hương Lý</t>
  </si>
  <si>
    <t>D2504260.32025_</t>
  </si>
  <si>
    <t>Yên Sơn - Hữu Lũng - Lạng Sơn</t>
  </si>
  <si>
    <t>Yên Sơn, Hữu Lũng, Lạng Sơn</t>
  </si>
  <si>
    <t>số 22 đường Phước Lý 4, Hòa Minh, Liên Chiểu, Đà Nẵng</t>
  </si>
  <si>
    <t>nthly@ued.udn.vn</t>
  </si>
  <si>
    <t>Tày</t>
  </si>
  <si>
    <t>Trịnh Thị Nguyệt</t>
  </si>
  <si>
    <t>D2504260.170304</t>
  </si>
  <si>
    <t>Thiệu Lý, Thiệu Hóa - Thiệu Hóa - Thanh hoá</t>
  </si>
  <si>
    <t>Thiệu Lý, Thiệu Hóa, Thanh Hóa</t>
  </si>
  <si>
    <t>K340/H69/06 Trần Cao Vân, Xuân Hà, Thanh Khê, Đà Nẵng</t>
  </si>
  <si>
    <t>ttnguyet@ued.udn.vn</t>
  </si>
  <si>
    <t>D2504260.072015</t>
  </si>
  <si>
    <t>Bách Thuận, Vũ Thư - - Thái Bình</t>
  </si>
  <si>
    <t>Nam Định</t>
  </si>
  <si>
    <t>150 Trần Thủ Độ, Khuê Trung, Cẩm Lệ, Đà Nẵng</t>
  </si>
  <si>
    <t>nthnhung@ued.udn.vn</t>
  </si>
  <si>
    <t>Nguyễn Thị Hằng Phương</t>
  </si>
  <si>
    <t>D2504260.120085</t>
  </si>
  <si>
    <t>Quảng Phúc, Quảng Trạch - - Quảng Bình</t>
  </si>
  <si>
    <t>Diễn Yên, Diễn Châu, Nghệ An</t>
  </si>
  <si>
    <t>Học viện Khoa học xã hội Việt Nam</t>
  </si>
  <si>
    <t>Nguyễn Thị Quý</t>
  </si>
  <si>
    <t>D2504260.210103</t>
  </si>
  <si>
    <t>6/21/2023</t>
  </si>
  <si>
    <t>Đào Mỹ - Lạng Giang - Bắc Giang</t>
  </si>
  <si>
    <t>Đào Mỹ, Lạng Giang, Bắc Giang</t>
  </si>
  <si>
    <t>Xóm Thắm, Đào Mỹ, Lạng Giang, Bắc Giang</t>
  </si>
  <si>
    <t>64 Thanh Nghị, Hòa Minh, Liên Chiểu, Đà Nẵng</t>
  </si>
  <si>
    <t>ntquy@ued.udn.vn</t>
  </si>
  <si>
    <t>Giáo dục Đại học</t>
  </si>
  <si>
    <t>Trường Đại học Khoa học Kỹ thuật Hoa Trung, Trung Quốc</t>
  </si>
  <si>
    <t>Nguyễn Thị Phương Trang</t>
  </si>
  <si>
    <t>D2504260.130069</t>
  </si>
  <si>
    <t>Ái Nghĩa, Đại Lộc - - Quảng Nam</t>
  </si>
  <si>
    <t>Ái Nghiã, Đại Lộc, Quảng Nam</t>
  </si>
  <si>
    <t>Giáo Đông, Ái Nghĩa, Đại Lộc, Quảng Nam</t>
  </si>
  <si>
    <t>181/5 Cù Chính Lan, An Khê, Thanh Khê, Đà Nẵng</t>
  </si>
  <si>
    <t>ntptrang@ued.udn.vn</t>
  </si>
  <si>
    <t>Bùi Đình Tuân</t>
  </si>
  <si>
    <t>D2504260.130073</t>
  </si>
  <si>
    <t>Hoằng Tiến, Hoằng Hóa - - Thanh hoá</t>
  </si>
  <si>
    <t>Hoằng Tiến, Hoằng Hóa, Thanh Hóa</t>
  </si>
  <si>
    <t>Tổ 52, Hòa Khánh Nam, Liên Chiểu, Đà Nẵng</t>
  </si>
  <si>
    <t>bdtuan@ued.udn.vn</t>
  </si>
  <si>
    <t>Trường Đại học Sư phạm Hoa Trung</t>
  </si>
  <si>
    <t>Trần Thị Mai An</t>
  </si>
  <si>
    <t>D2504240.090002</t>
  </si>
  <si>
    <t>Vinh Giang, Phú Lộc - - Thừa Thiên - Huế</t>
  </si>
  <si>
    <t>Bệnh viện Bảo vệ bà mẹ và trẻ em Hà Nội</t>
  </si>
  <si>
    <t>158/12 Hùng Vương, Hải Châu 1, Hải Châu, Đà Nẵng</t>
  </si>
  <si>
    <t>80 Nguyễn Huy Lượng, Thanh Khê Đông, Thanh Khê, Đà Nẵng</t>
  </si>
  <si>
    <t>ttman@ued.udn.vn</t>
  </si>
  <si>
    <t>Phó Trưởng phòng Khoa học và Hợp tác quốc tế</t>
  </si>
  <si>
    <t>12/24/2012</t>
  </si>
  <si>
    <t>Nhân học Văn hóa</t>
  </si>
  <si>
    <t>Trần Như Bắc</t>
  </si>
  <si>
    <t>D2504240.220107</t>
  </si>
  <si>
    <t>Cẩm Mỹ - Cẩm Xuyên - Hà Tĩnh</t>
  </si>
  <si>
    <t>Cẩm Mỹ, Cẩm Xuyên, Hà Tĩnh</t>
  </si>
  <si>
    <t>05 Phạm Sư Mạnh, Khuê Trung, Cẩm Lệ, Đà Nẵng</t>
  </si>
  <si>
    <t>tnbac@ued.udn.vn</t>
  </si>
  <si>
    <t>Quan hệ quốc tế</t>
  </si>
  <si>
    <t>Học viện Ngoại giao</t>
  </si>
  <si>
    <t>Trương Văn Cảnh</t>
  </si>
  <si>
    <t>D2504280.090087</t>
  </si>
  <si>
    <t>Quỳnh bá - Quỳnh Lưu - Nghệ An</t>
  </si>
  <si>
    <t>Quỳnh Bá, Quỳnh Lưu, Nghệ An</t>
  </si>
  <si>
    <t>Kiệt 247 Phạm Như Xương, Hòa Khánh Nam, Liên Chiểu, Đà Nẵng</t>
  </si>
  <si>
    <t>tvcanh@ued.udn.vn</t>
  </si>
  <si>
    <t>Địa lý Kinh tế - Xã hội và quản lý không gian</t>
  </si>
  <si>
    <t>Ba Lan</t>
  </si>
  <si>
    <t>Trường Đại học Tổng hợp Vác - xa - va</t>
  </si>
  <si>
    <t>Đặng Thị Thùy Dương</t>
  </si>
  <si>
    <t>D2504240.180604</t>
  </si>
  <si>
    <t>Quảng An, Quảng Điền - - Thừa Thiên - Huế</t>
  </si>
  <si>
    <t>Quảng An, Quảng Điền, Thừa Thiên Huế</t>
  </si>
  <si>
    <t>An Xuân Tây, Quảng An, Quảng Điền, Thừa Thiên Huế</t>
  </si>
  <si>
    <t>01 Phú Lộc 14, Hòa Minh, Liên Chiểu, Đà Nẵng</t>
  </si>
  <si>
    <t>dttduong@ued.udn.vn</t>
  </si>
  <si>
    <t>7/25/2014</t>
  </si>
  <si>
    <t>Lý luận và phương pháp dạy học bộ môn Lịch sử</t>
  </si>
  <si>
    <t>Nguyễn Thế Hà</t>
  </si>
  <si>
    <t>D2504270.250211</t>
  </si>
  <si>
    <t>Phúc Lộc - Nghệ An</t>
  </si>
  <si>
    <t>Thôn Phú Hòa 1, Xã Bà Nà, Đà Nẵng</t>
  </si>
  <si>
    <t>ntha@ued.udn.vn</t>
  </si>
  <si>
    <t>Rumani</t>
  </si>
  <si>
    <t>Đại học Dunarea de jos galati</t>
  </si>
  <si>
    <t>Hồ Thanh Hải</t>
  </si>
  <si>
    <t>D2504330.072015</t>
  </si>
  <si>
    <t>Vỹ Dạ, TP. Huế - - Thừa Thiên - Huế</t>
  </si>
  <si>
    <t>TP. Huế, Thừa Thiên Huế</t>
  </si>
  <si>
    <t>K23/3 Xuân Thủy, Vỹ Dạ, TP. Huế, Thừa Thiên Huế</t>
  </si>
  <si>
    <t>Kiệt 138 Hoàng Văn Thái, Hòa Khánh Nam, Liên Chiểu, Đà Nẵng</t>
  </si>
  <si>
    <t>Khoa học giáo dục: Lý luận và phương pháp dạy học bộ môn Giáo dục Chính trị</t>
  </si>
  <si>
    <t>Lê Ngọc Hành</t>
  </si>
  <si>
    <t>D2504280.211100</t>
  </si>
  <si>
    <t>Cẩm Hà, Hội An - - Quảng Nam</t>
  </si>
  <si>
    <t>Cẩm Hà, Hội An, Quảng Nam</t>
  </si>
  <si>
    <t>01 Lạc Long Quân, Hòa Khánh Bắc, Liên Chiểu, Đà Nẵng</t>
  </si>
  <si>
    <t>lnhanh@ued.udn.vn</t>
  </si>
  <si>
    <t>Quản lý đất đai</t>
  </si>
  <si>
    <t>Tô Văn Hạnh</t>
  </si>
  <si>
    <t>D2504240.190209</t>
  </si>
  <si>
    <t>8/24/2023</t>
  </si>
  <si>
    <t>Nông Trường - Triệu Sơn - Thanh hoá</t>
  </si>
  <si>
    <t>Nông Trường, Triệu Sơn, Thanh Hóa</t>
  </si>
  <si>
    <t>Tổ 2C, Hòa Thọ Tây, Cẩm Lệ, Đà Nẵng</t>
  </si>
  <si>
    <t>tvhanh@ued.udn.vn</t>
  </si>
  <si>
    <t>6/23/2010</t>
  </si>
  <si>
    <t>Du lịch, khách sạn, thể thao và dịch vụ cá nhân</t>
  </si>
  <si>
    <t>Lê Thị Thu Hiền</t>
  </si>
  <si>
    <t>D2504280.190204</t>
  </si>
  <si>
    <t>Diễn Liên - Diễn Châu - Nghệ An</t>
  </si>
  <si>
    <t>Diễn Liên, Diễn Châu, Nghệ An</t>
  </si>
  <si>
    <t>Khối phố 10, An Mỹ, Tam Kỳ, Quảng Nam</t>
  </si>
  <si>
    <t>43 Trần Quý Cáp, Thạch Thang, Hải Châu, Đà Nẵng</t>
  </si>
  <si>
    <t>ntthien@ued.udn.vn</t>
  </si>
  <si>
    <t>8/20/2009</t>
  </si>
  <si>
    <t>Địa lí tự nhiên</t>
  </si>
  <si>
    <t>D2504240.070091</t>
  </si>
  <si>
    <t>An Mỹ - Mỹ Đức - Hà Nội</t>
  </si>
  <si>
    <t>thành phố Buôn Mê Thuột, tỉnh Đăk Lăk</t>
  </si>
  <si>
    <t>K232/12 Nguyễn Công Trứ, An Hải Đông, Sơn Trà, Đà Nẵng</t>
  </si>
  <si>
    <t>Căn hộ 8B.03, chung cư Bluehouse, đường Dương Lâm, Nại Hiên Đông, Sơn Trà, Đà Nẵng</t>
  </si>
  <si>
    <t>ltthien@ued.udn.vn</t>
  </si>
  <si>
    <t>Văn hóa học (tại Viện Văn hóa Nghệ thuật Việt Nam)</t>
  </si>
  <si>
    <t>Viện Văn hóa Nghệ thuật quốc gia Việt Nam</t>
  </si>
  <si>
    <t>Trần Xuân Hiệp</t>
  </si>
  <si>
    <t>D2504240.318251</t>
  </si>
  <si>
    <t>9/13/2022</t>
  </si>
  <si>
    <t>Xuân Lộc - Can Lộc - Hà Tĩnh</t>
  </si>
  <si>
    <t>Hà Tĩnh</t>
  </si>
  <si>
    <t>P.6C25 KCC An Trung 2, An Hải Tây, Sơn Trà, Đà Nẵng</t>
  </si>
  <si>
    <t>.6C25 KCC An Trung 2, An Hải Tây, Sơn Trà, Đà Nẵng</t>
  </si>
  <si>
    <t>txhiep@ued.udn.vn</t>
  </si>
  <si>
    <t>Trần Phan Hiếu</t>
  </si>
  <si>
    <t>D2504330.050097</t>
  </si>
  <si>
    <t>Duy Vinh, Duy Xuyên - - Quảng Nam</t>
  </si>
  <si>
    <t>Duy Vinh, Duy Xuyên, Quảng Nam</t>
  </si>
  <si>
    <t>Thôn Mỹ Liên, Đại Nghĩa, Đại Lộc, Quảng Nam</t>
  </si>
  <si>
    <t>12 Mỹ Đa Tây 8, Khuê Mỹ, Ngũ Hành Sơn, Đà Nẵng</t>
  </si>
  <si>
    <t>tphieu@ued.udn.vn</t>
  </si>
  <si>
    <t>12/28/2007</t>
  </si>
  <si>
    <t>Kinh tế chính trị</t>
  </si>
  <si>
    <t>Học viện Chính trị Quốc gia HCM</t>
  </si>
  <si>
    <t>D2504280.170311</t>
  </si>
  <si>
    <t>9/27/2021</t>
  </si>
  <si>
    <t>Sơn Trạch, Bố Trạch - - Quảng Bình</t>
  </si>
  <si>
    <t>Sơn Trạch, Bố Trạch, Quảng Bình</t>
  </si>
  <si>
    <t>43 Phạm Như Xương, Hòa Khánh Nam, Liên Chiểu, Đà Nẵng</t>
  </si>
  <si>
    <t>nthong@ued.udn.vn</t>
  </si>
  <si>
    <t>Trường Đại học Sư phạm thành phố Hồ Chí Minh</t>
  </si>
  <si>
    <t>Nguyễn Thị Hương</t>
  </si>
  <si>
    <t>D2504240.100117</t>
  </si>
  <si>
    <t>Duy Trinh, Duy Xuyên - - Quảng Nam</t>
  </si>
  <si>
    <t>Duy Trinh, Duy Xuyên, Quảng Nam</t>
  </si>
  <si>
    <t>Tân Lân, Đông Yên, Duy Trinh, Duy Xuyên, Quảng Nam</t>
  </si>
  <si>
    <t>40/1 Nguyễn Huy Tưởng, Hòa Minh, Liên Chiểu, Đà Nẵng</t>
  </si>
  <si>
    <t>nthuong@ued.udn.vn</t>
  </si>
  <si>
    <t>Du lịch học</t>
  </si>
  <si>
    <t>Hoàng Thị Diệu Hương</t>
  </si>
  <si>
    <t>D2504280.211084</t>
  </si>
  <si>
    <t>Phong thuỷ - Lệ Thuỷ - Quảng Bình</t>
  </si>
  <si>
    <t>Lệ Thủy - Quảng Bình</t>
  </si>
  <si>
    <t>26 Thân Công Tài, Cẩm Lệ, Đà Nẵng</t>
  </si>
  <si>
    <t>Tổ 21, Chơn Tâm, Hoà Khánh Nam, Liên Chiểu, ĐN</t>
  </si>
  <si>
    <t>htdhuong@ued.udn.vn</t>
  </si>
  <si>
    <t>Đại học tổng hợp kazan</t>
  </si>
  <si>
    <t>Ngô Thị Hường</t>
  </si>
  <si>
    <t>D2504330.000534</t>
  </si>
  <si>
    <t>Ân Hữu, Hoài Ân - - Bình Định</t>
  </si>
  <si>
    <t>48 Trần Quý Khoách, Hòa Minh, Liên Chiểu, Đà Nẵng</t>
  </si>
  <si>
    <t>Học viện chính trị quốc gia Hồ Chí Minh</t>
  </si>
  <si>
    <t>1/19/2024</t>
  </si>
  <si>
    <t>Phường An Hải, Thành phố Đà Nẵng</t>
  </si>
  <si>
    <t>K230/H01/14 Nguyễn Công Trứ, Phường An Hải, Thành phố Đà Nẵng</t>
  </si>
  <si>
    <t>vckhoi@ued.udn.vn</t>
  </si>
  <si>
    <t>Luật</t>
  </si>
  <si>
    <t>Vương quốc Anh</t>
  </si>
  <si>
    <t>Trường Đại học LINCOLN</t>
  </si>
  <si>
    <t>Hòa Hải - Ngũ Hành Sơn - Đà Nẵng</t>
  </si>
  <si>
    <t>Hòa Hải, Ngũ Hành Sơn, Đà Nẵng</t>
  </si>
  <si>
    <t>Tổ 75, P. Hòa Hải, Q. Ngũ Hành Sơn, TP. Đà Nẵng</t>
  </si>
  <si>
    <t>86 Trương Đăng Quế, P. Hòa Hải, Q. Ngũ Hành Sơn, TP. Đà Nẵng</t>
  </si>
  <si>
    <t>ptlam@ued.udn.vn</t>
  </si>
  <si>
    <t>Du lịch</t>
  </si>
  <si>
    <t>Nguyễn Thị Lộc</t>
  </si>
  <si>
    <t>D2504240.190109</t>
  </si>
  <si>
    <t>2/16/2022</t>
  </si>
  <si>
    <t>Sơn Trạch - Bố Trạch - Quảng Bình</t>
  </si>
  <si>
    <t>56 Chơn Tâm 2, Hòa Khánh Nam, Liên Chiểu, Đà Nẵng</t>
  </si>
  <si>
    <t>ntloc@ued.udn.vn</t>
  </si>
  <si>
    <t>Khoa học vùng: Kinh doanh và Lãnh thổ</t>
  </si>
  <si>
    <t>Đại học Huelva</t>
  </si>
  <si>
    <t>D2504330.190110</t>
  </si>
  <si>
    <t>Thiệu Hợp - Thiệu Hóa - Thanh hoá</t>
  </si>
  <si>
    <t>Thiệu Hợp, Thiệu Hóa, Thanh Hóa</t>
  </si>
  <si>
    <t>29 Nguyễn Sinh Sắc, Khối 8, thị trấn Đăk Tô, huyện Đăk Tô, tỉnh Kon Tum</t>
  </si>
  <si>
    <t>Kiệt số 2 Lê Đình Kỵ, P. Hòa An, Q. Cẩm Lệ, TP. Đà Nẵng</t>
  </si>
  <si>
    <t>lttmai@ued.udn.vn</t>
  </si>
  <si>
    <t>Lý luận và phương pháp dạy học bộ môn Giáo dục Chính trị</t>
  </si>
  <si>
    <t>Lê Thị Tuyết Mai</t>
  </si>
  <si>
    <t>D2504240.070092</t>
  </si>
  <si>
    <t>Duy Hải, Duy Xuyên - - Quảng Nam</t>
  </si>
  <si>
    <t>Duy Hải, Duy Xuyên, Quảng Nam</t>
  </si>
  <si>
    <t>Thôn Thuận Trì, Duy Hải, Duy Xuyên, Quảng Nam</t>
  </si>
  <si>
    <t>457/61 Tôn Đức Thắng, Hòa Khánh Nam, Liên Chiểu, Đà Nẵng</t>
  </si>
  <si>
    <t>ltmai@ued.udn.vn</t>
  </si>
  <si>
    <t>Lịch sử Trung Quốc cổ đại</t>
  </si>
  <si>
    <t>Cao Thị Nga</t>
  </si>
  <si>
    <t>D2504500.000034</t>
  </si>
  <si>
    <t>Trung Chính, Nông Cống - - Thanh hoá</t>
  </si>
  <si>
    <t>Trung Chính, Nông Cống, Thanh Hóa</t>
  </si>
  <si>
    <t>02 Phần Lăng 9, Hòa Khê, Thanh Khê, Đà Nẵng</t>
  </si>
  <si>
    <t>ctnga@ued.udn.vn</t>
  </si>
  <si>
    <t>Dương Thị Nghĩa</t>
  </si>
  <si>
    <t>D2504330.230106</t>
  </si>
  <si>
    <t>Thống Thượng, Việt Thống - Quế Võ - Bắc Ninh</t>
  </si>
  <si>
    <t>Thống Thượng, Việt Thống, Quế Võ, Bắc Ninh</t>
  </si>
  <si>
    <t>Tổ 3, An Hải Bắc, Sơn Trà, Đà Nẵng</t>
  </si>
  <si>
    <t>K111/2 Nguyễn Công Trứ, An Hải Bắc, Sơn Trà, Đà Nẵng</t>
  </si>
  <si>
    <t>dtnghia@ued.udn.vn</t>
  </si>
  <si>
    <t>10/25/2015</t>
  </si>
  <si>
    <t>Nguyễn Đặng Thảo Nguyên</t>
  </si>
  <si>
    <t>D2504280.070041</t>
  </si>
  <si>
    <t>Hương Trà - - Thừa Thiên - Huế</t>
  </si>
  <si>
    <t>09 Phan Bội Châu, Thạch Thang, Hải Châu, Đà Nẵng</t>
  </si>
  <si>
    <t>155 Bế Văn Đàn, Chính Gián, Thanh Khê, Đà Nẵng</t>
  </si>
  <si>
    <t>ndtnguyen@ued.udn.vn</t>
  </si>
  <si>
    <t>Nguyễn Duy Phương</t>
  </si>
  <si>
    <t>Phú Thọ - Quế Sơn - Quảng Nam</t>
  </si>
  <si>
    <t>Phú Thọ, Quế Sơn, Quảng Nam</t>
  </si>
  <si>
    <t>Tổ 19, P. Tam Thuận, Q.Thanh Khê, TP. Đà Nẵng</t>
  </si>
  <si>
    <t>số 32 Hoàng Đạo Thúy, Tổ 63, Phường Hòa Thọ Đông, Q. Cẩm Lệ, TP. Đà Nẵngg</t>
  </si>
  <si>
    <t>phuongcfl@gmail.com</t>
  </si>
  <si>
    <t>Thư viện trường Đại học Ngoại ngữ</t>
  </si>
  <si>
    <t>Phó Trưởng Phòng</t>
  </si>
  <si>
    <t>7/16/2003</t>
  </si>
  <si>
    <t>Chuyên viên chính</t>
  </si>
  <si>
    <t>D2504240.100017</t>
  </si>
  <si>
    <t>Hoài Sơn, Hoài Nhơn - - Bình Định</t>
  </si>
  <si>
    <t>92 Hàn Mặc Tử, Thuận Phước, Hải Châu, Đà Nẵng</t>
  </si>
  <si>
    <t>31 An Dương Vương, Mỹ An, Ngũ Hành Sơn, Đà Nẵng</t>
  </si>
  <si>
    <t>ndphuong@ued.udn.vn</t>
  </si>
  <si>
    <t>Trưởng khoa Lịch sử (23/3/2020)</t>
  </si>
  <si>
    <t>Nguyễn Văn Quế</t>
  </si>
  <si>
    <t>D2504330.230107</t>
  </si>
  <si>
    <t>Hải Lộc - Hậu Lộc - Thanh hoá</t>
  </si>
  <si>
    <t>Hải Lộc, Hậu Lộc, Thanh Hóa</t>
  </si>
  <si>
    <t>99 Hùng Vương, Hải Châu 1, Hải Châu, Đà Nẵng</t>
  </si>
  <si>
    <t>72 Trung Lương 2, Hòa Xuân, Cẩm Lệ, Đà Nẵng</t>
  </si>
  <si>
    <t>nvque@ued.udn.vn</t>
  </si>
  <si>
    <t>Triết học</t>
  </si>
  <si>
    <t>Nguyễn Duy Quý</t>
  </si>
  <si>
    <t>D2504330.100118</t>
  </si>
  <si>
    <t>Nghĩa Hoàn, Tân Kỳ - - Nghệ An</t>
  </si>
  <si>
    <t>Nghĩa Hoàn, Tân Kỳ, Nghệ An</t>
  </si>
  <si>
    <t>Thuận Yên, Nghĩa Hoàn, Tân Kỳ, Nghệ An</t>
  </si>
  <si>
    <t>95 Yên Khê 2, Thanh Khê Đông, Thanh Khê, Đà Nẵng</t>
  </si>
  <si>
    <t>ndquy@ued.udn.vn</t>
  </si>
  <si>
    <t>12/25/2009</t>
  </si>
  <si>
    <t>Chính trị học</t>
  </si>
  <si>
    <t>Lê Ra</t>
  </si>
  <si>
    <t>D2504270.250204</t>
  </si>
  <si>
    <t>xã Vu Gia, thành phố Đà Nẵng</t>
  </si>
  <si>
    <t>Tổ 30, phường Hòa Khánh, TP. Đà Nẵng</t>
  </si>
  <si>
    <t>lra@ued.udn.vn</t>
  </si>
  <si>
    <t>Học viện cảnh sát nhân dân</t>
  </si>
  <si>
    <t>Phan Thị Nhật Tài</t>
  </si>
  <si>
    <t>D2504330.210203</t>
  </si>
  <si>
    <t>5/25/2022</t>
  </si>
  <si>
    <t>Quế Phước - Quế Sơn - Quảng Nam</t>
  </si>
  <si>
    <t>K25/9 Lý Thường Kiệt, Thạch Thang, Hải Châu, Đà Nẵng</t>
  </si>
  <si>
    <t>ptntai@ued.udn.vn</t>
  </si>
  <si>
    <t>Nguyễn Văn Thái</t>
  </si>
  <si>
    <t>D2504280.130053</t>
  </si>
  <si>
    <t>Cẩm Hà, Cẩm Xuyên - - Hà Tĩnh</t>
  </si>
  <si>
    <t>Cẩm Hà, Cẩm Xuyên, Hà Tĩnh</t>
  </si>
  <si>
    <t>05 Phạm Như Xương, Hòa Khánh Nam, Liên Chiểu, Đà Nẵng</t>
  </si>
  <si>
    <t>nvthai@ued.udn.vn</t>
  </si>
  <si>
    <t>Nguyễn Phú Thắng</t>
  </si>
  <si>
    <t>D2504280.190220</t>
  </si>
  <si>
    <t>2/14/2022</t>
  </si>
  <si>
    <t>Nghi Thiết - Nghi Lộc - Nghệ An</t>
  </si>
  <si>
    <t>Nghi Thiết, Nghi Lộc, Nghệ An</t>
  </si>
  <si>
    <t>K108/29B, Nguyễn Chánh, Liên Chiểu, Đà Nẵng</t>
  </si>
  <si>
    <t>179 Đường Vạn Lộc, Nghi Tân, Cửa Lò, Nghệ An</t>
  </si>
  <si>
    <t>npthang@ued.udn.vn</t>
  </si>
  <si>
    <t>Địa lí học</t>
  </si>
  <si>
    <t>Trường Đại học Sư phạm Thành Phố HCM</t>
  </si>
  <si>
    <t>Nguyễn Thị Kim Thoa</t>
  </si>
  <si>
    <t>D2504280.120015</t>
  </si>
  <si>
    <t>Tổ 47, Hòa Thọ Đông, Cẩm Lệ, Đà Nẵng</t>
  </si>
  <si>
    <t>ntkthoa@ued.udn.vn</t>
  </si>
  <si>
    <t>Đoàn Thị Thông</t>
  </si>
  <si>
    <t>D2504280.120113</t>
  </si>
  <si>
    <t>Bình Phú, Thăng Bình, Quảng Nam</t>
  </si>
  <si>
    <t>Đội 2, thôn Phước Hà, Bình Phú, Thăng Bình, Quảng Nam</t>
  </si>
  <si>
    <t>Tổ 7, Hòa Khánh Nam, Liên Chiểu, Đà Nẵng</t>
  </si>
  <si>
    <t>dtthong@ued.udn.vn</t>
  </si>
  <si>
    <t>Phó Bí thư chi bộ, Chủ tịch Công đoàn bộ phận</t>
  </si>
  <si>
    <t>9/20/2007</t>
  </si>
  <si>
    <t>Khoa học giáo dục (LL&amp;PPDH Địa lý)</t>
  </si>
  <si>
    <t>Trương Anh Thuận</t>
  </si>
  <si>
    <t>D2504240.090090</t>
  </si>
  <si>
    <t>Phổ Vinh, Đức Phổ - - Quảng Ngãi</t>
  </si>
  <si>
    <t>Thị trấn Ba Tơ, Ba Tơ, Quảng Ngãi</t>
  </si>
  <si>
    <t>Tổ 24, Khu tái định cư Hòa Hiệp III, Hòa Hiệp Nam, Liên Chiểu, Đà Nẵng</t>
  </si>
  <si>
    <t>tathuan@ued.udn.vn</t>
  </si>
  <si>
    <t>5/22/2016</t>
  </si>
  <si>
    <t>Lịch sử học</t>
  </si>
  <si>
    <t>D2504330.190111</t>
  </si>
  <si>
    <t>8/28/2022</t>
  </si>
  <si>
    <t>Đồng Lê - Tuyên Hoá - Quảng Bình</t>
  </si>
  <si>
    <t>Thuận Hóa, Tuyên Hóa, Quảng Bình</t>
  </si>
  <si>
    <t>H32/47 Nguyễn Lương Bằng, Hòa Khánh Bắc, Liên Chiểu, Đà Nẵng</t>
  </si>
  <si>
    <t>nththuong@ued.udn.vn</t>
  </si>
  <si>
    <t>Luật Kinh tế</t>
  </si>
  <si>
    <t>Trường Đại học Luật - Đại học Huế</t>
  </si>
  <si>
    <t>Nguyễn Thị Kim Tiến</t>
  </si>
  <si>
    <t>D2504330.210104</t>
  </si>
  <si>
    <t>Phong Nha - Bố Trạch - Quảng Bình</t>
  </si>
  <si>
    <t>Phong Nha, Bố Trạch, Quảng Bình</t>
  </si>
  <si>
    <t>49 Hòa Nam 5, Hòa An, Cẩm Lệ, Đà Nẵng</t>
  </si>
  <si>
    <t>ntktien@ued.udn.vn</t>
  </si>
  <si>
    <t>Luật hiến pháp và luật hành chính</t>
  </si>
  <si>
    <t>Tăng Chánh Tín</t>
  </si>
  <si>
    <t>D2504240.130065</t>
  </si>
  <si>
    <t>54 Nguyễn Như Hạnh, Hòa Minh, Liên Chiểu, Đà Nẵng</t>
  </si>
  <si>
    <t>tctin@ued.udn.vn</t>
  </si>
  <si>
    <t>Bí Thư Liên chi đoàn, Phó Bí thư chi bộ, Ủy viên TV Đoàn</t>
  </si>
  <si>
    <t>12/19/2011</t>
  </si>
  <si>
    <t>Lưu Trang</t>
  </si>
  <si>
    <t>D2504240.000127</t>
  </si>
  <si>
    <t>Duy Trinh - Duy Xuyên - Quảng Nam</t>
  </si>
  <si>
    <t>717 Tôn Đức Thắng, Hoà Khánh Bắc, Liên Chiểu, Đà Nẵng</t>
  </si>
  <si>
    <t>ltrang@ued.udn.vn</t>
  </si>
  <si>
    <t>Trường Cao đẳng Sư phạm QN-ĐN</t>
  </si>
  <si>
    <t>Hiệu trưởng, Phó Hiệu trưởng</t>
  </si>
  <si>
    <t>6/13/2005</t>
  </si>
  <si>
    <t>Bí thư Đảng uỷ Trường</t>
  </si>
  <si>
    <t>7.64</t>
  </si>
  <si>
    <t>Dương Đình Tùng</t>
  </si>
  <si>
    <t>D2504330.120128</t>
  </si>
  <si>
    <t>Thiệu Dương, TP. Thanh Hóa - - Thanh hoá</t>
  </si>
  <si>
    <t>Thiệu Dương, TP. Thanh Hóa, Thanh Hóa</t>
  </si>
  <si>
    <t>Thôn 1, Thiệu Dương, TP. Thanh Hóa, Thanh Hóa</t>
  </si>
  <si>
    <t>H22/43/3 Mẹ Suốt, Hòa Khánh Nam, Liên Chiểu, Đà Nẵng</t>
  </si>
  <si>
    <t>ddtung@ued.udn.vn</t>
  </si>
  <si>
    <t>Tịnh Trà - Sơn Tịnh - Quảng Ngãi</t>
  </si>
  <si>
    <t>Tịnh Trà, Sơn Tịnh, Quảng Ngãi</t>
  </si>
  <si>
    <t>Kiệt 115/10, Ông ích Khiêm, Thanh Bình, Hải Châu, ĐN</t>
  </si>
  <si>
    <t>Tổ 54 Thanh Bình, hải Châu, ĐN</t>
  </si>
  <si>
    <t>nttuong@ued.udn.vn</t>
  </si>
  <si>
    <t>Khoa Địa lý Trường Đại học Sư phạm</t>
  </si>
  <si>
    <t>Trưởng Bộ môn Địa lý Kinh tế - Xã hội (ngày 06/5/2020), Trưởng phòng Tổ chức - Hành chính (23/3/2020), Phó Trưởng khoa (01/01/2019)</t>
  </si>
  <si>
    <t>Nguyễn Thị Hồng Yến</t>
  </si>
  <si>
    <t>D2504240.220106</t>
  </si>
  <si>
    <t>Thạc Gián - Thanh Khê - Đà Nẵng</t>
  </si>
  <si>
    <t>K40/19G Phan Thanh, Thạc Gián, Thanh Khê, Đà Nẵng</t>
  </si>
  <si>
    <t>3/21/2019</t>
  </si>
  <si>
    <t>Quốc tế học</t>
  </si>
  <si>
    <t>Trường Đại học Khoa học xã hội và nhân văn - Đại học Quốc gia Hà Nội</t>
  </si>
  <si>
    <t>Phạm Thị Thu Hà</t>
  </si>
  <si>
    <t>D2504320.100124</t>
  </si>
  <si>
    <t>Triệu Thành, Triệu Phong - - Quảng trị</t>
  </si>
  <si>
    <t>Khe Sanh, Hương Hóa, Quảng Trị</t>
  </si>
  <si>
    <t>pttha@ued.udn.vn</t>
  </si>
  <si>
    <t>Báo chí học</t>
  </si>
  <si>
    <t>Bùi Bích Hạnh</t>
  </si>
  <si>
    <t>D2504320.060014</t>
  </si>
  <si>
    <t>Bình Hiên - Hải Châu - Đà Nẵng</t>
  </si>
  <si>
    <t>Phước Ninh, Hải Châu, Đà Nẵng</t>
  </si>
  <si>
    <t>K257/51 Phan Châu Trinh, Hải Châu 1, Hải Châu, Đà Nẵng</t>
  </si>
  <si>
    <t>59 Hoàng Xuân Nhị, Hòa Cường Nam, Hải Châu, Đà Nẵng</t>
  </si>
  <si>
    <t>bbhanh@ued.udn.vn</t>
  </si>
  <si>
    <t>Khoa Ngư Văn Trường Đại học Sư phạm</t>
  </si>
  <si>
    <t>Trưởng Bộ môn Văn học Việt Nam (từ ngày 06/5/2020 đến hết ngày 05/5/2025)</t>
  </si>
  <si>
    <t>Trưởng khoa Khoa Ngữ Văn</t>
  </si>
  <si>
    <t>2/24/2014</t>
  </si>
  <si>
    <t>Đặng Phúc Hậu</t>
  </si>
  <si>
    <t>D2504320.220105</t>
  </si>
  <si>
    <t>Diễn Ngọc - Diễn Châu - Nghệ An</t>
  </si>
  <si>
    <t>Diễn Ngọc, Diễn Châu, Nghệ An</t>
  </si>
  <si>
    <t>Tổ 25, Hòa Thọ Tây, Cẩm Lệ, Đà Nẵng</t>
  </si>
  <si>
    <t>Tổ 58, Nại Hiên Đông, Sơn Trà, Đà Nẵng</t>
  </si>
  <si>
    <t>dphau@ued.udn.vn</t>
  </si>
  <si>
    <t>9/14/2014</t>
  </si>
  <si>
    <t>Đàm Nghĩa Hiếu</t>
  </si>
  <si>
    <t>D2504320.290914</t>
  </si>
  <si>
    <t>Phước Mỹ, Sơn Trà - - Đà Nẵng</t>
  </si>
  <si>
    <t>Bình Hiên, Hải Châu, Đà Nẵng</t>
  </si>
  <si>
    <t>30 Trưng Nữ Vương, Bình Hiên, Hải Châu, Đà Nẵng</t>
  </si>
  <si>
    <t>dnhieu@ued.udn.vn</t>
  </si>
  <si>
    <t>Trần Thị Hoà</t>
  </si>
  <si>
    <t>D2504340.090091</t>
  </si>
  <si>
    <t>- - Quảng Ngãi</t>
  </si>
  <si>
    <t>148 Trần Thủ Độ, Khuê Trung, Cẩm Lệ, Đà Nẵng</t>
  </si>
  <si>
    <t>tthoa@ued.udn.vn</t>
  </si>
  <si>
    <t>Trần Thị Mai Hương</t>
  </si>
  <si>
    <t>D2501570.000403</t>
  </si>
  <si>
    <t>Quảng Long, Quảng Trạch - - Quảng Bình</t>
  </si>
  <si>
    <t>Hiền Ninh, Quảng Ninh, Quảng Bình</t>
  </si>
  <si>
    <t>Tổ 79, Hòa Minh, Liên Chiểu, Đà Nẵng</t>
  </si>
  <si>
    <t>52 Phan Thị Nể, Hòa Minh, Liên Chiểu, Đà Nẵng</t>
  </si>
  <si>
    <t>pthuong@ued.udn.vn</t>
  </si>
  <si>
    <t>Trung tâm Khoa học Xã hội và Nhân văn</t>
  </si>
  <si>
    <t>5/18/2012</t>
  </si>
  <si>
    <t>Phạm Thị Hương</t>
  </si>
  <si>
    <t>D2504320.100015</t>
  </si>
  <si>
    <t>4/20/2021</t>
  </si>
  <si>
    <t>Bệnh viện đa khoa Đà Nẵng</t>
  </si>
  <si>
    <t>Tổ 38, Thuận Phước, Hải Châu, Đà Nẵng</t>
  </si>
  <si>
    <t>K38/21B đường 3/2, Thuận Phước, Hải Châu, Đà Nẵng</t>
  </si>
  <si>
    <t>ptthuong@ued.udn.vn</t>
  </si>
  <si>
    <t>Lý luận Văn học</t>
  </si>
  <si>
    <t>Phạm Thị Thu Hương</t>
  </si>
  <si>
    <t>D2504240.260113</t>
  </si>
  <si>
    <t>Hiếu Giang, Quảng Trị</t>
  </si>
  <si>
    <t>59 Đỗ Đăng Đệ, Hòa Xuân, Đà Nẵng</t>
  </si>
  <si>
    <t>ttmhuong@ued.udn.vn</t>
  </si>
  <si>
    <t>Lý luận ngôn ngữ</t>
  </si>
  <si>
    <t>Nguyễn Quang Huy</t>
  </si>
  <si>
    <t>D2504320.120041</t>
  </si>
  <si>
    <t>12/27/2023</t>
  </si>
  <si>
    <t>Đức Lĩnh, Vũ Quang - - Hà Tĩnh</t>
  </si>
  <si>
    <t>Đức Lĩnh, Vũ Quang, Hà Tĩnh</t>
  </si>
  <si>
    <t>Thôn Quang Thành, Đức Lĩnh, Vũ Quang, Hà Tĩnh</t>
  </si>
  <si>
    <t>154 Khánh Sơn, Hòa Khánh Nam, Liên Chiểu, Đà Nẵng</t>
  </si>
  <si>
    <t>nqhuy@ued.udn.vn</t>
  </si>
  <si>
    <t>Phó Trưởng khoa (14/4/2020</t>
  </si>
  <si>
    <t>Phủ Lý - - Hà Nam</t>
  </si>
  <si>
    <t>npkhanh@ued.udn.vn</t>
  </si>
  <si>
    <t>Văn học Bắc Mỹ</t>
  </si>
  <si>
    <t>Huỳnh Thị Cẩm Lai</t>
  </si>
  <si>
    <t>D2504500.050074</t>
  </si>
  <si>
    <t>Điện Hồng, Điện Bàn - - Quảng Nam</t>
  </si>
  <si>
    <t>Hoà Minh, Liên Chiểu, Đà Nẵng</t>
  </si>
  <si>
    <t>07 Trần Văn Dư, Mỹ An, Ngũ Hành Sơn, Đà Nẵng</t>
  </si>
  <si>
    <t>htclai@ued.udn.vn</t>
  </si>
  <si>
    <t>Giáo dục Thể chất - Giáo dục Quốc phòng</t>
  </si>
  <si>
    <t>Lư Thúy Liên</t>
  </si>
  <si>
    <t>D2504240.260112</t>
  </si>
  <si>
    <t>12/22/2024</t>
  </si>
  <si>
    <t>Phú Bài - - Thừa Thiên - Huế</t>
  </si>
  <si>
    <t>Phú Bài, Huế</t>
  </si>
  <si>
    <t>Tổ 47, Sơn Trà, Đà Nẵng</t>
  </si>
  <si>
    <t>Dân tộc học</t>
  </si>
  <si>
    <t>Vũ Thường Linh</t>
  </si>
  <si>
    <t>D2504320.100108</t>
  </si>
  <si>
    <t>5/30/2022</t>
  </si>
  <si>
    <t>Liên Bảo, Tiên Du - - Bắc Ninh</t>
  </si>
  <si>
    <t>Bắc Giang</t>
  </si>
  <si>
    <t>50 Nguyễn Khuyến, Hòa Khánh Nam, Liên Chiểu, Đà Nẵng</t>
  </si>
  <si>
    <t>vtlinh@ued.udn.vn</t>
  </si>
  <si>
    <t>Văn học Nga</t>
  </si>
  <si>
    <t>Lê Vân Trúc Ly</t>
  </si>
  <si>
    <t>D2504320.120057</t>
  </si>
  <si>
    <t>Bình Nguyên, Thăng Bình - - Quảng Nam</t>
  </si>
  <si>
    <t>Bình Nguyên, Thăng Bình, Quảng Nam</t>
  </si>
  <si>
    <t>Trần Phú, Hoà Hương, Tam Kỳ, Quảng Nam</t>
  </si>
  <si>
    <t>Xuân Hà, Thanh Khê, Đà Nẵng</t>
  </si>
  <si>
    <t>lvtly@ued.udn.vn</t>
  </si>
  <si>
    <t>Hòa Khương - Hoà Vang - Đà Nẵng</t>
  </si>
  <si>
    <t>Hòa An, Cẩm Lệ, Đà Nẵng</t>
  </si>
  <si>
    <t>56 Vũ Trọng Hoàn, Hòa An, Cẩm Lệ, Đà Nẵng</t>
  </si>
  <si>
    <t>ttyminh@ued.udn.vn</t>
  </si>
  <si>
    <t>6/16/2008</t>
  </si>
  <si>
    <t>Báo chí truyền thông</t>
  </si>
  <si>
    <t>Trường Đại học Bournemouth</t>
  </si>
  <si>
    <t>D2504250.210107</t>
  </si>
  <si>
    <t>Cục cảnh sát ĐKQL cư trú và DLQG về dân cư</t>
  </si>
  <si>
    <t>Túc Duyên - Tp Thái Nguyên - Thái Nguyên</t>
  </si>
  <si>
    <t>Túc Duyên, TP. Thái Nguyên, Thái Nguyên</t>
  </si>
  <si>
    <t>Trung Giã, Sóc Sơn, Hà Nội</t>
  </si>
  <si>
    <t>64 Đặng Dung, Hoà Khánh Bắc, Liên Chiểu, Đà Nẵng</t>
  </si>
  <si>
    <t>nttngan@ued.udn.vn</t>
  </si>
  <si>
    <t>9/22/2008</t>
  </si>
  <si>
    <t>Trịnh Quỳnh Đông Nghi</t>
  </si>
  <si>
    <t>D2504320.100110</t>
  </si>
  <si>
    <t>Duy An, Duy Xuyên - - Quảng Nam</t>
  </si>
  <si>
    <t>Tổ 29, Hòa Khánh Nam, Liên Chiểu, Đà Nẵng</t>
  </si>
  <si>
    <t>tqdnghi@ued.udn.vn</t>
  </si>
  <si>
    <t>8/19/2010</t>
  </si>
  <si>
    <t>Bùi Trọng Ngoãn</t>
  </si>
  <si>
    <t>D2504240.250212</t>
  </si>
  <si>
    <t>Gio Mai - Hoành Bồ -</t>
  </si>
  <si>
    <t>132/56 Hải Phòng</t>
  </si>
  <si>
    <t>132/56 Hải Phòng, ĐN</t>
  </si>
  <si>
    <t>btngoan@ued.udn.vn</t>
  </si>
  <si>
    <t>Trường cao đẳng SP Buôn Ma Thuột</t>
  </si>
  <si>
    <t>Hoàng Sĩ Ngọc</t>
  </si>
  <si>
    <t>D2504240.260111</t>
  </si>
  <si>
    <t>Gò Nỗi - - Đà Nẵng</t>
  </si>
  <si>
    <t>Gò Nỗi, Đà Nẵng</t>
  </si>
  <si>
    <t>hsngoc@ued.udn.vn</t>
  </si>
  <si>
    <t>Trường Đại học Trà Vinh</t>
  </si>
  <si>
    <t>Hoàng Sĩ Nguyên</t>
  </si>
  <si>
    <t>D2504240.250205</t>
  </si>
  <si>
    <t>phường Ngũ Hành Sơn, thành phố Đà Nẵng</t>
  </si>
  <si>
    <t>hsnguyen@ued.udn.vn</t>
  </si>
  <si>
    <t>Viện Văn học</t>
  </si>
  <si>
    <t>Trần Thị Ánh Nguyệt</t>
  </si>
  <si>
    <t>D2504320.230103</t>
  </si>
  <si>
    <t>Xã Hưng Lộc - Tp Vinh - Nghệ An</t>
  </si>
  <si>
    <t>Hưng Lộc, Vinh, Nghệ An</t>
  </si>
  <si>
    <t>Tổ 73, Mỹ An, Ngũ Hành Sơn, Đà Nẵng</t>
  </si>
  <si>
    <t>24 An Thượng 39, Mỹ An, Ngũ Hành Sơn, Đà Nẵng</t>
  </si>
  <si>
    <t>ttanguyet@ued.udn.vn</t>
  </si>
  <si>
    <t>12/22/2022</t>
  </si>
  <si>
    <t>Ngữ văn (Lí luận văn học)</t>
  </si>
  <si>
    <t>Giã Thị Tuyết Nhung</t>
  </si>
  <si>
    <t>D2504240.250201</t>
  </si>
  <si>
    <t>An Nhơn - An Nhơn - Bình Định</t>
  </si>
  <si>
    <t>phường Thắng Lợi, thành phố Kon Tum, tỉnh Kon Tum</t>
  </si>
  <si>
    <t>227 Thi Sách, tổ 6, phường Thắng Lợi, thành phố Kon Tum, tỉnh Kon Tum</t>
  </si>
  <si>
    <t>Hồ Trần Ngọc Oanh</t>
  </si>
  <si>
    <t>D2504240.211028</t>
  </si>
  <si>
    <t>Bình Trung, Thăng Bình - - Quảng Nam</t>
  </si>
  <si>
    <t>Bệnh viện 331, Gia Lai</t>
  </si>
  <si>
    <t>H34/42 Kiệt 1, Phạm Như Xương, Hòa Khánh Nam, Liên Chiểu, Đà Nẵng</t>
  </si>
  <si>
    <t>htnoanh@ued.udn.vn</t>
  </si>
  <si>
    <t>Trưởng Bộ môn (01/01/2019)</t>
  </si>
  <si>
    <t>Phó Trưởng khoa Khoa Ngữ văn (14/4/2020)</t>
  </si>
  <si>
    <t>Ngôn ngữ</t>
  </si>
  <si>
    <t>Nguyễn Hoàng Phương</t>
  </si>
  <si>
    <t>D2504320.090006</t>
  </si>
  <si>
    <t>Vĩnh Ninh - Minh Long -</t>
  </si>
  <si>
    <t>Phòng 303 nhà C tập thể Lê Hồng Phong, Tp. Huế</t>
  </si>
  <si>
    <t>Trường ĐH Queensland</t>
  </si>
  <si>
    <t>Hoàng Thị Mai Sa</t>
  </si>
  <si>
    <t>D2504320.100107</t>
  </si>
  <si>
    <t>An Cựu, Phú Nhuận - - Thừa Thiên - Huế</t>
  </si>
  <si>
    <t>Bình Thuận, Hải Châu, Đà Nẵng</t>
  </si>
  <si>
    <t>K442/H20/11 Hoàng Diệu, Bình Thuận, Hải Châu, Đà Nẵng</t>
  </si>
  <si>
    <t>htmsa@ued.udn.vn</t>
  </si>
  <si>
    <t>Văn hóa học</t>
  </si>
  <si>
    <t>Học viện Khoa học Xã hội Việt Nam</t>
  </si>
  <si>
    <t>Trần Văn Sáng</t>
  </si>
  <si>
    <t>D2504320.022015</t>
  </si>
  <si>
    <t>8/29/2022</t>
  </si>
  <si>
    <t>Kỳ Anh, Kỳ Châu - - Hà Tĩnh</t>
  </si>
  <si>
    <t>Kỳ Châu, Kỳ Anh, Hà Tĩnh</t>
  </si>
  <si>
    <t>4A/5/23 Kiệt 131 Trần Phú, thành phố Huế, Thừa Thiên Huế</t>
  </si>
  <si>
    <t>95 Thanh Nghị, Hòa Minh, Liên Chiểu</t>
  </si>
  <si>
    <t>tvsang@ued.udn.vn</t>
  </si>
  <si>
    <t>3/25/2025</t>
  </si>
  <si>
    <t>Nguyễn Hoàng Thân</t>
  </si>
  <si>
    <t>D2504320.000524</t>
  </si>
  <si>
    <t>1/20/2023</t>
  </si>
  <si>
    <t>Ái Nghĩa, Đại Lộc, Quảng Nam</t>
  </si>
  <si>
    <t>Khu 8, thị trấn Ái Nghĩa, Đại Lộc, Quảng Nam</t>
  </si>
  <si>
    <t>nhthan@ued.udn.vn</t>
  </si>
  <si>
    <t>Giám đốc Trung tâm Nghiên cứu KHXH&amp;NV (23/3/2020), Phó Trưởng khoa Ngữ Văn (16/5/2011)</t>
  </si>
  <si>
    <t>6/26/2011</t>
  </si>
  <si>
    <t>Hán Nôm</t>
  </si>
  <si>
    <t>Viện Hàn lâm Khoa học Xã hội Việt Nam</t>
  </si>
  <si>
    <t>Lê Văn Thắng</t>
  </si>
  <si>
    <t>D2504320.230104</t>
  </si>
  <si>
    <t>- Đông Sơn - Thanh hoá</t>
  </si>
  <si>
    <t>Bệnh viện Đa khoa Đà Nẵng</t>
  </si>
  <si>
    <t>K130 H22/04 Điện Biên Phủ, Chính Gián, Thanh Khê, Đà Nẵng</t>
  </si>
  <si>
    <t>lvthang@ued.udn.vn</t>
  </si>
  <si>
    <t>Hoàng Hoài Thương</t>
  </si>
  <si>
    <t>D2504320.080031</t>
  </si>
  <si>
    <t>Hoài Hương, Hoài Nhơn - - Bình Định</t>
  </si>
  <si>
    <t>Nghĩa Thương, Tư Nghĩa, Quảng Ngãi</t>
  </si>
  <si>
    <t>447/4 Tôn Đức Thắng, Hòa Khánh Nam, Liên Chiểu, Đà Nẵng</t>
  </si>
  <si>
    <t>hhthuong@ued.udn.vn</t>
  </si>
  <si>
    <t>Văn hóa Trung Quốc</t>
  </si>
  <si>
    <t>- Tx Sầm Sơn -</t>
  </si>
  <si>
    <t>Khu 2m Giáng Nam I, Hoà Phước, Hoà Vang</t>
  </si>
  <si>
    <t>44 Trần Huy Liệu, Cẩm Lệ, Đà Nẵng</t>
  </si>
  <si>
    <t>ltttinh@ued.udn.vn</t>
  </si>
  <si>
    <t>Lý luận và phương pháp dạy học bộ môn Văn - Tiếng Việt</t>
  </si>
  <si>
    <t>Hà Lan</t>
  </si>
  <si>
    <t>Đại học LEIDEN</t>
  </si>
  <si>
    <t>Âu Thị Quỳnh Trang</t>
  </si>
  <si>
    <t>D2504320.230105</t>
  </si>
  <si>
    <t>8/15/2021</t>
  </si>
  <si>
    <t>Quế Long - Quế Sơn - Quảng Nam</t>
  </si>
  <si>
    <t>Trạm xá phường An Hải Đông, Đà Nẵng</t>
  </si>
  <si>
    <t>Tổ 40, An Hải Đông, Sơn Trà, Đà Nẵng</t>
  </si>
  <si>
    <t>67 Trịnh Lỗi, Khuê Mỹ, Ngũ Hành Sơn, Đà Nẵng</t>
  </si>
  <si>
    <t>atqtrang@ued.udn.vn</t>
  </si>
  <si>
    <t>7/25/2022</t>
  </si>
  <si>
    <t>Nam Bình - Kiến Xương - Thái Bình</t>
  </si>
  <si>
    <t>Thị xã Lai Châu, tỉnh Lai Châu</t>
  </si>
  <si>
    <t>Số 16, ngách 5/4/3 Hoàng Quốc Việt, Cầu Giấy, Hà Nội</t>
  </si>
  <si>
    <t>506 Ông Ích Khiêm, Hải Châu II, Hải Châu, Đà Nẵng</t>
  </si>
  <si>
    <t>nttrang@ued.udn.vn</t>
  </si>
  <si>
    <t>9/29/2017</t>
  </si>
  <si>
    <t>Nhân học</t>
  </si>
  <si>
    <t>Nguyễn Lê Phương Trình</t>
  </si>
  <si>
    <t>D2504320.100109</t>
  </si>
  <si>
    <t>Hòa Minh, Hòa Vang - - Đà Nẵng</t>
  </si>
  <si>
    <t>Quế Trung, Nông Sơn, Quảng Nam</t>
  </si>
  <si>
    <t>309 Trần Nguyên Đán, Hòa Minh, Liên Chiểu, Đà Nẵng</t>
  </si>
  <si>
    <t>ptttrinh@ued.udn.n</t>
  </si>
  <si>
    <t>Trường ĐH Khoa học và xã hội nhân văn (ĐHQG tp HC</t>
  </si>
  <si>
    <t>Phạm Thị Tú Trinh</t>
  </si>
  <si>
    <t>D2504240.260114</t>
  </si>
  <si>
    <t>Điện Bàn Tây - Đà Nẵng</t>
  </si>
  <si>
    <t>nlptrinh@ued.udn.vn</t>
  </si>
  <si>
    <t>Nguyễn Thanh Trường</t>
  </si>
  <si>
    <t>D2504320.090007</t>
  </si>
  <si>
    <t>4/17/2021</t>
  </si>
  <si>
    <t>Đông Xuyên, Tiền Hải - - Thái Bình</t>
  </si>
  <si>
    <t>Mèo Vạc, Mèo Vạc, Hà Giang</t>
  </si>
  <si>
    <t>72 Hàm Nghi, Thạc Gián, Thanh Khê, Đà Nẵng</t>
  </si>
  <si>
    <t>nttruong@ued.udn.vn</t>
  </si>
  <si>
    <t>Nguyễn Thanh Tuấn</t>
  </si>
  <si>
    <t>D2504320.220104</t>
  </si>
  <si>
    <t>Tam Tiến - Núi Thành - Quảng Nam</t>
  </si>
  <si>
    <t>Thôn Hà Quang, xã Tam Tiến, Núi Thành, Quảng Nam</t>
  </si>
  <si>
    <t>Thôn Hà Lộc, xã Tam Tiến, huyện Núi Thành, tỉnh Quảng Nam</t>
  </si>
  <si>
    <t>52 Nguyễn Đăng Đạo, Khuê Trung, Cẩm Lệ, Đà Nẵng</t>
  </si>
  <si>
    <t>nttuan@ued.udn.vn</t>
  </si>
  <si>
    <t>Nghi Vạn, Nghi Lộc, Nghệ An</t>
  </si>
  <si>
    <t>Xóm 12, Nghi Vạn, Nghi Lộc, Nghệ An</t>
  </si>
  <si>
    <t>131 Nguyễn Chánh, Hòa Khánh Bắc, Liên Chiểu, Đà Nẵng</t>
  </si>
  <si>
    <t>tttuyet@ued.udn.vn</t>
  </si>
  <si>
    <t>Trường Cao đẳng Phát thanh Truyền hình II</t>
  </si>
  <si>
    <t>Trần Ái Vân</t>
  </si>
  <si>
    <t>D2504320.060017</t>
  </si>
  <si>
    <t>662 Lê Văn Hiến, Hòa Hải, Ngũ Hành Sơn, Đà Nẵng</t>
  </si>
  <si>
    <t>tavan@ued.udn.vn</t>
  </si>
  <si>
    <t>Văn học nước ngoài</t>
  </si>
  <si>
    <t>Lê Quốc Vũ</t>
  </si>
  <si>
    <t>D2504320.210206</t>
  </si>
  <si>
    <t>Triệu Thượng - Triệu Phong - Quảng trị</t>
  </si>
  <si>
    <t>Thượng Phước, Triệu Thương, Triệu Phong, Quảng Trị</t>
  </si>
  <si>
    <t>K457/44/18 Tôn Đức Thắng, Hòa Khánh Nam, Liên Chiểu, Đà Nẵng</t>
  </si>
  <si>
    <t>lqvu@ued.udn.vn</t>
  </si>
  <si>
    <t>Trần Văn Vỹ</t>
  </si>
  <si>
    <t>D2504320.317259</t>
  </si>
  <si>
    <t>tvvy@ued.udn.vn</t>
  </si>
  <si>
    <t>Nguyễn Thị Thu An</t>
  </si>
  <si>
    <t>D2504230.211091</t>
  </si>
  <si>
    <t>Thạch Bình, Thạch Hà - - Hà Tĩnh</t>
  </si>
  <si>
    <t>Thị trấn Cẩm Xuyên, Cẩm Xuyên, Hà Tĩnh</t>
  </si>
  <si>
    <t>nttan@ued.udn.vn</t>
  </si>
  <si>
    <t>Trần Văn Ban</t>
  </si>
  <si>
    <t>D2504050.250101</t>
  </si>
  <si>
    <t>Nghĩa Sơn, Nghĩa Hưng, Nam Định</t>
  </si>
  <si>
    <t>130 Nguyễn Cơ Thạch, Hòa Hải, Ngũ Hành Sơn, Đà Nẵng</t>
  </si>
  <si>
    <t>tvban@ued.udn.vn</t>
  </si>
  <si>
    <t>Trường Đại học Đà Lạt</t>
  </si>
  <si>
    <t>Phổ Khánh - Đức Phổ - Quảng Ngãi</t>
  </si>
  <si>
    <t>Phổ Khánh, Đức Phổ, Quảng Ngãi</t>
  </si>
  <si>
    <t>Tổ 51C, Hòa An, Cẩm Lệ, Đà Nẵng</t>
  </si>
  <si>
    <t>lttbinh@ued.udn.vn</t>
  </si>
  <si>
    <t>3/26/2025</t>
  </si>
  <si>
    <t>4/16/2014</t>
  </si>
  <si>
    <t>Khoa học máy tính</t>
  </si>
  <si>
    <t>Phan Nguyễn Huy Chinh</t>
  </si>
  <si>
    <t>D2504340.304255</t>
  </si>
  <si>
    <t>Cẩm Phô, Hội An, Quảng Nam</t>
  </si>
  <si>
    <t>số 24/11 Nguyễn Trường Tộ, Cẩm PHÔ, Hội An</t>
  </si>
  <si>
    <t>pnhchinh@ued.udn.vn</t>
  </si>
  <si>
    <t>Nguyễn Xuân Cường</t>
  </si>
  <si>
    <t>D2504050.210114</t>
  </si>
  <si>
    <t>Diễn Bình - Diễn Châu - Nghệ An</t>
  </si>
  <si>
    <t>44 Lê Vĩnh Huy, Hòa Cường Bắc, Hải Châu, Đà Nẵng</t>
  </si>
  <si>
    <t>nxcuong@ued.udn.vn</t>
  </si>
  <si>
    <t>D2504050.260115</t>
  </si>
  <si>
    <t>5/14/2023</t>
  </si>
  <si>
    <t>- - Thừa Thiên - Huế</t>
  </si>
  <si>
    <t>33 Đoàn Quý Phi, Hòa Cường, Đà Nẵng</t>
  </si>
  <si>
    <t>nnha@ued.udn.vn</t>
  </si>
  <si>
    <t>Tiếng Anh</t>
  </si>
  <si>
    <t>Đại học LEEDS</t>
  </si>
  <si>
    <t>Hương Canh, Bình Xuyên - - Vĩnh Phúc</t>
  </si>
  <si>
    <t>Hương Canh, Bình Xuyên, Vĩnh Phúc</t>
  </si>
  <si>
    <t>K121/1 Hoàng Văn Thụ, Phước Ninh, Hải Châu, Đà Nẵng</t>
  </si>
  <si>
    <t>nmly@ued.udn.vn</t>
  </si>
  <si>
    <t>Trưởng khoa Khoa Sinh - MT, Phó Trưởng khoa Sinh - Môi trường (01/10/2017)</t>
  </si>
  <si>
    <t>Chọn giống và nhân giống cây nông nghiệp</t>
  </si>
  <si>
    <t>Phạm Thị Thanh Mai</t>
  </si>
  <si>
    <t>D2504340.211075</t>
  </si>
  <si>
    <t>Nại Hiên Đông, Sơn Trà, Đà Nẵng</t>
  </si>
  <si>
    <t>pttmai@ued.udn.vn</t>
  </si>
  <si>
    <t>Công tác Quan hệ quốc tế</t>
  </si>
  <si>
    <t>Lại Quang Minh</t>
  </si>
  <si>
    <t>D2504340.211086</t>
  </si>
  <si>
    <t>Tam Kỳ - - Quảng Nam</t>
  </si>
  <si>
    <t>Tam Kỳ, Quảng Nam</t>
  </si>
  <si>
    <t>457/8 Tôn Đức Thắng, Hòa Khánh Nam, Liên Chiểu, Đà Nẵng</t>
  </si>
  <si>
    <t>lqminh@ued.udn.vnh</t>
  </si>
  <si>
    <t>Quản lý thiết bị - CSVC</t>
  </si>
  <si>
    <t>Sư phạm kỹ thuật Điện tử - Tin học</t>
  </si>
  <si>
    <t>Phan Trương Hoàng My</t>
  </si>
  <si>
    <t>D2504250.120062</t>
  </si>
  <si>
    <t>Hòa Phước, Hòa Vang, Đà Nẵng</t>
  </si>
  <si>
    <t>29 An Dương Vương, Mỹ An, Ngũ Hành Sơn, Đà Nẵng</t>
  </si>
  <si>
    <t>pthmy@ued.udn.vn</t>
  </si>
  <si>
    <t>Hà Hồng Ngọc</t>
  </si>
  <si>
    <t>D2504050.260116</t>
  </si>
  <si>
    <t>9/18/2025</t>
  </si>
  <si>
    <t>Quảng Ninh - - Quảng trị</t>
  </si>
  <si>
    <t>Quảng Ninh, Quảng Trị</t>
  </si>
  <si>
    <t>11 Phạm Ngọc Thạc, Đồng Hới, Quảng Trị</t>
  </si>
  <si>
    <t>hhngoc@ued.udn.vn</t>
  </si>
  <si>
    <t>Đại học NOTTINGHAM</t>
  </si>
  <si>
    <t>Ngô Thị Phương Nhi</t>
  </si>
  <si>
    <t>D2504050.260117</t>
  </si>
  <si>
    <t>Sơn Tiến - - Hà Tĩnh</t>
  </si>
  <si>
    <t>Sơn Tiến, Hà Tĩnh</t>
  </si>
  <si>
    <t>TDP 3, Nam Gia Nghĩa, Lâm Đồng</t>
  </si>
  <si>
    <t>ntpnhi@ued.udn.vn</t>
  </si>
  <si>
    <t>Nguyễn Toàn Quyền</t>
  </si>
  <si>
    <t>D2504020.120096</t>
  </si>
  <si>
    <t>Thanh Khê, Đà Nẵng</t>
  </si>
  <si>
    <t>K181/21 Nguyễn Phước Nguyên, An Khê, Thanh Khê, Đà Nẵng</t>
  </si>
  <si>
    <t>ntquyen@ued.udn.vn</t>
  </si>
  <si>
    <t>Võ Ngọc Mai Quỳnh</t>
  </si>
  <si>
    <t>D2504340.230109</t>
  </si>
  <si>
    <t>Nghĩa Phương - Tư Nghĩa - Quảng Ngãi</t>
  </si>
  <si>
    <t>Bệnh viện Việt Đức, xã Eaktur, huyện Kroongana, tỉnh Đaklak</t>
  </si>
  <si>
    <t>133 Nguyễn Thúy, Hòa Minh, Liên Chiểu, Đà Nẵng</t>
  </si>
  <si>
    <t>vnmquynh@ued.udn.vn</t>
  </si>
  <si>
    <t>6/13/2011</t>
  </si>
  <si>
    <t>Ngôn ngữ và Văn hóa nước ngoài</t>
  </si>
  <si>
    <t>Học viện Khoa học Quân sự</t>
  </si>
  <si>
    <t>12/28/2022</t>
  </si>
  <si>
    <t>Sơn Trạch, Bố Trạch, Q. Bình - -</t>
  </si>
  <si>
    <t>Sơn Trạch, Bố Trạch, Q. Bình</t>
  </si>
  <si>
    <t>Tổ 102, Thọ Quang, Sơn Trà, Đà Nẵng</t>
  </si>
  <si>
    <t>nvsang@ued.udn.vn</t>
  </si>
  <si>
    <t>Trường Đại học Tổng hợp Lodz</t>
  </si>
  <si>
    <t>Lê Vũ Hoàng Thi</t>
  </si>
  <si>
    <t>D2504340.304254</t>
  </si>
  <si>
    <t>Bệnh viện Đại Lộc</t>
  </si>
  <si>
    <t>k457/30 Tôn Đức Thắng, Liên Chiểu, Đà Nẵng</t>
  </si>
  <si>
    <t>K457/30 Tôn Đức Thắng, Liên Chiểu, Đà Nẵng</t>
  </si>
  <si>
    <t>lvhthi@ued.udn.vn</t>
  </si>
  <si>
    <t>Trường Đại học Duy Tân Đà Nẵng</t>
  </si>
  <si>
    <t>Nghiêm Văn Bình</t>
  </si>
  <si>
    <t>D2504060.170309</t>
  </si>
  <si>
    <t>Phòng Khảo thí - Bảo đảm chất lượng, Trường ĐHSP</t>
  </si>
  <si>
    <t>D2504070</t>
  </si>
  <si>
    <t>Việt Trung - Bố Trạch - Quảng Bình</t>
  </si>
  <si>
    <t>Việt Trung, Bố Trạch, Quảng Bình</t>
  </si>
  <si>
    <t>nvbinh@ued.udn.vn</t>
  </si>
  <si>
    <t>Công tác Thanh tra</t>
  </si>
  <si>
    <t>Công nghệ thực phẩm - Sinh học</t>
  </si>
  <si>
    <t>Đỗ Thế Cường</t>
  </si>
  <si>
    <t>D2504340.090097</t>
  </si>
  <si>
    <t>Xuân Bái, Thọ Xuân - - Thanh hoá</t>
  </si>
  <si>
    <t>Xuân Bái, Thọ Xuân, Thanh Hóa</t>
  </si>
  <si>
    <t>Chung cư Phước Lý, Hòa An, Cẩm Lệ, Đà Nẵng</t>
  </si>
  <si>
    <t>dtcuong@ued.udn.vn</t>
  </si>
  <si>
    <t>D2504510.210113</t>
  </si>
  <si>
    <t>Đức La - Đức Thọ - Hà Tĩnh</t>
  </si>
  <si>
    <t>Đức La, Đức Thọ, Hà Tĩnh</t>
  </si>
  <si>
    <t>Tô 9, EaTam, Buôn Ma Thuột, Đăk Lăk</t>
  </si>
  <si>
    <t>nttdungkt@ued.udn.vn</t>
  </si>
  <si>
    <t>Tài chính - Ngân hàng</t>
  </si>
  <si>
    <t>Phan Thị Hoa</t>
  </si>
  <si>
    <t>D2501060.000222</t>
  </si>
  <si>
    <t>Duy Thành, Duy Xuyên - - Quảng Nam</t>
  </si>
  <si>
    <t>Trung Sơn Trầm, Sơn Tây, Hà Nội</t>
  </si>
  <si>
    <t>Số nhà 33, Tổ 3, Khuê Trung, Cẩm Lệ, Đà Nẵng</t>
  </si>
  <si>
    <t>Số nhà 41, Tổ 12, Khuê Trung, Cẩm Lệ, Đà Nẵng</t>
  </si>
  <si>
    <t>pthoa@ued.udn.vn</t>
  </si>
  <si>
    <t>Phó Trưởng phòng Đào tạo (01/4/2019)</t>
  </si>
  <si>
    <t>Động vật học</t>
  </si>
  <si>
    <t>Tôn Nữ Duy Hoàng</t>
  </si>
  <si>
    <t>D2504260.000185</t>
  </si>
  <si>
    <t>Phước Yên, Quảng Điền - - Thừa Thiên - Huế</t>
  </si>
  <si>
    <t>88 Thái Thị Bôi, Chính Gián, Thanh Khê, Đà Nẵng</t>
  </si>
  <si>
    <t>182 Điện Biên Phủ, Chính Gián, Thanh Khê, Đà Nẵng</t>
  </si>
  <si>
    <t>tndhoang@ued.udn.vn</t>
  </si>
  <si>
    <t>Trưởng Ban nữ công Trường, Chủ tịch Công đoàn bộ phận</t>
  </si>
  <si>
    <t>Trương Văn Thanh</t>
  </si>
  <si>
    <t>D2504020.100125</t>
  </si>
  <si>
    <t>An Phú, Tam Kỳ - - Quảng Nam</t>
  </si>
  <si>
    <t>Nam Đà, Krông Nô, Đăk Nông</t>
  </si>
  <si>
    <t>tvthanh@ued.udn.vn</t>
  </si>
  <si>
    <t>Phó Trưởng phòng phụ trách</t>
  </si>
  <si>
    <t>Huỳnh Minh Tuyền</t>
  </si>
  <si>
    <t>D2504030.090096</t>
  </si>
  <si>
    <t>Đại Đồng, Đại Lộc - - Quảng Nam</t>
  </si>
  <si>
    <t>Đại Đồng, Đại Lộc, Quảng Nam</t>
  </si>
  <si>
    <t>Tổ 53, Hòa Khánh Bắc, Liên Chiểu, Đà Nẵng</t>
  </si>
  <si>
    <t>K104/18/2/4 Đoàn Phú Tứ, Hòa Khánh Bắc, Liên Chiểu, Đà Nẵng</t>
  </si>
  <si>
    <t>hmtuyen@ued.udn.vn</t>
  </si>
  <si>
    <t>5/19/2012</t>
  </si>
  <si>
    <t>Kỹ thuật</t>
  </si>
  <si>
    <t>Mỹ thuật</t>
  </si>
  <si>
    <t>Trường ĐH Nghệ thuật (ĐH Huế)</t>
  </si>
  <si>
    <t>Đinh Tuấn Anh</t>
  </si>
  <si>
    <t>100103121.3</t>
  </si>
  <si>
    <t>Phòng Cơ sở vật chất - Trường ĐHSP</t>
  </si>
  <si>
    <t>D2504090</t>
  </si>
  <si>
    <t>Phòng 503, Chung cư Thanh khê, Phương Thanh Khê Tây, quận Thanh khê, ĐN</t>
  </si>
  <si>
    <t>dtanh@ued.udn.vn</t>
  </si>
  <si>
    <t>Xây dựng công trình thủy</t>
  </si>
  <si>
    <t>Phan Ngọc Đình Giang</t>
  </si>
  <si>
    <t>D2504090.230111</t>
  </si>
  <si>
    <t>Đông Xuyên - Phong Điền - Thừa Thiên - Huế</t>
  </si>
  <si>
    <t>Hải Châu II, Hải Châu, Đà Nẵng</t>
  </si>
  <si>
    <t>K115/24 Ông Ích Khiêm, Thanh Bình, Hải Châu, Đà Nẵng</t>
  </si>
  <si>
    <t>pndgiang@ued.udn.vn</t>
  </si>
  <si>
    <t>Phạm Thị Mỹ Hạnh</t>
  </si>
  <si>
    <t>D2504020.190117</t>
  </si>
  <si>
    <t>12 Nguyễn Bá Lân, Mỹ An, Ngũ Hành Sơn, Đà Nẵng</t>
  </si>
  <si>
    <t>ptmhanh@ued.udn.vn</t>
  </si>
  <si>
    <t>Nhân viên đánh máy</t>
  </si>
  <si>
    <t>Toán - Tin</t>
  </si>
  <si>
    <t>Hồ Minh Hoành</t>
  </si>
  <si>
    <t>D2504020.090081</t>
  </si>
  <si>
    <t>Xuân Ninh, Quảng Ninh - - Quảng Bình</t>
  </si>
  <si>
    <t>Xuân Ninh, Quảng Ninh, Quảng Bình</t>
  </si>
  <si>
    <t>K1/H53/12 Phạm Như Xương, Hòa Khánh Nam, Liên Chiểu, Đà Nẵng</t>
  </si>
  <si>
    <t>hmhoanh@ued.udn.vn</t>
  </si>
  <si>
    <t>8/14/2017</t>
  </si>
  <si>
    <t>Kỹ sư</t>
  </si>
  <si>
    <t>Hoàng Mạnh Hùng</t>
  </si>
  <si>
    <t>D2504020.130099</t>
  </si>
  <si>
    <t>Cam Hiếu, Cam Lộ - - Quảng trị</t>
  </si>
  <si>
    <t>Vĩnh Ninh, TP. Huế, Thừa Thiên Huế</t>
  </si>
  <si>
    <t>2/4 Trần Thúc Nhẫn, Vĩnh Ninh, TP. Huế, Thừa Thiên Huế</t>
  </si>
  <si>
    <t>Lô 10b.2b TT ĐT mới Tây Bắc 1, Hòa Minh, Liên Chiểu, Đà Nẵng</t>
  </si>
  <si>
    <t>hmhung@ued.udn.vn</t>
  </si>
  <si>
    <t>Kiến trúc và xây dựng</t>
  </si>
  <si>
    <t>Xây dựng dân dụng và công nghiệp</t>
  </si>
  <si>
    <t>Trường ĐH Kiến trúc tp HCM</t>
  </si>
  <si>
    <t>Hứa Hữu Lân</t>
  </si>
  <si>
    <t>D2504090.196801</t>
  </si>
  <si>
    <t>Lộc Tiến - - Thừa Thiên - Huế</t>
  </si>
  <si>
    <t>Lộc Tiến, Phú Lộc, Thừa Thiên Huế</t>
  </si>
  <si>
    <t>Thôn Phú Gia, Lộc Tiến, Phú Lộc, Thừa Thiên Huế</t>
  </si>
  <si>
    <t>K81/11 Ngô Thì Nhậm, Hòa Khánh Bắc, Liên Chiểu, Đà Nẵng</t>
  </si>
  <si>
    <t>hhlan@ued.udn.vn</t>
  </si>
  <si>
    <t>Cơ khí động lực</t>
  </si>
  <si>
    <t>Nguyễn Thị Hồng Thanh</t>
  </si>
  <si>
    <t>D2504040.050106</t>
  </si>
  <si>
    <t>Thạch Hội, Thạch Hà - - Hà Tĩnh</t>
  </si>
  <si>
    <t>K42/5 Ngô Sỹ Liên, Hòa Khánh Bắc, Liên Chiểu, Đà Nẵng</t>
  </si>
  <si>
    <t>nththanh@ued.udn.vn</t>
  </si>
  <si>
    <t>Trưởng phòng Kế hoạch - Tài chính, Kế toán trưởng</t>
  </si>
  <si>
    <t>2/18/2011</t>
  </si>
  <si>
    <t>Kế toán doanh nghiệp</t>
  </si>
  <si>
    <t>Trần Đoàn Vũ</t>
  </si>
  <si>
    <t>D2501100.080045</t>
  </si>
  <si>
    <t>Hòa Liên, Hòa Vang - - Đà Nẵng</t>
  </si>
  <si>
    <t>Bệnh viện Đà Nẵng</t>
  </si>
  <si>
    <t>08 Phan Văn Định, Hòa Khánh Bắc, Liên Chiểu, Đà Nẵng</t>
  </si>
  <si>
    <t>tdvu@ued.udn.vn</t>
  </si>
  <si>
    <t>Phó Trưởng phòng CSVC (01/4/2019)</t>
  </si>
  <si>
    <t>Hội đồng trường - Trường ĐHSP</t>
  </si>
  <si>
    <t>Thiệu Vân, Thiệu Hóa - - Thanh hoá</t>
  </si>
  <si>
    <t>Đông Vệ, thị xã Thanh Hóa, Thanh Hóa</t>
  </si>
  <si>
    <t>Khu chung cư Hòa Thuận, 598 Hoàng Diệu, Bình Thuận, Hải Châu, Đà Nẵng</t>
  </si>
  <si>
    <t>nttanh@ued.udn.vn</t>
  </si>
  <si>
    <t>Chủ tịch Hội đồng Trường</t>
  </si>
  <si>
    <t>8/15/2024</t>
  </si>
  <si>
    <t>Trưởng khoa TL-GD-CTXH</t>
  </si>
  <si>
    <t>Tâm lý - Giáo dục</t>
  </si>
  <si>
    <t>Trần Thị Hoài Diễm</t>
  </si>
  <si>
    <t>D2504220.220204</t>
  </si>
  <si>
    <t>9/28/2021</t>
  </si>
  <si>
    <t>Phú Thượng - Phú Vang - Thừa Thiên - Huế</t>
  </si>
  <si>
    <t>Phú Thượng, Phú Vang, Thừa Thiên Huế</t>
  </si>
  <si>
    <t>Phú Thượng, thành phố Huế, tỉnh Thừa Thiên Huế</t>
  </si>
  <si>
    <t>29 Hùng Vương, Thuận Hóa, thành phố Huế, tỉnh Thừa Thiên Huế</t>
  </si>
  <si>
    <t>tthdiem@ued.udn.vn</t>
  </si>
  <si>
    <t>Lý luận và Lịch sử Mỹ thuật</t>
  </si>
  <si>
    <t>Viện Văn hóa Nghệ thuật Quốc gia Việt Nam</t>
  </si>
  <si>
    <t>Huỳnh Bọng</t>
  </si>
  <si>
    <t>D2504220.000157</t>
  </si>
  <si>
    <t>Hòa Khương, Hòa Vang - - Đà Nẵng</t>
  </si>
  <si>
    <t>Hòa Khương, Hoà Vang, Đà Nẵng</t>
  </si>
  <si>
    <t>hbong@ued.udn.vn</t>
  </si>
  <si>
    <t>Trường Cao Đẳng Sư phạm QN-ĐN</t>
  </si>
  <si>
    <t>3/17/2025</t>
  </si>
  <si>
    <t>Giáo viên trung học</t>
  </si>
  <si>
    <t>- Bố Trạch -</t>
  </si>
  <si>
    <t>Quỳnh Ngọc, Quỳnh Lưu, Nghệ An</t>
  </si>
  <si>
    <t>529 Trần Cao Vân, Tổ 9, Xuân Hà, Thanh Khê, Đà Nẵng</t>
  </si>
  <si>
    <t>tqmduc@ued.udn.vn</t>
  </si>
  <si>
    <t>Phó Trưởng khoa (07/8/2020)</t>
  </si>
  <si>
    <t>Lý luận và phương pháp dạy học Âm nhạc</t>
  </si>
  <si>
    <t>Trường Đại học Sư phạm Nghệ thuật Trung ương</t>
  </si>
  <si>
    <t>D2504220.210109</t>
  </si>
  <si>
    <t>Hòa Phong, Hoà Vang, Đà Nẵng</t>
  </si>
  <si>
    <t>Cẩm Toại Đông, Hòa Phong, Hòa Vang, Đà Nẵng</t>
  </si>
  <si>
    <t>328 Âu Cơ, Hòa Khánh Bắc, Liên Chiểu, Đà Nẵng</t>
  </si>
  <si>
    <t>ttmhanh@ued.udn.vn</t>
  </si>
  <si>
    <t>Nguyễn Hoàng Quang Huy</t>
  </si>
  <si>
    <t>D2504330.190112</t>
  </si>
  <si>
    <t>Thủy Biều - Tp Huế - Thừa Thiên - Huế</t>
  </si>
  <si>
    <t>Thủy Biều, thành phố Huế, Thừa Thiên Huế</t>
  </si>
  <si>
    <t>2/588 Bùi Thị Xuân, Thủy Biều, thành phố Huế, Thừa Thiên Huế</t>
  </si>
  <si>
    <t>nhqhuy@ued.udn.vn</t>
  </si>
  <si>
    <t>II</t>
  </si>
  <si>
    <t>Nghệ thuật</t>
  </si>
  <si>
    <t>Mỹ thuật tạo hình</t>
  </si>
  <si>
    <t>Đại học Mahasarakham</t>
  </si>
  <si>
    <t>Phan Thị Quỳnh Lam</t>
  </si>
  <si>
    <t>D2504330.211006</t>
  </si>
  <si>
    <t>Hải Châu 2, Hải Châu - - Đà Nẵng</t>
  </si>
  <si>
    <t>Hải Châu 2, Hải Châu, Đà Nẵng</t>
  </si>
  <si>
    <t>18 Dương Đình Nghệ, An Hải Bắc, Sơn Trà, Đà Nẵng</t>
  </si>
  <si>
    <t>ptqlam@ued.udn.vn</t>
  </si>
  <si>
    <t>Lý luận và phương pháp giảng dạy âm nhạc</t>
  </si>
  <si>
    <t>Học viện âm nhạc Quốc gia Việt Nam</t>
  </si>
  <si>
    <t>Trầm Thị Trạch Oanh</t>
  </si>
  <si>
    <t>D2504330.190113</t>
  </si>
  <si>
    <t>Tiên Cảnh - Tiên Phước - Quảng Nam</t>
  </si>
  <si>
    <t>Tiên Cảnh, Tiên Phước, Quảng Nam</t>
  </si>
  <si>
    <t>Tổ 2, thôn 7b, Tiên Cảnh, Tiên Phước, Quảng Nam</t>
  </si>
  <si>
    <t>574/37 Trưng Nữ Vương, Hòa Thuận Tây, Hải Châu, Đà Nẵng</t>
  </si>
  <si>
    <t>tttoanh@ued.udn.vn</t>
  </si>
  <si>
    <t>Trường Đại học Mỹ thuật Việt Nam</t>
  </si>
  <si>
    <t>Hoàng Đình Phương</t>
  </si>
  <si>
    <t>D2504330.130041</t>
  </si>
  <si>
    <t>5/17/2021</t>
  </si>
  <si>
    <t>Đại Trạch, Bố Trạch - - Quảng Bình</t>
  </si>
  <si>
    <t>Đại Trạch, Bố Trạch, Quảng Bình</t>
  </si>
  <si>
    <t>Tổ 16, Phước Lý, Hòa An, Cẩm Lệ, Đà Nẵng</t>
  </si>
  <si>
    <t>nttphuong@ued.udn.vn</t>
  </si>
  <si>
    <t>Biểu diễn thanh nhạc</t>
  </si>
  <si>
    <t>Nguyễn Thị Thu Phương</t>
  </si>
  <si>
    <t>D2504330.130042</t>
  </si>
  <si>
    <t>Bình Hải, Thăng Bình - - Quảng Nam</t>
  </si>
  <si>
    <t>Bình Hải, Thăng Bình, Quảng Nam</t>
  </si>
  <si>
    <t>54/8 Nguyễn Như Hạnh, Hòa Minh, Liên Chiểu, Đà Nẵng</t>
  </si>
  <si>
    <t>hdphuong@ued.udn.vn</t>
  </si>
  <si>
    <t>Âm nhạc học</t>
  </si>
  <si>
    <t>Nguyễn Thị Lệ Quyên</t>
  </si>
  <si>
    <t>D2504330.120092</t>
  </si>
  <si>
    <t>Đức Mạnh - Thạnh Hưng -</t>
  </si>
  <si>
    <t>Xã Đức Mạnh, ĐakMil, ĐăkNông</t>
  </si>
  <si>
    <t>ntlquyen@ued.udn.vn</t>
  </si>
  <si>
    <t>11/26/2025</t>
  </si>
  <si>
    <t>lý luận và phương pháp dạy học Âm nhạc</t>
  </si>
  <si>
    <t>Đàm Văn Thọ</t>
  </si>
  <si>
    <t>D2504250.000499</t>
  </si>
  <si>
    <t>Xuân Hòa, Hải Châu - - Đà Nẵng</t>
  </si>
  <si>
    <t>246 Điện Biên Phủ, Chính Gián, Thanh Khê, Đà Nẵng</t>
  </si>
  <si>
    <t>dvtho@ued.udn.vn</t>
  </si>
  <si>
    <t>Nghệ thuật thị giác</t>
  </si>
  <si>
    <t>Lê Thị Hoài Thương</t>
  </si>
  <si>
    <t>D2504512.130062</t>
  </si>
  <si>
    <t>5/18/2022</t>
  </si>
  <si>
    <t>Vĩnh Long, Vĩnh Linh - - Quảng trị</t>
  </si>
  <si>
    <t>Quyết Thắng, Vĩnh Linh, Quảng Trị</t>
  </si>
  <si>
    <t>Khóm Ngã Tư, Bến Quan, Vĩnh Linh, Quảng Trị</t>
  </si>
  <si>
    <t>47 Nguyễn Lương Bằng, Hòa Khánh Bắc, Liên Chiểu, Đà Nẵng</t>
  </si>
  <si>
    <t>lththuong@ued.udn.vn</t>
  </si>
  <si>
    <t>Lê Hưng Tiến</t>
  </si>
  <si>
    <t>D2504220.210108</t>
  </si>
  <si>
    <t>Đạo Long - Tx Phan Rang-TC - Ninh Thuận</t>
  </si>
  <si>
    <t>Kinh Dinh, Phan Rang - Tháp Chàm, Ninh Thuận</t>
  </si>
  <si>
    <t>399/20B Thống Nhất, Kinh Dinh, Phan Rang - Tháp Chàm, Ninh Thuận</t>
  </si>
  <si>
    <t>203/12 Trường Chinh, Văn Hải, Phan Rang - Tháp Chàm, Ninh Thuận</t>
  </si>
  <si>
    <t>lhtien@ued.udn.vn</t>
  </si>
  <si>
    <t>11/27/2008</t>
  </si>
  <si>
    <t>Lý luận và phương pháp dạy học âm nhạc</t>
  </si>
  <si>
    <t>Trương Thị Khánh Trang</t>
  </si>
  <si>
    <t>D2504220.220108</t>
  </si>
  <si>
    <t>Quảng Phước - Quảng Điền - Thừa Thiên - Huế</t>
  </si>
  <si>
    <t>Quảng Phước, Quảng Điền, Thừa Thiên Huế</t>
  </si>
  <si>
    <t>104/33/5 Kim Long, Kim Long, Thành phố Huế, Thừa Thiên Huế</t>
  </si>
  <si>
    <t>Đường Gia Tròn 1, phường Hòa Hiệp Nam, quận Liên Chiểu, thành phố Đà Nẵng</t>
  </si>
  <si>
    <t>ttktrang@ued.udn.vn</t>
  </si>
  <si>
    <t>8/22/2019</t>
  </si>
  <si>
    <t>Lý luận và phương pháp dạy học bộ môn Mỹ thuật</t>
  </si>
  <si>
    <t>Nguyễn Hoàng Tịnh Uyên</t>
  </si>
  <si>
    <t>D2504330.170302</t>
  </si>
  <si>
    <t>Phong Chương - Phong Điền - Thừa Thiên - Huế</t>
  </si>
  <si>
    <t>Bệnh viện huyện Quảng Điền, tỉnh Thừa Thiên Huế</t>
  </si>
  <si>
    <t>Tổ dân phố 7, Phường Tứ Hạ, Thị xã Hương Trà, Thừa Thiên Huế</t>
  </si>
  <si>
    <t>nhtuyen@ued.udn.vn</t>
  </si>
  <si>
    <t>Lý luận và Phương pháp dạy học Âm nhạc</t>
  </si>
  <si>
    <t>D2504220.220109</t>
  </si>
  <si>
    <t>Điện Hồng - Điện Bàn - Quảng Nam</t>
  </si>
  <si>
    <t>Trà My, Bắc Trà My, Quảng Nam</t>
  </si>
  <si>
    <t>Thị trấn Trà My, huyện Bắc Trà My, tỉnh Quảng Nam</t>
  </si>
  <si>
    <t>148 Nguyễn Đình Chiểu, An Mỹ, Tam Kỳ, Quảng Nam</t>
  </si>
  <si>
    <t>ltcvan@ued.udn.vn</t>
  </si>
  <si>
    <t>Mỹ thuật (Nghệ thuật thị giác)</t>
  </si>
  <si>
    <t>Trường Đại học Mahasarakham</t>
  </si>
  <si>
    <t>Lê Văn Bình</t>
  </si>
  <si>
    <t>D2504500.000035</t>
  </si>
  <si>
    <t>Phòng Tổ chức - Trường ĐHSP</t>
  </si>
  <si>
    <t>D2504020</t>
  </si>
  <si>
    <t>Duy An - Duy Xuyên - Quảng Nam</t>
  </si>
  <si>
    <t>Duy An, Duy Xuyên, Quảng Nam</t>
  </si>
  <si>
    <t>K87/10 Nguyễn Lương Bằng, Hòa Khánh Bắc, Liên Chiểu, Đà Nẵng</t>
  </si>
  <si>
    <t>lvbinh@ued.udn.vn</t>
  </si>
  <si>
    <t>Công tác tổ chức nhân sự</t>
  </si>
  <si>
    <t>Phùng Tiến Dũng</t>
  </si>
  <si>
    <t>D2504020.191101</t>
  </si>
  <si>
    <t>Thôn La Châu, Hòa Khương, Hòa Vang, Đà Nẵng</t>
  </si>
  <si>
    <t>ptdung@ued.udn.vn</t>
  </si>
  <si>
    <t>Bảo vệ</t>
  </si>
  <si>
    <t>10/26/2004</t>
  </si>
  <si>
    <t>Quản lý trật tự xã hội</t>
  </si>
  <si>
    <t>Nhân viên bảo vệ</t>
  </si>
  <si>
    <t>Trường Trung cấp An ninh nhân dân 2</t>
  </si>
  <si>
    <t>1.86</t>
  </si>
  <si>
    <t>Nguyễn Văn Đông</t>
  </si>
  <si>
    <t>D2504330.180608</t>
  </si>
  <si>
    <t>Bình Phú - - Quảng Nam</t>
  </si>
  <si>
    <t>nvdong.gdct@ued.udn.vn</t>
  </si>
  <si>
    <t>Trường Cao đẳng Kinh tế Kế hoạch Đà Nẵng</t>
  </si>
  <si>
    <t>3/18/2024</t>
  </si>
  <si>
    <t>Trưởng Bộ môn (10-06-2022)</t>
  </si>
  <si>
    <t>Trưởng khoa</t>
  </si>
  <si>
    <t>Trần Thị Mai Hà</t>
  </si>
  <si>
    <t>D2504020.220110</t>
  </si>
  <si>
    <t>Bình Chánh - Bình Sơn - Quảng Ngãi</t>
  </si>
  <si>
    <t>Bù Nho, Phước Long, Sông Bé</t>
  </si>
  <si>
    <t>57 Nguyễn Hữu Thọ, Tổ 13, Hòa Thuận Tây, Hải Châu, Đà Nẵng</t>
  </si>
  <si>
    <t>ttmha@ued.udn.vn</t>
  </si>
  <si>
    <t>10/26/2014</t>
  </si>
  <si>
    <t>Nguyễn Thị Minh Hoàng</t>
  </si>
  <si>
    <t>D2504020.302252</t>
  </si>
  <si>
    <t>Hòa Khánh Nam - Liên Chiểu - Đà Nẵng</t>
  </si>
  <si>
    <t>Trạm Y tế phường Hòa Minh</t>
  </si>
  <si>
    <t>Tổ 62, phường Hòa Khánh Nam, Liên Chiểu, Đà Nẵng</t>
  </si>
  <si>
    <t>ntmhoang@ued.udn.vn</t>
  </si>
  <si>
    <t>Võ Văn Liêm</t>
  </si>
  <si>
    <t>D2501500.000215</t>
  </si>
  <si>
    <t>Quế Phú, Quế Sơn - - Quảng Nam</t>
  </si>
  <si>
    <t>Quế Phú, Quế Sơn, Quảng Nam</t>
  </si>
  <si>
    <t>17 Lê Duẩn, Hải Châu 1, Hải Châu, Đà Nẵng</t>
  </si>
  <si>
    <t>K123/H55/10 Cù Chính Lan, Hòa Khê, Thanh Khê, Đà Nẵng</t>
  </si>
  <si>
    <t>vvliem@ued.udn.vn</t>
  </si>
  <si>
    <t>Theo NĐ 68/2000/NĐ-CP</t>
  </si>
  <si>
    <t>Quản lý Ký túc xá</t>
  </si>
  <si>
    <t>THPT</t>
  </si>
  <si>
    <t>Phan Liễn</t>
  </si>
  <si>
    <t>D2504020.211088</t>
  </si>
  <si>
    <t>7/16/2025</t>
  </si>
  <si>
    <t>Phú Vang - - Thừa Thiên - Huế</t>
  </si>
  <si>
    <t>K243/37B Tôn Đức Thắng, Hoà Khánh, Đà Nẵng</t>
  </si>
  <si>
    <t>K113/51/01A Hoàng Văn Thái, Hòa Khánh, Đà Nẵng</t>
  </si>
  <si>
    <t>plien@ued.udn.vn</t>
  </si>
  <si>
    <t>Chi ủy viên</t>
  </si>
  <si>
    <t>Nguyễn Thị Mười</t>
  </si>
  <si>
    <t>D2504500.000031</t>
  </si>
  <si>
    <t>Duy Hòa, Duy Xuyên - - Quảng Nam</t>
  </si>
  <si>
    <t>Duy Hòa, Duy Xuyên, Quảng Nam</t>
  </si>
  <si>
    <t>K01/83 Phạm Như Xương, Hòa Khánh Nam, Liên Chiểu, Đà Nẵng</t>
  </si>
  <si>
    <t>ntmuoi@ued.udn.vn</t>
  </si>
  <si>
    <t>Ủy viên BCH Công đoàn cơ sở</t>
  </si>
  <si>
    <t>Trần Văn Nhân</t>
  </si>
  <si>
    <t>D2504020.191102</t>
  </si>
  <si>
    <t>Hòa Xuân, Cẩm Lệ - - Đà Nẵng</t>
  </si>
  <si>
    <t>379 Tôn Đức Thắng, Hòa Minh, Liên Chiểu, Đà Nẵng</t>
  </si>
  <si>
    <t>tvnhan@ued.udn.vn</t>
  </si>
  <si>
    <t>Lái xe ô tô cơ quan</t>
  </si>
  <si>
    <t>Lái xe cơ quan</t>
  </si>
  <si>
    <t>2.41</t>
  </si>
  <si>
    <t>Nguyễn Xuân Phú</t>
  </si>
  <si>
    <t>D2504020.302251</t>
  </si>
  <si>
    <t>9/26/2024</t>
  </si>
  <si>
    <t>Tân Thọ - Nông Cống - Thanh hoá</t>
  </si>
  <si>
    <t>Gia Lai</t>
  </si>
  <si>
    <t>Tân Thọ, Nông Cống, Thanh Hóa</t>
  </si>
  <si>
    <t>245 Hoàng Văn Thái, Hòa Khánh Nam, Liên Chiểu, Đà Nẵng</t>
  </si>
  <si>
    <t>nxphu@ued.udn.vn</t>
  </si>
  <si>
    <t>7/20/2020</t>
  </si>
  <si>
    <t>Tống Thị Quý</t>
  </si>
  <si>
    <t>D2504500.050108</t>
  </si>
  <si>
    <t>Quảng Phúc, Quảng Xương - - Thanh hoá</t>
  </si>
  <si>
    <t>Quảng Phúc, Quảng Xương, Thanh Hoá</t>
  </si>
  <si>
    <t>ttquy@ued.udn.vn</t>
  </si>
  <si>
    <t>Trường THSP thuộc ĐHĐN</t>
  </si>
  <si>
    <t>Hoàng Kim Thành</t>
  </si>
  <si>
    <t>D2504020.210207</t>
  </si>
  <si>
    <t>Quế An - Quế Sơn - Quảng Nam</t>
  </si>
  <si>
    <t>Quế An, Quế Sơn, Quảng Nam</t>
  </si>
  <si>
    <t>Thôn Tây Trà, Quế An, Quế Sơn, Quảng Nam</t>
  </si>
  <si>
    <t>Căn hộ CH10.16, Tòa CT6, Chung cư Bàu Tràm, phường Hòa hiệp Nam, Liên Chiểu, Đà Nẵng</t>
  </si>
  <si>
    <t>hkthanh@ued.udn.vn</t>
  </si>
  <si>
    <t>Hồ Trung</t>
  </si>
  <si>
    <t>D2504020.230112</t>
  </si>
  <si>
    <t>Hòa Liên - Hoà Vang - Đà Nẵng</t>
  </si>
  <si>
    <t>Hòa Liên, Hòa Vang, Đà Nẵng</t>
  </si>
  <si>
    <t>K5/H1/6 Nam Cao, Tổ 20, Hòa Khánh Nam, Liên Chiểu, Đà Nẵng</t>
  </si>
  <si>
    <t>htrung@ued.udn.vn</t>
  </si>
  <si>
    <t>Hồ Thị Ngọc Ca</t>
  </si>
  <si>
    <t>D2504020.150185</t>
  </si>
  <si>
    <t>Phòng Hành chính - Trường ĐHSP</t>
  </si>
  <si>
    <t>D2504080</t>
  </si>
  <si>
    <t>60 Ngô Thì Nhậm, Hòa Minh, Liên Chiểu, Đà Nẵng</t>
  </si>
  <si>
    <t>htnca@ued.udn.vn</t>
  </si>
  <si>
    <t>Nhân viên phục vụ</t>
  </si>
  <si>
    <t>Trương Thị Phương Chi</t>
  </si>
  <si>
    <t>D2504510.130085</t>
  </si>
  <si>
    <t>Việt Xuyên, Thạch Hà - - Hà Tĩnh</t>
  </si>
  <si>
    <t>253 Phạm Như Xương, Hòa Khánh Nam, Liên Chiểu, Đà Nẵng</t>
  </si>
  <si>
    <t>ttpchi@ued.udn.vn</t>
  </si>
  <si>
    <t>D2504500.050089</t>
  </si>
  <si>
    <t>Điện Minh, Điện Bàn, Quảng Nam</t>
  </si>
  <si>
    <t>Tổ 04, Hòa Thuận Tây, Hải Châu, Đà Nẵng</t>
  </si>
  <si>
    <t>nttdung@ued.udn.vn</t>
  </si>
  <si>
    <t>Trường PTCS Thực hành sư phạm</t>
  </si>
  <si>
    <t>4/14/2025</t>
  </si>
  <si>
    <t>Võ Thị Thúy Hòa</t>
  </si>
  <si>
    <t>D2504020.211072</t>
  </si>
  <si>
    <t>ltha@ued.udn.vn</t>
  </si>
  <si>
    <t>Cử nhân Địa lý</t>
  </si>
  <si>
    <t>Lê Thanh Hà</t>
  </si>
  <si>
    <t>D2504020.147155</t>
  </si>
  <si>
    <t>9/18/2022</t>
  </si>
  <si>
    <t>Tổ 5, An Khê, Thanh Khê, Đà Nẵng</t>
  </si>
  <si>
    <t>159/42 Trần Thái Tông, An Khê, Thanh Khê, Đà Nẵng</t>
  </si>
  <si>
    <t>vtthoa@ued.udn.vn</t>
  </si>
  <si>
    <t>2.26</t>
  </si>
  <si>
    <t>Nguyễn Ngọc Hiệp</t>
  </si>
  <si>
    <t>D2504020.150184</t>
  </si>
  <si>
    <t>Tam Anh, Núi Thành - - Quảng Nam</t>
  </si>
  <si>
    <t>Tam Anh, Núi Thành, Quảng Nam</t>
  </si>
  <si>
    <t>213 Bế Văn Đàn, Hòa Khê, Thanh Khê, Đà Nẵng</t>
  </si>
  <si>
    <t>nnhiep@ued.udn.vn</t>
  </si>
  <si>
    <t>Nhân viên kỹ thuật</t>
  </si>
  <si>
    <t>2.55</t>
  </si>
  <si>
    <t>Hoàng Thị Hồng</t>
  </si>
  <si>
    <t>D2504020.140717</t>
  </si>
  <si>
    <t>Triệu Lăng, Triệu Phong - - Quảng trị</t>
  </si>
  <si>
    <t>Triệu Lăng, Triệu Phong, Quảng Trị</t>
  </si>
  <si>
    <t>K5/H1/6 Nam Cao, Hòa Khánh Nam, Liên Chiểu, Đà Nẵng</t>
  </si>
  <si>
    <t>hthong@ued.udn.vn</t>
  </si>
  <si>
    <t>Đồng Thế Hưng</t>
  </si>
  <si>
    <t>D2504060.220113</t>
  </si>
  <si>
    <t>Bình Tân - Bình Sơn - Quảng Ngãi</t>
  </si>
  <si>
    <t>Sơn Lăng, Sơn Hà, Quảng Ngãi</t>
  </si>
  <si>
    <t>Xóm Giao Thông, tổ dân phố Gò Dép, thị trấn Di Lăng, Sơn Hà, Quảng Ngãi</t>
  </si>
  <si>
    <t>K457/44/12 Tôn Đức Thắng, Hòa Khánh Nam, Liên Chiểu, Đà Nẵng</t>
  </si>
  <si>
    <t>dthung@ued.udn.vn</t>
  </si>
  <si>
    <t>12/17/2018</t>
  </si>
  <si>
    <t>Đinh Công Khanh</t>
  </si>
  <si>
    <t>D2504020.140716</t>
  </si>
  <si>
    <t>6/14/2022</t>
  </si>
  <si>
    <t>660 Tôn Đức Thắng, Hòa Khánh Nam, Liên Chiểu, Đà Nẵng</t>
  </si>
  <si>
    <t>dckhanh@ued.udn.vn</t>
  </si>
  <si>
    <t>Vũ Thị Khoa</t>
  </si>
  <si>
    <t>D2504020.134433</t>
  </si>
  <si>
    <t>Quyết Thắng, Thanh Hà - - Hải Dương</t>
  </si>
  <si>
    <t>Quyết Thắng, Thanh Hà, Hải Dương</t>
  </si>
  <si>
    <t>Tổ 36, Hòa Khánh Bắc, Liên Chiểu, Đà Nẵng</t>
  </si>
  <si>
    <t>68/53 Phan Văn Định, Hòa Khánh Bắc, Liên Chiểu, Đà Nẵng</t>
  </si>
  <si>
    <t>vtkhoa@ued.udn.vn</t>
  </si>
  <si>
    <t>Huỳnh Đức Chu Kỳ</t>
  </si>
  <si>
    <t>D2504020.190116</t>
  </si>
  <si>
    <t>26 Lê Thiệt, Hòa Minh, Liên Chiểu, Đà Nẵng</t>
  </si>
  <si>
    <t>hdcky@ued.udn.vn</t>
  </si>
  <si>
    <t>Trường Đại học Sài Gòn</t>
  </si>
  <si>
    <t>Tán Ngọc Lan</t>
  </si>
  <si>
    <t>D2504020.170307</t>
  </si>
  <si>
    <t>Hòa Phong, Hòa Vang - - Đà Nẵng</t>
  </si>
  <si>
    <t>Hòa Phong, Hòa Vang, Đà Nẵng</t>
  </si>
  <si>
    <t>tnlan@ued.udn.vn</t>
  </si>
  <si>
    <t>Học viện Khoa học Xã hội - Viện Hàn lâm Khoa học Xã hội Việt Nam</t>
  </si>
  <si>
    <t>Võ Thị Luyến</t>
  </si>
  <si>
    <t>D2504020.104578</t>
  </si>
  <si>
    <t>Xóm 2, Nam Kim 3, Nam Đàn, Nghệ An</t>
  </si>
  <si>
    <t>K207/42 Phạm Như Xương, Hòa Khánh Nam, Liên Chiểu, Đà Nẵng</t>
  </si>
  <si>
    <t>vtluyen@ued.udn.vn</t>
  </si>
  <si>
    <t>Kế toán tổng hợp</t>
  </si>
  <si>
    <t>2.44</t>
  </si>
  <si>
    <t>Nguyễn Thị Minh</t>
  </si>
  <si>
    <t>D2504020.134435</t>
  </si>
  <si>
    <t>Nghĩa Hợp, Tân Kỳ - - Nghệ An</t>
  </si>
  <si>
    <t>Nghĩa Hợp, Tân Kỳ, Nghệ An</t>
  </si>
  <si>
    <t>Tổ 52, Hòa Khánh Bắc, Liên Chiểu, Đà Nẵng</t>
  </si>
  <si>
    <t>ntminh@ued.udn.vn</t>
  </si>
  <si>
    <t>Võ Ngọc Quảng</t>
  </si>
  <si>
    <t>D2501520.050098</t>
  </si>
  <si>
    <t>Phước Thành, Tuy Phước - - Bình Định</t>
  </si>
  <si>
    <t>Tổ 9A, Bách Khoa, Hòa Khánh Bắc, Liên Chiểu, Đà Nẵng</t>
  </si>
  <si>
    <t>vnquang@ued.udn.vn</t>
  </si>
  <si>
    <t>Điện kỹ thuật</t>
  </si>
  <si>
    <t>Nguyễn Vinh San</t>
  </si>
  <si>
    <t>D2504020.090100</t>
  </si>
  <si>
    <t>Đông Lĩnh - Tp Thanh Hoá - Thanh hoá</t>
  </si>
  <si>
    <t>Đông Lĩnh, Đông Sơn, Thanh Hóa</t>
  </si>
  <si>
    <t>Số 191 Lê Văn Hiến, Khuê Mỹ, Ngũ Hành Sơn, Đà Nẵng</t>
  </si>
  <si>
    <t>nvsan@ued.udn.vn</t>
  </si>
  <si>
    <t>Trưởng phòng Công tác Sinh viên</t>
  </si>
  <si>
    <t>Phan Hữu Thắng</t>
  </si>
  <si>
    <t>D2504020.100037</t>
  </si>
  <si>
    <t>Hòa Thọ, Hòa Vang - - Đà Nẵng</t>
  </si>
  <si>
    <t>Tổ 75, Hòa Khánh Nam, Liên Chiểu, Đà Nẵng</t>
  </si>
  <si>
    <t>Kiệt 01/115 Hòa Khánh Nam, Liên Chiểu, Đà Nẵng</t>
  </si>
  <si>
    <t>phthang@ued.udn.vn</t>
  </si>
  <si>
    <t>2.76</t>
  </si>
  <si>
    <t>Nguyễn Thị Thu Thanh</t>
  </si>
  <si>
    <t>D2504020.134436</t>
  </si>
  <si>
    <t>Tịnh Hiệp, Sơn Tịnh - - Quảng Ngãi</t>
  </si>
  <si>
    <t>K24/33 Ngô Sĩ Liên, Hòa Khánh Bắc, Liên Chiểu, Đà Nẵng</t>
  </si>
  <si>
    <t>nttthanh@ued.udn.vn</t>
  </si>
  <si>
    <t>Nguyễn Thị Bích Thủy</t>
  </si>
  <si>
    <t>D2504060.230110</t>
  </si>
  <si>
    <t>6/17/2021</t>
  </si>
  <si>
    <t>Vạn Trạch - Bố Trạch - Quảng Bình</t>
  </si>
  <si>
    <t>Vạn Trạch, Bố Trạch, Quảng Bình</t>
  </si>
  <si>
    <t>Nhà E1, Chung cư Hòa Khánh, Hòa Khánh Bắc, Liên Chiểu, Đà Nẵng</t>
  </si>
  <si>
    <t>ntbthuy_ctsv@ued.udn.vn</t>
  </si>
  <si>
    <t>Báo chí - c/n Báo phát thanh</t>
  </si>
  <si>
    <t>Học viện Báo chí và Tuyên truyền</t>
  </si>
  <si>
    <t>Đỗ Thị Thuyết</t>
  </si>
  <si>
    <t>D2501500.000213</t>
  </si>
  <si>
    <t>Vạn Thắng, Nông Cống - - Thanh hoá</t>
  </si>
  <si>
    <t>Nông Cống, Thanh Hóa</t>
  </si>
  <si>
    <t>Tây Bắc 7, Hòa Minh, Liên Chiểu, Đà Nẵng</t>
  </si>
  <si>
    <t>dtthuyet@ued.udn.vn</t>
  </si>
  <si>
    <t>2.98</t>
  </si>
  <si>
    <t>Nguyễn Thị Tuyết</t>
  </si>
  <si>
    <t>D2504020.134439</t>
  </si>
  <si>
    <t>Quảng Tân, Quảng Trạch - - Quảng Bình</t>
  </si>
  <si>
    <t>Quảng Tân, Quảng Trạch, Quảng Bình</t>
  </si>
  <si>
    <t>Tổ 83, Hòa Khánh Nam, Liên Chiểu, Đà Nẵng</t>
  </si>
  <si>
    <t>nttuyet@ued.udn.vn</t>
  </si>
  <si>
    <t>Huỳnh Thị Ve</t>
  </si>
  <si>
    <t>D2504080.100039</t>
  </si>
  <si>
    <t>K1/H101/1/8 Phạm Như Xương, Hòa Khánh Nam, Liên Chiểu, Đà Nẵng</t>
  </si>
  <si>
    <t>htve@ued.udn.vn</t>
  </si>
  <si>
    <t>Tạp vụ</t>
  </si>
  <si>
    <t>Đề tài NCKH SV</t>
  </si>
  <si>
    <t>Dự án khởi nghiệp</t>
  </si>
  <si>
    <t>Lưu học sinh</t>
  </si>
  <si>
    <t>Kpi_id</t>
  </si>
  <si>
    <t>Kpi_name</t>
  </si>
  <si>
    <t>Kpi_unit</t>
  </si>
  <si>
    <t>Target_total</t>
  </si>
  <si>
    <t>Actual_total</t>
  </si>
  <si>
    <t>NCKH_01</t>
  </si>
  <si>
    <t>Bài báo WOS/SCOPUS</t>
  </si>
  <si>
    <t>Bài</t>
  </si>
  <si>
    <t>(Tổng số lượng bài / Target ) * 100</t>
  </si>
  <si>
    <t>NCKH_02</t>
  </si>
  <si>
    <t>Kinh phí Hợp đồng KHCN&amp;ĐMST (triệu đồng)</t>
  </si>
  <si>
    <t>Triệu đồng</t>
  </si>
  <si>
    <t>(Tổng số lượng kinh phí/ Target ) * 100</t>
  </si>
  <si>
    <t>NCKH_03</t>
  </si>
  <si>
    <t>Hội thảo có ký yểu WOS, SCOPUS</t>
  </si>
  <si>
    <t>Số lượng</t>
  </si>
  <si>
    <t>NCKH_04</t>
  </si>
  <si>
    <t>Tỉ lệ SV tham gia NCKH (%)</t>
  </si>
  <si>
    <t>%</t>
  </si>
  <si>
    <t>(Group số lượng sv theo khoa tham gia NCKH / Số lượng SV còn học theo khoa ) * 100</t>
  </si>
  <si>
    <t>NCKH_05</t>
  </si>
  <si>
    <t>Tỉ lệ SV tham gia Khởi nghiệp (%)</t>
  </si>
  <si>
    <t>(Group  số lượng sv theo khoa tham gia KN / Số lượng SV còn học theo khoa ) * 100</t>
  </si>
  <si>
    <t>NCKH_06</t>
  </si>
  <si>
    <t>Số doanh nghiệp được thành lập</t>
  </si>
  <si>
    <t>NCKH_07</t>
  </si>
  <si>
    <t>Kí kết MOU/MOA mới</t>
  </si>
  <si>
    <t>(Tổng số lượng bài group theo khoa / Target từng khoa) * 100</t>
  </si>
  <si>
    <t>NCKH_08</t>
  </si>
  <si>
    <t>Kí MOU với đối tác Top 200 thế giới</t>
  </si>
  <si>
    <t>NCKH_09</t>
  </si>
  <si>
    <t>Kí MOU hợp tác toàn diện với các tập đoàn</t>
  </si>
  <si>
    <t>NCKH_10</t>
  </si>
  <si>
    <t>Chuyên gia, học giả đến làm việ với tại các đơn vị (dưới 3 tháng)</t>
  </si>
  <si>
    <t>(Tổng số lượng chuyên gia group theo khoa/ Target từng khoa) * 100</t>
  </si>
  <si>
    <t>NCKH_11</t>
  </si>
  <si>
    <t>Chuyên gia, học giả đến làm việc với tại các đơn vị (trên 3 tháng)</t>
  </si>
  <si>
    <t>NCKH_12</t>
  </si>
  <si>
    <t>Tiếp nhận mới lưu học sinh</t>
  </si>
  <si>
    <t>(Tổng số lượng sinh viên group theo khoa/ Target từng khoa) * 100</t>
  </si>
  <si>
    <t>NCKH_13</t>
  </si>
  <si>
    <t>SV thực tập, thực tế, nghiên cứu ở nước ngoài</t>
  </si>
  <si>
    <t>Tên dự án</t>
  </si>
  <si>
    <t xml:space="preserve">Lớp </t>
  </si>
  <si>
    <t>NN</t>
  </si>
  <si>
    <t>Khoa</t>
  </si>
  <si>
    <t>Zalo</t>
  </si>
  <si>
    <t>Lĩnh vực</t>
  </si>
  <si>
    <t>HD</t>
  </si>
  <si>
    <t xml:space="preserve">Năm </t>
  </si>
  <si>
    <t>Ngay_thang</t>
  </si>
  <si>
    <t>DỰ ÁN BOARD GAME “THE EMOTION JOURNEY – HÀNH TRÌNH CẢM XÚC”</t>
  </si>
  <si>
    <t>22</t>
  </si>
  <si>
    <t>Tâm lý - Giáo dục - Công tác Xã hội</t>
  </si>
  <si>
    <t>0397542395</t>
  </si>
  <si>
    <t>Giáo dục,du lịch, dịch vụ, văn hóa nghệ thuật</t>
  </si>
  <si>
    <t>HĐ1</t>
  </si>
  <si>
    <t>NCKH</t>
  </si>
  <si>
    <t>ỨNG DỤNG ĐẶT LỊCH CẮT TÓC LĨNH VỰC DỊCH VỤ</t>
  </si>
  <si>
    <t>23</t>
  </si>
  <si>
    <t>0343230374</t>
  </si>
  <si>
    <t>HĐ4</t>
  </si>
  <si>
    <t>BỘ KIT VĂN HOÁ 3 MIỀN</t>
  </si>
  <si>
    <t>Ngữ Văn - Truyền thông</t>
  </si>
  <si>
    <t>0988780428</t>
  </si>
  <si>
    <t>HĐ3</t>
  </si>
  <si>
    <t>Phạm Lưu Thị Thuỳ Linh</t>
  </si>
  <si>
    <t>Áp dụng AI vào chẩn đoán bệnh đái tháo đường TYPE 2</t>
  </si>
  <si>
    <t>Nguyễn Văn Tiến</t>
  </si>
  <si>
    <t>0935587304</t>
  </si>
  <si>
    <t>Công nghệ AI , Blockchain, thành phố thông minh</t>
  </si>
  <si>
    <t>DỰ ÁN THIẾT KẾ ĐỒ CHƠI LEGO THEO HƯỚNG TIẾP CẬN STEAM CHO TRẺ TẠI CÁC TRƯỜNG MẦM NON</t>
  </si>
  <si>
    <t>Võ Thị Thanh Phúc</t>
  </si>
  <si>
    <t>Giáo dục Tiểu học - Mầm non</t>
  </si>
  <si>
    <t>0827351635</t>
  </si>
  <si>
    <t>Lê Thị Trà Giang</t>
  </si>
  <si>
    <t>0708560163</t>
  </si>
  <si>
    <t xml:space="preserve">DỰ ÁN HANDMADE PAWS &amp; LOVE
 “ĐAN KẾT YÊU THƯƠNG - MẶC ĐẸP MỖI NGÀY CHO THÚ CƯNG” </t>
  </si>
  <si>
    <t xml:space="preserve">Đặng Thị Thu Hoài </t>
  </si>
  <si>
    <t>0346772052</t>
  </si>
  <si>
    <t>HĐ2</t>
  </si>
  <si>
    <t xml:space="preserve">Trần Thị Thảo Ngân </t>
  </si>
  <si>
    <t xml:space="preserve">DU LỊCH TRẢI NGHIỆM NÔNG THÔN NÔNG NGHIỆP
Nhật ký Hòa Bắc
</t>
  </si>
  <si>
    <t>Phạm Nguyễn Nhật Minh</t>
  </si>
  <si>
    <t>21CVNH01</t>
  </si>
  <si>
    <t>21</t>
  </si>
  <si>
    <t>Sử - Địa - Chính trị</t>
  </si>
  <si>
    <t>0834571690</t>
  </si>
  <si>
    <t>Võ Thị Kim Hiên </t>
  </si>
  <si>
    <t>Huỳnh Lâm Anh Thư</t>
  </si>
  <si>
    <t>Nguyễn Trần Diệu Thảo</t>
  </si>
  <si>
    <t>ỨNG DỤNG CÔNG NGHỆ BLOCKCHAIN VÀO TRUY XUẤT NGUỒN GỐC SẢN PHẨM</t>
  </si>
  <si>
    <t>24</t>
  </si>
  <si>
    <t>0363544023</t>
  </si>
  <si>
    <t>Công nghệ AI, blockchain, thành phố thông minh</t>
  </si>
  <si>
    <t>HÀNH TRÌNH KHÁM PHÁ ĐÀ NẴNG QUA “ĐÀ THIS - ĐÀ THAT”</t>
  </si>
  <si>
    <t>0854150219</t>
  </si>
  <si>
    <t>Du lịch Hội An với AI_(Local Hoi An AI)</t>
  </si>
  <si>
    <t>Nguyễn Khả Dương</t>
  </si>
  <si>
    <t>0378801671</t>
  </si>
  <si>
    <t>Công nghệ AI, du lịch, dịch vụ thông minh</t>
  </si>
  <si>
    <t>Nguyễn Quan Tuấn</t>
  </si>
  <si>
    <t>Nguyễn Văn Phi</t>
  </si>
  <si>
    <t>Phạm Văn Hiển</t>
  </si>
  <si>
    <t>Nguyễn Tuấn Kiệt</t>
  </si>
  <si>
    <t>SẢN XUẤT SỮA CHUA DỪA ỨNG DỤNG CÔNG NGHỆ VI SINH</t>
  </si>
  <si>
    <t>Sinh - Nông nghiệp - Môi trường</t>
  </si>
  <si>
    <t>0384081109</t>
  </si>
  <si>
    <t>Chăm sóc sức khoẻ, an toàn thực phẩm</t>
  </si>
  <si>
    <t>Superfood Copepods</t>
  </si>
  <si>
    <t>0925958879</t>
  </si>
  <si>
    <t>Nông, lâm, ngư nghiệp</t>
  </si>
  <si>
    <t>Võ Đức Vinh </t>
  </si>
  <si>
    <t>Trương Công Nguyễn Quốc Huy</t>
  </si>
  <si>
    <t>Đào Thảo Uyên </t>
  </si>
  <si>
    <t>23SKT</t>
  </si>
  <si>
    <t>Lý - Hóa</t>
  </si>
  <si>
    <t>VN-GIC Chamber (Thiết bị đo khí nhà kính)</t>
  </si>
  <si>
    <t>0768507104</t>
  </si>
  <si>
    <t>Phạm Văn Hoàng</t>
  </si>
  <si>
    <t>Lê Mạc Minh Thư</t>
  </si>
  <si>
    <t>BẢY SẮC ĐÔNG TRÙNG – TRÀ CỦA SỰ ĐỔI MỚI</t>
  </si>
  <si>
    <t>0352357210</t>
  </si>
  <si>
    <t>Chăm sóc sức khỏe, an toàn thực phẩm</t>
  </si>
  <si>
    <t>Du lịch chăm sóc sức khỏe tại huyện A Lưới - Huế</t>
  </si>
  <si>
    <t>Trần Diệu Tường Vỹ</t>
  </si>
  <si>
    <t>21CVNH1</t>
  </si>
  <si>
    <t>0772677809</t>
  </si>
  <si>
    <t>Ngô Bùi Thu Hà</t>
  </si>
  <si>
    <t>Đinh Thị Hà</t>
  </si>
  <si>
    <t>Lê Thị Diệu Trà</t>
  </si>
  <si>
    <t>Võ Thị Tú Trinh</t>
  </si>
  <si>
    <t>CHUYẾN TÀU KÝ ỨC</t>
  </si>
  <si>
    <t>Trần Thị Ngọc Tú</t>
  </si>
  <si>
    <t>21CVNH2</t>
  </si>
  <si>
    <t>0335713551</t>
  </si>
  <si>
    <t>Ngô Hoàng Yến Vy</t>
  </si>
  <si>
    <t>Huỳnh Trần Ngọc Trâm</t>
  </si>
  <si>
    <t>Nguyễn Thị Phước</t>
  </si>
  <si>
    <t>Trần Hoàng Nữ Như Ý</t>
  </si>
  <si>
    <t>CHẾ PHẨM SINH HỌC TỪ XẠ KHUẨN ỨNG DỤNG TRONG NÔNG NGHIỆP</t>
  </si>
  <si>
    <t>0362647003</t>
  </si>
  <si>
    <t>HOME STAY LƯU TRÚ TẠI LÀNG CỔ LỘC YÊN</t>
  </si>
  <si>
    <t xml:space="preserve">Lê Tiểu Mẫn </t>
  </si>
  <si>
    <t>0388330594</t>
  </si>
  <si>
    <t>Đỗ Thanh Trà</t>
  </si>
  <si>
    <t>Nguyễn Thị Thanh Tâm</t>
  </si>
  <si>
    <t>Hoàng Thị Nguyệt</t>
  </si>
  <si>
    <t>Trần Thị Ngọc Trúc</t>
  </si>
  <si>
    <t>Phan Thị Quỳnh Giao</t>
  </si>
  <si>
    <t>Đặng Thị Thùy Linh</t>
  </si>
  <si>
    <t>Ẩm thực Nam Ô - Vươn Tầm Quốc Tế</t>
  </si>
  <si>
    <t>Đào Thị Thanh Thảo</t>
  </si>
  <si>
    <t>0935.987.515</t>
  </si>
  <si>
    <t>Nguyễn Phan Uyên Nhi</t>
  </si>
  <si>
    <t>Lê Hà Kiều Oanh</t>
  </si>
  <si>
    <t>Nguyễn Thị Thu Hằng</t>
  </si>
  <si>
    <t>Hồ Thị Kim Oanh</t>
  </si>
  <si>
    <t>Nghiên cứu sử dụng enzyme cellulase chiết suất Nghĩa Sâm (Abelmoschus sagittifolius) ứng dụng trong chế biến thực phẩm hỗ trợ sức khoẻ</t>
  </si>
  <si>
    <t>0703398612</t>
  </si>
  <si>
    <t>22 CNSH</t>
  </si>
  <si>
    <t>HUAVT – CÔNG NGHỆ RỬA TAY KHÔ THÂN THIỆN MÔI TRƯỜNG</t>
  </si>
  <si>
    <t xml:space="preserve"> Lại Thị Hoàng Hà</t>
  </si>
  <si>
    <t>0967688835</t>
  </si>
  <si>
    <t>MỘC SEN HƯƠNG - NẾN THƠM HOA SEN TỪ THIÊN NHIÊN</t>
  </si>
  <si>
    <t xml:space="preserve"> Trần Bảo Uyên</t>
  </si>
  <si>
    <t>0971075174</t>
  </si>
  <si>
    <t>Lại Thị Hoàng Hà</t>
  </si>
  <si>
    <t>Du lịch chữa lành</t>
  </si>
  <si>
    <t>Lê Anh Tú</t>
  </si>
  <si>
    <t>0898160929</t>
  </si>
  <si>
    <t>Đinh Nguyễn Thiện Hoà</t>
  </si>
  <si>
    <t>Trần Văn Kim</t>
  </si>
  <si>
    <t>Nguyễn Thúy Hiền</t>
  </si>
  <si>
    <t>SEAWIE – GIÁ TRỊ DINH DƯỠNG BỀN VỮNG TỪ THIÊN NHIÊN</t>
  </si>
  <si>
    <t>0866761502</t>
  </si>
  <si>
    <t>Công nghiệp, chế tạo sản phẩm, năng lượng mới</t>
  </si>
  <si>
    <t>SẢN XUẤT GIẤM DỪA ỨNG DỤNG CÔNG NGHỆ VI SINH</t>
  </si>
  <si>
    <t>0905565809</t>
  </si>
  <si>
    <t xml:space="preserve">DU LỊCH TRẢI NGHIỆM – DU LỊCH CỘNG ĐỒNG </t>
  </si>
  <si>
    <t>Lê Văn Thành Tín</t>
  </si>
  <si>
    <t>0898541534</t>
  </si>
  <si>
    <t>Trần Nhi Hoàng</t>
  </si>
  <si>
    <t>Nguyễn Hà Anh Tuấn</t>
  </si>
  <si>
    <t>21SLS</t>
  </si>
  <si>
    <t>Nguyễn Thùy Quyên</t>
  </si>
  <si>
    <t>Huỳnh Thị Thảo Phương</t>
  </si>
  <si>
    <t>TOUR DU LỊCH TREKKING KẾT HỢP TRẢI NGHIỆM VĂN HÓA HÒA BẮC</t>
  </si>
  <si>
    <t>Nguyễn Khánh Duyên</t>
  </si>
  <si>
    <t>0779529540 </t>
  </si>
  <si>
    <t>Lê Thị Diễm My</t>
  </si>
  <si>
    <t>Nguyễn Thị Kiều Anh</t>
  </si>
  <si>
    <t>Đào Ngọc Ánh Nhi</t>
  </si>
  <si>
    <t>TRÀ TÚI LỌC HOA NẤM
“HƯƠNG HOA VỊ NẤM - SỨC KHỎE VỊ TÂM”</t>
  </si>
  <si>
    <t>0915954601</t>
  </si>
  <si>
    <t>Sức khỏe và an toàn thực phẩm</t>
  </si>
  <si>
    <t>Phan Thị Lê</t>
  </si>
  <si>
    <t>Phan Thị Thùy Trang</t>
  </si>
  <si>
    <t>BloomaCaron</t>
  </si>
  <si>
    <t>0708870146</t>
  </si>
  <si>
    <t>BOOK PROFESSIONAL CONECT</t>
  </si>
  <si>
    <t>Nguyễn Thành Lộc</t>
  </si>
  <si>
    <t>0328386122</t>
  </si>
  <si>
    <t>Văn Yến Nhi</t>
  </si>
  <si>
    <t>VỊNH MỐC MEMORIES</t>
  </si>
  <si>
    <t>Trương Thị Hà</t>
  </si>
  <si>
    <t>0788520483</t>
  </si>
  <si>
    <t>Cam Thị Thúy Vân</t>
  </si>
  <si>
    <t>Bento Campus - Suất ăn thông minh dành cho Sinh viên và giảng viên</t>
  </si>
  <si>
    <t>Lê Thùy Mỹ Ý</t>
  </si>
  <si>
    <t>23CVNH1</t>
  </si>
  <si>
    <t>0792048353</t>
  </si>
  <si>
    <t>Huỳnh Võ Thu Phương</t>
  </si>
  <si>
    <t>Huỳnh Đỗ Hoàng Anh</t>
  </si>
  <si>
    <t>Lê Văn Châu</t>
  </si>
  <si>
    <t>Phạm Thị Quỳnh Như</t>
  </si>
  <si>
    <t>Tour du lịch dành cho người khiếm thính</t>
  </si>
  <si>
    <t>0797395145</t>
  </si>
  <si>
    <t>CUNG CẤP GIẢI PHÁP VÀ THI CÔNG HỆ THỐNG THU GOM RÁC THẢI NỔI TRÊN BỀ MẶT NƯỚC, KẾT HỢP TÁCH VÁNG DẦU NỔI TRÊN BỀ MẶT NƯỚC</t>
  </si>
  <si>
    <t>0789449440</t>
  </si>
  <si>
    <t xml:space="preserve">Công nghiệp, chế tạo sản phẩm, năng lượng mới
</t>
  </si>
  <si>
    <t>Huỳnh Quốc Đại</t>
  </si>
  <si>
    <t>Bùi Thị Thu Nga</t>
  </si>
  <si>
    <t>Lê Thị Mỹ Tâm</t>
  </si>
  <si>
    <t>CHẾ PHẨM SINH HỌC DỊCH CHIẾT LÁ BÀNG KHÔ HỖ TRỢ TRONG VIỆC PHÁT TRIỂN NUÔI TRỒNG THỦY SẢN</t>
  </si>
  <si>
    <t>0898327522</t>
  </si>
  <si>
    <t>Nông, Lâm, Ngư nghiệp</t>
  </si>
  <si>
    <t>DUNG DỊCH SÁT KHUẨN, CẦM MÁU, HẠN CHẾ ĐỂ LẠI SẸO CHIẾT XUẤT TỪ CÁC THÀNH PHẦN THIÊN NHIÊN</t>
  </si>
  <si>
    <t>Nguyễn Thị Xuân Lý</t>
  </si>
  <si>
    <t>21STH5</t>
  </si>
  <si>
    <t>0704082840</t>
  </si>
  <si>
    <t>Chế tạo sản phẩm, chăm sóc sức khỏe</t>
  </si>
  <si>
    <t>SỰ TÁC ĐỘNG CỦA HỖN HỢP HAI LOẠI PHÂN KHÁC NHAU ĐẾN NĂNG SUẤT VÀ CHẤT LƯỢNG CANH TÁC</t>
  </si>
  <si>
    <t>0843584526</t>
  </si>
  <si>
    <t>Zơ Râm Luyến</t>
  </si>
  <si>
    <t>Phan Hoàng Thúy Quỳnh</t>
  </si>
  <si>
    <t>HỘP HẠNH PHÚC</t>
  </si>
  <si>
    <t>Nguyễn Vũ Duy Phương</t>
  </si>
  <si>
    <t>0352842281</t>
  </si>
  <si>
    <t>Phan Quang Nhật</t>
  </si>
  <si>
    <t>Dịch vụ lưu trú lều bong bóng và giao lưu văn hoá dân tộc Cơ Tu</t>
  </si>
  <si>
    <t>Phan Nguyễn Hoài Linh</t>
  </si>
  <si>
    <t>0942300414</t>
  </si>
  <si>
    <t>Võ Văn Phi</t>
  </si>
  <si>
    <t>Nguyễn Xuân Thịnh</t>
  </si>
  <si>
    <t>HỖ TRỢ NHẬN DIỆN VÀ ĐỊNH LƯỢNG VI KHUẨN VIBRIO TRONG AO NUÔI TÔM</t>
  </si>
  <si>
    <t>0337317026</t>
  </si>
  <si>
    <t>Trương Trần Như Ý</t>
  </si>
  <si>
    <t>Thiết kế Website Kalme – Mua bán giáo trình cũ và gia sư sinh viên</t>
  </si>
  <si>
    <t>Nguyễn Ngọc Diệp</t>
  </si>
  <si>
    <t>0905950042</t>
  </si>
  <si>
    <t>Giáo dục</t>
  </si>
  <si>
    <t>NHỰA SINH HỌC TỪ PHỤ PHẨM NÔNG NGHIỆP VÀ THỦY SẢN</t>
  </si>
  <si>
    <t>0832526126</t>
  </si>
  <si>
    <t xml:space="preserve"> Double Green - “Lợi nhuận kép từ giá trị kép - Bảo vệ con người và trái đất”</t>
  </si>
  <si>
    <t>0364584897</t>
  </si>
  <si>
    <t>LUMOS - GIA SƯ ĐẶC BIỆT</t>
  </si>
  <si>
    <t>0363095484</t>
  </si>
  <si>
    <t>Dương Thị Thúy Hằng</t>
  </si>
  <si>
    <t>MẶT NẠ LÊN MEN TỪ SỢI NẤM DƯỢC LIỆU</t>
  </si>
  <si>
    <t>0934482560</t>
  </si>
  <si>
    <t>SẢN XUẤT NỤ THẢO MỘC ĐUỔI MUỖI TỪ THIÊN NHIÊN</t>
  </si>
  <si>
    <t>0795607142</t>
  </si>
  <si>
    <t>SẢN XUẤT TINH DẦU CAM SẢ ỨNG DỤNG CÔNG NGHỆ ENZYME</t>
  </si>
  <si>
    <t>0369862773</t>
  </si>
  <si>
    <t xml:space="preserve">Công nghiệp, chế tạo sản phẩm, năng lượng mới
</t>
  </si>
  <si>
    <t>LAVÉSKIN_  Pure by Nature. Perfected by Science</t>
  </si>
  <si>
    <t>Phan Thị Thảo Linh</t>
  </si>
  <si>
    <t xml:space="preserve">45QLTNMT </t>
  </si>
  <si>
    <t>45</t>
  </si>
  <si>
    <t>0397330770</t>
  </si>
  <si>
    <t>Chăm sóc sức khỏe và an toàn thực phẩm</t>
  </si>
  <si>
    <t>DẦU DỪA ỨNG DỤNG VI SINH LACTOBACILLUS</t>
  </si>
  <si>
    <t>0766719204</t>
  </si>
  <si>
    <t xml:space="preserve">KOMBUCHA CHÈ DÂY </t>
  </si>
  <si>
    <t>Nguyễn Kim Dung</t>
  </si>
  <si>
    <t>0935350147</t>
  </si>
  <si>
    <t>Nguyễn Thị Thanh Hương</t>
  </si>
  <si>
    <t>Phạm thị Thảo</t>
  </si>
  <si>
    <t>SENIOR PET CARE</t>
  </si>
  <si>
    <t>0348552298</t>
  </si>
  <si>
    <t>Chăm sóc sức khỏe và dịch vụ</t>
  </si>
  <si>
    <t>Ngô Thị Diễm Thúy</t>
  </si>
  <si>
    <t>Huỳnh Thị Quỳnh Như</t>
  </si>
  <si>
    <t>24CVNH2</t>
  </si>
  <si>
    <t>Photo Tour</t>
  </si>
  <si>
    <t>0763727746</t>
  </si>
  <si>
    <t>Giấy hoa - Hồn việt</t>
  </si>
  <si>
    <t>0914902467</t>
  </si>
  <si>
    <t>Giáo dục, du lịch, dịch vụ, văn hoá nghệ thuật</t>
  </si>
  <si>
    <t>Nguyễn Bảo Châu</t>
  </si>
  <si>
    <t>Phạm Huỳnh Phương Như</t>
  </si>
  <si>
    <t>Khát vọng cửu long</t>
  </si>
  <si>
    <t>0879265112</t>
  </si>
  <si>
    <t>SMART STEM KIT – BỘ CẢM BIẾN ĐA NĂNG ỨNG DỤNG TRONG DẠY HỌC STEM</t>
  </si>
  <si>
    <t>0765 613 367</t>
  </si>
  <si>
    <t>La Cà Trên Mây</t>
  </si>
  <si>
    <t>Nguyễn Thị Kim Chi</t>
  </si>
  <si>
    <t>0914093720</t>
  </si>
  <si>
    <t>Huỳnh Đình Tuấn</t>
  </si>
  <si>
    <t>Bùi Thị Ngọc Huyền</t>
  </si>
  <si>
    <t>Lê Phạm Như Hiền</t>
  </si>
  <si>
    <t>AlageWig</t>
  </si>
  <si>
    <t>0355486945</t>
  </si>
  <si>
    <t>MÁY PHUN THUỐC BẢO VỆ THỰC VẬT ĐIỀU KHIỂN TỪ XA ĐA CHẾ ĐỘ</t>
  </si>
  <si>
    <t>0935 073 882</t>
  </si>
  <si>
    <t>DỰ ÁN DU LỊCH TRẢI NGHIỆM</t>
  </si>
  <si>
    <t>Nguyễn Bích Diễm</t>
  </si>
  <si>
    <t>0763668024</t>
  </si>
  <si>
    <t>Nguyễn Thị Mai Lý</t>
  </si>
  <si>
    <t>Nguyễn Thị Ni Ni </t>
  </si>
  <si>
    <t>Trần Vũ Linh Thi</t>
  </si>
  <si>
    <t>Phạm Ngọc Hòa Thuận </t>
  </si>
  <si>
    <t>Lĩnh vực dự thi</t>
  </si>
  <si>
    <t xml:space="preserve">Vai trò </t>
  </si>
  <si>
    <t>Lớp</t>
  </si>
  <si>
    <t>Cố vấn đề tài (nếu có)</t>
  </si>
  <si>
    <t>Tóm Tắt</t>
  </si>
  <si>
    <t>Kí hiệu</t>
  </si>
  <si>
    <t>Tình trạng sau khi BTC gửi phản hồi</t>
  </si>
  <si>
    <t>Bạch Mã Xanh: Mô Hình Trekking &amp; Trị Liệu</t>
  </si>
  <si>
    <t>Võ Tấn Hùng</t>
  </si>
  <si>
    <t>22CVNH02</t>
  </si>
  <si>
    <t>Sử - Địa - CT</t>
  </si>
  <si>
    <t>Tạo ra tour du lịch Trekking tại đèo Hải Vân kết hợp với trải nghiệm làm ngư dân và chung sống với người dân tại Nam Ô. Mang đến sự khám phá và giá trị văn hóa cho du khách</t>
  </si>
  <si>
    <t>ok1</t>
  </si>
  <si>
    <t>(Chưa bổ sung )</t>
  </si>
  <si>
    <t xml:space="preserve">Lê Hồng Lâm </t>
  </si>
  <si>
    <t>Nguyễn Thái Tâm Như</t>
  </si>
  <si>
    <t>Nguyễn Thị Anh Thư</t>
  </si>
  <si>
    <t>AIDetect: Trợ lý minh bạch nội dung AI</t>
  </si>
  <si>
    <t>CNTT-AI</t>
  </si>
  <si>
    <t>25STH1</t>
  </si>
  <si>
    <t>GD Tiểu học - Mầm non</t>
  </si>
  <si>
    <t>AIDetect là giải pháp công nghệ tiên phong dưới dạng Tiện ích mở rộng (Extension) và Web, hoạt động như một "Trợ lý kiểm duyệt và minh bạch AI" trên không gian mạng. Đón đầu hành lang pháp lý mới bắt buộc gán nhãn nội dung AI tại Việt Nam, dự án ứng dụng công nghệ AI Agent đa phương thức (kết hợp LangChain/LangGraph và LLMs) để tự động quét, bóc tách dấu vết sinh tạo và đánh giá "Chỉ số nguyên bản" của văn bản, hình ảnh, video trên mạng xã hội.
- Vấn đề thực tế: Người dùng và các quản trị viên cộng đồng trên mạng xã hội (đặc biệt là Facebook) đang mắc kẹt trong "ma trận" nội dung do AI tạo ra, tin giả (deepfake) và spam tự động. Cùng với quy định pháp lý mới bắt buộc phải gán nhãn nội dung AI, việc phải tự đọc, phân biệt và kiểm duyệt thủ công gây tốn kém thời gian khổng lồ. Điều này dẫn đến rủi ro vi phạm quy định nền tảng/pháp luật, dễ tiếp nhận thông tin sai lệch và làm suy giảm nghiêm trọng độ tin cậy của không gian mạng.
- Giải pháp công nghệ và sáng tạo: Dự án phát triển dưới dạng Extension và Web, hoạt động như một "Trợ lý kiểm duyệt và minh bạch AI". Ứng dụng mô hình AI đa phương thức để xử lý phân tích sâu cả hình ảnh, video và văn bản. Hệ thống sẽ tự động quét các luồng bài đăng, bóc tách các dấu vết sinh tạo (AI-generated signatures), loại bỏ các nội dung spam do bot tạo ra và tính toán "Chỉ số nguyên bản" (Authenticity Score) của bài viết.
- Điểm khác biệt: Điểm sáng giá nhất của dự án là tính tiên phong đón đầu hành lang pháp lý mới tại Việt Nam. Không chỉ dừng lại ở việc phát hiện nội dung AI, hệ thống còn tích hợp tính năng tự động cảnh báo và đề xuất thao tác "Gắn nhãn AI" chuẩn quy định cho các nhà sáng tạo nội dung/quản trị viên (Admin Group/Fanpage) để tránh rủi ro bị phạt. Lợi thế độc quyền này vừa bảo vệ người tiếp nhận thông tin, vừa tạo ra dòng doanh thu bền vững tức thì qua mô hình B2B (cung cấp gói giải pháp tuân thủ và quản lý rủi ro cho các Agency, doanh nghiệp và quản trị viên cộng đồng).</t>
  </si>
  <si>
    <t>ok2</t>
  </si>
  <si>
    <t>Nguyễn Viết Nhật Long</t>
  </si>
  <si>
    <t>Lê Văn Gia Huy</t>
  </si>
  <si>
    <t>TREKKING VÀ KHÁM PHÁ TRẢI NGHIỆM</t>
  </si>
  <si>
    <t xml:space="preserve">Đoàn Minh Đức </t>
  </si>
  <si>
    <t>22CVNH01</t>
  </si>
  <si>
    <t>TS. Tô Văn Hạnh</t>
  </si>
  <si>
    <t>1. Xu hướng du lịch hiện nay
Du lịch hiện nay chuyển dịch mạnh theo hướng trải nghiệm – cá nhân hóa – bền
vững – chăm sóc sức khỏe. Du khách không chỉ tham quan mà muốn trực tiếp tham gia hoạt
động địa phương như sản xuất nông nghiệp. Đồng thời, nhu cầu nghỉ dưỡng kết hợp thiền,
yoga, detox và retreat ngắn ngày tăng cao, đặc biệt ở nhóm khách trẻ và nhân viên văn
phòng. Tour nhóm nhỏ (10–15 người) được ưa chuộng vì tạo không gian riêng tư và trải
nghiệm sâu.
2. Địa điểm triển khai
Dự án triển khai tại huyện Đông Giang, tỉnh Quảng Nam cũ.
Khu vực này có địa hình đồi núi, rừng tự nhiên, suối và cảnh quan hoang sơ, thuận
lợi để xây dựng các tuyến trekking ngắn ngày và trung bình. Vị trí tương đối gần Đà Nẵng
giúp dễ dàng tiếp cận thị trường khách nội địa cuối tuần.</t>
  </si>
  <si>
    <t>ok3</t>
  </si>
  <si>
    <t>Nguyễn Phạm Khánh My</t>
  </si>
  <si>
    <t>Phạm Thị Yến Ny</t>
  </si>
  <si>
    <t>Hà Thị Hoài Thương</t>
  </si>
  <si>
    <t xml:space="preserve">Nguyễn Thị Thảo Nguyên </t>
  </si>
  <si>
    <t>ReviTrust: Trợ lý mua sắm AI</t>
  </si>
  <si>
    <t xml:space="preserve">Hồ Phạm Tâm Như </t>
  </si>
  <si>
    <t xml:space="preserve">Người tiêu dùng trên các sàn thương mại điện tử đang mắc kẹt trong "ma trận" bình luận ảo, seeding và spam. Việc phải tự đọc và phân biệt thông tin thật + giả gây tốn kém thời gian, dẫn đến rủi ro mua phải hàng kém chất lượng ("treo đầu dê bán thịt chó"), gây thất thoát tài chính và suy giảm niềm tin vào mua sắm trực tuyến.Dự án phát triển dưới dạng Extension và Web, hoạt động như "Trợ lý mua sắm AI". Ứng dụng mô hình AI đa phương thức để xử lí cả hình ảnh và văn bản. Hệ thống tự động bóc tách bình luận, loại bỏ nội dung rác và tính toán "Điểm tín nhiệm thực tế". </t>
  </si>
  <si>
    <t>ok4</t>
  </si>
  <si>
    <t>Nguyễn Tạ Đình Việt</t>
  </si>
  <si>
    <t>Lê Quang Hoàng Lân</t>
  </si>
  <si>
    <t>Than hoạt tính sinh học từ vỏ dưa hấu</t>
  </si>
  <si>
    <t>Môi trường</t>
  </si>
  <si>
    <t>Dự án hướng đến việc tận dụng phế phẩm nông nghiệp (vỏ dưa hấu) để sản xuất than hoạt tính ứng dụng trong xử lý nước ô nhiễm. Vỏ dưa hấu sau khi thu gom sẽ được xử lý, carbon hóa và hoạt hóa để tạo ra vật liệu có cấu trúc xốp, diện tích bề mặt lớn, có khả năng hấp phụ kim loại nặng, thuốc nhuộm và các chất hữu cơ độc hại trong nước.</t>
  </si>
  <si>
    <t>ok5</t>
  </si>
  <si>
    <t>(Chưa bổ sung)</t>
  </si>
  <si>
    <t>Robot thông minh hỗ trợ giao tiếp tiếng Anh</t>
  </si>
  <si>
    <t>Đinh Thị Minh Ánh</t>
  </si>
  <si>
    <t>25SNV2</t>
  </si>
  <si>
    <t>Ngữ văn</t>
  </si>
  <si>
    <t>Hiện nay, nhu cầu học tập cá nhân hóa của học sinh ngày càng cao trong khi phụ huynh và giáo viên khó có điều kiện theo sát từng em. Các sản phẩm robot trên thị trường chủ yếu phục vụ mục đích giải trí hoặc chỉ hỗ trợ học ở mức cơ bản như từ vựng Tiếng Anh, chưa đa dạng kiến thức, thiếu chiều sâu học thuật và chưa bám sát chương trình phổ thông. Bên cạnh đó, nhiều sản phẩm còn hạn chế về chất lượng âm thanh, tốc độ xử lý, khả năng tương tác tự nhiên và thiết kế chưa thật sự phù hợp với tâm lý học sinh. Đặc biệt, hầu hết chỉ dừng lại ở việc trả lời câu hỏi mà chưa phân tích lỗi sai hay định hướng tư duy, dẫn đến việc học sinh hiểu máy móc thay vì hiểu bản chất vấn đề.</t>
  </si>
  <si>
    <t>ok6</t>
  </si>
  <si>
    <t>Phan Hoàng Linh</t>
  </si>
  <si>
    <t>Trần Đình Tú</t>
  </si>
  <si>
    <t>Trường Đại học BK Đà Nẵng</t>
  </si>
  <si>
    <t>Dương Tấn Linh</t>
  </si>
  <si>
    <t>Lưu Thị Phương Anh</t>
  </si>
  <si>
    <t>Trường Đại học Kinh tế Đà Nẵng</t>
  </si>
  <si>
    <t>Website AI cá nhân hóa môn KHTN</t>
  </si>
  <si>
    <t>EdTech</t>
  </si>
  <si>
    <t>Ths. Trần Thị Hương Xuân</t>
  </si>
  <si>
    <t>Trong bối cảnh giáo dục hiện nay, việc dạy học đồng loạt khiến giáo viên khó theo sát sự tiến bộ của từng cá nhân. Đồng thời, học sinh trung học cơ sở gặp nhiều khó khăn để thích ứng với phương pháp học tích hợp của chương trình Khoa học Tự nhiên mới. Việc thiếu một lộ trình phù hợp với năng lực và phong cách tiếp thu riêng làm giảm hứng thú và hiệu quả học tập.</t>
  </si>
  <si>
    <t>ok7</t>
  </si>
  <si>
    <t>Chợ Quê Ẩm Thực Đà Thành</t>
  </si>
  <si>
    <t>Sáng tạo Xã hội</t>
  </si>
  <si>
    <t>Trương Thị Linh</t>
  </si>
  <si>
    <t>TS.Tô Văn Hạnh</t>
  </si>
  <si>
    <t>Dự án “Chợ Quê Ẩm Thực Đà Thành” là mô hình kinh doanh dịch vụ ăn uống kết hợp trải nghiệm văn hóa ẩm thực địa phương, lấy cảm hứng từ hình ảnh chợ quê truyền thống miền Trung. Không tổ chức theo mô hình nhà hàng thông thường, dự án hướng đến xây dựng một không gian “chợ ẩm thực” thu nhỏ, nơi thực khách có thể vừa thưởng thức món ăn, vừa trải nghiệm không khí dân dã, gần gũi của văn hóa chợ quê tại Đà Nẵng.
Không gian chợ được chia thành nhiều khu ẩm thực riêng biệt, mỗi khu mang một chủ đề đặc trưng. “Gánh Mì – Gánh Bún” phục vụ các món nước nổi tiếng như mỳ Quảng, bún cá, bún mắm và bánh canh ruộng. “Xóm Bánh Quê” giới thiệu các loại bánh dân gian như bánh bèo, bánh nậm, bánh bột lọc, bánh đập và bánh tráng cuốn thịt heo. “Góc Biển Làng Chài” mang đến các món hải sản đặc trưng của vùng biển miền Trung, tiêu biểu như Gỏi cá Nam Ô cùng các món cá nướng, mực rim và ốc xào. Bên cạnh đó còn có “Quầy Quà Chiều” với các món ăn vặt như nem lụi, ram cuốn cải, bắp nướng và “Gánh Nước Mát” phục vụ các loại nước uống dân dã như nước sâm, nước mía, chè và trà gừng.
Mô hình hoạt động theo hình thức “buffet chợ”, cho phép thực khách tự do lựa chọn món ăn tại từng gánh hàng theo nhu cầu: có thể thưởng thức trọn bữa hoặc chỉ trải nghiệm các món đặc trưng riêng lẻ. Ngoài dịch vụ ăn uống tại chỗ, dự án còn phát triển “Gian Đặc Sản Đà Thành”, nơi trưng bày và bán các sản phẩm địa phương như Nước mắm Nam Ô, chả bò hay bánh khô mè để khách mang về làm quà.
Tận dụng nguồn nguyên liệu địa phương, các món ăn quen thuộc với quy trình chế biến đơn giản và dễ tổ chức thành từng quầy độc lập. Mô hình “chợ ẩm thực” cho phép phục vụ nhiều nhóm khách cùng lúc, tối ưu chi phí vận hành và tạo sự đa dạng trong lựa chọn món ăn. Đặc biệt, đối với các du khách tới Đà Nẵng có thời gian khá hạn chế mà muốn trải nghiệm thật nhiều nên thay vì phải di chuyển đến nhiều quán khác nhau trong thành phố, thực khách chỉ cần đến một địa điểm duy nhất vẫn có thể trải nghiệm trọn vẹn các món đặc trưng của Đà Nẵng. Chính yếu tố “một điểm đến – nhiều trải nghiệm ẩm thực” này giúp mô hình phù hợp với du khách, người dân địa phương cũng như các nhóm khách muốn khám phá ẩm thực nhanh chóng và thuận tiện. Với sự kết hợp giữa ẩm thực, văn hóa và trải nghiệm,, “Chợ Quê Ẩm Thực Đà Thành” hi vọng sẽ trở thành điểm đến ẩm thực độc đáo, góp phần quảng bá giá trị ẩm thực truyền thống của Đà Nẵng đến với du khách và cộng đồng.</t>
  </si>
  <si>
    <t>ok8</t>
  </si>
  <si>
    <t xml:space="preserve">Võ Thị Huyền Anh </t>
  </si>
  <si>
    <t xml:space="preserve">Nguyễn Thị Lệ Thuỷ </t>
  </si>
  <si>
    <t>Nguyễn Thị Thuỳ</t>
  </si>
  <si>
    <t xml:space="preserve">Lê Thị Thu Thuỷ </t>
  </si>
  <si>
    <t>LÀNG QUÊ KÍ ỨC</t>
  </si>
  <si>
    <t>Văn hóa - Du lịch</t>
  </si>
  <si>
    <t>Nguyễn Thị Tường Vy</t>
  </si>
  <si>
    <t>ok9</t>
  </si>
  <si>
    <t>ĐỖ LÊ KIM UYÊN</t>
  </si>
  <si>
    <t>NGUYỄN THỊ KIM LY</t>
  </si>
  <si>
    <t>NGUYỄN THỊ THANH TRÚC</t>
  </si>
  <si>
    <t>DƯƠNG THỊ CẨM VY</t>
  </si>
  <si>
    <t>CỬA HÀNG LƯU NIỆM LÀNG LỤA HỘI AN</t>
  </si>
  <si>
    <t>Du lịch - Văn hóa</t>
  </si>
  <si>
    <t>Nguyễn Thị Hoài Minh</t>
  </si>
  <si>
    <t>"Cửa hàng lưu niệm Làng Lụa Hội An" là mô hình kinh doanh kết hợp cửa hàng lưu niệm cao cấp và trải nghiệm du lịch văn hóa tại Hội An. Chúng tôi tập trung vào sản phẩm lụa truyền thống (vải lụa nguyên tấm, quần áo may sẵn, may đo trực tiếp) cùng các mặt hàng lưu niệm liên quan, hướng đến đối tượng chính là khách du lịch quốc tế và nội địa.
Ý tưởng cốt lõi giải quyết vấn đề: Nghề dệt lụa Hội An đang mai một, du khách thiếu trải nghiệm sâu sắc về di sản văn hóa địa phương thay vì chỉ mua sắm thông thường. Giải pháp là xây dựng không gian cửa hàng theo mô hình 3 bước: (1) Cho khách xem quy trình ươm tơ – dệt lụa và tái hiện thương cảng Hội An xưa (kết hợp thực tế ảo để tăng tính tương tác); (2) Cho khách trải nghiệm trực tiếp (tự dệt lụa, học may đo, tham quan không gian làng nghề); (3) Bán sản phẩm chất lượng cao với câu chuyện văn hóa đằng sau.
Điểm độc đáo: Kết hợp du lịch trải nghiệm (tham quan, học tập, ăn trưa đặc sản) với kinh doanh lưu niệm, hợp tác nghệ nhân địa phương và công ty lữ hành để tạo giá trị bền vững, vừa bảo tồn di sản vừa tạo doanh thu ổn định. Dự án hướng tới mô hình doanh nghiệp khởi nghiệp sáng tạo, góp phần phát triển du lịch cộng đồng tại Hội An.</t>
  </si>
  <si>
    <t>ok10</t>
  </si>
  <si>
    <t>Nguyễn Anh Thi</t>
  </si>
  <si>
    <t>Phan Cẩm Chi</t>
  </si>
  <si>
    <t>Hồn Biển: Một ngày làm Ngư dân</t>
  </si>
  <si>
    <t xml:space="preserve">Nguyễn Hồng Hân </t>
  </si>
  <si>
    <t>"Hồn Biển: Một ngày làm Ngư dân" là dự án du lịch trải nghiệm thực thụ, đưa du khách thoát khỏi những tiện nghi thường nhật để hòa mình vào cuộc đời của những người con cửa biển. Chúng tôi mang đến hành trình "sống trọn cùng đại dương": từ việc lênh đênh ngủ đêm trên sóng nước, tự tay câu mực giữa biển đêm hừng đông, đến những phút giây lắng đọng nghe kể chuyện tâm linh về Cá Ông. Ngay cả khi biển động, hành trình vẫn tiếp nối tại hệ thống Homestay văn hóa, nơi du khách được hóa thân thành thợ làm mắm thủ công và khám phá nhịp sống bản địa mộc mạc. Không chỉ là một tour du lịch, đây là cầu nối bảo tồn giá trị di sản biển và tạo sinh kế bền vững cho ngư dân địa phương.</t>
  </si>
  <si>
    <t>ok11</t>
  </si>
  <si>
    <t>Nguyễn Thị Ngọc Khanh</t>
  </si>
  <si>
    <t>Nguyễn Thùy Uyên Đan</t>
  </si>
  <si>
    <t>Trương Thị Ánh Nguyệt</t>
  </si>
  <si>
    <t>Đinh Thị Thu Tuyết</t>
  </si>
  <si>
    <t>BINGO HERITAGE – Điểm chạm di sản</t>
  </si>
  <si>
    <t>GD Tiểu học</t>
  </si>
  <si>
    <t>ok12</t>
  </si>
  <si>
    <t>Nguyễn Quóc Khánh</t>
  </si>
  <si>
    <t>Mộc Linh Sơn Thủy (Bộ cờ AR)</t>
  </si>
  <si>
    <t xml:space="preserve">Phan Nguyễn Bảo Chân </t>
  </si>
  <si>
    <t>TS. Hoàng Sĩ Ngọc</t>
  </si>
  <si>
    <t>Mộc Linh Sơn Thủy: Khi di sản hồi sinh trong từng nhịp chạm. Được điêu khắc thủ công từ đôi tay nghệ nhân Kim Bồng, bộ cờ tái hiện cuộc đại chiến Sơn Tinh - Thủy Tinh qua một lăng kính hoàn toàn mới. Thông qua mã QR và công nghệ AR, mỗi quân cờ gỗ trở thành một nhân vật có tiếng nói, có cuộc đời và có khả năng thay đổi cốt truyện của chính nó. Không chỉ dừng lại ở việc chơi cờ, người chơi sẽ trực tiếp tham gia vào vận mệnh của quân cờ, tự tay viết lại nên câu chuyện truyền thuyết. Mộc Linh Sơn Thủy không chỉ là một bộ cờ; đó là một cánh cổng kết nối giữa những nhát đục thủ công của nghệ nhân làng mộc Kim Bồng và dòng chảy công nghệ tương lai.</t>
  </si>
  <si>
    <t>ok13</t>
  </si>
  <si>
    <t>Hồ Nguyễn Ngọc Quý</t>
  </si>
  <si>
    <t>Nguyễn Thúy Nga</t>
  </si>
  <si>
    <t>Hệ sinh thái Dược Mỹ phẩm Xanh từ Rong nâu</t>
  </si>
  <si>
    <t>Y tế</t>
  </si>
  <si>
    <t>Sinh - NN - MT</t>
  </si>
  <si>
    <t>Trong bối cảnh kinh tế toàn cầu chuyển dịch mạnh mẽ theo hướng phát triển bền vững, ngành mỹ phẩm cũng đang theo xu hướng “Blue Beauty” (làm đẹp từ đại dương) và mỹ phẩm thuần chay. Tại Việt Nam – quốc gia có đường bờ biển dài 3.260 km – nguồn tài nguyên sinh vật biển rất phong phú nhưng việc thương mại hóa các hoạt chất sinh học giá trị cao vẫn còn hạn chế, chủ yếu dừng ở mức chế biến thô.</t>
  </si>
  <si>
    <t>ok14</t>
  </si>
  <si>
    <t>Vũ Xuân Thuỷ </t>
  </si>
  <si>
    <t>Trần Công Minh </t>
  </si>
  <si>
    <t>Lại Phước Sơn </t>
  </si>
  <si>
    <t>Sản phẩm lên men gạo Lactobacillus</t>
  </si>
  <si>
    <t>Nông nghiệp</t>
  </si>
  <si>
    <t>Nguyễn Nhật Minh</t>
  </si>
  <si>
    <t>Từ việc khai thác hệ thống trang thiết bị tiên tiến tại Trường Đại học Sư phạm – Đại học Đà Nẵng, nhóm chúng tôi định hướng cải tiến phương pháp chế biến các sản phẩm truyền thống từ gạo bằng cách ứng dụng công nghệ lên men sinh học với chủng Lactobacillus sp. được phân lập trực tiếp từ hạt gạo. Thông qua tủ cấy vi sinh vô trùng, nồi hấp tiệt trùng Autoclave, máy lắc ủ vi sinh, máy ly tâm lạnh, hệ thống đo pH và các thiết bị phân tích như máy quang phổ UV-Vis và HPLC, quá trình phân lập, nuôi cấy và kiểm soát động học lên men được thực hiện chính xác và đảm bảo độ an toàn cao. Trên nền tảng đó, đề tài hướng đến phát triển các dòng sản phẩm gạo lên men như sữa gạo probiotic và dịch chiết gạo sinh học có giá trị dinh dưỡng vượt trội, giàu hoạt tính sinh học, có khả năng ức chế vi sinh vật gây hại và mang lại lợi ích trực tiếp cho hệ tiêu hóa, góp phần nâng cao chất lượng và giá trị ứng dụng của sản phẩm gạo truyền thống.</t>
  </si>
  <si>
    <t>ok15</t>
  </si>
  <si>
    <t>Trần Hữu Đức Duy</t>
  </si>
  <si>
    <t>Lê Anh Huy</t>
  </si>
  <si>
    <t xml:space="preserve">Lâm Gia Đức </t>
  </si>
  <si>
    <t>Lê Ánh Ngân</t>
  </si>
  <si>
    <t>Vang Vọng Nam Ô (Thính giác di sản)</t>
  </si>
  <si>
    <t>Trần Thùy Nhã Uyên</t>
  </si>
  <si>
    <t>Thay vì làm du lịch theo cách truyền thống, nhóm chọn hướng đi "Chạm vào di sản bằng thính giác". Chúng em thực hiện số hóa các âm thanh đặc trưng: từ tiếng mắm "reo" trong chum gỗ, tiếng sóng vỗ rạn đá đến lời kể mộc mạc của các nghệ nhân bản địa,  những người lính già từng đóng quân trên đèo để tạo nên một hành trình trải nghiệm khác biệt.</t>
  </si>
  <si>
    <t>ok16</t>
  </si>
  <si>
    <t>Lê Công Tiến</t>
  </si>
  <si>
    <t>Bùi Như Quỳnh</t>
  </si>
  <si>
    <t>Đinh Lê Hoàng Văn</t>
  </si>
  <si>
    <t>Lê Xuân Khánh</t>
  </si>
  <si>
    <t>Sơn Chà Survival &amp; Eco Experience</t>
  </si>
  <si>
    <t xml:space="preserve">Nguyễn Mai Ý Thiên </t>
  </si>
  <si>
    <t>Dự án “Sơn Chà Survival &amp; Eco Experience – Du lịch sinh tồn kết hợp” là mô hình du lịch trải nghiệm được xây dựng tại khu vực đảo Sơn Chà (Đà Nẵng), hướng đến khai thác tiềm năng thiên nhiên hoang sơ theo định hướng bền vững.
Dự án kết hợp giữa sinh tồn có kiểm soát, du lịch sinh thái, nghỉ dưỡng và trải nghiệm văn hóa biển, nhằm tạo ra sản phẩm khác biệt so với các loại hình du lịch truyền thống. Chương trình được thiết kế với quy mô 20–25 khách/chuyến, thời gian 2 ngày 1 đêm (có thể mở rộng 3 ngày 2 đêm), phân chia thành các cấp độ trải nghiệm phù hợp với nhiều đối tượng như: khách quốc tế yêu thích khám phá, khách nội địa (Gen Z, nhóm bạn, doanh nghiệp) và gia đình có trẻ em. Các hoạt động tiêu biểu gồm: dựng shelter sinh tồn, tìm nguồn nước, giải mật thư, lặn ngắm san hô, lưu trú trên thuyền, một ngày
làm ngư dân, câu cá, yoga biển và trải nghiệm ẩm thực hải sản tại chỗ. Giá trị cốt lõi của dự án là tạo ra hành trình “vượt giới hạn – chạm bản năng”
trong môi trường tự nhiên nhưng vẫn đảm bảo an toàn và không làm tổn hại hệ sinh thái. Bên cạnh mục tiêu kinh doanh, dự án còn góp phần quảng bá hình ảnh du lịch bền vững
và nâng cao nhận thức bảo vệ môi trường biển đảo.
Với xu hướng du lịch trải nghiệm ngày càng phát triển, dự án được đánh giá có
tiềm năng thương mại hóa cao và khả năng mở rộng thành thương hiệu du lịch sinh tồn
đặc trưng của Đà Nẵng.</t>
  </si>
  <si>
    <t>ok17</t>
  </si>
  <si>
    <t>Nguyễn Ngọc Vũ Hưng</t>
  </si>
  <si>
    <t>Lê Thị Mỹ Diệu</t>
  </si>
  <si>
    <t>eBook tương tác Vật lí 11 tích hợp Chatbot</t>
  </si>
  <si>
    <t>Trong bối cảnh chuyển đổi số giáo dục, việc dạy và học Vật lí – đặc biệt là chương “Dao động” lớp 11 – vẫn còn nhiều khó khăn do tính trừu tượng cao, nhiều công thức và hiện tượng khó hình dung. Xuất phát từ thực tiễn đó, dự án nhằm thiết kế sách điện tử (eBook) tương tác tích hợp Chatbot AI hỗ trợ dạy học chương Dao động – Vật lí 11 nhằm phát triển một hệ thống học liệu số thông minh, kết hợp giữa nội dung chuẩn chương trình với trí tuệ nhân tạo. EBook được thiết kế thông qua web Heyzine và Github, trong đó tích hợp Chatbot AI hỗ trợ học sinh tương tác giải đáp thắc mắc, kết hợp video và thí nghiệm ảo trong chương "Dao động – Vật lí 11". Trong quá trình thiết kế, nghiên cứu vận dụng cơ sở lý luận của dạy học kiến tạo, tích hợp phương pháp mô phỏng và dạy học khám phá nhằm tối ưu hóa trải nghiệm người dùng. Trong tương lai, mô hình có thể mở rộng sang các chương khác và các môn học khác, góp phần thúc đẩy hệ sinh thái giáo dục số thông minh.</t>
  </si>
  <si>
    <t>ok18</t>
  </si>
  <si>
    <t>HEARSIGHT – Quà lưu niệm cho người khuyết tật</t>
  </si>
  <si>
    <t xml:space="preserve">Dự án HEARSIGHT –QUÀ LƯU NIỆM DÀNH CHO NGƯỜI KHUYẾT TẬT là một sáng kiến trong lĩnh vực du lịch nhằm tạo ra dòng quà lưu niệm tiếp cận toàn diện dành cho người khiếm thị và khiếm thính. Xuất phát từ thực tế rằng phần lớn sản phẩm lưu niệm hiện nay chủ yếu phục vụ thị giác và chưa đáp ứng nhu cầu trải nghiệm của người khuyết tật, dự án hướng tới thiết kế những vật phẩm đa giác quan kết hợp chữ nổi Braille, mô hình nổi xúc giác, ký hiệu ngôn ngữ tay và mã QR liên kết nội dung âm thanh hoặc video ký hiệu. Không chỉ mang giá trị vật chất, sản phẩm còn giúp người dùng lưu giữ ký ức du lịch theo cách phù hợp với khả năng cảm nhận của mình. Bên cạnh yếu tố sáng tạo công nghệ như in 3D, khắc laser CNC và cá nhân hóa sản phẩm, dự án được xây dựng theo mô hình doanh nghiệp xã hội với nhiều nguồn doanh thu như bán trực tiếp tại điểm du lịch, kênh trực tuyến, combo quà tặng và hợp tác CSR. Mục tiêu dài hạn là mở rộng phân phối toàn quốc, tạo việc làm cho người khuyết tật và góp phần thúc đẩy du lịch hòa nhập, nơi mọi du khách đều có quyền tiếp cận trải nghiệm bình đẳng. </t>
  </si>
  <si>
    <t>ok19</t>
  </si>
  <si>
    <t>Lê Thị Thu Sương</t>
  </si>
  <si>
    <t>Nguyễn Ngọc Trâm Anh</t>
  </si>
  <si>
    <t>Hệ thống nhận diện thương hiệu Đà Nẵng</t>
  </si>
  <si>
    <t>Phạm Hồng Duyên</t>
  </si>
  <si>
    <t>24SMT</t>
  </si>
  <si>
    <t>ThS. Trương Thị Khánh Trang</t>
  </si>
  <si>
    <t>GD NT - TC</t>
  </si>
  <si>
    <t>Đề tài Thiết kế hệ thống nhận diện thương hiệu Thành phố Đà Nẵng dưới góc nhìn sáng tạo của sinh viên Khoa Giáo dục Nghệ thuật - Thể chất hướng đến việc xây dựng một hệ thống nhận diện thương hiệu mang tính đồng bộ, hiện đại và giàu bản sắc văn hóa địa phương, dựa trên cách tiếp cận sáng tạo của sinh viên chuyên ngành nghệ thuật.
Ý tưởng cốt lõi là khai thác các giá trị đặc trưng của Đà Nẵng, cùng tinh thần trẻ trung, năng động và thân thiện của một đô thị đáng sống, để chuyển hóa thành ngôn ngữ tạo hình đương đại. Hệ thống nhận diện bao gồm: ấn phẩm truyền thông, quà tặng, không gian sự kiện và nền tảng số.
Dưới góc nhìn của sinh viên ngành Sư phạm Mỹ thuật - Khoa Giáo dục Nghệ thuật - Thể chất, thiết kế không chỉ chú trọng yếu tố thẩm mỹ mà còn đề cao tính giáo dục, tính cộng đồng và khả năng lan tỏa giá trị văn hóa địa phương trong môi trường học đường và xã hội. Cách tiếp cận này tạo điều kiện để người học vận dụng kiến thức mỹ thuật, thiết kế, biểu đạt thị giác và tư duy hệ thống vào một vấn đề thực tiễn, qua đó góp phần hình thành ý thức công dân sáng tạo và trách nhiệm với hình ảnh đô thị.
Đề tài kỳ vọng đóng góp một phương án nhận diện thương hiệu mang tính trẻ trung, sáng tạo, có khả năng ứng dụng linh hoạt trong bối cảnh chuyển đổi số và hội nhập, đồng thời thể hiện vai trò của sinh viên nghệ thuật trong việc tham gia kiến tạo hình ảnh đô thị đương đại.</t>
  </si>
  <si>
    <t>ok20</t>
  </si>
  <si>
    <t>Ngô Trần Uyên Nhi</t>
  </si>
  <si>
    <t>Nguyễn Thuỷ Trúc Linh</t>
  </si>
  <si>
    <t xml:space="preserve">Trần Thị Diễm Hà </t>
  </si>
  <si>
    <t>Trần Thị Thuỳ Trang</t>
  </si>
  <si>
    <t>Nghĩa Sâm Cố Bản</t>
  </si>
  <si>
    <t>Thực phẩm</t>
  </si>
  <si>
    <t>Lê Thị Thu</t>
  </si>
  <si>
    <t>Nghĩa Sâm là một dược liệu quý từng được dùng để tiến vua dưới triều Nguyễn, gắn với vùng đất Quảng Ngãi và nổi tiếng với công dụng bồi bổ cơ thể, tăng cường sức khỏe cho tầng lớp hoàng gia và quan lại xưa. Tuy nhiên, trải qua nhiều biến động lịch sử, nguồn dược liệu quý này dần bị mai một và ít được biết đến trong đời sống hiện đại. Hiện nay, tỉnh Quảng Ngãi đang từng bước khôi phục giá trị của Nghĩa Sâm thông qua các hoạt động bảo tồn nguồn gen, nhân giống, phát triển vùng trồng và nghiên cứu thành phần dược tính. Dù vậy, để Nghĩa Sâm thực sự trở lại với thị trường và đời sống, việc xây dựng các sản phẩm thương mại có giá trị là yếu tố then chốt. Phát triển các sản phẩm từ Nghĩa Sâm không chỉ giúp nâng cao giá trị kinh tế của dược liệu bản địa, mà còn tạo động lực mở rộng vùng trồng, bảo tồn giống sâm quý và hình thành chuỗi giá trị bền vững cho địa phương.
Giải pháp công nghệ/sáng tạo: Dự án khôi phục và phát triển Nghĩa Sâm ứng dụng công nghệ sấy thăng hoa (freeze-drying) kết hợp chiết xuất hoạt chất sinh học nhằm bảo tồn tối đa dược tính, hương vị tự nhiên và độ ổn định của các hợp chất quý trong sâm. Các sản phẩm thương mại bao gồm Nghĩa sâm stick và nước uống Nghĩa sâm dạng chai, được phối hợp với các thảo mộc như long nhãn, kỷ tử, gừng và táo đỏ,… để hỗ trợ thanh lọc cơ thể, tăng cường miễn dịch và cải thiện tiêu hóa. Sản phẩm được đóng gói bằng công nghệ bao bì bảo vệ hoạt chất và tiệt trùng hiện đại nhằm kéo dài thời gian bảo quản mà vẫn giữ giá trị dược liệu. Đặc biệt, QR code sẽ được áp dụng để minh bạch chuỗi giá trị từ vùng trồng, thu hoạch, chế biến đến phân phối, giúp người tiêu dùng kiểm chứng nguồn gốc, chất lượng và tính xác thực của sản phẩm.
Điểm khác biệt: Dự án tiên phong nghiên cứu và phát triển các sản phẩm từ Nghĩa Sâm, giúp bảo tồn giống sâm quý bản địa. Dự án mang lại các sản phẩm tiện lợi và hiệu quả, phù hợp với nhu cầu tiêu dùng hiện đại. Đồng thời định hướng phát triển vùng nguyên liệu bền vững gắn với cộng đồng địa phương.</t>
  </si>
  <si>
    <t>ok21</t>
  </si>
  <si>
    <t>Lý Sơn Local Life - Sống như người đảo</t>
  </si>
  <si>
    <t>Ngô Văn Quốc</t>
  </si>
  <si>
    <t>Dự án “Sống như người đảo” được triển khai tại Lý Sơn với mục tiêu xây dựng mô hình du lịch trải nghiệm cộng đồng toàn diện, nơi du khách không chỉ tham quan mà trực tiếp tham gia vào đời sống sản xuất và văn hóa của người dân biển đảo. Thay vì du lịch ngắm cảnh đơn thuần, dự án thiết kế các chương trình quy mô nhỏ, giới hạn số lượng khách nhằm đảm bảo tính chân thực, an toàn và bền vững.</t>
  </si>
  <si>
    <t>ok22</t>
  </si>
  <si>
    <t>Đào Thị Ngọc Vy</t>
  </si>
  <si>
    <t>Nguyễn Thị Ngọc Lên</t>
  </si>
  <si>
    <t>Cầm Thị Thu</t>
  </si>
  <si>
    <t>Đỗ Quang Ca</t>
  </si>
  <si>
    <t>Gói sắc tinh hà</t>
  </si>
  <si>
    <t>Văn hóa</t>
  </si>
  <si>
    <t>Nguyễn Ngô Bích Hữu</t>
  </si>
  <si>
    <t>ok23</t>
  </si>
  <si>
    <t>Hoàng Thị Ngọc Ánh</t>
  </si>
  <si>
    <t>Nguyễn Hồ Gia Hân</t>
  </si>
  <si>
    <t>Hoàng Thị Thiên Kim</t>
  </si>
  <si>
    <t>Đặng Minh Nhựt</t>
  </si>
  <si>
    <t>Băng gạc sinh học từ nha đam</t>
  </si>
  <si>
    <t>Sản xuất băng gạc sinh học từ nha đam có nguồn gốc từ thiên nhiên để giúp nhanh lành vết thương, có độ ẩm nhất định giúp điều hòa vết thương.</t>
  </si>
  <si>
    <t>ok24</t>
  </si>
  <si>
    <t>Sổ nhật ký tinh dầu</t>
  </si>
  <si>
    <t>PsyTech</t>
  </si>
  <si>
    <t xml:space="preserve">Ý tưởng của nhóm là sổ nhật ký có tẩm tinh dầu với mùi hương dịu nhẹ, giúp người dùng thư giãn, thả lỏng cơ thể và cảm xúc trong quá trình viết. </t>
  </si>
  <si>
    <t>ok25</t>
  </si>
  <si>
    <t>Phạm Đoàn Khánh Đoan</t>
  </si>
  <si>
    <t>Photobooth – Bản Thái 360</t>
  </si>
  <si>
    <t>TS. Lư Thúy Liên</t>
  </si>
  <si>
    <t>Phòng photobooth lấy cảm hứng từ văn hóa dân tộc Thái vùng Tây Bắc, tái hiện không gian bản làng truyền thống kết hợp yếu tố hiện đại. Mục tiêu không chỉ để chụp ảnh mà còn là trải nghiệm văn hóa – nơi người tham gia được “hóa thân” thành người con của núi rừng. Mô phỏng nhà sàn thu nhỏ làm background, trang trí hoa ban, suối, ruộng bậc thang cách điệu, treo khăn piêu, vải thổ cẩm, nhạc cụ dân tộc. Màu sắc chủ đạo xanh lá (núi rừng), trắng (hoa ban), đỏ – cam – chàm (họa tiết thổ cẩm). Cho thuê hoặc mượn trang phục truyền thống Thái. Phụ kiện: khăn piêu, vòng bạc, gùi tre. Có bảng hướng dẫn tạo dáng chuẩn vibe bản làng. Tích hợp filter hoặc khung ảnh họa tiết thổ cẩm, in ảnh có viền hoa văn dân tộc, có thể in thêm câu slogan tiếng Thái hoặc câu chúc. Không chỉ là photobooth mà là không gian quảng bá văn hóa dân tộc Thái, phù hợp cho lễ hội văn hóa, trường học, sự kiện du lịch, dễ lan tỏa trên mạng xã hội vì màu sắc nổi bật, concept độc đáo.</t>
  </si>
  <si>
    <t>ok26</t>
  </si>
  <si>
    <t>Hồ Thị Anh Thư</t>
  </si>
  <si>
    <t>Nguyễn Mai Anh</t>
  </si>
  <si>
    <t>Vy Thị Diệu Linh</t>
  </si>
  <si>
    <t>Phạm Minh Thi</t>
  </si>
  <si>
    <t>Nghiên cứu công nghệ cố định vi sinh vật trên giá thể hữu cơ nén từ xơ dừa-bã mía</t>
  </si>
  <si>
    <t>AgriTech</t>
  </si>
  <si>
    <t>Trần Nguyễn Hoàng Cường</t>
  </si>
  <si>
    <t>Dự án tận dụng phế phẩm xơ dừa và bã mía để tạo ra giá thể nén khối (20x8cm) giải quyết nhu cầu mảng xanh đô thị. Điểm cốt lõi là ứng dụng công nghệ vi bao để cố định hệ vi sinh Bacillus và Streptomyces. Các hạt vi nang này đóng vai trò là "túi đệm" bảo vệ vi sinh vật khỏi áp suất nén và là kho dự trữ độ ẩm. Khi tiếp nước, giá thể giãn nở nhanh, giải phóng vi sinh vật để phân giải hữu cơ và bảo vệ bộ rễ, thay thế hoàn toàn phân bón hóa học.</t>
  </si>
  <si>
    <t>ok27</t>
  </si>
  <si>
    <t>Hồ Thị Hoàn</t>
  </si>
  <si>
    <t>Nguyễn Hồ Anh Thư</t>
  </si>
  <si>
    <t>Hệ sinh thái làm sạch an toàn CITRUS</t>
  </si>
  <si>
    <t xml:space="preserve">CITRUS là dòng sản phẩm vệ sinh đa năng ứng dụng mô hình kinh tế tuần hoàn, tận dụng phụ phẩm vỏ dứa và các loại quả có múi để tạo ra giải pháp làm sạch 100% sinh học. Điểm khác biệt cốt lõi của CITRUS nằm ở công nghệ tích hợp: các Acid hữu cơ và Enzyme tự nhiên giúp bẻ gãy vết bẩn dầu mỡ cứng đầu, kết hợp cùng lợi khuẩn Bacillus subtilis cấy bổ sung để thiết lập màng bảo vệ vi sinh, giúp diệt khuẩn kéo dài và khử mùi tận gốc.Enzyme Bromelain là một Protease (enzyme thủy phân protein) mạnh mẽ có trong dứa, giúp hòa tan các vết bẩn thực phẩm và dầu mỡ mà không cần hóa chất ăn mòn. Quá trình lên men vỏ trái cây tạo ra Acid Citric và Acid Acetic tự nhiên, giúp điều chỉnh độ pH, làm sạch cặn khoáng và ức chế vi khuẩn phổ rộng. Thay vì dùng hương liệu che lấp, lợi khuẩn tiết ra enzyme protease và lipase để "ăn" sạch các phân tử hữu cơ gây mùi (protein thừa, chất béo...), giải quyết mùi hôi từ gốc. Bằng quy trình lên men tối ưu, CITRUS không chỉ mang lại giải pháp an toàn cho trẻ nhỏ và thú cưng, mà còn khẳng định cam kết về một lối sống xanh bền vững với chi phí hợp lý nhất. </t>
  </si>
  <si>
    <t>ok28</t>
  </si>
  <si>
    <t>VIETNAM WONDER BLIND BAG</t>
  </si>
  <si>
    <t>Nguyễn An Phương</t>
  </si>
  <si>
    <t>25CVHH</t>
  </si>
  <si>
    <t>TS. Lư Thúy Liền</t>
  </si>
  <si>
    <t>Vietnam Wonder Blind Bag là sản phẩm túi mù chứa các mảnh ghép mô hình 3D thu nhỏ của những danh lam thắng cảnh tiêu biểu trên khắp Việt Nam. Dự án kết hợp:
 • Xu hướng Blind Bag
 • Giá trị giáo dục lịch sử – địa lý 
• Văn hóa dân tộc 
• Tính sưu tầm và tương tác số 
+Mục tiêu: Trở thành thương hiệu đồ chơi giáo dục văn hóa Việt Nam hàng đầu, góp phần quảng bá du lịch và khơi dậy niềm tự hào dân tộc trong giới trẻ. 
Vietnam Wonder Blind Bag không chỉ là sản phẩm giải trí, mà là một dự án khởi nghiệp mang giá trị giáo dục, văn hóa và kinh tế bền vững. “Mỗi túi mù mở ra – một mảnh ghép quê hương được hoàn thành.”</t>
  </si>
  <si>
    <t>ok29</t>
  </si>
  <si>
    <t>Đặng Thị Thảo Hằng</t>
  </si>
  <si>
    <t>Trương Nhật My</t>
  </si>
  <si>
    <t>Sáp thơm đuổi ruồi muỗi</t>
  </si>
  <si>
    <t>Sinh học</t>
  </si>
  <si>
    <t>Nguyễn Hà Phương Thảo</t>
  </si>
  <si>
    <t>Đây là một sản phẩm sáp thơm xua đuổi ruồi muỗi kết hợp với tính sáng tạo văn hóa, tệp khách hàng và mục tiêu: các nhà hàng, khách sạn.</t>
  </si>
  <si>
    <t>ok30</t>
  </si>
  <si>
    <t>Đỗ Phan Nhật Quỳnh</t>
  </si>
  <si>
    <t>Bùi Thị Ly Na</t>
  </si>
  <si>
    <t>Boardgame "Vệ Sĩ Tí Hon"</t>
  </si>
  <si>
    <t>Dự án "Vệ Sĩ Tí Hon" là một bộ Boardgame giáo dục giới tính và kỹ năng phòng chống xâm hại dành cho trẻ em từ 4-9 tuổi. Ý tưởng xuất phát từ thực trạng gia tăng tỷ lệ xâm hại trẻ em và sự lúng túng của phụ huynh khi phải truyền đạt những kiến thức "khó nói" này một cách khô khan hay sợ "vẽ đường cho hươu chạy".
Thay vì để trẻ tiếp thu thụ động qua sách vở hay thiết bị điện tử, "Vệ Sĩ Tí Hon" biến kiến thức thành trò chơi tương tác nhập vai. Bộ sản phẩmbao gồm: 1 bản đồ phiêu lưu, 50 thẻ bài tình huống, sticker huy hiệu khen thưởng, và đặc biệt là cẩm nang "Lời thì thầm" giúp bố mẹ có phương pháp giao tiếp khoa học cùng con. Khi chơi, trẻ buộc phải tư duy và đưa ra cách xử lý (bỏ chạy, hét lớn, mách mẹ...) để chiến thắng.
Sản phẩm hướng tới nhóm khách hàng phụ huynh thành thị (24-40 tuổi) và B2B (các trường mầm non, trung tâm kỹ năng). Lợi thế cạnh tranh cốt lõi của dự án nằm ở nền tảng chuyên môn Công tác xã hội: tính "phòng ngừa" chủ động, nội dung thấu hiểu tâm lý lứa tuổi, ngôn ngữ phù hợp văn hóa Việt Nam và tạo ra "giờ chất lượng" gắn kết gia đình. "Vệ Sĩ Tí Hon" trang bị "vắc-xin tinh thần" vững chắc, giúp mọi đứa trẻ tự tin trở thành vệ sĩ của chính mình.</t>
  </si>
  <si>
    <t>ok31</t>
  </si>
  <si>
    <t>Đinh Thị Khánh Linh</t>
  </si>
  <si>
    <t>Túi Xơ Mướp (Luffa)</t>
  </si>
  <si>
    <t>Phạm Lý Phương Ly</t>
  </si>
  <si>
    <t xml:space="preserve">TS. Hoàng Sĩ Ngọc </t>
  </si>
  <si>
    <t>“Với ý tưởng Túi từ xơ mướp, chúng tôi đang giải quyết bài toán rác thải thời trang bằng công nghệ vật liệu sinh học từ phụ phẩm nông nghiệp. Bằng cách tái cấu trúc xơ mướp – một nguồn nguyên liệu bền vững, sẵn có và hoàn toàn có thể phân hủy – chúng tôi tạo ra dòng phụ kiện thời trang tối ưu giữa độ bền, tính thẩm mỹ và trách nhiệm môi trường.Trên nền vật liệu sinh học ấy, mỗi sản phẩm được vẽ tay những hình ảnh cảnh vật và biểu tượng văn hóa truyền thống Việt Nam. Những nét vẽ ấy không chỉ làm tăng giá trị thẩm mỹ mà còn tái hiện ký ức văn hóa, gợi nhắc về không gian làng quê, về hệ sinh thái nông nghiệp lúa nước – nơi chính nguyên liệu của sản phẩm được sinh ra. Mỗi chiếc túi là một tác phẩm ‘xanh’ độc nhất, nơi vẻ đẹp thô sơ của thiên nhiên được gói gọn trong thiết kế tinh tế, mang đến giải pháp thay thế bền vững, nhân văn và đầy cảm hứng cho người tiêu dùng hiện đại.”</t>
  </si>
  <si>
    <t>ok32</t>
  </si>
  <si>
    <t>Lý Nguyễn Hữu Tình</t>
  </si>
  <si>
    <t xml:space="preserve">Hồ Kim Phụng </t>
  </si>
  <si>
    <t>Lương Hoàng Vũ</t>
  </si>
  <si>
    <t>BioBreath - Bể nuôi vi tảo thẩm mỹ</t>
  </si>
  <si>
    <t>BioTech</t>
  </si>
  <si>
    <t>PGS.TS Trịnh Đăng Mậu</t>
  </si>
  <si>
    <t>Trong bối cảnh đô thị hóa, nhiều cư dân đô thị, nhân viên văn phòng và sinh viên, học sinh... phải đối mặt với lối sống trong không gian kín, diện tích hạn chế, thiếu yếu tố thiên nhiên. Chúng ta đều muốn không gian xanh mát nhưng việc trồng cây cảnh gặp nhiều khó khăn: thiếu sáng, tốn diện tích, tốn công chăm bón kĩ càng,..còn thiết bị lọc không khí cơ học lại ít giá trị thẩm mỹ mà giá thành cao. Vậy, BioBreath đề xuất một bể sinh học mini dạng khung tranh đứng, tạo trải nghiệm xanh ngay trong phòng nhỏ. Đây là 1 bể nuôi vi tảo để quang hợp, hấp thu CO2 và tạo O2 ở mức phù hợp quy mô nội thất; không khí trước khi sục vào bể đi qua màng lọc cơ học để giữ bụi thô và một phần bụi có thể được giữ trong môi trường nước. Nhờ đó, BioBreath có thể cải thiện chất lượng không khí trong không gian kín. Đồng thời, đây cũng là 1 món đồ nội thất hữu hiệu khi được bổ sung thêm về thiết kế: thân bể mica khắc laser tạo hiệu ứng điêu khắc ánh sáng khi được đèn LED chiếu vào. Cùng với đó là màn hình hiển thị đồng hồ, thông số nhiệt độ và độ ẩm không gian.</t>
  </si>
  <si>
    <t>ok33</t>
  </si>
  <si>
    <t>GÁNH HÁT XUYÊN VIỆT (Boardgame)</t>
  </si>
  <si>
    <t>Nguyễn Mai Tú Trinh</t>
  </si>
  <si>
    <t>25SLS</t>
  </si>
  <si>
    <t>“Gánh Hát Xuyên Việt” là một bộ board game hành trình đầy thú vị dọc theo bản đồ hình chữ S. Trong trò chơi, bạn sẽ nhập vai những “Ông Bầu” dẫn dắt đoàn hát của mình đi từ Bắc chí Nam với sứ mệnh cao cả: biểu diễn và bảo tồn ba loại hình nghệ thuật quý giá là Chèo, Tuồng và Cải Lương. Hành trình bắt đầu từ những nhịp trống Chèo rộn ràng ở miền Bắc, đi qua những chiếc mặt nạ Tuồng uy nghi của miền Trung nắng gió, và dừng chân tại vùng sông nước miền Nam với những bản Cải lương ngọt ngào. Mỗi lần tung xúc xắc là một bước đi đầy thử thách. Trên đường đi, bạn phải khéo léo thu thập các đạo cụ quan trọng như chiếc quạt giấy lụa, thanh kiếm gỗ hay cây đàn kìm để chuẩn bị cho buổi diễn lớn ( trong quá trình chơi người chơi sẽ nhận thức được những dụng cụ cần thiết của 3 loại hình sân khấu và cũng nhận thấy được sự khác biệt của 3 loại hình văn hóa này). Điểm đặc biệt nhất chính là sự kết hợp giữa Board game truyền thống và công nghệ hiện đại. Khi đến các địa danh lớn, người chơi sẽ được quét mã QR. Ngay lập tức, một đoạn video hay hình ảnh tư liệu sống động về văn hóa vùng đó sẽ hiện ra trên điện thoại. Điều thú vị là sau khi xem xong, bạn sẽ được nhận  ngay những đạo cụ cần thiết. Đây chính là chìa khóa quan trọng để bạn vượt qua cửa ải cuối cùng và thắp sáng ánh đèn sân khấu tại các nhà hát lớn. Dự án lần này chúng tôi đưa ra hông chỉ để giải trí, mà còn chứa đựng một giá trị nhân văn sâu sắc. Nghệ thuật truyền thống thường bị coi là khó tiếp cận với người trẻ, nhưng qua trò chơi này, mọi thứ trở nên gần gũi và hấp dẫn hơn bao giờ hết. “Gánh Hát Xuyên Việt” giúp người chơi nói chung và con dân dòng máu Việt Nam nói riêng càng thêm yêu và tự hào về cội nguồn. Đồng thời khẳng định rằng văn hóa dân tộc sẽ luôn sống mãi nếu chúng ta biết cách giữ gìn và truyền ngọn lửa ấy cho thế hệ mai sau.</t>
  </si>
  <si>
    <t>ok34</t>
  </si>
  <si>
    <t>Nguyễn Thị Thu Thảo</t>
  </si>
  <si>
    <t>Nguyễn Ngọc Phương Anh</t>
  </si>
  <si>
    <t>Huỳnh Trần Bảo Hân</t>
  </si>
  <si>
    <t>EduCare AI – Cảnh báo rủi ro tâm lý</t>
  </si>
  <si>
    <t>25STH7</t>
  </si>
  <si>
    <t xml:space="preserve">Nền tảng EduCare AI là ứng dụng AI Chatbot đa nền tảng phục vụ học sinh (Tập trung khối THCS, THPT) bằng cách đóng vai trò là người bạn đồng hành ẩn danh lắng nghe 24/7. Hệ thống cung cấp giải pháp B2B SaaS giúp nhà trường quản trị rủ ro thông qua thuật toán nhận diện từ khóa nhạy cảm, từ đó cảnh báo sớm các vấn đề tâm lý (Tự tử, bạo lực, trầm cảm). </t>
  </si>
  <si>
    <t>ok35</t>
  </si>
  <si>
    <t>Nguyễn Đức Tuyển</t>
  </si>
  <si>
    <t>Trần Ngọc Lam Phương</t>
  </si>
  <si>
    <t>Nguyễn Thị Ngọc Khánh</t>
  </si>
  <si>
    <t>WILD ESCAPE</t>
  </si>
  <si>
    <t>Mô hình Hệ sinh thái Game Sinh Tồn – Trải nghiệm thiên nhiên – Lưu trú độc đáo</t>
  </si>
  <si>
    <t>ok36</t>
  </si>
  <si>
    <t>Lê Tuyết Nhung</t>
  </si>
  <si>
    <t>Nguyễn Lê Quỳnh Ly</t>
  </si>
  <si>
    <t>Nguyễn Thành Long</t>
  </si>
  <si>
    <t>Gia Sư Đặc Biệt</t>
  </si>
  <si>
    <t>Tâm lý - GD</t>
  </si>
  <si>
    <t>Dự án cung cấp dịch vụ gia sư tiên phong thế hệ mới, khác biệt hoàn toàn với mô hình truyền thống: gia sư không chỉ dạy kiến thức mà đóng vai trò như một người bạn đồng hành thấu hiểu tâm lý học sinh. Điểm nhấn "khoa học" của dự án nằm ở quy trình bài bản: học sinh được đánh giá đầu vào, có kế hoạch và mục tiêu cá nhân hóa rõ ràng, được ban chuyên môn giám sát sát sao và có báo cáo đánh giá sau mỗi ca làm việc. Đặc biệt, dự án tạo ra tác động kép bằng cách vừa can thiệp hỗ trợ học sinh, vừa đồng hành trực tiếp với phụ huynh để tháo gỡ khúc mắc nhằm hướng đến mục tiêu cốt lõi: “Con thay đổi, bố mẹ thấu hiểu, gia đình hạnh phúc”.</t>
  </si>
  <si>
    <t>ok37</t>
  </si>
  <si>
    <t>Bãi đỗ xe thông minh (MVBL)</t>
  </si>
  <si>
    <t>CNTT</t>
  </si>
  <si>
    <t>Nguyễn Hữu Lộc</t>
  </si>
  <si>
    <t>25CNTT3</t>
  </si>
  <si>
    <t>Giải pháp tự động hóa quản lý hạ tầng đỗ xe thông qua nhận diện đặc điểm phương tiện và đồng bộ hóa định danh cá nhân</t>
  </si>
  <si>
    <t>ok38</t>
  </si>
  <si>
    <t>Huỳnh Đắc Bảo</t>
  </si>
  <si>
    <t>Phạm Lê Vy</t>
  </si>
  <si>
    <t>Đèn Thụy Liên</t>
  </si>
  <si>
    <t>Ngô Phan Như Quỳnh</t>
  </si>
  <si>
    <t>Xuất phát từ mong muốn tạo ra một sản phẩm trang trí nhỏ gọn, gần gũi với đời sống hằng ngày, dự án tập trung vào việc thiết kế đèn thủ công từ thân cây hoa súng – một loài cây quen thuộc của vùng sông nước Việt Nam. Thân hoa súng sau khi được thu gom và xử lý sẽ trở thành vật liệu chính để tạo nên những chiếc đèn nhỏ, mang ánh sáng dịu nhẹ, phù hợp với các không gian như góc đọc sách, phòng ngủ hay những khoảng không gian cần sự tĩnh lặng và thư giãn.
Thông qua quá trình chế tác thủ công, dự án mong muốn thổi vào sản phẩm không chỉ giá trị sử dụng mà còn là cảm xúc và câu chuyện văn hoá gắn liền với thiên nhiên và nếp sống mộc mạc của người Việt. Việc tận dụng vật liệu sinh học bản địa giúp giảm lãng phí tài nguyên, đồng thời mở ra hướng tiếp cận mới cho các sản phẩm thủ công trang trí trong bối cảnh xu hướng sống xanh và tiêu dùng bền vững đang ngày càng được quan tâm.</t>
  </si>
  <si>
    <t>ok39</t>
  </si>
  <si>
    <t>Nguyễn Thái Thìn</t>
  </si>
  <si>
    <t>Hoàng Hữu Tuấn Anh</t>
  </si>
  <si>
    <t>GREEN BARN MONITOR</t>
  </si>
  <si>
    <t>Trong bối cảnh thời tiết ngày càng khắc nghiệt, nhiều hộ chăn nuôi nhỏ gặp rủi ro do nhiệt độ cao và môi trường chuồng nuôi bí khí. Stress nhiệt và khí amoniac (NH₃) tích tụ có thể làm vật nuôi suy giảm sức khỏe và tăng nguy cơ thiệt hại kinh tế. Tuy nhiên, phần lớn hộ nuôi chưa có công cụ giám sát môi trường phù hợp với chi phí thấp và dễ sử dụng.</t>
  </si>
  <si>
    <t>ok40</t>
  </si>
  <si>
    <t>Bùi Trọng Tuấn Tài</t>
  </si>
  <si>
    <t>Trần Thị Bảo Nguyên</t>
  </si>
  <si>
    <t>Phạm Thị Mỹ Dung</t>
  </si>
  <si>
    <t>HelHope - Mũ bảo hiểm thông minh AI</t>
  </si>
  <si>
    <t>Nguyễn Thị Bảo Tâm</t>
  </si>
  <si>
    <t>Dự án tập trung phát triển mũ bảo hiểm thông minh tích hợp AI và IoT nhằm chủ động phòng ngừa tai nạn do ngủ gật và mệt mỏi khi tham gia giao thông, đồng thời thông báo tới người thân khi bị tai nạn. Sản phẩm sử dụng camera AI để nhận diện dấu hiệu buồn ngủ qua chuyển động mắt, cảm biến nhịp tim theo dõi trạng thái sinh lý người đội, cảm biến gia tốc để phát hiện va chạm mạnh. Khi phát hiện bất thường, hệ thống sẽ phát cảnh báo âm thanh; nếu xảy ra tai nạn, thiết bị tự động gửi tín hiệu về cho người thân đã cài đặt trước. Bộ linh kiện nhỏ gọn nên khi gắn lên mũ hầu như không ảnh hưởng đến thẩm mỹ và mức độ thoải mái của người sử dụng.</t>
  </si>
  <si>
    <t>ok41</t>
  </si>
  <si>
    <t>Nguyễn Võ Công Huy</t>
  </si>
  <si>
    <t>Huỳnh Gia Bảo</t>
  </si>
  <si>
    <t>Sugar in Your Heart</t>
  </si>
  <si>
    <t>Tâm lý</t>
  </si>
  <si>
    <t>Sugar in Your Heart - Lạc đường trong tim đề xuất mô hình sách câu chuyện giáo dục về tình yêu bằng hình thức sách 3D pop up kết hợp thực hành nhận thức tâm lý thông qua các công nghệ từ website với mục tiêu nâng cao nhận thức về tình yêu chất lượng và hình thành kỹ năng xác định nhu cầu, động cơ trong tình yêu ở độ tuổi vị thành niên. Từ đó góp phần phòng ngừa quan hệ tình dục thiếu an toàn, mang thai ngoài ý muốn, tổn thương tinh thần sau chia tay, tự gây thương tích, trầm cảm đồng thời nuôi dưỡng thái độ tích cực, lành mạnh với tình yêu, hôn nhân, gia đình trong tương lai.</t>
  </si>
  <si>
    <t>ok42</t>
  </si>
  <si>
    <t>Trương Đào Kim Hải</t>
  </si>
  <si>
    <t>Phạm Đức Huy</t>
  </si>
  <si>
    <t>Hành trình không “Sóng”</t>
  </si>
  <si>
    <t>Phạm Thị Thanh Bình</t>
  </si>
  <si>
    <t xml:space="preserve">Là dự án xây dựng sản phẩm du lịch mới với dòng sản phẩm du lịch trải nghiệm “HÀNH TRÌNH KHÔNG ‘SÓNG’”. Đời sống vội vã, áp lực công việc khiến nhu cầu được chữa lành, kết nối với thiên nhiên, 1 ngày không bị quấy nhiễu với điện thoại công việc ngày càng tăng cao. Vì vậy chúng em quyết định xây dựng 1 dòng sản phẩm “Hành trình Không Sóng” là dự án du lịch trải nghiệm theo định hướng kết hợp du lịch nghỉ dưỡng và du lịch cộng đồng (healing tourism) với mục đích chữa lành, tập trung vào việc giúp du khách tạm rời khỏi nhịp sống số hóa, áp lực công việc và sự quá tải thông tin của xã hội hiện đại. Dự án xây dựng các hành trình du lịch không phụ thuộc vào thiết bị công nghệ, tạo không gian yên tĩnh, chậm rãi để du khách kết nối với thiên nhiên, văn hóa bản địa và chính nội tâm của mình, tạo sự gắn kết gần gũi với gia đình, bạn bè. </t>
  </si>
  <si>
    <t>ok43</t>
  </si>
  <si>
    <t>Huỳnh Bá Diệu Ngọc</t>
  </si>
  <si>
    <t>Trần Kim Ngân</t>
  </si>
  <si>
    <t>Lê Võ Hoàng Mi</t>
  </si>
  <si>
    <t>Truyện tranh AR di tích Đà Nẵng</t>
  </si>
  <si>
    <t xml:space="preserve">PGS.TS. Nguyễn Minh Phương </t>
  </si>
  <si>
    <t>Dự án ra đời với mục tiêu quảng bá các di tích lịch sử - văn hóa và danh lam thắng cảnh qua sản phẩm truyện tranh tích hợp công nghệ Thực tế tăng cường (AR) đến các bạn thiếu nhi và học sinh Đà Nẵng cũng như học sinh cả nước và những ai quan tâm. Đặc điểm nổi bật của bộ truyện tranh này là tính “đa phương tiện” hướng đến xây dựng nhiều hướng tiếp cận các thông tin về  tích lịch sử - văn hóa và danh lam thắng cảnh Đà Nẵng cho người đọc. Với sự hỗ trợ của các nền tảng công nghệ trí tuệ nhân tạo (AI) và tích hợp công nghệ thực tế ảo tăng cường (AR), bộ truyện tranh sẽ giúp người đọc không chỉ khám phá các thông tin về di tích lịch sử - văn hóa và danh lam thắng cảnh qua các kênh hình truyền thống mà còn được tương tác quan sát trực tiếp qua mô hình 3D với các chức năng phóng to, thu nhỏ, xoay 360; lắng nghe những bài giới thiệu về các di tích lịch sử - văn hóa và danh thắng ở Đà Nẵng. Với những điểm mới này, bộ truyện tranh sẽ giúp người đọc đặc biệt là các bạn trẻ sẽ hứng thú hơn, có nhiều góc nhìn nhận hơn về các di tích lịch sử - văn hóa và danh lam thắng cảnh địa phương, góp phần quảng bá và giáo dục đến thế hệ trẻ tinh thần yêu nước và ý thức trách nhiệm của bản thân đối với việc gìn giữ và phát huy các giá trị văn hoá, lịch sử truyền thống của quê hương, đất nước.</t>
  </si>
  <si>
    <t>ok44</t>
  </si>
  <si>
    <t>Du lịch cùng Trợ lý AI</t>
  </si>
  <si>
    <t>Nguyễn Thị Phương Hằng</t>
  </si>
  <si>
    <t>NCS.ThS. Phạm Thị Tú Trinh</t>
  </si>
  <si>
    <t>Hiện nay, du lịch truyền thống còn nhiều hạn chế: lịch trình cứng nhắc,
phụ thuộc vào tour, thiếu tính cá nhân hóa và chưa đáp ứng nhu cầu trải nghiệm
sâu của du khách, đặc biệt là khách trẻ và khách quốc tế. Bên cạnh đó, lượng thông
tin du lịch trên mạng tuy nhiều nhưng rời rạc, khó chọn lọc, khiến người dùng mất
thời gian tìm kiếm và thiếu định hướng.
Dự án “Du lịch cùng Trợ lý ảo AI” hướng đến xây dựng một nền tảng
website/app tích hợp trợ lý ảo thông minh, hỗ trợ du khách tra cứu thông tin, gợi ý
lịch trình cá nhân hóa theo sở thích, ngân sách, thời gian và phong cách trải nghiệm.
Hệ thống có thể đề xuất địa điểm ít thương mại hóa, trải nghiệm văn hóa bản địa,
ẩm thực địa phương và cho phép người dùng linh hoạt điều chỉnh hành trình theo
thời gian thực.
Điểm khác biệt của dự án nằm ở việc kết hợp công nghệ AI với dữ liệu du
lịch địa phương được chọn lọc và biên soạn có chiều sâu, tạo nên trải nghiệm tương
tác hai chiều thay vì cung cấp thông tin một chiều như cách làm truyền thống. Dự
án không chỉ hỗ trợ du khách lên kế hoạch, mà còn trở thành người bạn đồng hành
xuyên suốt hành trình.</t>
  </si>
  <si>
    <t>ok45</t>
  </si>
  <si>
    <t>Nguyễn Thục Anh</t>
  </si>
  <si>
    <t>Nguyễn Võ Tố Na</t>
  </si>
  <si>
    <t>EDUPOT - Bình nước tri thức</t>
  </si>
  <si>
    <t>Nguyễn Thị Tuyết Nhung</t>
  </si>
  <si>
    <t>ok46</t>
  </si>
  <si>
    <t>CareHomeAI</t>
  </si>
  <si>
    <t>TS. Mai Hà Thi</t>
  </si>
  <si>
    <t>CareHomeAI là một nền tảng ứng dụng áp dụng trí tuệ nhân tạo AI nhằm hỗ trợ chăm sóc sức khỏe và sinh hoạt cho người cao tuổi tại nhà một cách an toàn và tiện lợi. Hệ thống tích hợp các công nghệ đang phát triển hàng đầu hiện nay như AI và IoT để theo dõi chỉ số sức khỏe, phát hiện các rủi ro như té ngã hoặc di chuyển bất thường. Ngoài ra, hỗ trợ thêm các tính năng nhắc nhở uống thuốc và hỗ trợ cho các công việc sinh hoạt hàng ngày. Ứng dụng cho phép người thân có thể theo dõi tình trạng sức khỏe từ xa, giúp nâng cao chất lượng và giảm gánh nặng, lo âu cho gia đình. Mục tiêu là xây dựng một giải pháp chăm sóc thông minh và dễ tiếp cận, góp phần cải thiện sức khỏe thể chất, tinh thần và mức độ an toàn cho người cao tuổi trong bối cảnh dân số đang già hóa nhanh.</t>
  </si>
  <si>
    <t>ok47</t>
  </si>
  <si>
    <t>Trần Văn Tú</t>
  </si>
  <si>
    <t>Lê Trung Hậu</t>
  </si>
  <si>
    <t>Du lịch sức khỏe số</t>
  </si>
  <si>
    <t>Du lịch - Y tế</t>
  </si>
  <si>
    <t>Trần Đình Anh Thư</t>
  </si>
  <si>
    <t>Dự án xây dựng mô hình du lịch chăm sóc sức khỏe đột phá mang tên "Digi-Wellness", kết hợp giữa nền tảng công nghệ số và hệ sinh thái y học toàn diện bao gồm: Y học hiện đại, Y học dịch vụ và Y học dân gian. Điểm cốt lõi của dự án là việc sử dụng thiết bị đeo thông minh (Smartwatch) và ứng dụng di động để theo dõi liên tục các chỉ số sinh tồn như nhịp tim, giấc ngủ và mức độ stress của khách hàng trong suốt hành trình. Từ nguồn dữ liệu y tế thực tế này, dự án cung cấp một "đơn thuốc du lịch" được cá nhân hóa 100% với các hoạt động trị liệu như thiền rừng, yoga và chế độ dinh dưỡng từ dược liệu quý. Thay vì dựa trên cảm giác chủ quan, dự án mang lại giá trị thực chứng bằng khoa học, giúp khách hàng - đặc biệt là phân khúc chuyên gia và khách quốc tế - thấu hiểu cơ thể và phục hồi năng lượng một cách bài bản từ gốc rễ.</t>
  </si>
  <si>
    <t>ok48</t>
  </si>
  <si>
    <t>Trần Ngọc Huyền Trâm</t>
  </si>
  <si>
    <t>Phan Thị Tường Vi</t>
  </si>
  <si>
    <t>Trần Phước Việt Bách</t>
  </si>
  <si>
    <t>Lê Thị Mỹ Luyện</t>
  </si>
  <si>
    <t>Tăng Tấn Lượng</t>
  </si>
  <si>
    <t>EDU – STATION</t>
  </si>
  <si>
    <t>Dự án EDU-STATION ra đời từ chính những khó khăn của sinh viên sư phạm, đặc biệt là ngành Mầm non và Tiểu học, khi mỗi mùa thực tập đến lại phải đối mặt với áp lực chi phí và công sức làm đồ dùng dạy học. Ý tưởng cốt lõi của chúng em là thiết lập một hệ thống tủ gửi đồ thông minh tự động đặt ngay tại sảnh các tòa nhà trong trường đại học. Thay vì mỗi sinh viên phải tự bỏ tiền triệu ra mua sắm hoặc thức đêm làm sa bàn, mô hình rồi sau đó không có chỗ cất giữ tại phòng trọ chật hẹp, các bạn chỉ cần tìm đến chiếc tủ này để mượn những món đồ cần thiết với mức phí cực rẻ, chỉ tương đương một ly cà phê mỗi tháng.</t>
  </si>
  <si>
    <t>ok49</t>
  </si>
  <si>
    <t>Lê Đình Quyền</t>
  </si>
  <si>
    <t>Đặng Thị Hải Yến</t>
  </si>
  <si>
    <t>BẢN ĐỒ DI SẢN SỐ</t>
  </si>
  <si>
    <t>Hiện nay, ngành du lịch văn hóa và giáo dục trải nghiệm tại Việt Nam, đặc biệt ở Đà Nẵng và miền Trung, đang đối mặt với sự thiếu tương tác số và cá nhân hóa trải nghiệm. Nhiều bảo tàng, di tích và làng nghề truyền thống vẫn truyền tải thông tin theo cách thụ động, khiến du khách trẻ (Gen Z) khó tiếp cận và giảm thời gian lưu trú. Đồng thời, trường học lại thiếu học liệu thực tế đáp ứng Chương trình GDPT 2018, còn các mô hình du lịch cộng đồng như Làng nghề Nước mắm Nam Ô, Làng nghề Bánh tráng Túy Loan... gặp khó khăn trong quảng bá và chuyển đổi số. Các giải pháp hiện tại rời rạc, chi phí sản xuất nội dung cao và chưa kết nối được du lịch – giáo dục – công nghệ trên cùng một nền tảng.</t>
  </si>
  <si>
    <t>ok50</t>
  </si>
  <si>
    <t>Nguyễn Khải Ca</t>
  </si>
  <si>
    <t>Hội An Echoes &amp; Da Nang Discovery</t>
  </si>
  <si>
    <t>Trong bối cảnh ngành du lịch đang chuyển mình mạnh mẽ theo hướng cá nhân hóa trải nghiệm và ứng dụng công nghệ số, nhu cầu của du khách không còn dừng lại ở việc “tham quan” mà đã chuyển sang “trải nghiệm” và “cảm nhận” đặc biệt tại khu vực miền Trung, cụ thể là Hội An và Đà Nẵng.</t>
  </si>
  <si>
    <t>ok51</t>
  </si>
  <si>
    <t>Trần Nguyễn Uyên Thi</t>
  </si>
  <si>
    <t xml:space="preserve">Nguyễn Thị Thanh Duyên </t>
  </si>
  <si>
    <t>Phát triển Du lịch Trải nghiệm gắn với Bảo tồn sinh thái &amp; giá trị bản địa Đà Nẵng</t>
  </si>
  <si>
    <t>Đỗ Thị Thanh Thảo</t>
  </si>
  <si>
    <t>ok52</t>
  </si>
  <si>
    <t>Huỳnh Khánh Tâm</t>
  </si>
  <si>
    <t>+ Tai nghe giấy/tái chế - Hỗ trợ trải nghiệm âm thanh 3D, thân thiện môi trường</t>
  </si>
  <si>
    <t>Nguyễn Thị Như Ngọc</t>
  </si>
  <si>
    <t>Lê Lâm Vi</t>
  </si>
  <si>
    <t>Trần Nguyễn Uyên Phương</t>
  </si>
  <si>
    <t>Multi-agent hỗ trợ Toán THPT</t>
  </si>
  <si>
    <t>Huỳnh Thị Thanh</t>
  </si>
  <si>
    <t>Trong giáo dục truyền thống và các nền tảng học trực tuyến hiện nay, phương pháp "One-size-fits-all" đang bộc lộ nhiều hạn chế. Học sinh THPT khi ôn thi Đại học, Đánh giá năng lực thường bị quá tải vì phải làm những bộ đề thi đại trà, lãng phí thời gian vào những dạng bài đã thành thạo, trong khi lại bỏ sót việc rèn luyện chuyên sâu các "lỗ hổng" kiến thức của riêng mình. Việc tạo ra một lộ trình học tập và bộ đề thi được "may đo" riêng cho từng học sinh dựa trên lịch sử làm bài là vô cùng tốn kém nếu thuê gia sư 1-1. Do đó, việc ứng dụng công nghệ Trí tuệ nhân tạo để phân tích năng lực, tự động nhận diện điểm yếu và cá nhân hóa đề thi, lộ trình học tập cho từng học sinh là một nhu cầu cấp thiết, giúp tối ưu hóa thời gian và nâng cao điểm số một cách thực chất.</t>
  </si>
  <si>
    <t>ok53</t>
  </si>
  <si>
    <t>Phan Minh Chi</t>
  </si>
  <si>
    <t>Võ Bảo Long</t>
  </si>
  <si>
    <t>AskDataAI</t>
  </si>
  <si>
    <t>Lê Nguyễn Thanh Nhung</t>
  </si>
  <si>
    <t>25STH3</t>
  </si>
  <si>
    <t>AskDataAI ra đời để giải quyết một thực tế rất phổ biến: dù dữ liệu có sẵn, nhưng để tổng hợp số liệu hoặc trả lời những câu hỏi tưởng chừng rất đơn giản như “Doanh thu hôm nay là bao nhiêu?” hay “Sản phẩm nào đang bán tốt nhất?” lại thường tốn rất nhiều thời gian và công sức. Trong nhiều trường hợp, người dùng phải nhờ đến đội kỹ thuật data, chờ viết truy vấn SQL, chờ xuất báo cáo, hoặc mở nhiều file và công cụ khác nhau chỉ để có được một con số. AskDataAI giúp thay đổi điều đó bằng cách cho phép người dùng đặt câu hỏi trực tiếp bằng ngôn ngữ tự nhiên, giống như đang hỏi một người đồng nghiệp. Hệ thống sẽ tự động tổng hợp, phân tích dữ liệu và trả về câu trả lời dưới dạng con số, bảng hoặc biểu đồ dễ hiểu. Mục tiêu của dự án là giảm bớt các thao tác thủ công không cần thiết, giúp những người không chuyên về công nghệ vẫn có thể nhanh chóng nắm được thông tin mình cần và đưa ra quyết định kịp thời.</t>
  </si>
  <si>
    <t>ok54</t>
  </si>
  <si>
    <t>Nguyễn Quang Chiến</t>
  </si>
  <si>
    <t>Website khóa học cho học sinh tiểu học</t>
  </si>
  <si>
    <t>Dự án xây dựng một website cho phép gia sư (sinh viên sư phạm, giáo viên tự do) tạo tài khoản, xây dựng hồ sơ chuyên môn, đăng tải khóa học online. Phụ huynh học sinh tiểu học tìm kiếm và mua khóa học trực tuyến với chi phí thấp hơn so với thuê gia sư trực tiếp. Học sinh có thể học online linh hoạt về thời gian, địa điểm, có thể học lại bài giảng đã ghi hình.</t>
  </si>
  <si>
    <t>ok55</t>
  </si>
  <si>
    <t>Trần Khánh Băng</t>
  </si>
  <si>
    <t>KIZUNA - Artbook tương tác</t>
  </si>
  <si>
    <t>Sáng tạo xã hội</t>
  </si>
  <si>
    <t>Lưu Nguyễn Gia Bình</t>
  </si>
  <si>
    <t>Ths. Hoàng Thị Mai Sa</t>
  </si>
  <si>
    <t>Ngữ văn - Truyền thông</t>
  </si>
  <si>
    <t xml:space="preserve">Dự án きずな (KIZUNA) Interactive Coloring Artbook xuất phát từ vấn đề thực 
tế của thị trường quà lưu niệm tại Hội An, Đà Nẵng. Sản phẩm tuy đa dạng nhưng vẫn chưa
tồn tại sản phẩm nào đặc biệt tận dụng thế mạnh văn hóa, các câu chuyện lưu truyền của
hai nền văn hóa Việt và Nhật, đồng thời chưa ứng dụng tốt công nghệ tương tác hiện đại.
Trong khi đó, du khách Nhật Bản, thị trường trọng điểm của du lịch Đà Nẵng, lại ưu tiên
những vật phẩm có câu chuyện, mang giá trị tinh thần và chiều sâu văn hóa.
“Kizuna” là một dự án sáng tạo kết hợp giữa artbook tô màu thủ công và hệ sinh thái
số Web AR, gồm hai cuốn sách độc lập. Cuốn thứ nhất, kể về “quá trình giao lưu văn hoá
Việt-Nhật từ xưa đến nay”, với 23 trang. Cuốn thứ hai, nói về “Văn hoá Việt-Nhật trong
một thế giới đang hội nhập phát triển sâu rộng và hướng tới tương lai”, với 13 trang. Điểm
khác biệt cốt lõi của “Kizuna” nằm ở việc chuyển hóa quà lưu niệm truyền thống thành
một hành trình trải nghiệm đa tầng, được cá nhân hóa. Dự án đồng thời kết nối nghệ thuật
thủ công tô vẽ truyền thống với công nghệ số hiện đại cùng storytelling Việt-Nhật, thông
qua hệ thống Bảo tàng 3D 360 độ, Audio Guide, chatbot AI và bản đồ di sản số. Người
dùng không chỉ tương tác vật lý mà còn có thể quét QR để kích hoạt nội dung đa phương tiện, tham quan triển lãm ảo và nhận gợi ý điểm đến thực tế, từ đó biến trải nghiệm từ trang
sách ra đời sống. </t>
  </si>
  <si>
    <t>ok56</t>
  </si>
  <si>
    <t>Huỳnh Ngọc Thùy Dung</t>
  </si>
  <si>
    <t>Nguyễn Văn Tây</t>
  </si>
  <si>
    <t>Phạm Thị Xuân Phúc</t>
  </si>
  <si>
    <t>Huế xưa version: Bạn là ai?</t>
  </si>
  <si>
    <t>Lê Thị Ngọc Chi</t>
  </si>
  <si>
    <t>Với việc Nghị quyết 54-NQ/TW được ban hành năm 2019, Huế được định hướng phát triển trở thành đô thị mang đậm bản sắc văn hoá – lịch sử và là điểm đến du lịch bền vững. Tuy nhiên, các sản phẩm du lịch hiện nay chủ yếu dừng lại ở tham quan và nghe thuyết minh, khiến du khách tiếp cận văn hoá một cách thụ động.Xuất phát từ thực tiễn đó, dự án “Tour Huế xưa version: Bạn là ai?- Xây dựng mô hình du lịch trải nghiệm “một ngày làm người Huế xưa”  hướng đến đổi mới trải nghiệm du lịch thông qua hình thức nhập vai. Du khách sẽ hoá thân thành các nhân vật như nông dân, quan lại, thợ thủ công,… và trực tiếp tham gia vào các hoạt động trong không gian lịch sử như Đại Nội, phủ quan và làng nghề truyền thống. Qua đó, lịch sử được tiếp cận bằng trải nghiệm đa giác quan thay vì chỉ nghe – nhìn.Dự án còn xây dựng nội dung theo chủ đề tuần, gắn với các giá trị văn hoá và sự kiện lịch sử nhằm tăng sức hấp dẫn và khả năng quay lại. Đồng thời, việc ứng dụng công nghệ như đặt vé trực tuyến, kết hợp sản phẩm lưu niệm và kênh phản hồi giúp nâng cao chất lượng dịch vụ.Với việc tận dụng tài nguyên sẵn có và sự tham gia của cộng đồng, dự án không chỉ mang lại trải nghiệm độc đáo cho du khách mà còn góp phần tạo sinh kế, thúc đẩy làng nghề và bảo tồn giá trị văn hoá. Qua đó, Huế được quảng bá như một điểm đến sống động, giàu bản sắc và phát triển bền vững.</t>
  </si>
  <si>
    <t>ok57</t>
  </si>
  <si>
    <t>Mô hình Du lịch Sinh thái - Trải nghiệm vùng Sâm Ngọc Linh Nam Trà My</t>
  </si>
  <si>
    <t>Phạm Nguyên Quỳnh Hương</t>
  </si>
  <si>
    <t>Nam Trà My là vùng có hệ sinh thái rừng nguyên sinh và cây sâm Ngọc Linh quý hiếm - nguồn dược liệu đặc trưng của Việt Nam. Tuy nhiên, tiềm năng này chưa được khai thác hiệu quả. Người dân chủ yếu bán sâm và nông sản thô, thiếu chuỗi giá trị và sản phẩm du lịch hấp dẫn. Trong khi đó, xu hướng du lịch trải nghiệm - chữa lành - chăm sóc sức khỏe đang gia tăng nhanh.
Sản phẩm chính của dự án “Mô hình Du lịch Sinh thái - Trải nghiệm vùng Sâm Ngọc Linh Nam Trà My” gồm hai nhóm:
1. Dịch vụ trải nghiệm sinh thái - wellness: Tour trekking khám phá rừng sâm, trải nghiệm gieo trồng và thu hoạch sâm Ngọc Linh hợp pháp, tắm - xông thảo mộc bản địa, thiền và hít thở giữa thiên nhiên, học chế biến dược liệu, tham quan và lưu trú tại nhà dân.
2. Sản phẩm thương mại: Dòng sản phẩm “Sâm Ngọc Linh bản địa” và các sản phẩm chế biến từ dược liệu (trà, muối tắm, tinh dầu, cao thảo mộc...) mang thương hiệu địa phương, phục vụ khách du lịch và thị trường quà tặng sức khỏe.
Điểm sáng tạo và đặc biệt: Mô hình hoạt động theo hướng liên kết cộng đồng, tận dụng hạ tầng bản địa, giảm chi phí đầu tư. Kết hợp sinh thái - dược liệu - chữa lành trong một mô hình trải nghiệm có chiều sâu. Dự án tạo chuỗi giá trị kép - vừa mang lại lợi nhuận từ dịch vụ du lịch, vừa phát triển sản phẩm hàng hóa địa phương.
Mục tiêu cuối cùng là định vị Nam Trà My trở thành vùng du lịch sinh thái - dược liệu - chữa lành đặc thù của Việt Nam, đồng thời bảo tồn tri thức bản địa và nâng cao sinh kế cho người dân.</t>
  </si>
  <si>
    <t>ok58</t>
  </si>
  <si>
    <t>Trần Thị Thu Trang</t>
  </si>
  <si>
    <t xml:space="preserve">Trần Thị Mai Thi </t>
  </si>
  <si>
    <t>Hồ Lê Thanh Tâm</t>
  </si>
  <si>
    <t>Nguyệt Đồng (Bộ bài tâm lý Việt)</t>
  </si>
  <si>
    <t>Huỳnh Ngọc Hòa</t>
  </si>
  <si>
    <t>TS. Lư Thuý Liên</t>
  </si>
  <si>
    <t xml:space="preserve"> "Nguyệt Đồng" là dự án khởi nghiệp đổi mới sáng tạo, tiên phong thiết kế và phát hành bộ thẻ chiêm nghiệm tâm lý mang đậm bản sắc văn hóa Việt Nam. Dự án mượn nền tảng cấu trúc phân tích tâm lý 78 lá của Tarot quốc tế nhưng được "Việt hóa" hoàn toàn bằng kho tàng thần thoại, điển tích, lịch sử và tín ngưỡng dân gian. Sản phẩm là sự giao thoa liên ngành độc đáo giữa ba yếu tố cốt lõi: Tâm lý học ứng dụng, nghệ thuật thủ công mỹ nghệ và công nghệ số. Về mặt vật lý, dự án mang đến một Boxset cao cấp với hộp gỗ chạm khắc nổi "Mặt trăng ôm mặt trời" từ Làng mộc Kim Bồng, 78 lá bài minh họa độc bản, sách hướng dẫn song ngữ và khăn trải bài áp dụng cơ chế "hộp mù" (blind-box) để kích thích sưu tầm. Về mặt công nghệ, dự án tích hợp mã QR phía sau mỗi lá bài, điều hướng người dùng đến Web-App lưu trữ các video và bản postcard kể chuyện lịch sử. Đồng thời, công nghệ thực tế ảo tăng cường (AR qua Artivive) được ứng dụng để quét mặt trước lá bài, hiển thị video sinh động ngay trên không gian thực. Mục tiêu cốt lõi của "Nguyệt Đồng" là giải quyết nhu cầu chăm sóc sức khỏe tinh thần, xoa dịu áp lực tâm lý cho thế hệ trẻ thông qua một công cụ chiêm nghiệm gần gũi. Dự án định vị trở thành một "Đại sứ văn hóa" cao cấp, món quà ngoại giao độc quyền dành cho du khách quốc tế, góp phần lan tỏa niềm tự hào dân tộc.</t>
  </si>
  <si>
    <t>ok59</t>
  </si>
  <si>
    <t>Nguyễn Thị Hoàng Lam</t>
  </si>
  <si>
    <t>Đinh Thị Phương Thùy</t>
  </si>
  <si>
    <t>Tạ Diễm Quỳnh</t>
  </si>
  <si>
    <t>Đinh Thị Trà My</t>
  </si>
  <si>
    <t>UED HERITAGE PATH</t>
  </si>
  <si>
    <t>Phạm Thị Minh Anh</t>
  </si>
  <si>
    <t>UED Heritage Path - “Chuyện của Di sản” là dự án khởi nghiệp kết hợp giáo dục, du lịch và công nghệ số do sinh viên Khoa Sử - Địa - Chính trị, Trường Đại học Sư phạm - ĐHĐN thực hiện, nhằm tái định nghĩa cách con người trải nghiệm di sản trong kỷ nguyên chuyển đổi số. Thay vì bảng thuyết minh tĩnh và khô khan, dự án triển khai hệ thống thẻ QR tích hợp web-app đa phương tiện với podcast kể chuyện, hình ảnh phục dựng và bản đồ tương tác, biến mỗi di tích thành một “thư viện sống” giàu cảm xúc. Khác với cách tiếp cận truyền thống mang tính thụ động, UED Heritage Path khơi gợi sự tò mò và cho phép du khách chủ động khám phá, kết hợp tư duy sư phạm với công nghệ để tạo lợi thế cạnh tranh bền vững. Dự án được quảng bá như một phong trào “kể chuyện di sản” trên nền tảng số và trong trường học, đồng thời hợp tác với doanh nghiệp địa phương để gia tăng giá trị thương hiệu. Với mô hình tinh gọn, khả năng mở rộng cao và định hướng B2B - B2C rõ ràng, UED Heritage Path không chỉ số hóa di sản mà còn trao cho di sản một tiếng nói sống động trong đời sống đương đại.</t>
  </si>
  <si>
    <t>ok60</t>
  </si>
  <si>
    <t>Nguyễn Triều Thanh</t>
  </si>
  <si>
    <t>Võ Thị Ngọc Nhi</t>
  </si>
  <si>
    <t>Nguyễn Thị Kiều Vy</t>
  </si>
  <si>
    <t>AI trong hỗ trợ tâm lý học đường</t>
  </si>
  <si>
    <t>Lê Nguyễn Anh Trúc</t>
  </si>
  <si>
    <t>24CNTT2</t>
  </si>
  <si>
    <t>Trong bối cảnh xã hội hiện đại, sức khỏe tinh thần của học sinh, sinh viên đang chịu tác động ngày càng lớn từ áp lực học tập, kỳ vọng gia đình, các mối quan hệ xã hội và sự ảnh hưởng sâu rộng của môi trường số. Nhiều vấn đề tâm lý như căng thẳng kéo dài, lo âu hay suy giảm động lực học tập thường diễn ra âm thầm và khó nhận biết. Thực tế tại các cơ sở giáo dục cho thấy công tác tư vấn tâm lý học đường vẫn còn hạn chế do thiếu nguồn lực chuyên môn, khó tiếp cận kịp thời và tâm lý e ngại chia sẻ trực tiếp của người học.</t>
  </si>
  <si>
    <t>ok61</t>
  </si>
  <si>
    <t>Hoàng Xuân Bách</t>
  </si>
  <si>
    <t>Huỳnh Phương Uyên</t>
  </si>
  <si>
    <t>Hoàng Thị Ngọc Cẩm</t>
  </si>
  <si>
    <t>Board game "Hành trình cảm xúc"</t>
  </si>
  <si>
    <t>là một board game giáo dục được thiết kế nhằm giúp học sinh, sinh viên và người trẻ tuổi rèn luyện trí tuệ cảm xúc (EQ) thông qua hình thức học tập trải nghiệm mới mẻ, thay thế cho các phương pháp lý thuyết khô khan. Bằng cách sử dụng các thẻ bài sự kiện mô phỏng tình huống đời thường kết hợp cùng "Bánh xe cảm xúc" và các thẻ hành động, người chơi được học cách nhận diện, điều tiết cảm xúc và phát triển kỹ năng thấu cảm một cách tự nhiên. Với định vị là một giải pháp "3 trong 1" kết hợp giữa giáo dục, chữa lành và kết nối tập thể, sản phẩm không chỉ giải quyết các vấn đề về sức khỏe tinh thần trong học đường mà còn có tiềm năng thương mại hóa cao nhờ thiết kế gần gũi và mức giá hợp lý.</t>
  </si>
  <si>
    <t>ok62</t>
  </si>
  <si>
    <t>AR Science Lab</t>
  </si>
  <si>
    <t>“AR Science Lab – Nền tảng phòng thí nghiệm số tương tác ứng dụng Augmented Reality – Virtual Reality cho giáo dục phổ thông.”
AR Science Lab là giải pháp công nghệ giáo dục nhằm giải quyết tình trạng thiếu phòng thí nghiệm đạt chuẩn và hạn chế cơ hội thực hành khoa học trong trường phổ thông Việt Nam.
Dự án xây dựng một hệ sinh thái học tập kết hợp giữa sổ tay thí nghiệm truyền thống và ứng dụng phòng thí nghiệm số sử dụng công nghệ AR–VR. Thông qua việc quét mã QR trong sổ tay, học sinh có thể truy cập ngay mô hình thí nghiệm 3D tương tác trên thiết bị di động, chủ động thay đổi biến số và quan sát kết quả theo thời gian thực.
Giải pháp giúp:
+Mở rộng cơ hội thực hành khoa học mọi lúc, mọi nơi.
+Đảm bảo an toàn khi thực hiện các thí nghiệm có rủi ro.
+Giảm chi phí đầu tư phòng lab vật lý.
+Thu hẹp khoảng cách trải nghiệm giữa các khu vực giáo dục.
Mô hình doanh thu dự kiến kết hợp giữa kinh doanh sổ tay học liệu vật lý và nền tảng ứng dụng số, hướng đến khả năng triển khai đại trà tại các trường THCS và THPT trong bối cảnh chuyển đổi số giáo dục.</t>
  </si>
  <si>
    <t>ok63</t>
  </si>
  <si>
    <t>Trần Phạm Duy Khang</t>
  </si>
  <si>
    <t>Trương Phan Như Ngọc</t>
  </si>
  <si>
    <t>Đặng Minh Trí</t>
  </si>
  <si>
    <t>Nguyễn Ngọc Thảo Hiền</t>
  </si>
  <si>
    <t>Màng bọc Nano Cellulose</t>
  </si>
  <si>
    <t>Nguyễn Hồng Ngọc</t>
  </si>
  <si>
    <t>25STH4</t>
  </si>
  <si>
    <t>Dự án "Nghiên cứu chế tạo màng bọc kháng khuẩn nano cellulose có khả
năng tự phân hủy sinh học từ phế phẩm cây sả chanh (Cymbopogon
citratus)" mang đến một giải pháp đóng gói thực phẩm xanh, an toàn và bền
vững. Xuất phát từ thực trạng màng bọc nhựa PVC nguyên sinh trên thị trường
hiện nay không có khả năng kháng khuẩn và cực kỳ khó phân hủy, gây ra hệ lụy
lớn về ô nhiễm môi trường, dự án đã tận dụng nguồn bã sả chanh dồi dào sau
chưng cất tinh dầu - vốn thường bị vứt bỏ lãng phí.
Bằng phương pháp trích ly và tổng hợp hóa học, dự án thu nhận cellulose
từ phế phẩm này, chuyển hóa thành màng nano cellulose và tiến hành cố định
thêm tinh dầu sả chanh. Sản phẩm đầu ra là một vật liệu màng bọc ưu việt: có bề
mặt nhẵn phẳng, sở hữu khả năng ức chế vi sinh vật (nấm men, nấm mốc), không
chứa kim loại nặng hay vi sinh vật hiếu khí, và đặc biệt là có khả năng tự phân
hủy sinh học nhanh chóng trong môi trường đất. Ý tưởng này không chỉ trực tiếp
giải quyết bài toán rác thải nhựa độc hại trong bảo quản thực phẩm mà còn góp
phần đa dạng hóa và nâng cao giá trị thương mại cho chuỗi phế phẩm nông
nghiệp.</t>
  </si>
  <si>
    <t>ok64</t>
  </si>
  <si>
    <t>UniStay – Tìm trọ thông minh</t>
  </si>
  <si>
    <t>CNTT-Số hóa</t>
  </si>
  <si>
    <t>UniStay là một ứng dụng di động hoạt động trên cả Android và iOS hỗ trợ tân sinh viên mới nhập học tại Đà Nẵng tìm kiếm phòng trọ và nơi lưu trú một cách nhanh chóng – an toàn – minh bạch. Ứng dụng cho phép người dùng dễ dàng tra cứu thông tin phòng trọ theo vị trí trường học (có hiển thị số km trực quan), mức giá trọ theo tài chính, tiện ích, hình ảnh thực tế, đánh giá từ người thuê trước và thông tin xác thực của chủ trọ.
Dự án hướng đến giải quyết những khó khăn phổ biến của sinh viên năm nhất như: thiếu thông tin, lừa đảo cọc trọ, bị “cò trọ”, giá cả không minh bạch, mất thời gian đi xem phòng, đặc biệt với sinh viên từ tỉnh xa. Bên cạnh đó, UniStay còn hỗ trợ chủ trọ đăng tin miễn phí hoặc trả phí để tiếp cận đúng đối tượng khách thuê.
Trong tương lai, ứng dụng có thể mở rộng phạm vi ra các tỉnh, thành phố khác, đồng thời phục vụ người lao động trẻ, người mới đi làm, thực tập sinh có nhu cầu tìm chỗ ở dài hạn hoặc ngắn hạn. UniStay kỳ vọng trở thành nền tảng kết nối đáng tin cậy giữa người thuê trọ và người cho thuê, góp phần nâng cao chất lượng đời sống sinh viên và thúc đẩy chuyển đổi số trong lĩnh vực nhà ở cho thuê.</t>
  </si>
  <si>
    <t>ok65</t>
  </si>
  <si>
    <t>Đoàn Phi Nhung</t>
  </si>
  <si>
    <t>Nguyễn Văn Mẫn</t>
  </si>
  <si>
    <t>SOUL-SMART KIT</t>
  </si>
  <si>
    <t xml:space="preserve"> Vấn đề thực tế: 
+ Học sinh hiện nay đối mặt với áp lực điểm số và mâu thuẫn bạn bè (stress học đường) nhưng thường ngại chia sẻ trực tiếp với người lớn.
+ Tình trạng xao nhãng do mạng xã hội và ánh sáng xanh từ thiết bị điện tử làm giảm hiệu quả học tập. 
- Giải pháp, đề xuất: 
+ Xây dựng mô hình Hybrid kết hợp bộ sản phẩm vật lý (Kit) giúp rèn luyện tư duy viết tay và nền tảng kỹ thuật số hỗ trợ tâm lý/âm thanh sóng não.
+ Sử dụng AI Chatbot (Buddy AI) làm người bạn lắng nghe và tư vấn tâm lý an toàn 24/7 cho học sinh.
- Tính mới/ Sáng tạo:
+  Tiếp cận theo hướng "Không màn hình": Ưu tiên trẻ viết tay và tư duy trên giấy, công nghệ chỉ đóng vai trò hỗ trợ phụ trợ (âm thanh, tư vấn AI).
+ Kết hợp sâu giữa chuyên môn Sư phạm và Trí tuệ nhân tạo để tạo ra không gian tự học và chữa lành riêng tư.</t>
  </si>
  <si>
    <t>ok66</t>
  </si>
  <si>
    <t>(Chưa phản hồi)</t>
  </si>
  <si>
    <t>PLong Thị Thảo</t>
  </si>
  <si>
    <t>Nguyễn Đình Sáng</t>
  </si>
  <si>
    <t>Hương rừng đất Quảng</t>
  </si>
  <si>
    <t>Trần Văn Thuận</t>
  </si>
  <si>
    <t>25CVH</t>
  </si>
  <si>
    <t xml:space="preserve">Chúng tôi xuất phát ý tưởng từ một loại quả đặc trưng của vùng đất Trà Bồng, tỉnh Quảng Ngãi. Đó chính là quả Hường, một loại quả thuộc họ cam. Bước đầu chúng tôi đã định danh được loại quả này qua một bài nghiên cứu khoa học, và tiếp nối sự nghiên cứu ấy, chúng tôi phát triển thành một dự án khởi nghiệp, các sản phẩm lành tính từ quả Hường cũng như định hướng phát triển bền vững. Hi vọng dự án sẽ phần nào giúp ích cho đời sống hôm nay. </t>
  </si>
  <si>
    <t>ok67</t>
  </si>
  <si>
    <t xml:space="preserve">Nguyễn Bảo Phương </t>
  </si>
  <si>
    <t>Hỗ trợ nhận diện và định lượng vi khuẩn Vibrio trong ao nuôi tôm</t>
  </si>
  <si>
    <t xml:space="preserve">23CNSH </t>
  </si>
  <si>
    <t>Dự án MicroVita ra đời nhằm giải quyết vấn đề dịch bệnh do vi khuẩn Vibrio gây ra trong ngành nuôi tôm Việt Nam, đặc biệt tại vùng Đồng bằng sông Cửu Long (ĐBSCL) – nơi chiếm hơn 90% diện tích nuôi và 85% sản lượng tôm cả nước. Hiện nay theo số liệu năm 2024, tỷ lệ nhiễm Vibrio lên đến 81,6% mẫu nước ao nuôi, dẫn đến bệnh vibriosis và AHPND (hoại tử gan tụy cấp tính do Vibrio gây ra), làm chết hàng loạt tôm với thiệt hại ước tính 500-700 triệu USD/năm toàn châu Á, trong đó Việt Nam chịu phần lớn gánh nặng. Các hộ nuôi nhỏ lẻ (chiếm 70-80% ngành) là nhóm chịu ảnh hưởng nặng nhất, với tỷ lệ chết tôm 30-50% mỗi vụ, chi phí thuốc men và thức ăn chiếm 60-70% tổng chi, dẫn đến lỗ vốn triền miên và ô nhiễm môi trường do lạm dụng kháng sinh. Giải pháp của chúng tôi là bộ kit MicroVita – kết hợp đĩa Petri chứa môi trường TCBS chuyên biệt để nuôi cấy khuẩn lạc, hộp ủ mẫu tích hợp camera chụp ảnh tự động, và phần mềm AI phân tích hình ảnh để định lượng đa loài Vibrio (như V. parahaemolyticus, V. harveyi, V. chlorae) với độ chính xác lên đến 97%, kết quả dưới 24 giờ. Điểm khác biệt so với các dự án hiện có (như RYNAN hay Shimadzu) là tính dễ sử dụng tại nơi dành cho hộ nhỏ lẻ (không cần phải gửi mẫu đến phòng lab), có khả năng cảnh báo sớm với gợi ý xử lý cụ thể (probiotics cho mức nhẹ, thay nước + thuốc cho mức nặng), và bảo hành trọn đời phần mềm. Dự án không chỉ giảm thiệt hại 30-40% vụ mùa mà còn thúc đẩy nuôi tôm bền vững, hỗ trợ mục tiêu xuất khẩu 4,3 tỷ USD năm 2025.</t>
  </si>
  <si>
    <t>ok68</t>
  </si>
  <si>
    <t xml:space="preserve"> </t>
  </si>
  <si>
    <t>EduGuard AI (Giám sát trẻ)</t>
  </si>
  <si>
    <t>Trần Quốc Kiệt</t>
  </si>
  <si>
    <t>EduGuard AI là một hệ thống "AI giám sát AI", hoạt động như một người đồng hành kỹ thuật số. Thay vì chỉ chặn hoặc cho phép sử dụng mạng xã hội/chatbot như các ứng dụng cũ, EduGuard AI sử dụng công nghệ AI biên (Edge AI) để phân tích nội dung màn hình và các cuộc hội thoại của trẻ với AI theo thời gian thực.
•	Giá trị cốt lõi: Chuyển đổi việc "theo dõi" thành "định hướng giáo dục" bằng cách phân loại hành vi theo Thang đo Bloom (Nhớ, Hiểu, Vận dụng, Phân tích, Đánh giá, Sáng tạo).
•	Giải quyết nỗi đau: Phụ huynh lo lắng con bị lệ thuộc vào AI (nhờ AI làm hộ bài) hoặc tiếp cận nội dung độc hại mà vẫn muốn đảm bảo quyền riêng tư của trẻ.</t>
  </si>
  <si>
    <t>ok69</t>
  </si>
  <si>
    <t>Nguyễn Trần Bảo Thư</t>
  </si>
  <si>
    <t>MycoBiome – Mỹ phẩm từ nấm dược liệu</t>
  </si>
  <si>
    <t>Công nghệ sinh học &amp; Mỹ phẩm</t>
  </si>
  <si>
    <t xml:space="preserve">Dự án MycoBiome hướng tới phát triển dòng sản phẩm “Kem dưỡng da mặt” được 
ứng dụng các hợp chất sinh học được chiết xuất từ sợi nấm, quả thể nấm Linh Chi 
(Ganoderma lucidum) như polysaccharide và prebiotic. Đây là một loài nấm dược liệu 
quý, được sử dụng từ lâu trong y học cổ truyền và càng được quan tâm trong các nghiên 
cứu khoa học bởi những thành phần chứa hợp chất sinh học có giá trị cao và có khả năng 
hỗ trợ dưỡng ẩm, giảm stress oxy hóa, bảo vệ tế bào da và tạo điều kiện thuận lợi cho 
sự phát triển của các vi sinh vật có lợi trên da.  </t>
  </si>
  <si>
    <t>ok70</t>
  </si>
  <si>
    <t>Đoàn Trần Phú Tài</t>
  </si>
  <si>
    <t>MorusCare GlucoTea - Trà dâu tằm hỗ trợ tiểu đường</t>
  </si>
  <si>
    <t>Dự án hướng đến mục tiêu tạo ra một sản phẩm thảo dược tự nhiên, an toàn và dễ sử 
dụng, góp phần hỗ trợ kiểm soát đường huyết cho người có nguy cơ hoặc đang mắc bệnh 
đái tháo đường. Đồng thời, việc phát triển sản phẩm trà dâu tằm còn góp phần nâng cao 
giá trị của cây dâu tằm, mở ra hướng khai thác mới cho nguồn dược liệu địa phương, thúc 
đẩy phát triển kinh tế nông nghiệp và tạo ra các sản phẩm đặc trưng phục vụ thị trường tiêu 
dùng và du lịc</t>
  </si>
  <si>
    <t>ok71</t>
  </si>
  <si>
    <t>NewsInsight AI</t>
  </si>
  <si>
    <t>24CNTT3</t>
  </si>
  <si>
    <t xml:space="preserve">	Vấn đề: Hiện nay, các tòa soạn báo vừa và nhỏ đang bị "ngộp" vì lượng bài viết quá nhiều, không đủ người để ngồi phân loại thủ công từng bài. Đồng thời, họ cũng gặp khó khăn trong việc theo dõi xem các báo đối thủ đang viết về chủ đề gì để kịp thời bắt kịp xu hướng.
o	Giải pháp: NewsInsight AI ra đời như một "Trợ lý ảo thông minh" giúp tòa soạn tự động hóa hoàn toàn quy trình làm việc. Hệ thống có khả năng tự động đi gom các thông tin quan trọng từ đối thủ (Auto-Crawler) và dùng bộ não AI để đọc, hiểu, rồi sắp xếp các bài báo vào đúng chuyên mục (Kinh tế, Thể thao, Pháp luật...) một cách chính xác nhất.
o	Cách hoạt động:
1.	Gom tin tự động: Hệ thống tự quét các trang báo lớn để xem thị trường đang có gì mới.
2.	AI phân loại: Thay vì con người phải đọc, AI sẽ làm thay việc này và đưa ra gợi ý chuyên mục với độ tin cậy cực cao.
3.	Người kiểm duyệt: Biên tập viên chỉ cần nhìn vào kết quả AI gợi ý để bấm nút "Duyệt nhanh" hoặc sửa lại nếu cần, giúp tiết kiệm thời gian tối đa.
o	Điểm khác biệt: Hệ thống có những biểu đồ sinh động (Heatmap) giúp tòa soạn nhìn thấy ngay chủ đề nào đang "nóng" nhất trong 24 giờ qua. Đặc biệt, vì được cài đặt trên máy chủ riêng của tòa soạn nên thông tin hoàn toàn bảo mật, không sợ bị lộ ra ngoài.
o	Lợi ích: Giúp các biên tập viên rảnh tay hơn để tập trung sáng tạo nội dung chất lượng, đồng thời giúp ban lãnh đạo luôn biết được mình đang đứng ở đâu so với các báo khác.</t>
  </si>
  <si>
    <t>tt1</t>
  </si>
  <si>
    <t>Tô Thị Mai Linh</t>
  </si>
  <si>
    <t>Đặng Nhật Thanh</t>
  </si>
  <si>
    <t>Bùi Xuân Khánh</t>
  </si>
  <si>
    <t>Hán Thị Thanh Trúc</t>
  </si>
  <si>
    <t>An Tĩnh Di Sản</t>
  </si>
  <si>
    <t>“An Tĩnh Di Sản” là một dự án sáng tạo trong lĩnh vực du lịch trải nghiệm – trị liệu tinh thần, kết hợp giữa giá trị di sản văn hóa và phương pháp chữa lành cảm xúc thông qua chiều sâu lịch sử. Dự án xây dựng một bộ sản phẩm đặc trưng mang tên Healing Kit Di Sản, được thiết kế riêng cho từng không gian lịch sử cụ thể như: đình làng cổ, nhà thờ tộc, phố cổ, làng ven sông… Thay vì tiếp cận di sản theo hình thức tham quan – nghe thuyết minh – chụp ảnh truyền thống, “An Tĩnh Di Sản” kiến tạo một hành trình trải nghiệm nội tâm, nơi người tham gia không chỉ “nhìn thấy” lịch sử mà còn “đối thoại” với lịch sử và với chính mình. 
Bộ Healing kit di sản bên trong hộp gồm: 
• 1 cuốn sổ viết cảm xúc (thiết kế riêng theo không gian lịch sử đó) 
• 1 tấm postcard in hình đình làng / phố cổ 
• 1 tấm bản đồ mini có ghi chú lịch sử 
• 1 bộ câu hỏi gợi mở suy ngẫm 
• 1 QR dẫn tới audio kể chuyện
- Vai trò dự án:
 1. Đối với người tham gia
 • Giúp giảm căng thẳng, áp lực học tập – công việc 
• Tạo không gian lắng lại giữa nhịp sống hiện đại
 • Tăng khả năng tự nhận thức và suy ngẫm 
• Kết nối cảm xúc cá nhân với chiều sâu lịch sử dân tộc 
2. Đối với di sản 
• Làm mới cách tiếp cận di sản theo hướng sáng tạo
 • Tăng tính tương tác và trải nghiệm thay vì chỉ trưng bày 
• Thu hút giới trẻ đến với đình làng, phố cổ, nhà cổ… 
• Gia tăng giá trị kinh tế – du lịch bền vững 
3. Đối với cộng đồng
 • Góp phần bảo tồn văn hóa bằng hình thức mềm mại, gần gũi 
• Tạo ra sản phẩm khởi nghiệp có tính nhân văn 
• Kết hợp giữa giáo dục – du lịch – tâm lý học – storytelling</t>
  </si>
  <si>
    <t>tt2</t>
  </si>
  <si>
    <t>Huỳnh Lê Dịu Hiền</t>
  </si>
  <si>
    <t>Lang Thị Khánh Lê</t>
  </si>
  <si>
    <t>Trần Lê Phương Uyên</t>
  </si>
  <si>
    <t>Da Nang Heritage Explorer</t>
  </si>
  <si>
    <t>Hoàng Thị Chung</t>
  </si>
  <si>
    <t>“Da Nang Heritage Explorer” là dự án khởi nghiệp sáng tạo xã hội cung cấp tour trải nghiệm văn hóa và ngôn ngữ thực tế dành cho học sinh, sinh viên và du khách quốc tế tại Đà Nẵng. Khác với mô hình tham quan truyền thống, dự án tập trung vào trải nghiệm “học qua thực hành”, nơi khách không chỉ quan sát mà trực tiếp tham gia các hoạt động như làm nước mắm Nam Ô, đan chiếu Cẩm Nê hay thực hành giao tiếp tiếng Việt khi tham quan các địa danh nổi tiếng. Hướng dẫn viên là sinh viên sư phạm và sinh viên ngoại ngữ, được đào tạo kỹ năng giảng dạy và giao tiếp song ngữ, đảm bảo tính chuyên nghiệp và giá trị giáo dục. Mô hình Edu-Tour kết hợp du lịch, giáo dục và trao đổi ngôn ngữ giúp khách quốc tế hiểu sâu hơn về lịch sử, văn hóa địa phương thông qua trải nghiệm thực tế. Dự án đồng thời tạo cơ hội việc làm bán thời gian cho sinh viên, hỗ trợ quảng bá và tiêu thụ sản phẩm của các làng nghề truyền thống. Với mô hình vận hành tinh gọn, chi phí đầu tư thấp và khả năng mở rộng thông qua ứng dụng đặt tour số hóa, Da Nang Heritage Explorer hướng tới mục tiêu trở thành cầu nối giữa di sản văn hóa Đà Nẵng và cộng đồng quốc tế.</t>
  </si>
  <si>
    <t>tt3</t>
  </si>
  <si>
    <t>(Có phản hồi nhưng gửi lại file cũ)</t>
  </si>
  <si>
    <t>Nguyễn Thị Minh Hải</t>
  </si>
  <si>
    <t>Trương Thị Quý</t>
  </si>
  <si>
    <t>Nam Ô Heritage Story</t>
  </si>
  <si>
    <t>Dự án “Một ngày làm ngư dân Nam Ô” là mô hình du lịch trải nghiệm cộng đồng tại làng biển Nam Ô (quận Liên Chiểu, thành phố Đà Nẵng), nhằm tái hiện chân thực đời sống của ngư dân miền biển, kết hợp bảo tồn văn hóa truyền thống và phát triển du lịch bền vững.
Dự án mang đến cho du khách cơ hội trực tiếp ra khơi cùng ngư dân đánh bắt hải sản gần bờ, học đan lưới, khai thác rong biển, tham quan cơ sở sản xuất nước mắm truyền thống và trải nghiệm một công đoạn trong quy trình làm mắm. Du khách còn được tham gia workshop chế biến Gỏi cá Nam Ô, làm đồ thủ công từ vỏ sò, thiết kế bao bì nước mắm, cũng như lắng nghe storytelling về lịch sử hình thành làng chài, tín ngưỡng thờ cá Ông và lễ hội cầu ngư truyền thống. Hoạt động giáo dục bảo tồn hệ sinh thái biển, chụp ảnh bình minh – hoàng hôn tại ghềnh đá và tham quan đình làng càng làm phong phú thêm trải nghiệm.
Bên cạnh tour chính, dự án phát triển đa dạng sản phẩm như: cắm trại – đốt lửa trại tại bãi Rạn, tour đêm “Nam Ô – Ký ức dưới trăng”, thiền – yoga chữa lành, podcast “Nam Ô Heritage”, tổ chức dã ngoại – team building, và bán combo trải nghiệm kèm sản phẩm nước mắm thủ công.
Hệ sinh thái dịch vụ đi kèm bao gồm sản phẩm lưu niệm (nước mắm Nam Ô nguyên chất, hải sản khô, đồ thủ công biển), lưu trú homestay cộng đồng, ngủ nhà ven biển hoặc ở cùng gia đình ngư dân, cùng hệ thống khách sạn mini tại khu vực Liên Chiểu. Ẩm thực là điểm nhấn đặc sắc với hải sản tươi sống, tiệc BBQ bãi biển, học làm gỏi cá và thưởng thức bữa ăn trong không gian đậm chất làng chài.
Với định hướng phát triển du lịch trải nghiệm – giáo dục – văn hóa, dự án không chỉ tạo sinh kế cho cộng đồng địa phương mà còn góp phần gìn giữ giá trị truyền thống của làng biển Nam Ô, xây dựng hình ảnh điểm đến chân thực, khác biệt và bền vững.</t>
  </si>
  <si>
    <t>k1</t>
  </si>
  <si>
    <t>Nguyễn Trúc Ly</t>
  </si>
  <si>
    <t>Nguyễn Xuân Ngọc</t>
  </si>
  <si>
    <t>Nguyễn Thị Phương Linh</t>
  </si>
  <si>
    <t>Vật liệu silicate cho đèn LED</t>
  </si>
  <si>
    <t>Vật liệu</t>
  </si>
  <si>
    <t>TS. Trần Thị Hồng</t>
  </si>
  <si>
    <t>Dự án nghiên cứu phát triển vật liệu silicate pha tạp ion đất hiếm (Ce³⁺, Eu²⁺, Tb³⁺…) làm vật liệu chuyển đổi quang hiệu suất cao cho đèn LED. Hệ vật liệu silicate được lựa chọn nhờ các ưu điểm nổi bật: độ bền nhiệt cao, cấu trúc tinh thể ổn định và khả năng điều chỉnh phổ phát xạ thông qua lựa chọn loại các ion đất hiếm pha tạp. Đây là những yếu tố quan trọng để tạo ra vật liệu có hiệu suất phát quang mạnh và độ ổn định màu cao.
Trong LED trắng, chip LED xanh hoặc UV phát ra bức xạ kích thích thì vật liệu silicate hấp thụ năng lượng này và chuyển đổi quang thành ánh sáng khả kiến theo cơ chế hấp thụ – truyền năng lượng – tái phát xạ của các tâm đất hiếm. Việc tối ưu hóa cấu trúc và thành phần silicate giúp nâng cao hiệu suất lượng tử, giảm thất thoát năng lượng và đảm bảo độ ổn định quang – nhiệt khi LED hoạt động lâu dài.
Dự án hướng đến điều chỉnh phổ phát xạ và tọa độ màu CIE, từ đó điều khiển nhiệt độ màu tương quan (CCT) và tạo nguồn sáng chất lượng cao. Độ ổn định tọa độ màu theo nhiệt độ cũng là tiêu chí quan trọng để nâng cao độ tin cậy của thiết bị chiếu sáng.
Vật liệu được tổng hợp bằng phương pháp pha rắn nhiệt độ cao; quy trình được tối ưu hóa về tỉ lệ phối liệu, tốc độ gia nhiệt và điều kiện ủ nhằm đạt độ kết tinh và cường độ phát quang tối ưu. Các phép đo phổ kích thích, phổ phát xạ, thời gian sống, độ bền nhiệt, hiệu suất lượng tử và tọa độ màu được sử dụng để đánh giá chất lượng vật liệu.
Kết quả dự kiến tạo ra vật liệu silicate pha tạp đất hiếm có khả năng hấp thụ hiệu quả bức xạ UV/blue, phát xạ mạnh trong vùng khả kiến với độ ổn định cao, góp phần cải thiện hiệu suất và chất lượng ánh sáng và tuổi thọ của đèn LED, đồng thời mở ra hướng phát triển vật liệu chuyển đổi quang trong nước, tăng khả năng thương mại hóa và giảm phụ thuộc nhập khẩu.</t>
  </si>
  <si>
    <t>k2</t>
  </si>
  <si>
    <t>(Hồ sơ trắng)</t>
  </si>
  <si>
    <t>Nguyễn Thị Hương Giang</t>
  </si>
  <si>
    <t>Dự án đề xuất phát triển một robot gia sư thông minh ứng dụng nền tảng sư phạm, tích hợp công nghệ nhận diện giọng nói và xử lý ngôn ngữ tự nhiên nhằm hỗ trợ học tập đa môn theo chương trình phổ thông. Điểm sáng tạo của sản phẩm nằm ở cơ chế “học chủ động”: robot không chỉ cung cấp đáp án mà còn đặt câu hỏi gợi mở, phân tích lỗi sai và đưa ra phản hồi chi tiết để giúp học sinh hiểu sâu kiến thức và rèn luyện tư duy phản biện. Sản phẩm được tối ưu về giao diện, thiết kế thân thiện, âm thanh rõ ràng, tốc độ phản hồi nhanh và có khả năng cập nhật phần mềm định kỳ để mở rộng nội dung học tập lâu dài, tạo nên một giải pháp giáo dục công nghệ mang tính ứng dụng sư phạm cao và khác biệt so với các sản phẩm hiện có trên thị trường</t>
  </si>
  <si>
    <t>k3</t>
  </si>
  <si>
    <t>TRIZEN: Robot gia sư thông minh</t>
  </si>
  <si>
    <t xml:space="preserve">TS. Ngô Thị Hoàng Vân </t>
  </si>
  <si>
    <t>ok72</t>
  </si>
  <si>
    <t>don_vi_ten_vn</t>
  </si>
  <si>
    <t>don_vi_ma_chuan</t>
  </si>
  <si>
    <t>don_vi_ten_chuan</t>
  </si>
  <si>
    <t>nganh</t>
  </si>
  <si>
    <t>loai_hinh</t>
  </si>
  <si>
    <t>is_active</t>
  </si>
  <si>
    <t>Khoa Toán - Tin</t>
  </si>
  <si>
    <t>Sư phạm Toán học</t>
  </si>
  <si>
    <t>Khoa học dữ liệu</t>
  </si>
  <si>
    <t>Công nghệ giáo dục (2026)</t>
  </si>
  <si>
    <t>Cao học</t>
  </si>
  <si>
    <t>Đại số và lý thuyết sô</t>
  </si>
  <si>
    <t>Toán giải tích</t>
  </si>
  <si>
    <t>LL&amp;PPDH BM (Tin học)</t>
  </si>
  <si>
    <t>LL&amp;PPDH BM</t>
  </si>
  <si>
    <t>Tiến sĩ</t>
  </si>
  <si>
    <t>Đại số và lý thuyết số</t>
  </si>
  <si>
    <t>Khoa Lý - Hóa</t>
  </si>
  <si>
    <t>Vật lý kỹ thuật</t>
  </si>
  <si>
    <t>Sư phạm Hóa học</t>
  </si>
  <si>
    <t>Sư phạm Khoa học tự nhiên</t>
  </si>
  <si>
    <t>Hóa hữu cơ
Hóa lý thuyết và hóa lý</t>
  </si>
  <si>
    <t>LL&amp;PPDH BM (Vật lý)</t>
  </si>
  <si>
    <t>Hoá hữu cơ</t>
  </si>
  <si>
    <t>Khoa Sinh - Nông nghiệp - Môi trường</t>
  </si>
  <si>
    <t xml:space="preserve">CNSH </t>
  </si>
  <si>
    <t>Nông nghiệp (2026)</t>
  </si>
  <si>
    <t>LL&amp;PPDH BM (Sinh học)</t>
  </si>
  <si>
    <t>QLTN&amp;MT</t>
  </si>
  <si>
    <t>Khoa Ngữ văn - Truyền thông</t>
  </si>
  <si>
    <t>Quan hệ công chúng</t>
  </si>
  <si>
    <t>LL&amp;PPDH BM (Ngữ văn)</t>
  </si>
  <si>
    <t>Văn học việt nam</t>
  </si>
  <si>
    <t>Khoa Sử - Địa - Chính trị</t>
  </si>
  <si>
    <t>Sư phạm Lịch sử</t>
  </si>
  <si>
    <t>Sư phạm Lịch sử và Địa lý</t>
  </si>
  <si>
    <t>Sư phạm Địa lý</t>
  </si>
  <si>
    <t xml:space="preserve">Địa lý học </t>
  </si>
  <si>
    <t>Giáo dục pháp luật</t>
  </si>
  <si>
    <t>Giáo dục Công dân</t>
  </si>
  <si>
    <t>Khoa Tâm lý - Giáo dục - Công tác Xã hội</t>
  </si>
  <si>
    <t>Giáo dục đặc biệt (2026)</t>
  </si>
  <si>
    <t>Giáo dục và phát triển cộng đồng</t>
  </si>
  <si>
    <t>Khoa Giáo dục Tiểu học - Mầm non</t>
  </si>
  <si>
    <t>Sư phạm Tin học và Công nghệ Tiểu học</t>
  </si>
  <si>
    <t>Giáo dục học (Mần non)</t>
  </si>
  <si>
    <t>Khoa Giáo dục Nghệ thuật - Thể chất</t>
  </si>
  <si>
    <t>Sư phạm Mỹ thuật</t>
  </si>
  <si>
    <t>Giáo dục Thể chất</t>
  </si>
  <si>
    <t>LL&amp;PPDH BM (Âm nhạc)</t>
  </si>
  <si>
    <t>don_vi_ten</t>
  </si>
  <si>
    <t>don_vi_ma</t>
  </si>
  <si>
    <t>don_vi_trang_thai</t>
  </si>
  <si>
    <t>updatestatus_date</t>
  </si>
  <si>
    <t>D2504000</t>
  </si>
  <si>
    <t>17/03/2025</t>
  </si>
  <si>
    <t>Trung tâm Hỗ trợ sinh viên và Quan hệ doanh nghiệp - Trường ĐHSP</t>
  </si>
  <si>
    <t>Trung tâm Tiếng việt và Văn hoá Việt - Trường ĐHSP</t>
  </si>
  <si>
    <t>Trung tâm Tin học - Trường ĐHSP</t>
  </si>
  <si>
    <t>Trung tâm Nghiên cứu Phát triển chương trình - Trường ĐHSP</t>
  </si>
  <si>
    <t>Trung tâm Đổi mới sáng tạo và hỗ trợ khởi nghiệp</t>
  </si>
  <si>
    <t>Khoa Toán học</t>
  </si>
  <si>
    <t>Khoa Tin học</t>
  </si>
  <si>
    <t>Khoa Vật lý</t>
  </si>
  <si>
    <t>Khoa Hoá học</t>
  </si>
  <si>
    <t>Khoa Lịch sử</t>
  </si>
  <si>
    <t>Khoa Địa lý</t>
  </si>
  <si>
    <t>Khoa Giáo dục chính trị</t>
  </si>
  <si>
    <t>Khoa Giáo dục Tiểu học</t>
  </si>
  <si>
    <t>Khoa Giáo dục Mầm non</t>
  </si>
  <si>
    <t>Stt</t>
  </si>
  <si>
    <t>Mã bài báo</t>
  </si>
  <si>
    <t>Tên bài báo</t>
  </si>
  <si>
    <t>Tổng số thành viên</t>
  </si>
  <si>
    <t>Mã loại công việc</t>
  </si>
  <si>
    <t>Tên loại phân cấp</t>
  </si>
  <si>
    <t>Tên tạp chí</t>
  </si>
  <si>
    <t>Ngày đăng</t>
  </si>
  <si>
    <t>Năm XB</t>
  </si>
  <si>
    <t>Nhà xuất bản</t>
  </si>
  <si>
    <t>Trạng thái</t>
  </si>
  <si>
    <t>Yêu cầu hiệu chỉnh</t>
  </si>
  <si>
    <t>Cán bộ kê khai</t>
  </si>
  <si>
    <t>Thời điểm kê khai</t>
  </si>
  <si>
    <t>BB0691</t>
  </si>
  <si>
    <t>Enhanced microwave absorption through structural and magnetic optimization in Sm-doped BiFeO3 composites</t>
  </si>
  <si>
    <t>BBMUC1 - 1. Bài báo được đăng tại Tạp chí, Kỉ yếu Hội thảo thuộc danh mục SCIE, SSCI,AHCI</t>
  </si>
  <si>
    <t>Ceramics International</t>
  </si>
  <si>
    <t>31/05-2025</t>
  </si>
  <si>
    <t>ScienceDirect</t>
  </si>
  <si>
    <t>Kính đề nghị tác giả bài báo BB0691 cập nhật minh chứng toàn văn bài báo theo quy định. Trân trọng./.</t>
  </si>
  <si>
    <t>BB0329</t>
  </si>
  <si>
    <t>All-in-one high performance electrochromic device from new photocurable methacrylated viologen and polyaniline/UiO-66/NiO/ZnO composite</t>
  </si>
  <si>
    <t>Chưa có Q</t>
  </si>
  <si>
    <t>Materials Today Chemistry
 Số 43
 Vị trí trang: 102511</t>
  </si>
  <si>
    <t>Đã duyệt</t>
  </si>
  <si>
    <t>BB0342</t>
  </si>
  <si>
    <t>Structural Characterization and Antioxidant Properties of a Novel Polysaccharide Isolated from Gymnopetalum cochinchinense</t>
  </si>
  <si>
    <t>Q1</t>
  </si>
  <si>
    <t>ACS OMEGA | Vị trí trang: A-J | Ngày đăng: 13-02-2025</t>
  </si>
  <si>
    <t>acs</t>
  </si>
  <si>
    <t>BB0377</t>
  </si>
  <si>
    <t>Inﬂuence of dopant concentration on Raman spectra and Judd-Ofelt intensity parameters of red-emitting Eu3+-doped Sr2MgSi2O7</t>
  </si>
  <si>
    <t>Optical Materials | Ngày đăng: 25-01-2025</t>
  </si>
  <si>
    <t>BB0412</t>
  </si>
  <si>
    <t>A new insight into the photocatalytic activity of g-C3N4: A combination of experimental and DFT study</t>
  </si>
  <si>
    <t>Journal of Alloys and Compounds | Ngày đăng: 16-02-2025</t>
  </si>
  <si>
    <t>BB0426</t>
  </si>
  <si>
    <t>Applying augmented weak subdifferentials and normal cones for nonconvex mathematical programming problems</t>
  </si>
  <si>
    <t>Journal of Global Optimization | Ngày đăng: 25-02-2025</t>
  </si>
  <si>
    <t>BB0427</t>
  </si>
  <si>
    <t>Characterization of Optimality and Duality for Semi-Infinite Fractional Interval-Valued Mathematical Programs with Vanishing Constraints</t>
  </si>
  <si>
    <t>Bulletin of the Brazilian Mathematical Society, New Series | Ngày đăng: 09-01-2025</t>
  </si>
  <si>
    <t>BB0461</t>
  </si>
  <si>
    <t>Four Decades of Mangrove Shoreline Changes Driven by Human Activities in the Red River Delta</t>
  </si>
  <si>
    <t>Estuarine, Coastal and Shelf Science | Ngày đăng: 20-01-2025</t>
  </si>
  <si>
    <t>BB0489</t>
  </si>
  <si>
    <t>Cu/Cu2O Nanoparticle−Decorated Nickel Foam as an Electrocatalyst for Hydrogen Evolution and Glucose Oxidation</t>
  </si>
  <si>
    <t>ACS Applied Nano Materials | Vị trí trang: XXX-XXX | Ngày đăng: 05-05-2025</t>
  </si>
  <si>
    <t>ACS Publications</t>
  </si>
  <si>
    <t>BB0529</t>
  </si>
  <si>
    <t>A fast algorithm for smooth convex minimization problems and its application to inverse source problems</t>
  </si>
  <si>
    <t>IMA Journal of Numerical Analysis | Vị trí trang: drae091 | Ngày đăng: 21-01-2025</t>
  </si>
  <si>
    <t>Phạm Qúy Mười</t>
  </si>
  <si>
    <t>BB0539</t>
  </si>
  <si>
    <t>Exploring the effects of prospective mathematics teachers’ knowledge on their professional noticing</t>
  </si>
  <si>
    <t>International Journal of Mathematical Education in Science and Technology | Vị trí trang: 1-23 | Ngày đăng: 07-02-2025</t>
  </si>
  <si>
    <t>Taylor and Francis Ltd.</t>
  </si>
  <si>
    <t>BB0570</t>
  </si>
  <si>
    <t>High accumulation of 210Po concentration in muscle tissue and hepatopancreas gland organs of Asian green mussel (Perna viridis) at the coastal area of Binh Thuan, Vietnam: Radiological protection perspectives</t>
  </si>
  <si>
    <t>Marine Pollution Bulletin | Số 219 | Vị trí trang: 1-9 | Ngày đăng: 26-06-2025</t>
  </si>
  <si>
    <t>Elsevier Ltd</t>
  </si>
  <si>
    <t>BB0588</t>
  </si>
  <si>
    <t>Evaluating educational assessment competence of pre-service teachers: extended standards in the context of digital classroom assessment transformation</t>
  </si>
  <si>
    <t>Education and Information Technologies | Vị trí trang: DOI: 10.1007/s10639-025-13467-y | Ngày đăng: 27-03-2025</t>
  </si>
  <si>
    <t>Kluwer Academic Publishers</t>
  </si>
  <si>
    <t>BB0613</t>
  </si>
  <si>
    <t>Tunable color, optical properties, and energy transfer of Tb3+–Sm3+–Yb3+ tri-doped lithium–niobium–tellurite glass for applications in color display devices and WLEDs</t>
  </si>
  <si>
    <t>RSC Advances | Ngày đăng: 09-06-2025</t>
  </si>
  <si>
    <t>BB0648</t>
  </si>
  <si>
    <t>High-efficiency adsorption of caffeine and nicotine in aqueous phases by functionalized MIL-101 nanostructures: experimental and density functional theory study</t>
  </si>
  <si>
    <t>Journal of Industrial and Engineering Chemistry | Vị trí trang: xxx | Ngày đăng: 03-08-2024</t>
  </si>
  <si>
    <t>Elsevier</t>
  </si>
  <si>
    <t>BB0649</t>
  </si>
  <si>
    <t>Application of 3D electrodes in various electrocatalytic systems for the degradation of organic pollutants in the last 5 years (2019–2024)</t>
  </si>
  <si>
    <t>Chemical Engineering Journal | Số 515 | Vị trí trang: 163676 | Ngày đăng: 15-05-2025</t>
  </si>
  <si>
    <t>elsevier</t>
  </si>
  <si>
    <t>BB0670</t>
  </si>
  <si>
    <t>Theoretical study on the influence of OH group position on the free radical scavenging ability of tryptamine derivatives</t>
  </si>
  <si>
    <t>RSC Adv. | Số 15 | Vị trí trang: 11417–11430 | Ngày đăng: 04-04-2025</t>
  </si>
  <si>
    <t>BB0680</t>
  </si>
  <si>
    <t>A mercury complex-based fluorescent sensor for biological thiols</t>
  </si>
  <si>
    <t>RSC Advance | Ngày đăng: 05-06-2025</t>
  </si>
  <si>
    <t>BB0789</t>
  </si>
  <si>
    <t>Which factor most influences the decision of 10th grade students to use ChatGPT for programming education? A case study in Da Nang City, Vietnam</t>
  </si>
  <si>
    <t>Interactive Learning Environments | Ngày đăng: 18-06-2025</t>
  </si>
  <si>
    <t>BB0794</t>
  </si>
  <si>
    <t>Raman activity, piezoelectric response, and carrier mobility in two-dimensional Janus TiGe????3H (???? = N, P, As) Semiconductors: A first-principles prediction</t>
  </si>
  <si>
    <t>Materials Science in Semiconductor Processing | Số 108 | Vị trí trang: 109102 | Ngày đăng: 01-03-2025</t>
  </si>
  <si>
    <t>BB0804</t>
  </si>
  <si>
    <t>Electronic properties and interfacial engineering of metal–semiconductor 1T-, 2H-Ta2B MBene/Janus MoSSe heterostructures</t>
  </si>
  <si>
    <t>Nanoscale | Ngày đăng: 25-06-2025</t>
  </si>
  <si>
    <t>BB0337</t>
  </si>
  <si>
    <t>Reduction process and energy transfer from Eu3+/Sm3+ co-doped Sr2MgSi2O7 phosphors by heat treatment in 100% H2 gas environment</t>
  </si>
  <si>
    <t>Q2</t>
  </si>
  <si>
    <t>Journal of Physics and Chemistry of Solids | Ngày đăng: 28-01-2025</t>
  </si>
  <si>
    <t>BB0341</t>
  </si>
  <si>
    <t>Effects of CuO doping on the sintering behavior and piezoelectric properties of lead-free (K0.41Na0.59)(Nb0.84Sb0.06Ta0.10)O3 ceramics</t>
  </si>
  <si>
    <t>APPLIED PHYSICS A-MATERIALS SCIENCE &amp; PROCESSING | Ngày đăng: 18-02-2025</t>
  </si>
  <si>
    <t>BB0366</t>
  </si>
  <si>
    <t>A new species of Nitokra Boeck, 1865 (Copepoda: Harpacticoida: Ameiridae) from a hyporheic zone in central Vietnam</t>
  </si>
  <si>
    <t>Zootaxa | Vị trí trang: 46-60 | Ngày đăng: 20-02-2025</t>
  </si>
  <si>
    <t>MAGNOLIA PRESS</t>
  </si>
  <si>
    <t>BB0507</t>
  </si>
  <si>
    <t>The effect of BaZrO3 content on the structure, microstructure, and electrical properties of (K, Na)NbO3-based lead-free ceramics</t>
  </si>
  <si>
    <t>Applied Physics A | Ngày đăng: 18-04-2025</t>
  </si>
  <si>
    <t>BB0514</t>
  </si>
  <si>
    <t>Existence of positive weak solutions for fractional Laplacian elliptic systems</t>
  </si>
  <si>
    <t>Georgian Mathematical Journal | Ngày đăng: 19-06-2025</t>
  </si>
  <si>
    <t>Walter de Gruyter GmbH</t>
  </si>
  <si>
    <t>BB0518</t>
  </si>
  <si>
    <t>Impact of urban tree morphology on reducing surface flow in Hue City, Vietnam</t>
  </si>
  <si>
    <t>Journal of Water and Climate Change | Số 16 | Vị trí trang: 1638-1652 | Ngày đăng: 28-03-2025</t>
  </si>
  <si>
    <t>IWA publishing</t>
  </si>
  <si>
    <t>BB0528</t>
  </si>
  <si>
    <t>Stability estimate and the Tikhonov regularization method for the Kuramoto–Sivashinsky equation backward in time</t>
  </si>
  <si>
    <t>Journal of inverse and ill-posed problems | Số 33 | Vị trí trang: 429-442 | Ngày đăng: 03-02-2025</t>
  </si>
  <si>
    <t>BB0536</t>
  </si>
  <si>
    <t>A new species of the genus Phyllognathopus (Copepoda, Harpacticoida) from central Vietnam</t>
  </si>
  <si>
    <t>Raffles Bulletin of Zoology | Số 73 | Vị trí trang: 293-303 | Ngày đăng: 16-06-2025</t>
  </si>
  <si>
    <t>BB0563</t>
  </si>
  <si>
    <t>Optimization of Lactic Fermented Beverages: Integrating Trametes versicolor Mycelium and Pleurotus ostreatus Extract for Enhanced Functional Properties</t>
  </si>
  <si>
    <t>Mycobiology | Số 53 | Vị trí trang: 379-392 | Ngày đăng: 14-03-2025</t>
  </si>
  <si>
    <t>Taylor &amp; Francis</t>
  </si>
  <si>
    <t>BB0565</t>
  </si>
  <si>
    <t>Improving Nutrition Facts of Cassava and Soybean Residue Through Solid-State Fermentation by Pleurotus ostreatus Mycelium: A Pathway to Safety Animal Feed Production</t>
  </si>
  <si>
    <t>Fermentation | Số 11 | Vị trí trang: 1-16 | Ngày đăng: 09-05-2025</t>
  </si>
  <si>
    <t>MDPI</t>
  </si>
  <si>
    <t>BB0608</t>
  </si>
  <si>
    <t>Revealing the Electronic Origin of Pressure‑Induced Isostructural Transformations in Ca 3Co2O6</t>
  </si>
  <si>
    <t>Journal of Electronic Materials | Ngày đăng: 08-03-2025</t>
  </si>
  <si>
    <t>BB0638</t>
  </si>
  <si>
    <t>Electrochemical determination of 1, 3-dimethylxanthine in pharmaceutical tablets using a peat-derived carbon quantum dots-modified glassy carbon electrode</t>
  </si>
  <si>
    <t>Journal of Materials Science: Materials in Electronics | Ngày đăng: 09-03-2025</t>
  </si>
  <si>
    <t>BB0640</t>
  </si>
  <si>
    <t>Thermodynamic and kinetic studies of Victoria blue B removal using the photocatalyst of flower-like cadmium sulfide microspheres synthesized via hydrothermal process</t>
  </si>
  <si>
    <t>Environmental Engineering Research | Ngày đăng: 01-07-2025</t>
  </si>
  <si>
    <t>BB0673</t>
  </si>
  <si>
    <t>4-(1-Methylamino)ethylidene-1,5-disubstituted pyrrolidine-2,3-diones: synthesis, anti-inflammatory effect and in silico approaches</t>
  </si>
  <si>
    <t>Beilstein Journal of Organic Chemistry | Số 21 | Vị trí trang: 817-829 | Ngày đăng: 24-04-2025</t>
  </si>
  <si>
    <t>BB0674</t>
  </si>
  <si>
    <t>Revisiting the radical trapping activity of N–H and O–H in N-phenylhydroxylamine: a DFT study</t>
  </si>
  <si>
    <t>Phys. Chem. Chem. Phys. | Số 27 | Vị trí trang: 8457 | Ngày đăng: 24-03-2025</t>
  </si>
  <si>
    <t>BB0784</t>
  </si>
  <si>
    <t>On the Schröder-Bernstein property for abelian groups</t>
  </si>
  <si>
    <t>Communications in Algebra | Số 53 | Vị trí trang: 2080–2088 | Ngày đăng: 04-05-2025</t>
  </si>
  <si>
    <t>Taylor&amp; Francis</t>
  </si>
  <si>
    <t>BB0336</t>
  </si>
  <si>
    <t>A NEW ESTER FROM THE MALE FLOWERS OF Carica papaya</t>
  </si>
  <si>
    <t>Q3</t>
  </si>
  <si>
    <t>Chemistry of Natural Compounds | Số 61 | Vị trí trang: 8-10 | Ngày đăng: 04-02-2025</t>
  </si>
  <si>
    <t>SPRINGER NATURE</t>
  </si>
  <si>
    <t>BB0404</t>
  </si>
  <si>
    <t>The Synergistic Effect of Substituents, Hydrogen Bonding, and Solvents on Antiradical Activity of Catechol Derivatives: Insights from Density Functional Theory</t>
  </si>
  <si>
    <t>ChemistrySelect | Số 10 | Vị trí trang: e202405581 (1 of 8) | Ngày đăng: 12-03-2025</t>
  </si>
  <si>
    <t>BB0540</t>
  </si>
  <si>
    <t>Partial Least Squares Structural Equation Modeling (PLS-SEM) in Higher Education Research: An Evidence from Using Technology Acceptance Model (TAM) and Innovation Resistance Theory (IRT)</t>
  </si>
  <si>
    <t>Q4</t>
  </si>
  <si>
    <t>New Review of Information Networking | Số 29 | Vị trí trang: 24–54 | Ngày đăng: 11-05-2025</t>
  </si>
  <si>
    <t>BB0390</t>
  </si>
  <si>
    <t>Effect of doping Mn ion on the crystal structure and cation distribution in Co1-xMnxFe2O4 compounds</t>
  </si>
  <si>
    <t>BBMUC2 - 2. Bài báo được đăng tại Tạp chí, Kỉ yếu Hội thảo thuộc danh mục Scopus, ESCI</t>
  </si>
  <si>
    <t>Journal of Materials Science: Materials in Engineering | Ngày đăng: 20-01-2025</t>
  </si>
  <si>
    <t>BB0459</t>
  </si>
  <si>
    <t>Integrating Remote Sensing, GIS and Machine Learning Approaches in Evaluation of Landslide Susceptibility in Mountainous Region of Nghe An Province, Vietnam</t>
  </si>
  <si>
    <t>IOP Conference Series: Earth and Environmental Science | Vị trí trang: 012008 | Ngày đăng: 01-05-2025</t>
  </si>
  <si>
    <t>BB0519</t>
  </si>
  <si>
    <t>Monitoring Flood Dynamics in Hoa Vang District, Da Nang City Using SAR Remote Sensing and Google Earth Engine</t>
  </si>
  <si>
    <t>IOP Conference Series: Earth and Environmental Science | Số 1501 | Vị trí trang: 1-13 | Ngày đăng: 06-06-2025</t>
  </si>
  <si>
    <t>IOP Publishing</t>
  </si>
  <si>
    <t>BB0549</t>
  </si>
  <si>
    <t>Morality in a different voice: A study of feminist ethics</t>
  </si>
  <si>
    <t>Synesis (ISSN 1984-6754), Vol 15, No 4, pp. 196-214 | Ngày đăng: 13-01-2025</t>
  </si>
  <si>
    <t>BB0429</t>
  </si>
  <si>
    <t>What is the biggest motivator for 10 th-graders when learning programming? Case study in Vietnam</t>
  </si>
  <si>
    <t>Social Sciences &amp; Humanities Open | Ngày đăng: 23-02-2025</t>
  </si>
  <si>
    <t>ELSEVIER</t>
  </si>
  <si>
    <t>BB0501</t>
  </si>
  <si>
    <t>Sol-gel synthesis, characterization and catalytic activity of manganese-doped calcium cobalt oxide</t>
  </si>
  <si>
    <t>Next Materials | Ngày đăng: 16-06-2025</t>
  </si>
  <si>
    <t>BB0512</t>
  </si>
  <si>
    <t>A constructivist approach to Vietnam strategy amid U.S. – China geoeconomic rivalry: The case of BRI and IPEF</t>
  </si>
  <si>
    <t>Terra Economicus | Vị trí trang: 126-136 | Ngày đăng: 25-06-2025</t>
  </si>
  <si>
    <t>BB0553</t>
  </si>
  <si>
    <t>DISCLAIM RESOURCES IN DONALD TRUMP’S INAUGURAL SPEECHES: A CORPUS-BASED APPROACH</t>
  </si>
  <si>
    <t>Terra Linguistica | Ngày đăng: 30-06-2025</t>
  </si>
  <si>
    <t>BB0626</t>
  </si>
  <si>
    <t>Policy to Ensure Maritime Security and Rescue in the Sea of Cochinchina (Vietnam) of the Nguyen Lords (16th–18th Centuries) (Part 1)</t>
  </si>
  <si>
    <t>Vestnik of Saint Petersburg University. Asian and African Studies | Ngày đăng: 20-05-2025</t>
  </si>
  <si>
    <t>BB0709</t>
  </si>
  <si>
    <t>Policies of Southeast Asian Governments Towards Catholicism in the 16th – 18th Centuries: Case Study of Cochinchina, Vietnam</t>
  </si>
  <si>
    <t>Eminak | Ngày đăng: 10-07-2025</t>
  </si>
  <si>
    <t>BB0785</t>
  </si>
  <si>
    <t>Factors influencing the decision to use the flipped classroom model by primary school teachers: a case study in Vietnam.</t>
  </si>
  <si>
    <t>Human Behavior and Emerging Technologies. | Vị trí trang: https://onlinelibrary.wiley.com/doi/epdf/10.1155/hbe2/2056461 | Ngày đăng: 17-05-2025</t>
  </si>
  <si>
    <t>Wiley</t>
  </si>
  <si>
    <t>BB0436</t>
  </si>
  <si>
    <t>Assessing the Livelihood Vulnerability of Residents in Coastal Fishing Villages of Da Nang City in Viet Nam Under the Impact of Climate Change: Case Study In Man Thai and Nam O</t>
  </si>
  <si>
    <t>Prace i Studia Geograficzne | Số 70 | Vị trí trang: 87 - 101 | Ngày đăng: 04-04-2025</t>
  </si>
  <si>
    <t>BB0444</t>
  </si>
  <si>
    <t>From border conflicts to maritime competition: driving forces behind the power rivalry between India and China in the Indian Ocean region</t>
  </si>
  <si>
    <t>Australian Journal of Maritime &amp; Ocean Affairs | Ngày đăng: 18-04-2025</t>
  </si>
  <si>
    <t>BB0568</t>
  </si>
  <si>
    <t>Removal of ammonium and nitrate by water lettuce (Pistia Stratiotes) under salinity stress</t>
  </si>
  <si>
    <t>Egyptian Journal of Aquatic Research | Vị trí trang: 143-149 | Ngày đăng: 17-03-2025</t>
  </si>
  <si>
    <t>BB0631</t>
  </si>
  <si>
    <t>Mitigating academic cheating through innovations in interdisciplinary and transdisciplinary teaching and peer assessment in digital educational environments</t>
  </si>
  <si>
    <t>Journal of Research in Innovative Teaching &amp; Learning | Vị trí trang: 443 | Ngày đăng: 31-03-2025</t>
  </si>
  <si>
    <t>Emerald insight</t>
  </si>
  <si>
    <t>BB0639</t>
  </si>
  <si>
    <t>The Composite of Activated Carbon/Magnetic Iron Oxide: Synthesis, Isothermal, and Kinetic Studies of Ciprofloxacin and Tetracycline Adsorption From a Binary‐Component Solution</t>
  </si>
  <si>
    <t>Journal of Nanotechnology | Ngày đăng: 13-05-2025</t>
  </si>
  <si>
    <t>BB0710</t>
  </si>
  <si>
    <t>The United States’ Indo-Pacific Economic Framework: Characteristics, Content, Strategic Significance, and Implications for China</t>
  </si>
  <si>
    <t>International Organisations Research Journal | Ngày đăng: 15-07-2025</t>
  </si>
  <si>
    <t>BB0756</t>
  </si>
  <si>
    <t>Emotional Shifts and Recovery in the Post-COVID-19 Era: A Retrospective Survey Among Adolescents in Vietnam</t>
  </si>
  <si>
    <t>Social Sciences | Ngày đăng: 04-04-2025</t>
  </si>
  <si>
    <t>BB0772</t>
  </si>
  <si>
    <t>Teaching methods and process quality of the planned science activity in Vietnamese preschool classrooms: a case study from Da Nang.</t>
  </si>
  <si>
    <t>International Journal of Early Years Education | Ngày đăng: 11-04-2025</t>
  </si>
  <si>
    <t>BB0338</t>
  </si>
  <si>
    <t>The synthesis Ag/Fe3O4 nanoparticles using guava leaf extract (psidium guajava l.) And its application for catalytic reduction of methylene blue and rhodamine B</t>
  </si>
  <si>
    <t>ChemChemTech | Số 68 | Vị trí trang: 41-48 | Ngày đăng: 13-02-2025</t>
  </si>
  <si>
    <t>BB0397</t>
  </si>
  <si>
    <t>A novel fluorescent sensor for arsenic: A DFT study</t>
  </si>
  <si>
    <t>Vietnam Journal of Chemistry | Ngày đăng: 30-01-2025</t>
  </si>
  <si>
    <t>BB0422</t>
  </si>
  <si>
    <t>Solar-Light-Driven N-TiO2-SiO2 Photocatalytic Activity on the Simultaneous Removal of Bisphenol-A and Escherichia coli</t>
  </si>
  <si>
    <t>Indones. J. Chem | Ngày đăng: 02-01-2025</t>
  </si>
  <si>
    <t>BB0450</t>
  </si>
  <si>
    <t>The United States and its diplomatic struggle to abort Britain's conscription in international maritime activities (1790-1815)</t>
  </si>
  <si>
    <t>International Journal of Innovative Research and Scientific Studies | Ngày đăng: 08-04-2025</t>
  </si>
  <si>
    <t>BB0451</t>
  </si>
  <si>
    <t>An Analysis of Engagement Resources of Donald Trump's 2024 Presidential Re-election Announcement Speech</t>
  </si>
  <si>
    <t>Studies in Media and Communication | Ngày đăng: 23-04-2025</t>
  </si>
  <si>
    <t>BB0452</t>
  </si>
  <si>
    <t>An Analysis of Conceptual Metaphors in Donald Trump’s 2024 Victory Speech</t>
  </si>
  <si>
    <t>Studies in Media and Communication | Ngày đăng: 20-04-2025</t>
  </si>
  <si>
    <t>BB0455</t>
  </si>
  <si>
    <t>Food Safety in the Protection of the Right to Consumer: Access to International Law and Vietnamese Law</t>
  </si>
  <si>
    <t>Lentera Hukum | Ngày đăng: 25-03-2025</t>
  </si>
  <si>
    <t>BB0457</t>
  </si>
  <si>
    <t>GEOPOLITICAL CONFLICT BETWEEN GREAT POWERS IN THE 21ST CENTURY: ANALYSIS OF THE UKRAINIAN CRISIS</t>
  </si>
  <si>
    <t>Sovremennaya Evropa | Ngày đăng: 28-01-2025</t>
  </si>
  <si>
    <t>BB0491</t>
  </si>
  <si>
    <t>Integrating AI and IoT into STEM teacher training: A case study of secondary education in Vietnam</t>
  </si>
  <si>
    <t>Edelweiss Applied Science and Technology | Vị trí trang: 2439-2458 | Ngày đăng: 21-04-2025</t>
  </si>
  <si>
    <t>BB0504</t>
  </si>
  <si>
    <t>Some existence and nonexistence results for a class of Kirchhoff-double phase systems in bounded domains</t>
  </si>
  <si>
    <t>Computational Methods for Differential Equations | Vị trí trang: 839-849 | Ngày đăng: 20-06-2025</t>
  </si>
  <si>
    <t>University of Tabriz</t>
  </si>
  <si>
    <t>BB0564</t>
  </si>
  <si>
    <t>Sustainable improvement of nutrition quality and biological activity from cassava residue and okara through solid-state fermentation by Pleurotus citrinopileatus mycelium</t>
  </si>
  <si>
    <t>Journal of Applied Biology &amp; Biotechnology | Số 13 | Vị trí trang: 44-54 | Ngày đăng: 01-04-2025</t>
  </si>
  <si>
    <t>BB0581</t>
  </si>
  <si>
    <t>ON THE INVARIANCE OF TRAJECTORIES UNDERPERTURBATIONS IN LINEAR DYNAMIC CONTROL SYSTEMS</t>
  </si>
  <si>
    <t>Journal of Mathematical Sciences | Vị trí trang: 92-105 | Ngày đăng: 17-03-2025</t>
  </si>
  <si>
    <t>BB0587</t>
  </si>
  <si>
    <t>"The Evolution of Online Physics Education: Insights from a Bibliometric Study"</t>
  </si>
  <si>
    <t>International Journal of Learning, Teaching and Educational Research | Vị trí trang: 221-249 | Ngày đăng: 25-04-2025</t>
  </si>
  <si>
    <t>Society for Research and Knowledge Management</t>
  </si>
  <si>
    <t>BB0596</t>
  </si>
  <si>
    <t>The Evolution and Impact of Popular Culturein Contemporary Vietnam</t>
  </si>
  <si>
    <t>Russian Journal of Vietnamese Studies | Vị trí trang: 129-140 | Ngày đăng: 12-06-2025</t>
  </si>
  <si>
    <t>BB0642</t>
  </si>
  <si>
    <t>Nguyen dynasty's implementation of international responsibility in the South China Sea (1802 - 1884)</t>
  </si>
  <si>
    <t>Edelweiss Applied Science and Technology | Ngày đăng: 27-05-2025</t>
  </si>
  <si>
    <t>BB0671</t>
  </si>
  <si>
    <t>Psychological Consultation and Counseling Services in Social Work in Primary Schools from the Perspective of Vietnamese Teachers</t>
  </si>
  <si>
    <t>Universal Journal of Public Health | Ngày đăng: 26-06-2025</t>
  </si>
  <si>
    <t>BB0679</t>
  </si>
  <si>
    <t>Abelmoschussagittifolius phytochemicals as potential CDK2 inhibitors for cancer therapy: Insights from ADMET,DFT,and ONIOMstudies</t>
  </si>
  <si>
    <t>Vietnam journal of chemistry | Ngày đăng: 06-05-2025</t>
  </si>
  <si>
    <t>BB0809</t>
  </si>
  <si>
    <t>Context–based learning – a case study in the Central Highlands, Vietnam</t>
  </si>
  <si>
    <t>International Journal of Evaluation and Research in Education | Số 14 | Vị trí trang: 1972–1984 | Ngày đăng: 30-06-2025</t>
  </si>
  <si>
    <t>BB0386</t>
  </si>
  <si>
    <t>CRYSTAL STRUCTURE AND VIBRATIONAL PROPERTIES OF Ca3Co2−xFexO6 (x = 0.4-1.0)</t>
  </si>
  <si>
    <t>Advanced Physical Research | Số 7 | Vị trí trang: 48-56 | Ngày đăng: 20-01-2025</t>
  </si>
  <si>
    <t>BB0449</t>
  </si>
  <si>
    <t>FROM ARROYO TO DUTERTE: TWO DECADES OF PHILIPPINES’ FOREIGN POLICY NAVIGATION BETWEEN THE US AND CHINA</t>
  </si>
  <si>
    <t>Przegląd Strategiczny | Ngày đăng: 01-04-2025</t>
  </si>
  <si>
    <t>BB0490</t>
  </si>
  <si>
    <t>NAVIGATING CHINA’S GLOBAL FOREIGN SECURITY STRATEGY: ASSESSING THE ACHIEVEMENTS AND CHALLENGES OF THE BELT AND ROAD INITIATIVE AFTER A DECADE OF IMPLEMENTATION</t>
  </si>
  <si>
    <t>Janus.net | Ngày đăng: 23-05-2025</t>
  </si>
  <si>
    <t>BB0506</t>
  </si>
  <si>
    <t>Multiple Solutions for a Class of (p(x),q(x))-Biharmonic Operator with Hardy Potential and Nonlocal Source Term</t>
  </si>
  <si>
    <t>Memoirs on Differential Equations and Mathematical Physics | Số 95 | Ngày đăng: 15-06-2025</t>
  </si>
  <si>
    <t>Andrea Razmadze Mathematical Institute</t>
  </si>
  <si>
    <t>BB0541</t>
  </si>
  <si>
    <t>Factors Affecting the Formation of Career Orientation Capacity for Secondary School Students Through Organizing Experiential Activities</t>
  </si>
  <si>
    <t>Journal Curriculum and teaching | Vị trí trang: 134 - 148 | Ngày đăng: 07-02-2025</t>
  </si>
  <si>
    <t>Sciedu Press</t>
  </si>
  <si>
    <t>BB0586</t>
  </si>
  <si>
    <t>The perception of lecturers about the application of e-learning in the process of organizing teaching activities at universities</t>
  </si>
  <si>
    <t>Multidisciplinary Science Journal | Vị trí trang: 1-9 | Ngày đăng: 30-04-2025</t>
  </si>
  <si>
    <t>Malque Publishing</t>
  </si>
  <si>
    <t>BB0621</t>
  </si>
  <si>
    <t>A novel framework for real-time analysis of outlier IoT data</t>
  </si>
  <si>
    <t>International Conference on Smart Objects and Technologies for Social Good | Vị trí trang: https://goodtechs.eai-conferences.org/2024/accepted-papers/ | Ngày đăng: 09-07-2025</t>
  </si>
  <si>
    <t>Đã hiệu chỉnh</t>
  </si>
  <si>
    <t>Kính đề nghị tác giả cập nhật lại minh chứng bài báo theo quy định: 1. link tạp chí thuộc sccopus, ESCI. 2. link xếp hạng tạp chí 3. Toàn văn bài báo trên web chính thức. Liên hệ: cô Hoàng My (nếu cần trao đổi). Trân trọng./.</t>
  </si>
  <si>
    <t>BB0622</t>
  </si>
  <si>
    <t>Optimization Wireless Underground Sensor Network for Precision Agriculture: A Review of Techniques</t>
  </si>
  <si>
    <t>Lecture Notes in Electrical Engineering | Số 1029 | Vị trí trang: 0 | Ngày đăng: 09-07-2025</t>
  </si>
  <si>
    <t>Springer</t>
  </si>
  <si>
    <t>Kính đề nghị tác giả cập nhật lại minh chứng bài báo theo quy định: 1. link tạo chí thuộc Scopus, ESCI 2. link xếp hạng tạp chí 3. file toàn văn bài báo trên hệ thống web Trân trọng./.</t>
  </si>
  <si>
    <t>BB0623</t>
  </si>
  <si>
    <t>Based Approach to Improve the All-Pair Shortest Path Computation</t>
  </si>
  <si>
    <t>Journal of Computer Science | Vị trí trang: 1606-1612 | Ngày đăng: 30-06-2025</t>
  </si>
  <si>
    <t>Science Publications</t>
  </si>
  <si>
    <t>BB0707</t>
  </si>
  <si>
    <t>Impact of final consumption on CO2 emissions in Vietnam</t>
  </si>
  <si>
    <t>Int. J. Environment and Waste Management | Vị trí trang: 72-87 | Ngày đăng: 28-05-2025</t>
  </si>
  <si>
    <t>Inderscience Enterprises Ltd.</t>
  </si>
  <si>
    <t>BB0733</t>
  </si>
  <si>
    <t>Happiness at work among high school teachers: A cross-sectional study</t>
  </si>
  <si>
    <t>Multidisciplinary Reviews | Số 8 | Ngày đăng: 08-01-2025</t>
  </si>
  <si>
    <t>BB0825</t>
  </si>
  <si>
    <t>Quantum-Enhanced DNA Cryptography: A Revolutionary Intersection of Quantum Computing and Biological Security</t>
  </si>
  <si>
    <t>In International conference on WorldS4 | Số 4 | Vị trí trang: 441-456 | Ngày đăng: 02-07-2025</t>
  </si>
  <si>
    <t>Singapore: Springer Nature Singapore.</t>
  </si>
  <si>
    <t>Chờ duyệt</t>
  </si>
  <si>
    <t>BB0839</t>
  </si>
  <si>
    <t>Preserving and Promoting the Value of Hue Folk Glass Paintings</t>
  </si>
  <si>
    <t>Pakistan Journal of Life and Social Sciences | Số 23 | Vị trí trang: 1953-1961 | Ngày đăng: 15-01-2025</t>
  </si>
  <si>
    <t>BB0875</t>
  </si>
  <si>
    <t>Effects of Salinity, Temperature, and Diet on the Biological Characteristics of Brachionus plicatilis Müller, 1786</t>
  </si>
  <si>
    <t>Biology | Số 14 | Vị trí trang: 1-18 | Ngày đăng: 18-07-2025</t>
  </si>
  <si>
    <t>Multidisciplinary Digital Publishing Institute (MDPI)</t>
  </si>
  <si>
    <t>BB0876</t>
  </si>
  <si>
    <t>Behavioral Disruption in Brachionus plicatilis Exposed to Bisphenol A: A Locomotion-Based Assessment</t>
  </si>
  <si>
    <t>Toxics | Số 13 | Vị trí trang: 1-14 | Ngày đăng: 28-08-2025</t>
  </si>
  <si>
    <t>BB0881</t>
  </si>
  <si>
    <t>Schizopera vietnamica sp. nov. (Copepoda, Harpacticoida, Miraciidae), a new species from a mangrove zone in Vietnam, with description of a new species, and a key to the species from the Oriental region, Sulawesi, and East Asia</t>
  </si>
  <si>
    <t>PeerJ | Ngày đăng: 31-10-2025</t>
  </si>
  <si>
    <t>PeerJ</t>
  </si>
  <si>
    <t>BB0882</t>
  </si>
  <si>
    <t>Dual-Stream Transformer Approach for Pain Assessment Using Visual-Physiological Data Modeling</t>
  </si>
  <si>
    <t>Peerj Computer Science | Ngày đăng: 03-09-2025</t>
  </si>
  <si>
    <t>BB0885</t>
  </si>
  <si>
    <t>Stability of limit expansive systems</t>
  </si>
  <si>
    <t>Journal of Mathematical Analysis and Applications | Ngày đăng: 15-07-2025</t>
  </si>
  <si>
    <t>BB0896</t>
  </si>
  <si>
    <t>Higher-order optimality of Benson proper efficient and weakly efficient solutions for robust vector optimization problems involving set and cone constraints</t>
  </si>
  <si>
    <t>Positivity | Ngày đăng: 24-10-2025</t>
  </si>
  <si>
    <t>BB0897</t>
  </si>
  <si>
    <t>A new approach for the $\epsilon-$ quasi solution of nonsmooth semi-infinite optimization problems under data uncertainty</t>
  </si>
  <si>
    <t>Positivity | Ngày đăng: 02-11-2025</t>
  </si>
  <si>
    <t>BB0920</t>
  </si>
  <si>
    <t>Structural Characterizations and In Vitro Bioactivities of a D‑Fructose-Rich Polysaccharide from Gymnopetalum cochinchinense as a Potential Candidate for Alleviating Alzheimer’s Disease</t>
  </si>
  <si>
    <t>ACS OMEGA | Ngày đăng: 25-08-2025</t>
  </si>
  <si>
    <t>BB0931</t>
  </si>
  <si>
    <t>Nature of magnetic phase transitions and spin-driven ferroelectricity in BaHoFeO4</t>
  </si>
  <si>
    <t>PHYSICAL REVIEW B | Ngày đăng: 15-08-2025</t>
  </si>
  <si>
    <t>BB0936</t>
  </si>
  <si>
    <t>Teachers' Motivation in Implementing Education for Sustainable Development in Vietnam</t>
  </si>
  <si>
    <t>European Journal of Education | Số 60 | Ngày đăng: 06-11-2025</t>
  </si>
  <si>
    <t>Willey</t>
  </si>
  <si>
    <t>BB0941</t>
  </si>
  <si>
    <t>A new species of Nitocra Boeck, 1865 (Copepoda, Harpacticoida) from Vietnam</t>
  </si>
  <si>
    <t>ZooKeys | Số 1258 | Vị trí trang: 277-304 | Ngày đăng: 06-11-2025</t>
  </si>
  <si>
    <t>Pensoft Publishers</t>
  </si>
  <si>
    <t>BB0942</t>
  </si>
  <si>
    <t>Impact of land-use conversion from a long-term paddy to abandoned field on the distribution of C, N, and trace elements: a study in central Viet Nam</t>
  </si>
  <si>
    <t>Environmental Geochemistry and Health | Số 47 | Vị trí trang: 559 | Ngày đăng: 10-11-2025</t>
  </si>
  <si>
    <t>Springer Nature Link</t>
  </si>
  <si>
    <t>BB0944</t>
  </si>
  <si>
    <t>Al Incorporation Activates Epitaxial Ni2P/Ni(OH)2 Heterostructures for Improved Electrocatalytic Water Splitting</t>
  </si>
  <si>
    <t>ChemSusChem | Ngày đăng: 24-10-2025</t>
  </si>
  <si>
    <t>BB0945</t>
  </si>
  <si>
    <t>Rationally Constructed Triple Interfaces in Rh/Cu₃P/MnP Heterostructured Electrocatalysts for Enhanced Overall Water Splitting</t>
  </si>
  <si>
    <t>Journal of Materials Chemistry C | Ngày đăng: 23-10-2025</t>
  </si>
  <si>
    <t>BB0952</t>
  </si>
  <si>
    <t>Structure-property relationships of CoFe2O4 and MnFe2O4 nanoferrites: Deep insights into optical and magnetic properties</t>
  </si>
  <si>
    <t>Ceramics International | Số 51 | Vị trí trang: 50091-50102 | Ngày đăng: 17-08-2025</t>
  </si>
  <si>
    <t>BB0953</t>
  </si>
  <si>
    <t>Structural, luminescent properties and Sm3+ → Sm2+ reduction in H2 gas atmosphere of Tb3+/Sm3+ co-activated lithium sodium borate glasses</t>
  </si>
  <si>
    <t>Optical Materials | Ngày đăng: 03-09-2025</t>
  </si>
  <si>
    <t>BB0954</t>
  </si>
  <si>
    <t>Microwave-assisted co-precipitation synthesis of MFe2O4 nanoferrites (M = Co and Mn) using biogenic coir extract and their physical characterization</t>
  </si>
  <si>
    <t>RSC Advances | Số 15 | Vị trí trang: 29571-29592 | Ngày đăng: 21-08-2025</t>
  </si>
  <si>
    <t>BB0960</t>
  </si>
  <si>
    <t>From Local to Regional: Deep Learning Models for Daily Water Discharge Forecasting in a Data-Scarce Basin and Engineered River</t>
  </si>
  <si>
    <t>Water Resources Management | Vị trí trang: 1-42 | Ngày đăng: 01-07-2025</t>
  </si>
  <si>
    <t>BB0961</t>
  </si>
  <si>
    <t>Boosting vs. traditional machine learning models for flood susceptibility mapping: insights from a case study in central Vietnam</t>
  </si>
  <si>
    <t>Advances in Space Research | Ngày đăng: 01-11-2025</t>
  </si>
  <si>
    <t>BB0962</t>
  </si>
  <si>
    <t>Five Decades of Shoreline Dynamics and their Response to Dramatically Reduced Sediment Supply on the Southern Red River Delta Coast, Vietnam</t>
  </si>
  <si>
    <t>Estuaries and Coasts | Ngày đăng: 10-11-2025</t>
  </si>
  <si>
    <t>BB0963</t>
  </si>
  <si>
    <t>Strong local structural distortion and magnetic order suppression in spin-driven multiferroic BaYFeO4 upon Co doping</t>
  </si>
  <si>
    <t>Journal of the American Ceramic Society | Số 109 | Vị trí trang: e70385 | Ngày đăng: 22-11-2025</t>
  </si>
  <si>
    <t>BB0967</t>
  </si>
  <si>
    <t>A novel approach in comparing the performance of bivariate statistical methods, Boosting, and Stacking models in flood susceptibility assessment</t>
  </si>
  <si>
    <t>Journal of Environmental Management | Số 387 | Ngày đăng: 01-07-2025</t>
  </si>
  <si>
    <t>BB0988</t>
  </si>
  <si>
    <t>A GH42 β-Galactosidase from the Human Isolate Bifidobacterium breve 2 DSM 20213: Biochemical and Transgalactosylation Properties 3 Reveal the Potential for Galacto-oligosaccharide Synthesis</t>
  </si>
  <si>
    <t>ACS Omega | Ngày đăng: 18-11-2025</t>
  </si>
  <si>
    <t>BB0998</t>
  </si>
  <si>
    <t>Assessment and comparison of heavy metal risks in surface water sources in northern Vietnam during dry and rainy seasons</t>
  </si>
  <si>
    <t>Process Safety and Environmental Protection | Vị trí trang: 108044 | Ngày đăng: 21-10-2025</t>
  </si>
  <si>
    <t>elservier</t>
  </si>
  <si>
    <t>BB1001</t>
  </si>
  <si>
    <t>Nickel foam-based electrode materials for multifunctional electrochemical applications: From substrate to active platform</t>
  </si>
  <si>
    <t>Journal of Environmental Chemical Engineering | Vị trí trang: 118695 | Ngày đăng: 15-08-2025</t>
  </si>
  <si>
    <t>BB1003</t>
  </si>
  <si>
    <t>Synergistic catalytic activation of persulfate by CuMnO2–CoPc heterostructures on Ti foam: kinetics and mechanism of antibiotic oxidation</t>
  </si>
  <si>
    <t>RSC Advances | Vị trí trang: 33916 | Ngày đăng: 17-09-2025</t>
  </si>
  <si>
    <t>Royal Society of Chemistry</t>
  </si>
  <si>
    <t>BB1106</t>
  </si>
  <si>
    <t>Cu2O/1T− MoS2 Mott–Schottky heterojunction hybridized porous electrospun carbon fibers as multifunctional separator coating for Li-S batteries</t>
  </si>
  <si>
    <t>Journal of Colloid and Interface Science | Vị trí trang: 139128 | Ngày đăng: 27-09-2025</t>
  </si>
  <si>
    <t>BB1114</t>
  </si>
  <si>
    <t>Structural stability and L-shadowing for flows</t>
  </si>
  <si>
    <t>Bulletin des Sciences Mathématiques | Ngày đăng: 11-07-2025</t>
  </si>
  <si>
    <t>BB0883</t>
  </si>
  <si>
    <t>Cross-attention multi branch for Vietnamese sign language recognition: CrossViViT</t>
  </si>
  <si>
    <t>Discover Computing | Ngày đăng: 07-07-2025</t>
  </si>
  <si>
    <t>BB0895</t>
  </si>
  <si>
    <t>Two chloroplast superoxide dismutase genes (MnSOD and CuZnSOD) in the freshwater dinoflagellate Palatinus apiculatus and their high-level gene expression in response to algicidal agents</t>
  </si>
  <si>
    <t>Journal of Applied Phycology | Ngày đăng: 14-08-2025</t>
  </si>
  <si>
    <t>BB0898</t>
  </si>
  <si>
    <t>Stable vector equilibrium problem with mixed constraints and characterizations for efficiency</t>
  </si>
  <si>
    <t>Optimization | Ngày đăng: 15-07-2025</t>
  </si>
  <si>
    <t>BB0914</t>
  </si>
  <si>
    <t>Visible Light-Driven Photocatalytic Performance of (Ni, Co) Fe2O4-Carbon Quantum Dots Nanocomposites: Synthesis and Optimization via Box–Behnken Design</t>
  </si>
  <si>
    <t>Solid State Sciences | Ngày đăng: 29-07-2025</t>
  </si>
  <si>
    <t>BB0917</t>
  </si>
  <si>
    <t>Optimization of As, Cu and Pb biosorption onto living algae Chlorella vulgaris using response surface methodology (RSM)</t>
  </si>
  <si>
    <t>Bioremediation Journal | Ngày đăng: 16-09-2025</t>
  </si>
  <si>
    <t>BB0921</t>
  </si>
  <si>
    <t>Inclusion complex of lemongrass essential oil with γ‑cyclodextrin: preparation, characterization, and its impact on mango fruit preservation</t>
  </si>
  <si>
    <t>Food Science and Biotechnology | Ngày đăng: 24-08-2025</t>
  </si>
  <si>
    <t>BB0940</t>
  </si>
  <si>
    <t>Elaphoidella quangnamensis sp. nov. (Copepoda, Harpacticoida, Canthocamptidae), a new hyporheic species from central Vietnam</t>
  </si>
  <si>
    <t>Subterranean Biology | Số 53 | Vị trí trang: 13-49 | Ngày đăng: 11-08-2025</t>
  </si>
  <si>
    <t>Pensoft</t>
  </si>
  <si>
    <t>BB0956</t>
  </si>
  <si>
    <t>Structural Phase Separation, Magnetic and Magnetocaloric Properties of La0.7-xLuxCa0.3MnO3 Ceramics</t>
  </si>
  <si>
    <t>Journal of Electronic Materials | Số 54 | Vị trí trang: 7448–7457 | Ngày đăng: 05-05-2025</t>
  </si>
  <si>
    <t>BB0989</t>
  </si>
  <si>
    <t>Enhanced Amylase Production using Bread Waste by Thermophilic Strains of Geobacillus spp. Isolated from an Algerian Hot Spring</t>
  </si>
  <si>
    <t>Geomicrobiology Journal | Ngày đăng: 04-08-2025</t>
  </si>
  <si>
    <t>BB0994</t>
  </si>
  <si>
    <t>Multiplicity results for a fourth-order elliptic equation of p(x)-kirchhoff type with weights</t>
  </si>
  <si>
    <t>Mathematica Slovaca | Vị trí trang: 853–868 | Ngày đăng: 09-08-2025</t>
  </si>
  <si>
    <t>De Gruyter Brill</t>
  </si>
  <si>
    <t>BB0997</t>
  </si>
  <si>
    <t>MIL-101 (Cr): synthesis and simultaneous electrochemical determination of uric acid and theophylline using MIL-101 (Cr) modified electrode</t>
  </si>
  <si>
    <t>Materials Research Express | Ngày đăng: 20-08-2025</t>
  </si>
  <si>
    <t>BB1050</t>
  </si>
  <si>
    <t>On Rings all of whose right ideals are automorphism-invariant</t>
  </si>
  <si>
    <t>Communications in Algebra | Số 6 | Vị trí trang: 2555-2564 | Ngày đăng: 03-06-2025</t>
  </si>
  <si>
    <t>BB1051</t>
  </si>
  <si>
    <t>A note on general semi-projective modules</t>
  </si>
  <si>
    <t>Communications in Algebra | Số 12 | Vị trí trang: 5328-5337 | Ngày đăng: 11-06-2025</t>
  </si>
  <si>
    <t>BB1078</t>
  </si>
  <si>
    <t>A look at FPF rings</t>
  </si>
  <si>
    <t>Journal of Algebra and Its Applications | Số 6 | Vị trí trang: 2550160 (15 pages) | Ngày đăng: 01-05-2025</t>
  </si>
  <si>
    <t>World Scientific</t>
  </si>
  <si>
    <t>BB0950</t>
  </si>
  <si>
    <t>Diffusivity of nickel in Fe under 2.8 MeV Fe2+ irradiation at 400 ℃ studied by atom probe tomography</t>
  </si>
  <si>
    <t>Nuclear Instruments and Methods in Physics Research Section B: Beam Interactions with Materials and Atoms | Ngày đăng: 21-10-2025</t>
  </si>
  <si>
    <t>BB1000</t>
  </si>
  <si>
    <t>Synthesis of Hydroxyapatite Nanoparticles/Humic Extracts From Peat and Cow Bones as an Efficient Nano Phosphorus Fertilizer for the Enhanced Growth of Cantaloupe Plant (Cucumis …</t>
  </si>
  <si>
    <t>ChemistrySelect | Ngày đăng: 06-08-2025</t>
  </si>
  <si>
    <t>BB0868</t>
  </si>
  <si>
    <t>Non-public Preschool Education Development Policy: A Descriptive Research in Vietnam</t>
  </si>
  <si>
    <t>Kamla-Raj IJES 2025 | Số 50 | Vị trí trang: 33-45 | Ngày đăng: 01-08-2025</t>
  </si>
  <si>
    <t>Kamla-Raj IJES 2025</t>
  </si>
  <si>
    <t>BB0867</t>
  </si>
  <si>
    <t>Growth and optical characteristics of Ca1-xEuxF2 single crystals for scintillator applications and radiation dosimetry</t>
  </si>
  <si>
    <t>Ceramics International | Số 10 | Vị trí trang: 1-10 | Ngày đăng: 12-10-2025</t>
  </si>
  <si>
    <t>BB0915</t>
  </si>
  <si>
    <t>Inﬂuential factors shaping Vietnamese students’ intentions to reduce the use of single-use plastics</t>
  </si>
  <si>
    <t>Sustainable Futures | Số 10 | Vị trí trang: 101178 | Ngày đăng: 22-08-2025</t>
  </si>
  <si>
    <t>BB0986</t>
  </si>
  <si>
    <t>Stem cell hyρe, hορe and hardshiρ: a cοmρutatiοnal frame analysis οf news media cοntent</t>
  </si>
  <si>
    <t>Journal of science communication | Ngày đăng: 04-08-2025</t>
  </si>
  <si>
    <t>BB0991</t>
  </si>
  <si>
    <t>Understanding Eco-tourism Satisfaction: A Structural Equation Modeling Examination of Critical Determinants</t>
  </si>
  <si>
    <t>Sage Open | Vị trí trang: 1-19 | Ngày đăng: 01-09-2025</t>
  </si>
  <si>
    <t>BB0996</t>
  </si>
  <si>
    <t>Simultaneous Electrochemical Determination of Uric Acid, Xanthine, and Hypoxanthine Using AgNPs/MIL-101 (Cr) Modified Electrode</t>
  </si>
  <si>
    <t>ECS Sensors Plus | Ngày đăng: 24-07-2025</t>
  </si>
  <si>
    <t>BB1041</t>
  </si>
  <si>
    <t>India with Solution of some International and Regional Problems in the 1950s–1960s (Part 2)</t>
  </si>
  <si>
    <t>Vestnik of Saint Petersburg University. Asian and African Studies | Vị trí trang: 172-182 | Ngày đăng: 01-03-2025</t>
  </si>
  <si>
    <t>Vestnik of Saint Petersburg University. Asian and African Studies</t>
  </si>
  <si>
    <t>BB1042</t>
  </si>
  <si>
    <t>Fauna and Flora in Vietnam During the 17th and 18th Centuries Through Historical Materials of Westerners</t>
  </si>
  <si>
    <t>Vestnik Volgogradskogo gosudarstvennogo universiteta. Seriya 4. Istoriya. Regionovedenie. Mezhdunarodnye otnosheniya | Vị trí trang: 31-42 | Ngày đăng: 30-06-2025</t>
  </si>
  <si>
    <t>BB1043</t>
  </si>
  <si>
    <t>The Presence of Dominican Missionaries in Vietnam from the 16th to the 18th Centuries</t>
  </si>
  <si>
    <t>BOGOSLOVNI VESTNIK | Số 85 | Vị trí trang: _x0003_303-318 | Ngày đăng: 24-11-2025</t>
  </si>
  <si>
    <t>BB1091</t>
  </si>
  <si>
    <t>ENVIRONMENTAL PROTECTION MODEL IN TOURIST AREAS AND TOURISM DESTINATIONS IN VIETNAM</t>
  </si>
  <si>
    <t>SCIENTIFIC CULTURE | Ngày đăng: 27-11-2025</t>
  </si>
  <si>
    <t>Publisher University of the Aegean</t>
  </si>
  <si>
    <t>Kính nhờ anh Tưởng cung cấp minh chứng toàn văn bài báo file pdf và Link minh chứng danh mục Tạp chí uy tín quốc tế (SCIE/SSCI/A&amp;HCI/Scopus). Trân trọng!</t>
  </si>
  <si>
    <t>BB0937</t>
  </si>
  <si>
    <t>CITY STRATEGIES FOR DISASTER COMMUNICATIONS IN ASIA: REACHING OUT TO INTERNATIONAL TOURIST</t>
  </si>
  <si>
    <t>Tourism Culture &amp; Communication | Số 25 | Ngày đăng: 15-09-2025</t>
  </si>
  <si>
    <t>Cognizant, LLC</t>
  </si>
  <si>
    <t>BB0949</t>
  </si>
  <si>
    <t>A note on weighted pluricomplex energy class $\mathcal E_\chi(\Omega)$</t>
  </si>
  <si>
    <t>Applied Set-Valued Analysis and Optimization | Vị trí trang: 179-189 | Ngày đăng: 01-08-2025</t>
  </si>
  <si>
    <t>BB0969</t>
  </si>
  <si>
    <t>Impact of natural disasters on farming livelihood activities in Nam Dong district, Thua Thien Hue province, Vietnam Impact of natural disasters on farming livelihood activities in Nam Dong district, Thua Thien Hue province, Vietnam Impact of natura</t>
  </si>
  <si>
    <t>GEOJOURNAL | Số 90 | Ngày đăng: 05-11-2025</t>
  </si>
  <si>
    <t>BB0999</t>
  </si>
  <si>
    <t>Chitooligosaccharide‐Coated Silica Nanofibers: Synthesis and Its Effect on Germination and Seedling Growth of Peanut (Arachis hypogaea L.) and Date Palm Seeds (Phoenix dactylifera)</t>
  </si>
  <si>
    <t>Journal of Nanotechnology | Ngày đăng: 04-10-2025</t>
  </si>
  <si>
    <t>BB1002</t>
  </si>
  <si>
    <t>Electrochemical determination of paracetamol and chlorpheniramine using AuNPs-rGO modified glassy carbon electrode: Original scientific paper</t>
  </si>
  <si>
    <t>Journal of Electrochemical Science and Engineering | Ngày đăng: 25-08-2025</t>
  </si>
  <si>
    <t>BB1044</t>
  </si>
  <si>
    <t>Social Activities of the Catholic Church in the Central Region of Vietnam: a Case Study of Qui-hoa Leprosarium (1929–1975)</t>
  </si>
  <si>
    <t>Religiovedenie | Số 3 | Vị trí trang: 5-18 | Ngày đăng: 01-09-2025</t>
  </si>
  <si>
    <t>BB1045</t>
  </si>
  <si>
    <t>French Colonial Exploitation in Annam: A Case Study of Nong-Son Coal Mine (1889–1927)</t>
  </si>
  <si>
    <t>Східний світ | Vị trí trang: 30-41 | Ngày đăng: 01-10-2025</t>
  </si>
  <si>
    <t>BB0985</t>
  </si>
  <si>
    <t>Multimedia-Based Assessment of Scientific Inquiry Skills: Evaluating High School Students’ Scientific Inquiry Abilities Using Cloud Classroom Software</t>
  </si>
  <si>
    <t>Engineering Proceedings | Số 103 | Ngày đăng: 13-08-2025</t>
  </si>
  <si>
    <t>BB1071</t>
  </si>
  <si>
    <t>Improved Computing Performance for Floyd-Warshall Algorithm in the MapReduce architectures</t>
  </si>
  <si>
    <t>International Journal of Computing 24(3) | Số 24 | Vị trí trang: 578 | Ngày đăng: 30-09-2025</t>
  </si>
  <si>
    <t>BB1077</t>
  </si>
  <si>
    <t>Dual-ADS, ADS# and ADS* Modules</t>
  </si>
  <si>
    <t>Acta Mathematica Vietnamica | Số 50 | Vị trí trang: 101–121 | Ngày đăng: 17-02-2025</t>
  </si>
  <si>
    <t>Springer Nature</t>
  </si>
  <si>
    <t>BB1088</t>
  </si>
  <si>
    <t>Growth, physiological and biochemical responses of Tribulus terrestris herb to water deficit stress</t>
  </si>
  <si>
    <t>Notulae Scientia Biologicae | Ngày đăng: 24-11-2025</t>
  </si>
  <si>
    <t>BB1132</t>
  </si>
  <si>
    <t>SOCIAL INTEGRATION IN THE REAL AND DIGITAL WORLDS OF VIETNAMESE ADOLESCENTS: ADAPTATION AND PSYCHOMETRIC VALIDATION OF THE REAL AND ELECTRONIC COMMUNICATION SKILLS (RECS) QUESTIONNAIRE</t>
  </si>
  <si>
    <t>TPM-TESTING PSYCHOMETRICS METHODOLOGY IN APPLIED PSYCHOLOGY | Số 32 | Vị trí trang: 870-880 | Ngày đăng: 15-06-2025</t>
  </si>
  <si>
    <t>TPM – Testing, Psychometrics, Methodology in Applied Psychology</t>
  </si>
  <si>
    <t>BB1133</t>
  </si>
  <si>
    <t>AN ECOLOGICAL-TRANSACTIONAL ANALYSIS OF SCHOOL BULLYING IN VIETNAM: RELATIONAL AGGRESSION, COUNTER-STEREOTYPICAL PERPE- TRATORS, AND THE INTERVENTION PERCEPTION GAP</t>
  </si>
  <si>
    <t>TPM-TESTING PSYCHOMETRICS METHODOLOGY IN APPLIED PSYCHOLOGY | Số 32 | Vị trí trang: 710-722 | Ngày đăng: 15-06-2025</t>
  </si>
  <si>
    <t>TPM-TESTING PSYCHOMETRICS METHODOLOGY IN APPLIED PSYCHOLOGY</t>
  </si>
  <si>
    <t>BB1138</t>
  </si>
  <si>
    <t>Factors affecting career orientation: indigenous ethnic minority students in Vietnam’s Central Highlands</t>
  </si>
  <si>
    <t>International Journal of Evaluation and Research in Education (IJERE) | Vị trí trang: 4711-4723 | Ngày đăng: 01-12-2025</t>
  </si>
  <si>
    <t>Institute of Advanced Engineering and Science (IAES).</t>
  </si>
  <si>
    <t>BB0932</t>
  </si>
  <si>
    <t>Expressions of Small Quantity in Vietnamese and Their Functional Equivalents: A Comparative Study with Mandarin 一点儿 And 一些</t>
  </si>
  <si>
    <t>International Journal of Environmental Sciences | Vị trí trang: 477 | Ngày đăng: 02-09-2025</t>
  </si>
  <si>
    <t>BB0933</t>
  </si>
  <si>
    <t>PEOPLE'S WAR AND URBAN RESISTANCE IN SOUTHERN VIETNAM (1954 - 1975)</t>
  </si>
  <si>
    <t>Veredas do Direito | Ngày đăng: 12-11-2025</t>
  </si>
  <si>
    <t>BB1034</t>
  </si>
  <si>
    <t>India’s look east policy: Vietnam’s pivotal role amidst China’s rising regional influence</t>
  </si>
  <si>
    <t>Estudos Internacionais | Ngày đăng: 04-11-2025</t>
  </si>
  <si>
    <t>BB1061</t>
  </si>
  <si>
    <t>Intelligent Sustainable Systems | Số 1180 | Vị trí trang: 441 | Ngày đăng: 02-07-2025</t>
  </si>
  <si>
    <t>Springer, Singapore</t>
  </si>
  <si>
    <t>BB1079</t>
  </si>
  <si>
    <t>Evaluating The Effectiveness Of Tourism Promotion Strategies And Policy Frameworks For Destination Competitiveness: A Case Study Of Da Nang City, Vietnam</t>
  </si>
  <si>
    <t>International Journal of Environmental Sciences | Ngày đăng: 08-09-2025</t>
  </si>
  <si>
    <t>BB1099</t>
  </si>
  <si>
    <t>Energy Efficiency Clustering and Routing Algorithm for Wireless Underground Sensor Networks in Multiple Observed Areas Using Fuzzy C-Means</t>
  </si>
  <si>
    <t>Lecture Notes in Networks and Systems | Ngày đăng: 15-11-2025</t>
  </si>
  <si>
    <t>minh chứng chưa mô tả được bài báo được đăng trong Lecture Notes in Networks and Systems Ngày đăng: 15-11-2025. Trân trọng./.</t>
  </si>
  <si>
    <t>BB1100</t>
  </si>
  <si>
    <t>Detecting outliers from Wireless Sensor Networks using Reinforcement Learning</t>
  </si>
  <si>
    <t>Lecture Notes in Networks and Systems | Ngày đăng: 28-11-2025</t>
  </si>
  <si>
    <t>minh chứng chưa mô tả được bài báo được đăng trong Lecture Notes in Networks and Systems Ngày đăng: 28-11-2025</t>
  </si>
  <si>
    <t>BB1193</t>
  </si>
  <si>
    <t>Physicochemical properties of cesium chromate and ferrate: Experimental and first-principles insights for severe accident source-term modeling</t>
  </si>
  <si>
    <t>NUKLEONIKA</t>
  </si>
  <si>
    <t>Sciendo</t>
  </si>
  <si>
    <t>Số 71</t>
  </si>
  <si>
    <t>Vị trí trang: 17-26</t>
  </si>
  <si>
    <t>Ngày đăng: 07-01-2026</t>
  </si>
  <si>
    <t>BB1163</t>
  </si>
  <si>
    <t>Chemically crosslinked cellulose nanofibers with fluorinated carbon nanotubes for enhanced mechanical flexibility and flame retardancy of thermal conductive nanocomposite films</t>
  </si>
  <si>
    <t>Surfaces and Interfaces</t>
  </si>
  <si>
    <t>Elservier</t>
  </si>
  <si>
    <t>Số 87</t>
  </si>
  <si>
    <t>Vị trí trang: 108808</t>
  </si>
  <si>
    <t>Ngày đăng: 21-02-2026</t>
  </si>
  <si>
    <t>BB1151</t>
  </si>
  <si>
    <t>Cr removal by Chlorella vulgaris as bioremediation: A case study on industrial wastewater</t>
  </si>
  <si>
    <t>Bioremediation Journal</t>
  </si>
  <si>
    <t>taylor and francis publishing</t>
  </si>
  <si>
    <t>Vị trí trang: 1-11</t>
  </si>
  <si>
    <t>Ngày đăng: 09-01-2026</t>
  </si>
  <si>
    <t>BB1158</t>
  </si>
  <si>
    <t>Synthesis of Ni/NiO nanocomposites by imidazole-assisted solution combustion method for hydrogen evolution reaction</t>
  </si>
  <si>
    <t>Journal of Applied Electrochemistry</t>
  </si>
  <si>
    <t>Số 2026</t>
  </si>
  <si>
    <t>Vị trí trang: 1-13</t>
  </si>
  <si>
    <t>Ngày đăng: 14-01-2026</t>
  </si>
  <si>
    <t>BB1177</t>
  </si>
  <si>
    <t>Remarks on rings with u − 1 quasi-nilpotent for each unit u</t>
  </si>
  <si>
    <t>Journal of Algebra and Its Applications</t>
  </si>
  <si>
    <t>Số 25</t>
  </si>
  <si>
    <t>Vị trí trang: 2550317 (15 pages)</t>
  </si>
  <si>
    <t>Ngày đăng: 01-02-2026</t>
  </si>
  <si>
    <t>BB1167</t>
  </si>
  <si>
    <t>Multi-omics analysis reveals the inhibition of fatty acids in the freshwater dinoflagellate Palatinus apiculatus under the biocide triclosan exposure</t>
  </si>
  <si>
    <t>Environmental Chemistry and Ecotoxicology</t>
  </si>
  <si>
    <t>Ngày đăng: 05-03-2026</t>
  </si>
  <si>
    <t>BB1171</t>
  </si>
  <si>
    <t>THE PPDAC MODEL AND STUDENTS’ DATA ANALYSIS COMPETENCE: A CASE STUDY IN VIETNAM</t>
  </si>
  <si>
    <t>Scientific Culture</t>
  </si>
  <si>
    <t>Vị trí trang: 2492-2506</t>
  </si>
  <si>
    <t>Ngày đăng: 05-02-2026</t>
  </si>
  <si>
    <t>BB1161</t>
  </si>
  <si>
    <t>A First-Principles Study of Structural Reorganization and Metallization in Fe-Substituted CrPSe3</t>
  </si>
  <si>
    <t>Advanced Physical Research</t>
  </si>
  <si>
    <t>Ngày đăng: 18-02-2026</t>
  </si>
  <si>
    <t>BB1178</t>
  </si>
  <si>
    <t>India–China Rivalry in the Indian Ocean: A Multi-Level Strategic Assessment</t>
  </si>
  <si>
    <t>Journal of Territorial and Maritime Studies</t>
  </si>
  <si>
    <t>Ngày đăng: 05-01-2026</t>
  </si>
  <si>
    <t>Số công văn</t>
  </si>
  <si>
    <t>Quốc gia</t>
  </si>
  <si>
    <t>Trường/Viện</t>
  </si>
  <si>
    <t>Chương trình</t>
  </si>
  <si>
    <t>Số lượng GV</t>
  </si>
  <si>
    <t>Số lượng SV</t>
  </si>
  <si>
    <t>Ngày đến</t>
  </si>
  <si>
    <t>Số ngày</t>
  </si>
  <si>
    <t>Đơn vị</t>
  </si>
  <si>
    <t>Đơn vị tên</t>
  </si>
  <si>
    <t>Trường Đại học Arizona State</t>
  </si>
  <si>
    <t>Tiếp và làm việc với đại diện Trường Đại học Arizona State, Hoa Kỳ</t>
  </si>
  <si>
    <t>Phối hợp Hiệp hội Công tác xã hội quốc tế tổ chức khóa tập huấn</t>
  </si>
  <si>
    <t>13/12025</t>
  </si>
  <si>
    <t>Đại học Soongsil</t>
  </si>
  <si>
    <t>Tiếp và làm việc với đại diện Trường Đại học Soongsil</t>
  </si>
  <si>
    <t>Đại học Udon Thani Rajabhat</t>
  </si>
  <si>
    <t>Gặp mặt trao đổi chương trình hợp tác giữa 2 Trường</t>
  </si>
  <si>
    <t>Đại học Saga</t>
  </si>
  <si>
    <t>Tiếp và làm việc với đại diện Trường</t>
  </si>
  <si>
    <t>Đại học Quốc gia Chonnam</t>
  </si>
  <si>
    <t>Trao đổi học thuật với giảng viên khoa Tin học</t>
  </si>
  <si>
    <t>Đại học Arizoma</t>
  </si>
  <si>
    <t>Trao đổi các cơ hội hợp tác</t>
  </si>
  <si>
    <t>Trung Hoa</t>
  </si>
  <si>
    <t>Tiếp và làm việc với Tổng Lãnh sự quán nước Cộng hòa Nhân dân Trung Hoa tại Đà Nẵng</t>
  </si>
  <si>
    <t>Thụy Điển, Hoa Kỳ</t>
  </si>
  <si>
    <t>Đại học Khoa học Nông nghiệp Thụy Điển</t>
  </si>
  <si>
    <t>Philipplines</t>
  </si>
  <si>
    <t>DMC-College Foundation</t>
  </si>
  <si>
    <t>ký kết Biên bản ghi nhớ với Quỹ Trường Cao đẳng DMC</t>
  </si>
  <si>
    <t>Đại học Charles, Prague</t>
  </si>
  <si>
    <t>Trao đổi về hướng nghiên cứu Vi tảo</t>
  </si>
  <si>
    <t>Đại học Shokei Gakuin</t>
  </si>
  <si>
    <t>giao lưu, trao đổi chuyên môn và văn hoá tại Trường.</t>
  </si>
  <si>
    <t>Trường Đại học Helsinki</t>
  </si>
  <si>
    <t>Trao đổi học thuật</t>
  </si>
  <si>
    <t>Công ty Breadoutward</t>
  </si>
  <si>
    <t>Trao đổi cơ hội hợp tác giữa 2 đơn vị</t>
  </si>
  <si>
    <t>Phòng thương mại và Công nghiệp Kisarazu</t>
  </si>
  <si>
    <t>trao đổi hợp tác và ký kết biên bản ghi nhớ.</t>
  </si>
  <si>
    <t>Trường Đại học Udon Thani Rajabhat (Thái Lan)</t>
  </si>
  <si>
    <t>Phối hợp đồng tổ chức Hội thảo khoa học quốc tế</t>
  </si>
  <si>
    <t>Ấn Độ</t>
  </si>
  <si>
    <t>Trường Đại học Khoa học và Nghệ thuật Hindustan (Ấn Độ)</t>
  </si>
  <si>
    <t>Hội đồng Phúc lợi Xã hội Daegu (Hàn Quốc)</t>
  </si>
  <si>
    <t>Tham dự và báo cáo tại Hội thảo khoa học quốc tế</t>
  </si>
  <si>
    <t>Phó đại diện UNICEF Việt Nam</t>
  </si>
  <si>
    <t>Tham dự Hội thảo khoa học quốc tế</t>
  </si>
  <si>
    <t>Trường Đại học Mahachulalongkornrajavidyalaya</t>
  </si>
  <si>
    <t>trao đổi học thuật và các cơ hội hợp tác nghiên cứu</t>
  </si>
  <si>
    <t>tham gia tổ chức workshop, seminar cho SV; trao đổi chuyên môn với GV; tham gia nghiên cứu thực địa</t>
  </si>
  <si>
    <t>Trường Đại học Roi Et Rajabhat</t>
  </si>
  <si>
    <t>trao đổi học thuật và cơ hội hợp tác</t>
  </si>
  <si>
    <t>Đài Loan,Trung Quốc</t>
  </si>
  <si>
    <t>Trường Đại học Đông Hoa</t>
  </si>
  <si>
    <t>trao đổi học thuật</t>
  </si>
  <si>
    <t>Viện Chiến lược và Lịch sử quốc phòng VN và các học giả Úc</t>
  </si>
  <si>
    <t>trao đổi chuyên môn</t>
  </si>
  <si>
    <t>Romania</t>
  </si>
  <si>
    <t>Trường Đại học Babes-Bolyai, Cluj-Napoca, Romania</t>
  </si>
  <si>
    <t>trao đỏi học thuật trong chương trình Erasmus</t>
  </si>
  <si>
    <t>trao đổi về hợp tác trong dự án nghiên cứu chung</t>
  </si>
  <si>
    <t>Úc, Hàn Quốc</t>
  </si>
  <si>
    <t>trao đổi học thuật với Khoa Lý-Hóa</t>
  </si>
  <si>
    <t>Lào, Ấn Độ, Mỹ, Anh, Nga</t>
  </si>
  <si>
    <t>Các trường khu vực miền Trung</t>
  </si>
  <si>
    <t>tham gia cuộc thi hùng biện tiếng Việt</t>
  </si>
  <si>
    <t>Tổ chức Frankfurt Zoological Society tại Đức</t>
  </si>
  <si>
    <t>thăm và thảo luận cơ hội hợp tác</t>
  </si>
  <si>
    <t>Khoa Giáo dục, Trường ĐH Udon Thani Rajabhat</t>
  </si>
  <si>
    <t>trao đổi chuyên môn và các cơ hội hợp tác</t>
  </si>
  <si>
    <t>Đại diện ĐH Hawaii Pacific</t>
  </si>
  <si>
    <t>giao lưu văn hóa giữa giảng viên và sinh viên 2 đơn vị</t>
  </si>
  <si>
    <t>Trường ĐH Ubon Ratchathani Rajabhat</t>
  </si>
  <si>
    <t>Đoàn công tác Sở GD&amp;TT tỉnh Savannakhet</t>
  </si>
  <si>
    <t>tham quan học tập tại Trường</t>
  </si>
  <si>
    <t>Đại diện của Quỹ Sumitomo</t>
  </si>
  <si>
    <t>tìm hiểu về chương trình hỗ trợ nghiên cứu của Quỹ Sumitomo</t>
  </si>
  <si>
    <t>Chủ tịch Hội Hữu nghị Nga - Việt vùng Irkutsk và Tổng lãnh sự LBNga tại Đà Nẵng</t>
  </si>
  <si>
    <t>đến thăm và làm việc</t>
  </si>
  <si>
    <t>Văn phòng Tiếng Anh Khu vực, Đại Sứ Quán Hoa Kỳ tại Việt Nam</t>
  </si>
  <si>
    <t>trao đổi các cơ hội hợp tác trong lĩnh vực dạy và học tiếng Anh</t>
  </si>
  <si>
    <t>Trường Cao đẳng Sư phạm Pakse</t>
  </si>
  <si>
    <t>trao đổi các cơ hội hợp tác</t>
  </si>
  <si>
    <t>Trung tâm tiếng Việt tỉnh Sekong</t>
  </si>
  <si>
    <t>Đại diện thành phố Kisarazu</t>
  </si>
  <si>
    <t>Trường ĐH Mahachulalongkornrajavidyalaya</t>
  </si>
  <si>
    <t>Hiệp hội đào tạo nhân lực ngành mầm non toàn cầu Nhật Bản</t>
  </si>
  <si>
    <t>chia sẻ kinh nghiệm đào tạo, tìm hiểu nhu cầu hợp tác</t>
  </si>
  <si>
    <t>Ông Zhou Weijie</t>
  </si>
  <si>
    <t>Thăm và giao lưu học thuật</t>
  </si>
  <si>
    <t>Bà Joanna Maria</t>
  </si>
  <si>
    <t>Trung tâm tiếng Việt - Đại học Champasak</t>
  </si>
  <si>
    <t>học tập và trao đổi kinh nghiệm</t>
  </si>
  <si>
    <t>Đại diện trung tâm Đổi mới sáng tạo và kinh tế sáng tạo Ulsan</t>
  </si>
  <si>
    <t>trao đổi về phối hợp trong lĩnh vực khởi nghiệp ĐMST</t>
  </si>
  <si>
    <t>Trường ĐH Udon Thani Rajabhat</t>
  </si>
  <si>
    <t>20 Cán bộ diện Hiệp định</t>
  </si>
  <si>
    <t>tập huấn tại Trường</t>
  </si>
  <si>
    <t>đại diện Phòng Công Thương thành phố Kushiro</t>
  </si>
  <si>
    <t>tham dự buổi khai giảng lớp tiếng Nhật</t>
  </si>
  <si>
    <t>Trường ĐH Sakhon Nakhon Rajabhat</t>
  </si>
  <si>
    <t>Ký kết thỏa thuận hợp tác và Tham dự hội thảo quốc tế</t>
  </si>
  <si>
    <t>Thái Lan, Đài Bắc Trung Hoa</t>
  </si>
  <si>
    <t>Tham dự hội thảo quốc tế Sinh học nông nghiệp</t>
  </si>
  <si>
    <t>Brazil</t>
  </si>
  <si>
    <t>Đại học Liên bang Mato Grosso, Brazil</t>
  </si>
  <si>
    <t>trao đổi học thuật với cán bộ và SV khoa Sinh-NN-MT</t>
  </si>
  <si>
    <t>Tổng Lãnh sự quán nước CHNDTH tại ĐN</t>
  </si>
  <si>
    <t>tham dự buổi gặp mặt LHS Quý Châu</t>
  </si>
  <si>
    <t>Giảng viên và học viên Trường Thực hành sư phạm - ĐH Udon Thani</t>
  </si>
  <si>
    <t>GV thuộc ct Erasmus+ từ ĐH Babes-Bolyai</t>
  </si>
  <si>
    <t>Trường Nawamintrachinuthit Benjamarachalai</t>
  </si>
  <si>
    <t>Campuchia</t>
  </si>
  <si>
    <t>đại diện công ty dịch thuật tiếng Việt (Campuchia)</t>
  </si>
  <si>
    <t>kí kết MOU</t>
  </si>
  <si>
    <t>Trường ĐH Chang Gung, Đài Loan</t>
  </si>
  <si>
    <t>Sở Giáo dục tỉnh Savannakhet</t>
  </si>
  <si>
    <t>đoàn đưa sinh viên đến nhập học</t>
  </si>
  <si>
    <t>Phó Đại sứ, Đại sứ quán Cộng hòa Liên bang Đức</t>
  </si>
  <si>
    <t>thăm và trao đổi các cơ hội hợp tác</t>
  </si>
  <si>
    <t>trao đổi các cơ hội hợp tác về AI, năng lượng xanh và công nghệ bền vững.</t>
  </si>
  <si>
    <t>đoàn Doanh nghiệp Nhật Bản</t>
  </si>
  <si>
    <t>đến thăm và làm việc tại Trường</t>
  </si>
  <si>
    <t>Philippines</t>
  </si>
  <si>
    <t>Học viện Kỹ thuật Kinh doanh và Nghệ thuật St. Ignatius</t>
  </si>
  <si>
    <t>đến thăm và trao đổi các cơ hội hợp tác.</t>
  </si>
  <si>
    <t>Đài Bắc Trung Hoa</t>
  </si>
  <si>
    <t>Đại học Sư phạm Quốc lập Đài Loan</t>
  </si>
  <si>
    <t>Giáo sư Chen Jein-Shan trao đổi học thuật và dự lễ kỉ niệm 50 năm</t>
  </si>
  <si>
    <t>tham dự Lễ kỷ niệm 50 năm “Kết nối và Phát triển” Trường ĐHSP-ĐHĐN</t>
  </si>
  <si>
    <t>Sở Giáo dục và Thể thao tỉnh Bolikhamxay</t>
  </si>
  <si>
    <t>công ty TNHH Sphere AX</t>
  </si>
  <si>
    <t>tham dự diễn đàn Khởi nghiệp và Đổi mới sáng tạo Nông nghiệp - Dược liệu 2025.</t>
  </si>
  <si>
    <t>Cơ quan Xúc tiến Thương mại và Đầu tư Hàn Quốc</t>
  </si>
  <si>
    <t>Sở Giáo dục và Thể thao tỉnh Attapeu</t>
  </si>
  <si>
    <t>dự lễ kỉ niệm 50 năm từ ngày 14-17/11/25</t>
  </si>
  <si>
    <t>dự lễ kỉ niệm 50 năm từ ngày 14-16/11/25</t>
  </si>
  <si>
    <t>Sekong+Champasak</t>
  </si>
  <si>
    <t>Lào, Nga</t>
  </si>
  <si>
    <t>Tổng lãnh sự 2 nước</t>
  </si>
  <si>
    <t>dự lễ kỉ niệm 50 năm</t>
  </si>
  <si>
    <t>Trường ĐH Sư phạm Vân Nam</t>
  </si>
  <si>
    <t>Salavan+Savannakhet</t>
  </si>
  <si>
    <t>tham dự Lễ kỷ niệm 50 năm</t>
  </si>
  <si>
    <t>Trường ĐH Dân tộc Quý Châu</t>
  </si>
  <si>
    <t>Công ty Cổ phần Orient Human Design (OHD)</t>
  </si>
  <si>
    <t>Trường Đại học Warsaw</t>
  </si>
  <si>
    <t>Các Doanh nghiệp</t>
  </si>
  <si>
    <t>thăm và làm việc về tuyển sinh chương trình Internship Nhật Bản</t>
  </si>
  <si>
    <t>Trung Quóc</t>
  </si>
  <si>
    <t>Học viện Nhân văn và Kĩ thuật Quý Dương</t>
  </si>
  <si>
    <t>Kí kết MOA và tham dự Lễ kỷ niệm 50 năm</t>
  </si>
  <si>
    <t>Đại diện Tổng Lãnh sự quán TQ</t>
  </si>
  <si>
    <t>Nhật, Ba Lan</t>
  </si>
  <si>
    <t>Đại diện Tổng Lãnh sự quán Nhật Bản và Ba Lan tại Đà Nẵng</t>
  </si>
  <si>
    <t>Học viện Mỹ thuật Bunditpatanasilpa</t>
  </si>
  <si>
    <t>giao lưu nghệ thuật</t>
  </si>
  <si>
    <t>Trường ĐH Arizona State</t>
  </si>
  <si>
    <t>Trường ĐH Mahasarakham</t>
  </si>
  <si>
    <t>trao đổi học thuật, tham quan</t>
  </si>
  <si>
    <t>chuyên gia kinh tế Trần Sĩ Chương</t>
  </si>
  <si>
    <t>giao lưu với sinh viên và chia sẻ về cuốn sách Trò chuyện cùng Gen Z</t>
  </si>
  <si>
    <t>CT gặp mặt sv quốc tế</t>
  </si>
  <si>
    <t>New Zealand</t>
  </si>
  <si>
    <t>Học viện Công nghệ Nelson Marlborough</t>
  </si>
  <si>
    <t>trao đổi học thuật với Khoa Sử - Địa - Chính trị</t>
  </si>
  <si>
    <t>nhiếp ảnh gia</t>
  </si>
  <si>
    <t>tham dự buổi chia sẻ nghiệp vụ công tác truyền thông cho Cán bộ Đoàn - Hội</t>
  </si>
  <si>
    <t>Viện Pháp</t>
  </si>
  <si>
    <t>tham dự Chương trình giao lưu “Gặp gỡ nhà văn Franck Thilliez”.</t>
  </si>
  <si>
    <t>10/12//2025</t>
  </si>
  <si>
    <t>Trường Đại học Sahmyook, Hàn Quốc</t>
  </si>
  <si>
    <t>Cố vấn chi cục kiểm lâm Ninh Bình</t>
  </si>
  <si>
    <t>tham dự buổi chia sẻ kiến thức về bảo tồn thú linh trưởng Việt Nam</t>
  </si>
  <si>
    <t>Trường Đại học Babeș-Bolyai</t>
  </si>
  <si>
    <t>trao đổi học thuật chủ đề “The living environment and culture of ethnic minorities in Central Vietnam”.</t>
  </si>
  <si>
    <t>đoàn đưa sinh viên diện HB Đắk Lắk đến nhập học</t>
  </si>
  <si>
    <t>tham dự chương trình giao lưu giữa 2 Trường</t>
  </si>
  <si>
    <t>Đơn vị ký</t>
  </si>
  <si>
    <t>Thời gian kí kết</t>
  </si>
  <si>
    <t>Loại hình</t>
  </si>
  <si>
    <t>DonViMa</t>
  </si>
  <si>
    <t>DonViTen</t>
  </si>
  <si>
    <t>Phạm vi</t>
  </si>
  <si>
    <t>Đại học Quốc gia Cao Hùng – National University of KAOUHSIUNG</t>
  </si>
  <si>
    <t>MoA</t>
  </si>
  <si>
    <t>Ngoài nước</t>
  </si>
  <si>
    <t>Còn hiệu lục</t>
  </si>
  <si>
    <t>Đại học MingChi</t>
  </si>
  <si>
    <t>MoU</t>
  </si>
  <si>
    <t>Đại học Palacký Olomouc</t>
  </si>
  <si>
    <t>Đại học Shinawatra, Thái Lan</t>
  </si>
  <si>
    <t>Công ty cổ phần Orient Human Design, Nhật Bản</t>
  </si>
  <si>
    <t>Công ty MTV Tư vấn và Đào tạo Quý Khanh và Công ty cổ phần Orient Human Design</t>
  </si>
  <si>
    <t>Khoa Giáo dục Tiểu học, Trường Đại học Udon Thani Rajabhat (trao đổi 5 sv Thái Lan qua học)</t>
  </si>
  <si>
    <t>Đại học Quốc lập Đông Hoa, Đài Loan</t>
  </si>
  <si>
    <t>Khoa Nông nghiệp, Đại học Saga</t>
  </si>
  <si>
    <t>Đại học Dân tộc Quý Châu, Trung Quốc</t>
  </si>
  <si>
    <t>Quỹ Trường Cao đẳng DMC</t>
  </si>
  <si>
    <t>Phòng thương mại và công nghiệp Kisarazu</t>
  </si>
  <si>
    <t>Trường Đại học Roi et Rajabhat</t>
  </si>
  <si>
    <t>Trường Cao đăng Sư phạm Salavan</t>
  </si>
  <si>
    <t>Tập đoàn Y tế Yutokukai</t>
  </si>
  <si>
    <t>Khoa Khoa học - Công nghệ Trường Đại học Sakon Nakhon Rajabhat với 
 Khoa Lý - Hóa, Khoa Sinh - Nông nghiệp - Môi trường</t>
  </si>
  <si>
    <t>Trao đổi ngắn hạn</t>
  </si>
  <si>
    <t>Đồng hướng dẫn học viên cao học</t>
  </si>
  <si>
    <t>Trường Đại học Tài chính - Kinh tế Vân Nam</t>
  </si>
  <si>
    <t>Học viện Nhân Văn và công nghệ Quý Dương</t>
  </si>
  <si>
    <t>Công ty dịch thuật tiếng Việt Ly San Puthy (Campuchia)</t>
  </si>
  <si>
    <t>Trường Đại học Khoa học và Công nghệ Krakow, Ba Lan</t>
  </si>
  <si>
    <t>Trường Đại học Dân tộc Quảng Tây, Trung Quốc</t>
  </si>
  <si>
    <t>Học viện Hoa văn, Trường Đại học Sư phạm Vân Nam, Trung Quốc</t>
  </si>
  <si>
    <t>Trung tâm Ok Education</t>
  </si>
  <si>
    <t>Viện Nghệ thuật Bunditpatanasilpa, Thái Lan</t>
  </si>
  <si>
    <t>Trường Đại học Dân tộc Quý Châu, Trung Quốc</t>
  </si>
  <si>
    <t>D1111111111111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</si>
</sst>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dd/mm/yyyy"/>
    <numFmt numFmtId="165" formatCode="d/m/yyyy"/>
    <numFmt numFmtId="166" formatCode="[$-1010000]d/m/yyyy"/>
    <numFmt numFmtId="167" formatCode="[$-1010000]d/m/yy"/>
    <numFmt numFmtId="168" formatCode="[$-F800]dddd\,\ mmmm\ dd\,\ yyyy"/>
    <numFmt numFmtId="169" formatCode="dd\.mm"/>
    <numFmt numFmtId="170" formatCode="d\.m"/>
    <numFmt numFmtId="171" formatCode="dd\-mm\-yyyy"/>
    <numFmt numFmtId="172" formatCode="d\-m\-yyyy"/>
  </numFmts>
  <fonts count="48">
    <font>
      <sz val="10"/>
      <color rgb="FF000000"/>
      <name val="Arial"/>
      <scheme val="minor"/>
    </font>
    <font>
      <b/>
      <sz val="10"/>
      <color theme="1"/>
      <name val="Arial"/>
      <scheme val="minor"/>
    </font>
    <font>
      <sz val="10"/>
      <color theme="1"/>
      <name val="Arial"/>
      <scheme val="minor"/>
    </font>
    <font>
      <sz val="11"/>
      <color theme="1"/>
      <name val="Times New Roman"/>
    </font>
    <font>
      <sz val="11"/>
      <color rgb="FF081B3A"/>
      <name val="Times New Roman"/>
    </font>
    <font>
      <sz val="12"/>
      <color theme="1"/>
      <name val="Times New Roman"/>
    </font>
    <font>
      <sz val="12"/>
      <color rgb="FF242424"/>
      <name val="Times New Roman"/>
    </font>
    <font>
      <sz val="12"/>
      <color rgb="FF222222"/>
      <name val="Times New Roman"/>
    </font>
    <font>
      <sz val="10"/>
      <color theme="1"/>
      <name val="Arial"/>
    </font>
    <font>
      <b/>
      <sz val="12"/>
      <color theme="1"/>
      <name val="Times New Roman"/>
    </font>
    <font>
      <sz val="13"/>
      <color theme="1"/>
      <name val="Times New Roman"/>
    </font>
    <font>
      <sz val="10"/>
      <color theme="1"/>
      <name val="Calibri"/>
    </font>
    <font>
      <sz val="14"/>
      <color theme="1"/>
      <name val="Times New Roman"/>
    </font>
    <font>
      <sz val="13"/>
      <color rgb="FF222222"/>
      <name val="Times New Roman"/>
    </font>
    <font>
      <sz val="11"/>
      <color theme="1"/>
      <name val="Arial"/>
    </font>
    <font>
      <b/>
      <sz val="10"/>
      <color rgb="FF000000"/>
      <name val="Lexend"/>
    </font>
    <font>
      <b/>
      <sz val="10"/>
      <color rgb="FFFF0000"/>
      <name val="Lexend"/>
    </font>
    <font>
      <sz val="11"/>
      <color rgb="FF000000"/>
      <name val="&quot;Times New Roman&quot;"/>
    </font>
    <font>
      <sz val="10"/>
      <color rgb="FF000000"/>
      <name val="Arial"/>
    </font>
    <font>
      <sz val="11"/>
      <color rgb="FFFF0000"/>
      <name val="&quot;Times New Roman&quot;"/>
    </font>
    <font>
      <sz val="11"/>
      <color rgb="FF1D2630"/>
      <name val="&quot;Times New Roman&quot;"/>
    </font>
    <font>
      <sz val="13"/>
      <color rgb="FF000000"/>
      <name val="&quot;Times New Roman&quot;"/>
    </font>
    <font>
      <sz val="10"/>
      <color rgb="FF000000"/>
      <name val="Lexend"/>
    </font>
    <font>
      <sz val="11"/>
      <color rgb="FF000000"/>
      <name val="Lexend"/>
    </font>
    <font>
      <sz val="11"/>
      <color rgb="FF000000"/>
      <name val="Calibri"/>
    </font>
    <font>
      <b/>
      <sz val="11"/>
      <color rgb="FF000000"/>
      <name val="Lexend"/>
    </font>
    <font>
      <u/>
      <sz val="11"/>
      <color rgb="FF0000FF"/>
      <name val="Calibri"/>
    </font>
    <font>
      <b/>
      <sz val="11"/>
      <color theme="1"/>
      <name val="Calibri"/>
    </font>
    <font>
      <sz val="11"/>
      <color theme="1"/>
      <name val="Calibri"/>
    </font>
    <font>
      <sz val="11"/>
      <color rgb="FFFFFFFF"/>
      <name val="Calibri"/>
    </font>
    <font>
      <b/>
      <sz val="10"/>
      <color theme="1"/>
      <name val="Lexend"/>
    </font>
    <font>
      <sz val="10"/>
      <color theme="1"/>
      <name val="Lexend"/>
    </font>
    <font>
      <b/>
      <sz val="10"/>
      <color rgb="FFFFFFFF"/>
      <name val="&quot;Times New Roman&quot;"/>
    </font>
    <font>
      <sz val="10"/>
      <color rgb="FF000000"/>
      <name val="&quot;Times New Roman&quot;"/>
    </font>
    <font>
      <sz val="11"/>
      <color rgb="FF000000"/>
      <name val="&quot;Aptos Narrow&quot;"/>
    </font>
    <font>
      <sz val="8"/>
      <color rgb="FF000000"/>
      <name val="&quot;Times New Roman&quot;"/>
    </font>
    <font>
      <sz val="10"/>
      <name val="Arial"/>
    </font>
    <font>
      <b/>
      <sz val="11"/>
      <color rgb="FF000000"/>
      <name val="Calibri"/>
    </font>
    <font>
      <sz val="11"/>
      <color rgb="FF000000"/>
      <name val="Arial"/>
    </font>
    <font>
      <b/>
      <sz val="12"/>
      <color rgb="FF000000"/>
      <name val="&quot;Times New Roman&quot;"/>
    </font>
    <font>
      <sz val="12"/>
      <color rgb="FFFF0000"/>
      <name val="Times New Roman"/>
    </font>
    <font>
      <sz val="12"/>
      <color rgb="FF000000"/>
      <name val="Times New Roman"/>
    </font>
    <font>
      <i/>
      <sz val="12"/>
      <color theme="1"/>
      <name val="Times New Roman"/>
    </font>
    <font>
      <i/>
      <sz val="12"/>
      <color rgb="FF000000"/>
      <name val="Times New Roman"/>
    </font>
    <font>
      <vertAlign val="subscript"/>
      <sz val="12"/>
      <color rgb="FF000000"/>
      <name val="Times New Roman"/>
    </font>
    <font>
      <vertAlign val="superscript"/>
      <sz val="12"/>
      <color rgb="FF000000"/>
      <name val="Times New Roman"/>
    </font>
    <font>
      <u/>
      <sz val="11"/>
      <color rgb="FF1155CC"/>
      <name val="Calibri, sans-serif"/>
    </font>
    <font>
      <sz val="10"/>
      <color rgb="FF000000"/>
      <name val="Arial"/>
      <family val="2"/>
      <scheme val="minor"/>
    </font>
  </fonts>
  <fills count="11">
    <fill>
      <patternFill patternType="none"/>
    </fill>
    <fill>
      <patternFill patternType="gray125"/>
    </fill>
    <fill>
      <patternFill patternType="solid">
        <fgColor rgb="FFFFFFFF"/>
        <bgColor rgb="FFFFFFFF"/>
      </patternFill>
    </fill>
    <fill>
      <patternFill patternType="solid">
        <fgColor rgb="FF4A86E8"/>
        <bgColor rgb="FF4A86E8"/>
      </patternFill>
    </fill>
    <fill>
      <patternFill patternType="solid">
        <fgColor rgb="FFFFFF00"/>
        <bgColor rgb="FFFFFF00"/>
      </patternFill>
    </fill>
    <fill>
      <patternFill patternType="solid">
        <fgColor rgb="FFC9DAF8"/>
        <bgColor rgb="FFC9DAF8"/>
      </patternFill>
    </fill>
    <fill>
      <patternFill patternType="solid">
        <fgColor rgb="FF6AA84F"/>
        <bgColor rgb="FF6AA84F"/>
      </patternFill>
    </fill>
    <fill>
      <patternFill patternType="solid">
        <fgColor rgb="FFA4C2F4"/>
        <bgColor rgb="FFA4C2F4"/>
      </patternFill>
    </fill>
    <fill>
      <patternFill patternType="solid">
        <fgColor rgb="FF6D9EEB"/>
        <bgColor rgb="FF6D9EEB"/>
      </patternFill>
    </fill>
    <fill>
      <patternFill patternType="solid">
        <fgColor rgb="FFCFE2F3"/>
        <bgColor rgb="FFCFE2F3"/>
      </patternFill>
    </fill>
    <fill>
      <patternFill patternType="solid">
        <fgColor rgb="FF00FFFF"/>
        <bgColor rgb="FF00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25">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xf numFmtId="0" fontId="2" fillId="0" borderId="0" xfId="0" applyFont="1" applyAlignment="1">
      <alignment wrapText="1"/>
    </xf>
    <xf numFmtId="0" fontId="2" fillId="0" borderId="0" xfId="0" applyFont="1" applyAlignment="1">
      <alignment wrapText="1"/>
    </xf>
    <xf numFmtId="164" fontId="2" fillId="0" borderId="0" xfId="0" applyNumberFormat="1" applyFont="1" applyAlignment="1">
      <alignment horizontal="center"/>
    </xf>
    <xf numFmtId="0" fontId="2" fillId="0" borderId="0" xfId="0" applyFont="1" applyAlignment="1">
      <alignment horizontal="center"/>
    </xf>
    <xf numFmtId="164" fontId="2" fillId="0" borderId="0" xfId="0" applyNumberFormat="1" applyFont="1"/>
    <xf numFmtId="0" fontId="2" fillId="0" borderId="0" xfId="0" applyFont="1" applyAlignment="1">
      <alignment wrapText="1"/>
    </xf>
    <xf numFmtId="165" fontId="2" fillId="0" borderId="0" xfId="0" applyNumberFormat="1"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center" vertical="center"/>
    </xf>
    <xf numFmtId="0" fontId="5" fillId="2" borderId="0" xfId="0" applyFont="1" applyFill="1" applyAlignment="1">
      <alignment horizontal="center" vertical="center" wrapText="1"/>
    </xf>
    <xf numFmtId="0" fontId="2" fillId="0" borderId="0" xfId="0" applyFont="1" applyAlignment="1"/>
    <xf numFmtId="0" fontId="8" fillId="0" borderId="0" xfId="0" applyFont="1" applyAlignment="1"/>
    <xf numFmtId="0" fontId="2"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xf>
    <xf numFmtId="166" fontId="5" fillId="0" borderId="0" xfId="0" applyNumberFormat="1" applyFont="1" applyAlignment="1">
      <alignment horizontal="center" vertical="center"/>
    </xf>
    <xf numFmtId="167" fontId="5" fillId="0" borderId="0" xfId="0" applyNumberFormat="1" applyFont="1" applyAlignment="1">
      <alignment horizontal="center" vertical="center"/>
    </xf>
    <xf numFmtId="14" fontId="5" fillId="0" borderId="0" xfId="0" applyNumberFormat="1" applyFont="1" applyAlignment="1">
      <alignment horizontal="center" vertical="center"/>
    </xf>
    <xf numFmtId="14" fontId="5" fillId="0" borderId="0" xfId="0" quotePrefix="1" applyNumberFormat="1" applyFont="1" applyAlignment="1">
      <alignment horizontal="center" vertical="center"/>
    </xf>
    <xf numFmtId="166" fontId="5" fillId="0" borderId="0" xfId="0" quotePrefix="1" applyNumberFormat="1" applyFont="1" applyAlignment="1">
      <alignment horizontal="center" vertical="center"/>
    </xf>
    <xf numFmtId="0" fontId="5" fillId="0" borderId="0" xfId="0" quotePrefix="1" applyFont="1" applyAlignment="1">
      <alignment horizontal="center" vertical="center"/>
    </xf>
    <xf numFmtId="168" fontId="5" fillId="0" borderId="0" xfId="0" quotePrefix="1" applyNumberFormat="1" applyFont="1" applyAlignment="1">
      <alignment horizontal="center" vertical="center"/>
    </xf>
    <xf numFmtId="0" fontId="10" fillId="0" borderId="0" xfId="0" applyFont="1" applyAlignment="1">
      <alignment horizontal="center"/>
    </xf>
    <xf numFmtId="14" fontId="11" fillId="0" borderId="0" xfId="0" applyNumberFormat="1" applyFont="1" applyAlignment="1">
      <alignment horizontal="center"/>
    </xf>
    <xf numFmtId="0" fontId="10" fillId="0" borderId="0" xfId="0" applyFont="1" applyAlignment="1">
      <alignment horizontal="center"/>
    </xf>
    <xf numFmtId="0" fontId="2" fillId="0" borderId="0" xfId="0" applyFont="1" applyAlignment="1">
      <alignment horizontal="center"/>
    </xf>
    <xf numFmtId="0" fontId="12" fillId="0" borderId="0" xfId="0" applyFont="1" applyAlignment="1">
      <alignment horizontal="center"/>
    </xf>
    <xf numFmtId="14" fontId="10" fillId="0" borderId="0" xfId="0" applyNumberFormat="1" applyFont="1" applyAlignment="1">
      <alignment horizontal="center"/>
    </xf>
    <xf numFmtId="0" fontId="11"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xf>
    <xf numFmtId="0" fontId="11" fillId="0" borderId="0" xfId="0" applyFont="1" applyAlignment="1">
      <alignment horizontal="center"/>
    </xf>
    <xf numFmtId="0" fontId="2" fillId="0" borderId="0" xfId="0" applyFont="1" applyAlignment="1">
      <alignment horizontal="center"/>
    </xf>
    <xf numFmtId="14" fontId="10" fillId="0" borderId="0" xfId="0" quotePrefix="1"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0" fontId="1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xf>
    <xf numFmtId="0" fontId="15" fillId="3" borderId="1" xfId="0" applyFont="1" applyFill="1" applyBorder="1" applyAlignment="1">
      <alignment horizontal="center"/>
    </xf>
    <xf numFmtId="0" fontId="15" fillId="4" borderId="1" xfId="0" applyFont="1" applyFill="1" applyBorder="1" applyAlignment="1">
      <alignment horizontal="center"/>
    </xf>
    <xf numFmtId="0" fontId="16" fillId="4" borderId="1" xfId="0" applyFont="1" applyFill="1" applyBorder="1" applyAlignment="1">
      <alignment horizontal="center"/>
    </xf>
    <xf numFmtId="0" fontId="17" fillId="0" borderId="2" xfId="0" applyFont="1" applyBorder="1" applyAlignment="1">
      <alignment horizontal="left"/>
    </xf>
    <xf numFmtId="0" fontId="17" fillId="0" borderId="3" xfId="0" applyFont="1" applyBorder="1" applyAlignment="1">
      <alignment horizontal="left"/>
    </xf>
    <xf numFmtId="0" fontId="17" fillId="0" borderId="3" xfId="0" applyFont="1" applyBorder="1" applyAlignment="1">
      <alignment horizontal="right"/>
    </xf>
    <xf numFmtId="0" fontId="18" fillId="0" borderId="3" xfId="0" applyFont="1" applyBorder="1" applyAlignment="1"/>
    <xf numFmtId="0" fontId="18" fillId="0" borderId="0" xfId="0" applyFont="1" applyAlignment="1"/>
    <xf numFmtId="0" fontId="17" fillId="0" borderId="1" xfId="0" applyFont="1" applyBorder="1" applyAlignment="1">
      <alignment horizontal="left"/>
    </xf>
    <xf numFmtId="0" fontId="17" fillId="0" borderId="1" xfId="0" applyFont="1" applyBorder="1" applyAlignment="1">
      <alignment horizontal="left"/>
    </xf>
    <xf numFmtId="0" fontId="17" fillId="0" borderId="1" xfId="0" applyFont="1" applyBorder="1" applyAlignment="1">
      <alignment horizontal="right"/>
    </xf>
    <xf numFmtId="165" fontId="19" fillId="4" borderId="1" xfId="0" applyNumberFormat="1" applyFont="1" applyFill="1" applyBorder="1" applyAlignment="1">
      <alignment horizontal="right"/>
    </xf>
    <xf numFmtId="165" fontId="17" fillId="0" borderId="1" xfId="0" applyNumberFormat="1" applyFont="1" applyBorder="1" applyAlignment="1">
      <alignment horizontal="right"/>
    </xf>
    <xf numFmtId="0" fontId="20" fillId="0" borderId="1" xfId="0" applyFont="1" applyBorder="1" applyAlignment="1">
      <alignment horizontal="left"/>
    </xf>
    <xf numFmtId="165" fontId="21" fillId="0" borderId="1" xfId="0" applyNumberFormat="1" applyFont="1" applyBorder="1" applyAlignment="1">
      <alignment horizontal="right"/>
    </xf>
    <xf numFmtId="164" fontId="17" fillId="0" borderId="1" xfId="0" applyNumberFormat="1" applyFont="1" applyBorder="1" applyAlignment="1">
      <alignment horizontal="right"/>
    </xf>
    <xf numFmtId="0" fontId="15" fillId="4" borderId="1" xfId="0" applyFont="1" applyFill="1" applyBorder="1" applyAlignment="1">
      <alignment horizontal="center"/>
    </xf>
    <xf numFmtId="0" fontId="15" fillId="4" borderId="1" xfId="0" applyFont="1" applyFill="1" applyBorder="1" applyAlignment="1">
      <alignment horizontal="center"/>
    </xf>
    <xf numFmtId="0" fontId="22" fillId="4" borderId="1" xfId="0" applyFont="1" applyFill="1" applyBorder="1" applyAlignment="1">
      <alignment horizontal="center"/>
    </xf>
    <xf numFmtId="0" fontId="22" fillId="0" borderId="0" xfId="0" applyFont="1" applyAlignment="1"/>
    <xf numFmtId="0" fontId="22" fillId="0" borderId="1" xfId="0" applyFont="1" applyBorder="1" applyAlignment="1">
      <alignment horizontal="center"/>
    </xf>
    <xf numFmtId="0" fontId="22" fillId="0" borderId="1" xfId="0" applyFont="1" applyBorder="1" applyAlignment="1">
      <alignment horizontal="center"/>
    </xf>
    <xf numFmtId="0" fontId="23" fillId="0" borderId="1" xfId="0" applyFont="1" applyBorder="1" applyAlignment="1">
      <alignment horizontal="center"/>
    </xf>
    <xf numFmtId="0" fontId="22" fillId="0" borderId="1" xfId="0" applyFont="1" applyBorder="1" applyAlignment="1">
      <alignment horizontal="center"/>
    </xf>
    <xf numFmtId="0" fontId="22" fillId="0" borderId="1" xfId="0" applyFont="1" applyBorder="1" applyAlignment="1"/>
    <xf numFmtId="0" fontId="24" fillId="0" borderId="1" xfId="0" applyFont="1" applyBorder="1" applyAlignment="1">
      <alignment horizontal="center"/>
    </xf>
    <xf numFmtId="0" fontId="23" fillId="0" borderId="1" xfId="0" applyFont="1" applyBorder="1" applyAlignment="1">
      <alignment horizontal="center"/>
    </xf>
    <xf numFmtId="0" fontId="24" fillId="0" borderId="1" xfId="0" applyFont="1" applyBorder="1" applyAlignment="1">
      <alignment horizontal="center"/>
    </xf>
    <xf numFmtId="0" fontId="22" fillId="0" borderId="1" xfId="0" applyFont="1" applyBorder="1" applyAlignment="1">
      <alignment horizontal="center"/>
    </xf>
    <xf numFmtId="0" fontId="15" fillId="0" borderId="1" xfId="0" applyFont="1" applyBorder="1" applyAlignment="1">
      <alignment horizontal="center"/>
    </xf>
    <xf numFmtId="0" fontId="25" fillId="0" borderId="1" xfId="0" applyFont="1" applyBorder="1" applyAlignment="1">
      <alignment horizontal="center"/>
    </xf>
    <xf numFmtId="0" fontId="15" fillId="0" borderId="1" xfId="0" applyFont="1" applyBorder="1" applyAlignment="1">
      <alignment horizontal="left"/>
    </xf>
    <xf numFmtId="0" fontId="15" fillId="4" borderId="1" xfId="0" applyFont="1" applyFill="1" applyBorder="1" applyAlignment="1">
      <alignment horizontal="left"/>
    </xf>
    <xf numFmtId="0" fontId="18" fillId="0" borderId="0" xfId="0" applyFont="1" applyAlignment="1"/>
    <xf numFmtId="0" fontId="17" fillId="0" borderId="1" xfId="0" applyFont="1" applyBorder="1" applyAlignment="1">
      <alignment horizontal="left"/>
    </xf>
    <xf numFmtId="0" fontId="23" fillId="0" borderId="1" xfId="0" applyFont="1" applyBorder="1" applyAlignment="1">
      <alignment horizontal="center"/>
    </xf>
    <xf numFmtId="165" fontId="17" fillId="0" borderId="1" xfId="0" applyNumberFormat="1" applyFont="1" applyBorder="1" applyAlignment="1">
      <alignment horizontal="center"/>
    </xf>
    <xf numFmtId="0" fontId="22" fillId="0" borderId="1" xfId="0" applyFont="1" applyBorder="1" applyAlignment="1">
      <alignment horizontal="left"/>
    </xf>
    <xf numFmtId="0" fontId="23" fillId="0" borderId="1" xfId="0" applyFont="1" applyBorder="1" applyAlignment="1">
      <alignment horizontal="left"/>
    </xf>
    <xf numFmtId="0" fontId="18" fillId="0" borderId="1" xfId="0" applyFont="1" applyBorder="1" applyAlignment="1"/>
    <xf numFmtId="164" fontId="17" fillId="0" borderId="1" xfId="0" applyNumberFormat="1" applyFont="1" applyBorder="1" applyAlignment="1">
      <alignment horizontal="center"/>
    </xf>
    <xf numFmtId="0" fontId="17" fillId="4" borderId="1" xfId="0" applyFont="1" applyFill="1" applyBorder="1" applyAlignment="1">
      <alignment horizontal="left"/>
    </xf>
    <xf numFmtId="0" fontId="23" fillId="0" borderId="1" xfId="0" applyFont="1" applyBorder="1" applyAlignment="1">
      <alignment horizontal="right"/>
    </xf>
    <xf numFmtId="0" fontId="25" fillId="0" borderId="1" xfId="0" applyFont="1" applyBorder="1" applyAlignment="1">
      <alignment horizontal="center"/>
    </xf>
    <xf numFmtId="164" fontId="23" fillId="0" borderId="1" xfId="0" applyNumberFormat="1" applyFont="1" applyBorder="1" applyAlignment="1">
      <alignment horizontal="center"/>
    </xf>
    <xf numFmtId="169" fontId="23" fillId="0" borderId="1" xfId="0" applyNumberFormat="1" applyFont="1" applyBorder="1" applyAlignment="1">
      <alignment horizontal="right"/>
    </xf>
    <xf numFmtId="0" fontId="17" fillId="0" borderId="1" xfId="0" applyFont="1" applyBorder="1" applyAlignment="1"/>
    <xf numFmtId="0" fontId="26" fillId="0" borderId="1" xfId="0" applyFont="1" applyBorder="1" applyAlignment="1">
      <alignment horizontal="left"/>
    </xf>
    <xf numFmtId="0" fontId="17" fillId="0" borderId="1" xfId="0" applyFont="1" applyBorder="1" applyAlignment="1">
      <alignment horizontal="center"/>
    </xf>
    <xf numFmtId="0" fontId="17" fillId="0" borderId="1" xfId="0" applyFont="1" applyBorder="1" applyAlignment="1">
      <alignment horizontal="center"/>
    </xf>
    <xf numFmtId="170" fontId="23" fillId="0" borderId="1" xfId="0" applyNumberFormat="1" applyFont="1" applyBorder="1" applyAlignment="1">
      <alignment horizontal="right"/>
    </xf>
    <xf numFmtId="0" fontId="23" fillId="0" borderId="1" xfId="0" applyFont="1" applyBorder="1" applyAlignment="1">
      <alignment horizontal="center"/>
    </xf>
    <xf numFmtId="0" fontId="23" fillId="0" borderId="1" xfId="0" applyFont="1" applyBorder="1" applyAlignment="1"/>
    <xf numFmtId="0" fontId="23" fillId="0" borderId="1" xfId="0" applyFont="1" applyBorder="1" applyAlignment="1">
      <alignment horizontal="right"/>
    </xf>
    <xf numFmtId="165" fontId="23" fillId="0" borderId="1" xfId="0" applyNumberFormat="1" applyFont="1" applyBorder="1" applyAlignment="1">
      <alignment horizontal="center"/>
    </xf>
    <xf numFmtId="0" fontId="18" fillId="4" borderId="0" xfId="0" applyFont="1" applyFill="1" applyAlignment="1"/>
    <xf numFmtId="0" fontId="2" fillId="0" borderId="0" xfId="0" applyFont="1" applyAlignment="1"/>
    <xf numFmtId="0" fontId="2" fillId="0" borderId="0" xfId="0" applyFont="1"/>
    <xf numFmtId="0" fontId="27" fillId="5" borderId="1" xfId="0" applyFont="1" applyFill="1" applyBorder="1" applyAlignment="1">
      <alignment horizontal="center"/>
    </xf>
    <xf numFmtId="0" fontId="27" fillId="5" borderId="1" xfId="0" applyFont="1" applyFill="1" applyBorder="1" applyAlignment="1">
      <alignment horizontal="center"/>
    </xf>
    <xf numFmtId="0" fontId="28" fillId="2" borderId="1" xfId="0" applyFont="1" applyFill="1" applyBorder="1" applyAlignment="1"/>
    <xf numFmtId="0" fontId="29" fillId="6" borderId="1" xfId="0" applyFont="1" applyFill="1" applyBorder="1" applyAlignment="1">
      <alignment wrapText="1"/>
    </xf>
    <xf numFmtId="0" fontId="2" fillId="0" borderId="1" xfId="0" applyFont="1" applyBorder="1" applyAlignment="1">
      <alignment horizontal="center"/>
    </xf>
    <xf numFmtId="0" fontId="2" fillId="0" borderId="1" xfId="0" applyFont="1" applyBorder="1"/>
    <xf numFmtId="0" fontId="28" fillId="2" borderId="1" xfId="0" applyFont="1" applyFill="1" applyBorder="1" applyAlignment="1">
      <alignment wrapText="1"/>
    </xf>
    <xf numFmtId="0" fontId="2" fillId="0" borderId="1" xfId="0" applyFont="1" applyBorder="1" applyAlignment="1">
      <alignment horizontal="center"/>
    </xf>
    <xf numFmtId="170" fontId="2" fillId="0" borderId="1" xfId="0" applyNumberFormat="1" applyFont="1" applyBorder="1" applyAlignment="1">
      <alignment horizontal="center"/>
    </xf>
    <xf numFmtId="0" fontId="8" fillId="0" borderId="1" xfId="0" applyFont="1" applyBorder="1" applyAlignment="1">
      <alignment wrapText="1"/>
    </xf>
    <xf numFmtId="0" fontId="2" fillId="0" borderId="0" xfId="0" applyFont="1" applyAlignment="1">
      <alignment vertical="center" wrapText="1"/>
    </xf>
    <xf numFmtId="164" fontId="2" fillId="0" borderId="0" xfId="0" applyNumberFormat="1" applyFont="1" applyAlignment="1">
      <alignment vertical="center" wrapText="1"/>
    </xf>
    <xf numFmtId="0" fontId="2" fillId="0" borderId="0" xfId="0" quotePrefix="1" applyFont="1" applyAlignment="1">
      <alignment vertical="center" wrapText="1"/>
    </xf>
    <xf numFmtId="0" fontId="2" fillId="0" borderId="0" xfId="0" applyFont="1" applyAlignment="1">
      <alignment vertical="center" wrapText="1"/>
    </xf>
    <xf numFmtId="164" fontId="2" fillId="0" borderId="0" xfId="0" applyNumberFormat="1" applyFont="1" applyAlignment="1">
      <alignment vertical="center" wrapText="1"/>
    </xf>
    <xf numFmtId="0" fontId="28" fillId="0" borderId="1" xfId="0" applyFont="1" applyBorder="1" applyAlignment="1"/>
    <xf numFmtId="0" fontId="28" fillId="0" borderId="1" xfId="0" applyFont="1" applyBorder="1" applyAlignment="1"/>
    <xf numFmtId="0" fontId="28" fillId="0" borderId="1" xfId="0" applyFont="1" applyBorder="1" applyAlignment="1"/>
    <xf numFmtId="0" fontId="2" fillId="0" borderId="1" xfId="0" applyFont="1" applyBorder="1" applyAlignment="1"/>
    <xf numFmtId="0" fontId="28" fillId="0" borderId="1" xfId="0" applyFont="1" applyBorder="1" applyAlignment="1">
      <alignment horizontal="right"/>
    </xf>
    <xf numFmtId="0" fontId="14" fillId="0" borderId="1" xfId="0" applyFont="1" applyBorder="1" applyAlignment="1"/>
    <xf numFmtId="0" fontId="28" fillId="0" borderId="1" xfId="0" applyFont="1" applyBorder="1" applyAlignment="1">
      <alignment horizontal="center"/>
    </xf>
    <xf numFmtId="0" fontId="30" fillId="0" borderId="1" xfId="0" applyFont="1" applyBorder="1" applyAlignment="1">
      <alignment horizontal="center" wrapText="1"/>
    </xf>
    <xf numFmtId="0" fontId="30" fillId="7" borderId="1" xfId="0" applyFont="1" applyFill="1" applyBorder="1" applyAlignment="1">
      <alignment horizontal="center" wrapText="1"/>
    </xf>
    <xf numFmtId="0" fontId="30" fillId="7" borderId="1" xfId="0" applyFont="1" applyFill="1" applyBorder="1"/>
    <xf numFmtId="0" fontId="31" fillId="0" borderId="1" xfId="0" applyFont="1" applyBorder="1" applyAlignment="1">
      <alignment horizontal="right"/>
    </xf>
    <xf numFmtId="0" fontId="8" fillId="0" borderId="1" xfId="0" applyFont="1" applyBorder="1" applyAlignment="1"/>
    <xf numFmtId="0" fontId="31" fillId="0" borderId="1" xfId="0" applyFont="1" applyBorder="1" applyAlignment="1"/>
    <xf numFmtId="0" fontId="32" fillId="8" borderId="1" xfId="0" applyFont="1" applyFill="1" applyBorder="1" applyAlignment="1">
      <alignment horizontal="center"/>
    </xf>
    <xf numFmtId="0" fontId="24" fillId="0" borderId="0" xfId="0" applyFont="1" applyAlignment="1">
      <alignment horizontal="center"/>
    </xf>
    <xf numFmtId="0" fontId="18" fillId="0" borderId="0" xfId="0" applyFont="1" applyAlignment="1">
      <alignment horizontal="center"/>
    </xf>
    <xf numFmtId="0" fontId="33" fillId="0" borderId="1" xfId="0" applyFont="1" applyBorder="1" applyAlignment="1">
      <alignment horizontal="center"/>
    </xf>
    <xf numFmtId="0" fontId="33" fillId="0" borderId="1" xfId="0" applyFont="1" applyBorder="1" applyAlignment="1">
      <alignment horizontal="center"/>
    </xf>
    <xf numFmtId="171" fontId="33" fillId="0" borderId="1" xfId="0" applyNumberFormat="1" applyFont="1" applyBorder="1" applyAlignment="1">
      <alignment horizontal="center"/>
    </xf>
    <xf numFmtId="164" fontId="18" fillId="0" borderId="1" xfId="0" applyNumberFormat="1" applyFont="1" applyBorder="1" applyAlignment="1">
      <alignment horizontal="center"/>
    </xf>
    <xf numFmtId="0" fontId="18" fillId="0" borderId="1" xfId="0" applyFont="1" applyBorder="1" applyAlignment="1">
      <alignment horizontal="center"/>
    </xf>
    <xf numFmtId="171" fontId="18" fillId="0" borderId="1" xfId="0" applyNumberFormat="1" applyFont="1" applyBorder="1" applyAlignment="1">
      <alignment horizontal="center"/>
    </xf>
    <xf numFmtId="0" fontId="34" fillId="0" borderId="1" xfId="0" applyFont="1" applyBorder="1" applyAlignment="1">
      <alignment horizontal="center"/>
    </xf>
    <xf numFmtId="172" fontId="18" fillId="0" borderId="1" xfId="0" applyNumberFormat="1" applyFont="1" applyBorder="1" applyAlignment="1">
      <alignment horizontal="center"/>
    </xf>
    <xf numFmtId="172" fontId="33" fillId="0" borderId="1" xfId="0" applyNumberFormat="1" applyFont="1" applyBorder="1" applyAlignment="1">
      <alignment horizontal="center"/>
    </xf>
    <xf numFmtId="0" fontId="18" fillId="9" borderId="0" xfId="0" applyFont="1" applyFill="1" applyAlignment="1">
      <alignment horizontal="center"/>
    </xf>
    <xf numFmtId="0" fontId="33" fillId="9" borderId="4" xfId="0" applyFont="1" applyFill="1" applyBorder="1" applyAlignment="1">
      <alignment horizontal="center"/>
    </xf>
    <xf numFmtId="0" fontId="33" fillId="9" borderId="5" xfId="0" applyFont="1" applyFill="1" applyBorder="1" applyAlignment="1">
      <alignment horizontal="center"/>
    </xf>
    <xf numFmtId="0" fontId="18" fillId="9" borderId="0" xfId="0" applyFont="1" applyFill="1" applyAlignment="1">
      <alignment horizontal="center"/>
    </xf>
    <xf numFmtId="171" fontId="18" fillId="9" borderId="1" xfId="0" applyNumberFormat="1" applyFont="1" applyFill="1" applyBorder="1" applyAlignment="1">
      <alignment horizontal="center"/>
    </xf>
    <xf numFmtId="0" fontId="33" fillId="9" borderId="6" xfId="0" applyFont="1" applyFill="1" applyBorder="1" applyAlignment="1">
      <alignment horizontal="center"/>
    </xf>
    <xf numFmtId="0" fontId="34" fillId="9" borderId="6" xfId="0" applyFont="1" applyFill="1" applyBorder="1" applyAlignment="1">
      <alignment horizontal="center"/>
    </xf>
    <xf numFmtId="171" fontId="33" fillId="9" borderId="6" xfId="0" applyNumberFormat="1" applyFont="1" applyFill="1" applyBorder="1" applyAlignment="1">
      <alignment horizontal="center"/>
    </xf>
    <xf numFmtId="0" fontId="18" fillId="0" borderId="0" xfId="0" applyFont="1" applyAlignment="1">
      <alignment horizontal="center"/>
    </xf>
    <xf numFmtId="0" fontId="33" fillId="0" borderId="7" xfId="0" applyFont="1" applyBorder="1" applyAlignment="1">
      <alignment horizontal="center"/>
    </xf>
    <xf numFmtId="0" fontId="33" fillId="0" borderId="6" xfId="0" applyFont="1" applyBorder="1" applyAlignment="1">
      <alignment horizontal="center"/>
    </xf>
    <xf numFmtId="0" fontId="18" fillId="0" borderId="0" xfId="0" applyFont="1" applyAlignment="1">
      <alignment horizontal="center"/>
    </xf>
    <xf numFmtId="0" fontId="34" fillId="0" borderId="6" xfId="0" applyFont="1" applyBorder="1" applyAlignment="1">
      <alignment horizontal="center"/>
    </xf>
    <xf numFmtId="171" fontId="33" fillId="0" borderId="6" xfId="0" applyNumberFormat="1" applyFont="1" applyBorder="1" applyAlignment="1">
      <alignment horizontal="center"/>
    </xf>
    <xf numFmtId="172" fontId="33" fillId="0" borderId="6" xfId="0" applyNumberFormat="1" applyFont="1" applyBorder="1" applyAlignment="1">
      <alignment horizontal="center"/>
    </xf>
    <xf numFmtId="0" fontId="35" fillId="0" borderId="5" xfId="0" applyFont="1" applyBorder="1" applyAlignment="1">
      <alignment horizontal="left"/>
    </xf>
    <xf numFmtId="0" fontId="35" fillId="0" borderId="5" xfId="0" applyFont="1" applyBorder="1" applyAlignment="1"/>
    <xf numFmtId="0" fontId="35" fillId="0" borderId="6" xfId="0" applyFont="1" applyBorder="1" applyAlignment="1">
      <alignment horizontal="left"/>
    </xf>
    <xf numFmtId="0" fontId="35" fillId="0" borderId="6" xfId="0" applyFont="1" applyBorder="1" applyAlignment="1"/>
    <xf numFmtId="0" fontId="35" fillId="0" borderId="3" xfId="0" applyFont="1" applyBorder="1" applyAlignment="1"/>
    <xf numFmtId="0" fontId="35" fillId="0" borderId="3" xfId="0" applyFont="1" applyBorder="1" applyAlignment="1">
      <alignment horizontal="left"/>
    </xf>
    <xf numFmtId="0" fontId="18" fillId="0" borderId="0" xfId="0" applyFont="1" applyAlignment="1">
      <alignment horizontal="center"/>
    </xf>
    <xf numFmtId="0" fontId="34" fillId="0" borderId="0" xfId="0" applyFont="1" applyAlignment="1">
      <alignment horizontal="center"/>
    </xf>
    <xf numFmtId="0" fontId="37" fillId="0" borderId="1" xfId="0" applyFont="1" applyBorder="1" applyAlignment="1">
      <alignment horizontal="center"/>
    </xf>
    <xf numFmtId="0" fontId="37" fillId="10" borderId="1" xfId="0" applyFont="1" applyFill="1" applyBorder="1" applyAlignment="1">
      <alignment horizontal="center"/>
    </xf>
    <xf numFmtId="0" fontId="37" fillId="10" borderId="1" xfId="0" applyFont="1" applyFill="1" applyBorder="1" applyAlignment="1">
      <alignment horizontal="left"/>
    </xf>
    <xf numFmtId="0" fontId="17" fillId="0" borderId="1" xfId="0" applyFont="1" applyBorder="1" applyAlignment="1">
      <alignment horizontal="center"/>
    </xf>
    <xf numFmtId="0" fontId="24" fillId="0" borderId="1" xfId="0" applyFont="1" applyBorder="1" applyAlignment="1">
      <alignment horizontal="center"/>
    </xf>
    <xf numFmtId="164" fontId="17" fillId="0" borderId="1" xfId="0" applyNumberFormat="1" applyFont="1" applyBorder="1" applyAlignment="1">
      <alignment horizontal="center"/>
    </xf>
    <xf numFmtId="0" fontId="38" fillId="4" borderId="0" xfId="0" applyFont="1" applyFill="1" applyAlignment="1">
      <alignment horizontal="left"/>
    </xf>
    <xf numFmtId="0" fontId="17" fillId="0" borderId="1" xfId="0" applyFont="1" applyBorder="1" applyAlignment="1">
      <alignment horizontal="left"/>
    </xf>
    <xf numFmtId="0" fontId="24" fillId="0" borderId="1" xfId="0" applyFont="1" applyBorder="1" applyAlignment="1">
      <alignment horizontal="center"/>
    </xf>
    <xf numFmtId="165" fontId="17" fillId="0" borderId="1" xfId="0" applyNumberFormat="1" applyFont="1" applyBorder="1" applyAlignment="1">
      <alignment horizontal="center"/>
    </xf>
    <xf numFmtId="0" fontId="38" fillId="0" borderId="1" xfId="0" applyFont="1" applyBorder="1" applyAlignment="1">
      <alignment horizontal="center"/>
    </xf>
    <xf numFmtId="165" fontId="38" fillId="0" borderId="1" xfId="0" applyNumberFormat="1" applyFont="1" applyBorder="1" applyAlignment="1">
      <alignment horizontal="center"/>
    </xf>
    <xf numFmtId="164" fontId="38" fillId="0" borderId="1" xfId="0" applyNumberFormat="1" applyFont="1" applyBorder="1" applyAlignment="1">
      <alignment horizontal="center"/>
    </xf>
    <xf numFmtId="0" fontId="39" fillId="0" borderId="1" xfId="0" applyFont="1" applyBorder="1" applyAlignment="1">
      <alignment horizontal="center"/>
    </xf>
    <xf numFmtId="0" fontId="39" fillId="10" borderId="1" xfId="0" applyFont="1" applyFill="1" applyBorder="1" applyAlignment="1">
      <alignment horizontal="center"/>
    </xf>
    <xf numFmtId="0" fontId="18" fillId="0" borderId="1" xfId="0" applyFont="1" applyBorder="1" applyAlignment="1">
      <alignment horizontal="center"/>
    </xf>
    <xf numFmtId="0" fontId="17" fillId="0" borderId="1" xfId="0" applyFont="1" applyBorder="1" applyAlignment="1">
      <alignment horizontal="center"/>
    </xf>
    <xf numFmtId="165" fontId="17" fillId="0" borderId="1" xfId="0" applyNumberFormat="1" applyFont="1" applyBorder="1" applyAlignment="1">
      <alignment horizontal="center"/>
    </xf>
    <xf numFmtId="0" fontId="17" fillId="0" borderId="1" xfId="0" applyFont="1" applyBorder="1" applyAlignment="1">
      <alignment horizontal="center"/>
    </xf>
    <xf numFmtId="0" fontId="24" fillId="0" borderId="1" xfId="0" applyFont="1" applyBorder="1" applyAlignment="1">
      <alignment horizontal="left"/>
    </xf>
    <xf numFmtId="0" fontId="24" fillId="0" borderId="1" xfId="0" applyFont="1" applyBorder="1" applyAlignment="1">
      <alignment horizontal="left"/>
    </xf>
    <xf numFmtId="0" fontId="24" fillId="0" borderId="1" xfId="0" applyFont="1" applyBorder="1" applyAlignment="1"/>
    <xf numFmtId="164" fontId="17" fillId="0" borderId="1" xfId="0" applyNumberFormat="1" applyFont="1" applyBorder="1" applyAlignment="1">
      <alignment horizontal="center"/>
    </xf>
    <xf numFmtId="164" fontId="17" fillId="0" borderId="1" xfId="0" applyNumberFormat="1" applyFont="1" applyBorder="1" applyAlignment="1">
      <alignment horizontal="center"/>
    </xf>
    <xf numFmtId="165" fontId="17" fillId="0" borderId="1" xfId="0" applyNumberFormat="1" applyFont="1" applyBorder="1" applyAlignment="1">
      <alignment horizontal="center"/>
    </xf>
    <xf numFmtId="0" fontId="17" fillId="2" borderId="1" xfId="0" applyFont="1" applyFill="1" applyBorder="1" applyAlignment="1">
      <alignment horizontal="center"/>
    </xf>
    <xf numFmtId="165" fontId="17" fillId="2" borderId="1" xfId="0" applyNumberFormat="1" applyFont="1" applyFill="1" applyBorder="1" applyAlignment="1">
      <alignment horizontal="center"/>
    </xf>
    <xf numFmtId="0" fontId="17" fillId="2" borderId="1" xfId="0" applyFont="1" applyFill="1" applyBorder="1" applyAlignment="1">
      <alignment horizontal="left"/>
    </xf>
    <xf numFmtId="0" fontId="17" fillId="2" borderId="1" xfId="0" applyFont="1" applyFill="1" applyBorder="1" applyAlignment="1">
      <alignment horizontal="center"/>
    </xf>
    <xf numFmtId="0" fontId="47" fillId="0" borderId="8" xfId="0" applyFont="1" applyBorder="1" applyAlignment="1">
      <alignment wrapText="1"/>
    </xf>
    <xf numFmtId="0" fontId="47" fillId="0" borderId="8" xfId="0" applyFont="1" applyBorder="1" applyAlignment="1">
      <alignment horizontal="center" vertical="center" wrapText="1"/>
    </xf>
    <xf numFmtId="0" fontId="5" fillId="0" borderId="0" xfId="0" applyFont="1" applyAlignment="1">
      <alignment horizontal="center" vertical="center" wrapText="1"/>
    </xf>
    <xf numFmtId="0" fontId="0" fillId="0" borderId="0" xfId="0" applyFont="1" applyAlignment="1"/>
    <xf numFmtId="0" fontId="35" fillId="0" borderId="7" xfId="0" applyFont="1" applyBorder="1" applyAlignment="1">
      <alignment horizontal="left"/>
    </xf>
    <xf numFmtId="0" fontId="36" fillId="0" borderId="7" xfId="0" applyFont="1" applyBorder="1"/>
    <xf numFmtId="0" fontId="36" fillId="0" borderId="2" xfId="0" applyFont="1" applyBorder="1"/>
    <xf numFmtId="171" fontId="35" fillId="0" borderId="7" xfId="0" applyNumberFormat="1" applyFont="1" applyBorder="1" applyAlignment="1">
      <alignment horizontal="left"/>
    </xf>
    <xf numFmtId="0" fontId="35" fillId="0" borderId="7" xfId="0" applyFont="1" applyBorder="1" applyAlignment="1">
      <alignment horizontal="center"/>
    </xf>
    <xf numFmtId="0" fontId="35" fillId="0" borderId="7" xfId="0" applyFont="1" applyBorder="1" applyAlignment="1">
      <alignment horizontal="right"/>
    </xf>
    <xf numFmtId="0" fontId="35" fillId="0" borderId="7" xfId="0" applyFont="1" applyBorder="1" applyAlignment="1"/>
    <xf numFmtId="0" fontId="35" fillId="0" borderId="4" xfId="0" applyFont="1" applyBorder="1" applyAlignment="1">
      <alignment horizontal="left"/>
    </xf>
    <xf numFmtId="171" fontId="35" fillId="0" borderId="4" xfId="0" applyNumberFormat="1" applyFont="1" applyBorder="1" applyAlignment="1">
      <alignment horizontal="left"/>
    </xf>
    <xf numFmtId="0" fontId="35" fillId="0" borderId="4" xfId="0" applyFont="1" applyBorder="1" applyAlignment="1">
      <alignment horizontal="center"/>
    </xf>
    <xf numFmtId="0" fontId="35" fillId="0" borderId="4"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ptlgiang@ued.udn.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S1834"/>
  <sheetViews>
    <sheetView topLeftCell="A1435" workbookViewId="0">
      <selection activeCell="D480" sqref="D480"/>
    </sheetView>
  </sheetViews>
  <sheetFormatPr defaultColWidth="12.6640625" defaultRowHeight="15.75" customHeight="1"/>
  <cols>
    <col min="1" max="1" width="16.6640625" customWidth="1"/>
    <col min="2" max="2" width="28.77734375" customWidth="1"/>
    <col min="3" max="3" width="28.88671875" customWidth="1"/>
    <col min="4" max="4" width="29.33203125" customWidth="1"/>
    <col min="5" max="5" width="19.33203125" customWidth="1"/>
    <col min="6" max="6" width="19.109375" customWidth="1"/>
    <col min="7" max="7" width="17.33203125" customWidth="1"/>
    <col min="10" max="10" width="53.6640625" customWidth="1"/>
    <col min="11" max="11" width="32.6640625" customWidth="1"/>
  </cols>
  <sheetData>
    <row r="1" spans="1:19" ht="13.8" thickBot="1">
      <c r="A1" s="1" t="s">
        <v>0</v>
      </c>
      <c r="B1" s="1" t="s">
        <v>1</v>
      </c>
      <c r="C1" s="2" t="s">
        <v>2</v>
      </c>
      <c r="D1" s="1" t="s">
        <v>3</v>
      </c>
      <c r="E1" s="1" t="s">
        <v>4</v>
      </c>
      <c r="F1" s="1" t="s">
        <v>5</v>
      </c>
      <c r="G1" s="1" t="s">
        <v>6</v>
      </c>
      <c r="H1" s="1" t="s">
        <v>7</v>
      </c>
      <c r="I1" s="1" t="s">
        <v>8</v>
      </c>
      <c r="J1" s="1" t="s">
        <v>9</v>
      </c>
      <c r="K1" s="1" t="s">
        <v>10</v>
      </c>
      <c r="L1" s="3" t="s">
        <v>11</v>
      </c>
      <c r="M1" s="3" t="s">
        <v>12</v>
      </c>
      <c r="S1" s="4"/>
    </row>
    <row r="2" spans="1:19" ht="52.8" hidden="1">
      <c r="A2" s="5">
        <v>1</v>
      </c>
      <c r="B2" s="5" t="s">
        <v>13</v>
      </c>
      <c r="C2" s="5" t="s">
        <v>13</v>
      </c>
      <c r="D2" s="5" t="s">
        <v>14</v>
      </c>
      <c r="E2" s="5">
        <v>3110124037</v>
      </c>
      <c r="F2" s="5" t="s">
        <v>15</v>
      </c>
      <c r="G2" s="5" t="s">
        <v>16</v>
      </c>
      <c r="H2" s="6"/>
      <c r="I2" s="5" t="s">
        <v>17</v>
      </c>
      <c r="J2" s="6" t="e">
        <f t="shared" ref="J2:J826" ca="1" si="0">IFS(
ISNUMBER(SEARCH("toán",I2)),"Khoa Toán - Tin, Trường ĐHSP",
ISNUMBER(SEARCH("tin",I2)),"Khoa Toán - Tin, Trường ĐHSP",
ISNUMBER(SEARCH("lý",I2)),"Khoa Lý - Hóa, Trường ĐHSP",
ISNUMBER(SEARCH("hóa",I2)),"Khoa Lý - Hóa, Trường ĐHSP",
ISNUMBER(SEARCH("ngữ văn",I2)),"Khoa Ngữ văn - Truyền thông, Trường ĐHSP",
ISNUMBER(SEARCH("sử",I2)),"Khoa Sử - Địa - Chính trị, Trường ĐHSP",
ISNUMBER(SEARCH("địa",I2)),"Khoa Sử - Địa - Chính trị, Trường ĐHSP",
ISNUMBER(SEARCH("chính trị",I2)),"Khoa Sử - Địa - Chính trị, Trường ĐHSP",
ISNUMBER(SEARCH("sinh",I2)),"Khoa Sinh - Nông nghiệp - Môi trường, Trường ĐHSP",
ISNUMBER(SEARCH("tiểu học",I2)),"Khoa Giáo dục Tiểu học - Mầm non, Trường ĐHSP",
ISNUMBER(SEARCH("mầm non",I2)),"Khoa Giáo dục Tiểu học - Mầm non, Trường ĐHSP",
ISNUMBER(SEARCH("nghệ thuật",I2)),"Khoa Giáo dục Nghệ thuật - Thể chất, Trường ĐHSP",
ISNUMBER(SEARCH("tâm lý",I2)),"Khoa Tâm lý - Giáo dục - Công tác Xã hội, Trường ĐHSP"
)</f>
        <v>#NAME?</v>
      </c>
      <c r="K2" s="6" t="e">
        <f ca="1">VLOOKUP(J2,'Bảng Đơn vị'!$A$2:$B$10,2,1)</f>
        <v>#NAME?</v>
      </c>
      <c r="L2" s="7">
        <v>45667</v>
      </c>
      <c r="M2" s="8">
        <v>2025</v>
      </c>
      <c r="S2" s="9"/>
    </row>
    <row r="3" spans="1:19" ht="52.8" hidden="1">
      <c r="A3" s="5">
        <v>2</v>
      </c>
      <c r="B3" s="6"/>
      <c r="C3" s="6" t="str">
        <f t="shared" ref="C3:C826" si="1">IF(B3&lt;&gt;"",B3,C2)</f>
        <v>Phương pháp chỉnh hóa kiểu Tikhonov cho bài toán xác định nguồn trong phương trình đạo hàm riêng</v>
      </c>
      <c r="D3" s="5" t="s">
        <v>18</v>
      </c>
      <c r="E3" s="5">
        <v>3110124020</v>
      </c>
      <c r="F3" s="5" t="s">
        <v>19</v>
      </c>
      <c r="G3" s="6"/>
      <c r="H3" s="6"/>
      <c r="I3" s="5" t="s">
        <v>17</v>
      </c>
      <c r="J3" s="6" t="e">
        <f t="shared" ca="1" si="0"/>
        <v>#NAME?</v>
      </c>
      <c r="K3" s="6" t="e">
        <f ca="1">VLOOKUP(J3,'Bảng Đơn vị'!$A$2:$B$10,2,1)</f>
        <v>#NAME?</v>
      </c>
      <c r="L3" s="7">
        <v>45668</v>
      </c>
      <c r="M3" s="8">
        <v>2025</v>
      </c>
      <c r="S3" s="9"/>
    </row>
    <row r="4" spans="1:19" ht="52.8" hidden="1">
      <c r="A4" s="5">
        <v>3</v>
      </c>
      <c r="B4" s="6"/>
      <c r="C4" s="6" t="str">
        <f t="shared" si="1"/>
        <v>Phương pháp chỉnh hóa kiểu Tikhonov cho bài toán xác định nguồn trong phương trình đạo hàm riêng</v>
      </c>
      <c r="D4" s="5" t="s">
        <v>20</v>
      </c>
      <c r="E4" s="5">
        <v>3110124007</v>
      </c>
      <c r="F4" s="5" t="s">
        <v>15</v>
      </c>
      <c r="G4" s="6"/>
      <c r="H4" s="6"/>
      <c r="I4" s="5" t="s">
        <v>17</v>
      </c>
      <c r="J4" s="6" t="e">
        <f t="shared" ca="1" si="0"/>
        <v>#NAME?</v>
      </c>
      <c r="K4" s="6" t="e">
        <f ca="1">VLOOKUP(J4,'Bảng Đơn vị'!$A$2:$B$10,2,1)</f>
        <v>#NAME?</v>
      </c>
      <c r="L4" s="7">
        <v>45669</v>
      </c>
      <c r="M4" s="8">
        <v>2025</v>
      </c>
      <c r="S4" s="9"/>
    </row>
    <row r="5" spans="1:19" ht="52.8" hidden="1">
      <c r="A5" s="5">
        <v>4</v>
      </c>
      <c r="B5" s="6"/>
      <c r="C5" s="6" t="str">
        <f t="shared" si="1"/>
        <v>Phương pháp chỉnh hóa kiểu Tikhonov cho bài toán xác định nguồn trong phương trình đạo hàm riêng</v>
      </c>
      <c r="D5" s="5" t="s">
        <v>21</v>
      </c>
      <c r="E5" s="5">
        <v>3110121144</v>
      </c>
      <c r="F5" s="5" t="s">
        <v>22</v>
      </c>
      <c r="G5" s="6"/>
      <c r="H5" s="6"/>
      <c r="I5" s="5" t="s">
        <v>17</v>
      </c>
      <c r="J5" s="6" t="e">
        <f t="shared" ca="1" si="0"/>
        <v>#NAME?</v>
      </c>
      <c r="K5" s="6" t="e">
        <f ca="1">VLOOKUP(J5,'Bảng Đơn vị'!$A$2:$B$10,2,1)</f>
        <v>#NAME?</v>
      </c>
      <c r="L5" s="7">
        <v>45670</v>
      </c>
      <c r="M5" s="8">
        <v>2025</v>
      </c>
      <c r="S5" s="9"/>
    </row>
    <row r="6" spans="1:19" ht="52.8" hidden="1">
      <c r="A6" s="5">
        <v>5</v>
      </c>
      <c r="B6" s="6"/>
      <c r="C6" s="6" t="str">
        <f t="shared" si="1"/>
        <v>Phương pháp chỉnh hóa kiểu Tikhonov cho bài toán xác định nguồn trong phương trình đạo hàm riêng</v>
      </c>
      <c r="D6" s="5" t="s">
        <v>23</v>
      </c>
      <c r="E6" s="5">
        <v>3110124044</v>
      </c>
      <c r="F6" s="5" t="s">
        <v>19</v>
      </c>
      <c r="G6" s="6"/>
      <c r="H6" s="6"/>
      <c r="I6" s="5" t="s">
        <v>17</v>
      </c>
      <c r="J6" s="6" t="e">
        <f t="shared" ca="1" si="0"/>
        <v>#NAME?</v>
      </c>
      <c r="K6" s="6" t="e">
        <f ca="1">VLOOKUP(J6,'Bảng Đơn vị'!$A$2:$B$10,2,1)</f>
        <v>#NAME?</v>
      </c>
      <c r="L6" s="7">
        <v>45671</v>
      </c>
      <c r="M6" s="8">
        <v>2025</v>
      </c>
      <c r="S6" s="9"/>
    </row>
    <row r="7" spans="1:19" ht="26.4" hidden="1">
      <c r="A7" s="5">
        <v>6</v>
      </c>
      <c r="B7" s="5" t="s">
        <v>24</v>
      </c>
      <c r="C7" s="6" t="str">
        <f t="shared" si="1"/>
        <v>Đạo hàm Newton cho hàm một biến số thực và ứng dụng</v>
      </c>
      <c r="D7" s="5" t="s">
        <v>25</v>
      </c>
      <c r="E7" s="5">
        <v>3110124050</v>
      </c>
      <c r="F7" s="5" t="s">
        <v>19</v>
      </c>
      <c r="G7" s="5" t="s">
        <v>16</v>
      </c>
      <c r="H7" s="6"/>
      <c r="I7" s="5" t="s">
        <v>17</v>
      </c>
      <c r="J7" s="6" t="e">
        <f t="shared" ca="1" si="0"/>
        <v>#NAME?</v>
      </c>
      <c r="K7" s="6" t="e">
        <f ca="1">VLOOKUP(J7,'Bảng Đơn vị'!$A$2:$B$10,2,1)</f>
        <v>#NAME?</v>
      </c>
      <c r="L7" s="7">
        <v>45672</v>
      </c>
      <c r="M7" s="8">
        <v>2025</v>
      </c>
      <c r="S7" s="9"/>
    </row>
    <row r="8" spans="1:19" ht="26.4" hidden="1">
      <c r="A8" s="5">
        <v>7</v>
      </c>
      <c r="B8" s="6"/>
      <c r="C8" s="6" t="str">
        <f t="shared" si="1"/>
        <v>Đạo hàm Newton cho hàm một biến số thực và ứng dụng</v>
      </c>
      <c r="D8" s="5" t="s">
        <v>26</v>
      </c>
      <c r="E8" s="5">
        <v>3110124065</v>
      </c>
      <c r="F8" s="6"/>
      <c r="G8" s="6"/>
      <c r="H8" s="6"/>
      <c r="I8" s="5" t="s">
        <v>17</v>
      </c>
      <c r="J8" s="6" t="e">
        <f t="shared" ca="1" si="0"/>
        <v>#NAME?</v>
      </c>
      <c r="K8" s="6" t="e">
        <f ca="1">VLOOKUP(J8,'Bảng Đơn vị'!$A$2:$B$10,2,1)</f>
        <v>#NAME?</v>
      </c>
      <c r="L8" s="7">
        <v>45673</v>
      </c>
      <c r="M8" s="8">
        <v>2025</v>
      </c>
      <c r="S8" s="9"/>
    </row>
    <row r="9" spans="1:19" ht="26.4" hidden="1">
      <c r="A9" s="5">
        <v>8</v>
      </c>
      <c r="B9" s="6"/>
      <c r="C9" s="6" t="str">
        <f t="shared" si="1"/>
        <v>Đạo hàm Newton cho hàm một biến số thực và ứng dụng</v>
      </c>
      <c r="D9" s="5" t="s">
        <v>27</v>
      </c>
      <c r="E9" s="5">
        <v>3110124090</v>
      </c>
      <c r="F9" s="6"/>
      <c r="G9" s="6"/>
      <c r="H9" s="6"/>
      <c r="I9" s="5" t="s">
        <v>17</v>
      </c>
      <c r="J9" s="6" t="e">
        <f t="shared" ca="1" si="0"/>
        <v>#NAME?</v>
      </c>
      <c r="K9" s="6" t="e">
        <f ca="1">VLOOKUP(J9,'Bảng Đơn vị'!$A$2:$B$10,2,1)</f>
        <v>#NAME?</v>
      </c>
      <c r="L9" s="7">
        <v>45674</v>
      </c>
      <c r="M9" s="8">
        <v>2025</v>
      </c>
      <c r="S9" s="9"/>
    </row>
    <row r="10" spans="1:19" ht="26.4" hidden="1">
      <c r="A10" s="5">
        <v>9</v>
      </c>
      <c r="B10" s="6"/>
      <c r="C10" s="6" t="str">
        <f t="shared" si="1"/>
        <v>Đạo hàm Newton cho hàm một biến số thực và ứng dụng</v>
      </c>
      <c r="D10" s="5" t="s">
        <v>28</v>
      </c>
      <c r="E10" s="5">
        <v>3110124002</v>
      </c>
      <c r="F10" s="6"/>
      <c r="G10" s="6"/>
      <c r="H10" s="6"/>
      <c r="I10" s="5" t="s">
        <v>17</v>
      </c>
      <c r="J10" s="6" t="e">
        <f t="shared" ca="1" si="0"/>
        <v>#NAME?</v>
      </c>
      <c r="K10" s="6" t="e">
        <f ca="1">VLOOKUP(J10,'Bảng Đơn vị'!$A$2:$B$10,2,1)</f>
        <v>#NAME?</v>
      </c>
      <c r="L10" s="7">
        <v>45675</v>
      </c>
      <c r="M10" s="8">
        <v>2025</v>
      </c>
      <c r="S10" s="9"/>
    </row>
    <row r="11" spans="1:19" ht="26.4" hidden="1">
      <c r="A11" s="5">
        <v>10</v>
      </c>
      <c r="B11" s="6"/>
      <c r="C11" s="6" t="str">
        <f t="shared" si="1"/>
        <v>Đạo hàm Newton cho hàm một biến số thực và ứng dụng</v>
      </c>
      <c r="D11" s="5" t="s">
        <v>29</v>
      </c>
      <c r="E11" s="5">
        <v>3110124034</v>
      </c>
      <c r="F11" s="6"/>
      <c r="G11" s="6"/>
      <c r="H11" s="6"/>
      <c r="I11" s="5" t="s">
        <v>17</v>
      </c>
      <c r="J11" s="6" t="e">
        <f t="shared" ca="1" si="0"/>
        <v>#NAME?</v>
      </c>
      <c r="K11" s="6" t="e">
        <f ca="1">VLOOKUP(J11,'Bảng Đơn vị'!$A$2:$B$10,2,1)</f>
        <v>#NAME?</v>
      </c>
      <c r="L11" s="7">
        <v>45676</v>
      </c>
      <c r="M11" s="8">
        <v>2025</v>
      </c>
      <c r="S11" s="9"/>
    </row>
    <row r="12" spans="1:19" ht="26.4" hidden="1">
      <c r="A12" s="5">
        <v>11</v>
      </c>
      <c r="B12" s="5" t="s">
        <v>30</v>
      </c>
      <c r="C12" s="6" t="str">
        <f t="shared" si="1"/>
        <v>Vấn đề xấp xỉ trơn hàm điều hoà dưới một biến phức</v>
      </c>
      <c r="D12" s="5" t="s">
        <v>31</v>
      </c>
      <c r="E12" s="5">
        <v>3110123084</v>
      </c>
      <c r="F12" s="5" t="s">
        <v>32</v>
      </c>
      <c r="G12" s="5" t="s">
        <v>33</v>
      </c>
      <c r="H12" s="6"/>
      <c r="I12" s="5" t="s">
        <v>17</v>
      </c>
      <c r="J12" s="6" t="e">
        <f t="shared" ca="1" si="0"/>
        <v>#NAME?</v>
      </c>
      <c r="K12" s="6" t="e">
        <f ca="1">VLOOKUP(J12,'Bảng Đơn vị'!$A$2:$B$10,2,1)</f>
        <v>#NAME?</v>
      </c>
      <c r="L12" s="7">
        <v>45677</v>
      </c>
      <c r="M12" s="8">
        <v>2025</v>
      </c>
      <c r="S12" s="9"/>
    </row>
    <row r="13" spans="1:19" ht="26.4" hidden="1">
      <c r="A13" s="5">
        <v>12</v>
      </c>
      <c r="B13" s="6"/>
      <c r="C13" s="6" t="str">
        <f t="shared" si="1"/>
        <v>Vấn đề xấp xỉ trơn hàm điều hoà dưới một biến phức</v>
      </c>
      <c r="D13" s="5" t="s">
        <v>34</v>
      </c>
      <c r="E13" s="5">
        <v>3110123076</v>
      </c>
      <c r="F13" s="5" t="s">
        <v>32</v>
      </c>
      <c r="G13" s="6"/>
      <c r="H13" s="6"/>
      <c r="I13" s="5" t="s">
        <v>17</v>
      </c>
      <c r="J13" s="6" t="e">
        <f t="shared" ca="1" si="0"/>
        <v>#NAME?</v>
      </c>
      <c r="K13" s="6" t="e">
        <f ca="1">VLOOKUP(J13,'Bảng Đơn vị'!$A$2:$B$10,2,1)</f>
        <v>#NAME?</v>
      </c>
      <c r="L13" s="7">
        <v>45678</v>
      </c>
      <c r="M13" s="8">
        <v>2025</v>
      </c>
      <c r="S13" s="9"/>
    </row>
    <row r="14" spans="1:19" ht="26.4" hidden="1">
      <c r="A14" s="5">
        <v>13</v>
      </c>
      <c r="B14" s="6"/>
      <c r="C14" s="6" t="str">
        <f t="shared" si="1"/>
        <v>Vấn đề xấp xỉ trơn hàm điều hoà dưới một biến phức</v>
      </c>
      <c r="D14" s="5" t="s">
        <v>35</v>
      </c>
      <c r="E14" s="5">
        <v>3110123057</v>
      </c>
      <c r="F14" s="5" t="s">
        <v>32</v>
      </c>
      <c r="G14" s="6"/>
      <c r="H14" s="6"/>
      <c r="I14" s="5" t="s">
        <v>17</v>
      </c>
      <c r="J14" s="6" t="e">
        <f t="shared" ca="1" si="0"/>
        <v>#NAME?</v>
      </c>
      <c r="K14" s="6" t="e">
        <f ca="1">VLOOKUP(J14,'Bảng Đơn vị'!$A$2:$B$10,2,1)</f>
        <v>#NAME?</v>
      </c>
      <c r="L14" s="7">
        <v>45679</v>
      </c>
      <c r="M14" s="8">
        <v>2025</v>
      </c>
      <c r="S14" s="9"/>
    </row>
    <row r="15" spans="1:19" ht="26.4" hidden="1">
      <c r="A15" s="5">
        <v>14</v>
      </c>
      <c r="B15" s="6"/>
      <c r="C15" s="6" t="str">
        <f t="shared" si="1"/>
        <v>Vấn đề xấp xỉ trơn hàm điều hoà dưới một biến phức</v>
      </c>
      <c r="D15" s="5" t="s">
        <v>36</v>
      </c>
      <c r="E15" s="5">
        <v>3110123082</v>
      </c>
      <c r="F15" s="5" t="s">
        <v>32</v>
      </c>
      <c r="G15" s="6"/>
      <c r="H15" s="6"/>
      <c r="I15" s="5" t="s">
        <v>17</v>
      </c>
      <c r="J15" s="6" t="e">
        <f t="shared" ca="1" si="0"/>
        <v>#NAME?</v>
      </c>
      <c r="K15" s="6" t="e">
        <f ca="1">VLOOKUP(J15,'Bảng Đơn vị'!$A$2:$B$10,2,1)</f>
        <v>#NAME?</v>
      </c>
      <c r="L15" s="7">
        <v>45680</v>
      </c>
      <c r="M15" s="8">
        <v>2025</v>
      </c>
      <c r="S15" s="9"/>
    </row>
    <row r="16" spans="1:19" ht="26.4" hidden="1">
      <c r="A16" s="5">
        <v>15</v>
      </c>
      <c r="B16" s="6"/>
      <c r="C16" s="6" t="str">
        <f t="shared" si="1"/>
        <v>Vấn đề xấp xỉ trơn hàm điều hoà dưới một biến phức</v>
      </c>
      <c r="D16" s="5" t="s">
        <v>37</v>
      </c>
      <c r="E16" s="5">
        <v>3110121044</v>
      </c>
      <c r="F16" s="5" t="s">
        <v>38</v>
      </c>
      <c r="G16" s="6"/>
      <c r="H16" s="6"/>
      <c r="I16" s="5" t="s">
        <v>17</v>
      </c>
      <c r="J16" s="6" t="e">
        <f t="shared" ca="1" si="0"/>
        <v>#NAME?</v>
      </c>
      <c r="K16" s="6" t="e">
        <f ca="1">VLOOKUP(J16,'Bảng Đơn vị'!$A$2:$B$10,2,1)</f>
        <v>#NAME?</v>
      </c>
      <c r="L16" s="7">
        <v>45681</v>
      </c>
      <c r="M16" s="8">
        <v>2025</v>
      </c>
      <c r="S16" s="9"/>
    </row>
    <row r="17" spans="1:19" ht="39.6" hidden="1">
      <c r="A17" s="5">
        <v>16</v>
      </c>
      <c r="B17" s="5" t="s">
        <v>39</v>
      </c>
      <c r="C17" s="6" t="str">
        <f t="shared" si="1"/>
        <v>Ứng dụng thuật toán Euclid khai triển liên phân số của số thực và lập mật mã</v>
      </c>
      <c r="D17" s="5" t="s">
        <v>40</v>
      </c>
      <c r="E17" s="5">
        <v>3110123059</v>
      </c>
      <c r="F17" s="5" t="s">
        <v>32</v>
      </c>
      <c r="G17" s="5" t="s">
        <v>33</v>
      </c>
      <c r="H17" s="6"/>
      <c r="I17" s="5" t="s">
        <v>17</v>
      </c>
      <c r="J17" s="6" t="e">
        <f t="shared" ca="1" si="0"/>
        <v>#NAME?</v>
      </c>
      <c r="K17" s="6" t="e">
        <f ca="1">VLOOKUP(J17,'Bảng Đơn vị'!$A$2:$B$10,2,1)</f>
        <v>#NAME?</v>
      </c>
      <c r="L17" s="7">
        <v>45682</v>
      </c>
      <c r="M17" s="8">
        <v>2025</v>
      </c>
      <c r="S17" s="9"/>
    </row>
    <row r="18" spans="1:19" ht="39.6" hidden="1">
      <c r="A18" s="5">
        <v>17</v>
      </c>
      <c r="B18" s="6"/>
      <c r="C18" s="6" t="str">
        <f t="shared" si="1"/>
        <v>Ứng dụng thuật toán Euclid khai triển liên phân số của số thực và lập mật mã</v>
      </c>
      <c r="D18" s="5" t="s">
        <v>41</v>
      </c>
      <c r="E18" s="5">
        <v>3110123019</v>
      </c>
      <c r="F18" s="5" t="s">
        <v>32</v>
      </c>
      <c r="G18" s="6"/>
      <c r="H18" s="6"/>
      <c r="I18" s="5" t="s">
        <v>17</v>
      </c>
      <c r="J18" s="6" t="e">
        <f t="shared" ca="1" si="0"/>
        <v>#NAME?</v>
      </c>
      <c r="K18" s="6" t="e">
        <f ca="1">VLOOKUP(J18,'Bảng Đơn vị'!$A$2:$B$10,2,1)</f>
        <v>#NAME?</v>
      </c>
      <c r="L18" s="7">
        <v>45683</v>
      </c>
      <c r="M18" s="8">
        <v>2025</v>
      </c>
      <c r="S18" s="9"/>
    </row>
    <row r="19" spans="1:19" ht="39.6" hidden="1">
      <c r="A19" s="5">
        <v>18</v>
      </c>
      <c r="B19" s="6"/>
      <c r="C19" s="6" t="str">
        <f t="shared" si="1"/>
        <v>Ứng dụng thuật toán Euclid khai triển liên phân số của số thực và lập mật mã</v>
      </c>
      <c r="D19" s="5" t="s">
        <v>42</v>
      </c>
      <c r="E19" s="5">
        <v>3110123005</v>
      </c>
      <c r="F19" s="5" t="s">
        <v>32</v>
      </c>
      <c r="G19" s="6"/>
      <c r="H19" s="6"/>
      <c r="I19" s="5" t="s">
        <v>17</v>
      </c>
      <c r="J19" s="6" t="e">
        <f t="shared" ca="1" si="0"/>
        <v>#NAME?</v>
      </c>
      <c r="K19" s="6" t="e">
        <f ca="1">VLOOKUP(J19,'Bảng Đơn vị'!$A$2:$B$10,2,1)</f>
        <v>#NAME?</v>
      </c>
      <c r="L19" s="7">
        <v>45684</v>
      </c>
      <c r="M19" s="8">
        <v>2025</v>
      </c>
      <c r="S19" s="9"/>
    </row>
    <row r="20" spans="1:19" ht="39.6" hidden="1">
      <c r="A20" s="5">
        <v>19</v>
      </c>
      <c r="B20" s="6"/>
      <c r="C20" s="6" t="str">
        <f t="shared" si="1"/>
        <v>Ứng dụng thuật toán Euclid khai triển liên phân số của số thực và lập mật mã</v>
      </c>
      <c r="D20" s="5" t="s">
        <v>43</v>
      </c>
      <c r="E20" s="5">
        <v>3110122004</v>
      </c>
      <c r="F20" s="5" t="s">
        <v>44</v>
      </c>
      <c r="G20" s="6"/>
      <c r="H20" s="6"/>
      <c r="I20" s="5" t="s">
        <v>17</v>
      </c>
      <c r="J20" s="6" t="e">
        <f t="shared" ca="1" si="0"/>
        <v>#NAME?</v>
      </c>
      <c r="K20" s="6" t="e">
        <f ca="1">VLOOKUP(J20,'Bảng Đơn vị'!$A$2:$B$10,2,1)</f>
        <v>#NAME?</v>
      </c>
      <c r="L20" s="7">
        <v>45685</v>
      </c>
      <c r="M20" s="8">
        <v>2025</v>
      </c>
      <c r="S20" s="9"/>
    </row>
    <row r="21" spans="1:19" ht="39.6" hidden="1">
      <c r="A21" s="5">
        <v>20</v>
      </c>
      <c r="B21" s="6"/>
      <c r="C21" s="6" t="str">
        <f t="shared" si="1"/>
        <v>Ứng dụng thuật toán Euclid khai triển liên phân số của số thực và lập mật mã</v>
      </c>
      <c r="D21" s="5" t="s">
        <v>45</v>
      </c>
      <c r="E21" s="5">
        <v>3110122078</v>
      </c>
      <c r="F21" s="5" t="s">
        <v>44</v>
      </c>
      <c r="G21" s="6"/>
      <c r="H21" s="6"/>
      <c r="I21" s="5" t="s">
        <v>17</v>
      </c>
      <c r="J21" s="6" t="e">
        <f t="shared" ca="1" si="0"/>
        <v>#NAME?</v>
      </c>
      <c r="K21" s="6" t="e">
        <f ca="1">VLOOKUP(J21,'Bảng Đơn vị'!$A$2:$B$10,2,1)</f>
        <v>#NAME?</v>
      </c>
      <c r="L21" s="7">
        <v>45686</v>
      </c>
      <c r="M21" s="8">
        <v>2025</v>
      </c>
      <c r="S21" s="9"/>
    </row>
    <row r="22" spans="1:19" ht="39.6" hidden="1">
      <c r="A22" s="5">
        <v>21</v>
      </c>
      <c r="B22" s="5" t="s">
        <v>46</v>
      </c>
      <c r="C22" s="6" t="str">
        <f t="shared" si="1"/>
        <v>Vấn đề kiểm duyệt dữ liệu trong nội dung thống kê ở cấp trung học cơ sở</v>
      </c>
      <c r="D22" s="5" t="s">
        <v>47</v>
      </c>
      <c r="E22" s="5">
        <v>3110122039</v>
      </c>
      <c r="F22" s="5" t="s">
        <v>44</v>
      </c>
      <c r="G22" s="5" t="s">
        <v>48</v>
      </c>
      <c r="H22" s="6"/>
      <c r="I22" s="5" t="s">
        <v>17</v>
      </c>
      <c r="J22" s="6" t="e">
        <f t="shared" ca="1" si="0"/>
        <v>#NAME?</v>
      </c>
      <c r="K22" s="6" t="e">
        <f ca="1">VLOOKUP(J22,'Bảng Đơn vị'!$A$2:$B$10,2,1)</f>
        <v>#NAME?</v>
      </c>
      <c r="L22" s="7">
        <v>45687</v>
      </c>
      <c r="M22" s="8">
        <v>2025</v>
      </c>
      <c r="S22" s="9"/>
    </row>
    <row r="23" spans="1:19" ht="39.6" hidden="1">
      <c r="A23" s="5">
        <v>22</v>
      </c>
      <c r="B23" s="6"/>
      <c r="C23" s="6" t="str">
        <f t="shared" si="1"/>
        <v>Vấn đề kiểm duyệt dữ liệu trong nội dung thống kê ở cấp trung học cơ sở</v>
      </c>
      <c r="D23" s="5" t="s">
        <v>49</v>
      </c>
      <c r="E23" s="5">
        <v>3110122006</v>
      </c>
      <c r="F23" s="5" t="s">
        <v>44</v>
      </c>
      <c r="G23" s="6"/>
      <c r="H23" s="6"/>
      <c r="I23" s="5" t="s">
        <v>17</v>
      </c>
      <c r="J23" s="6" t="e">
        <f t="shared" ca="1" si="0"/>
        <v>#NAME?</v>
      </c>
      <c r="K23" s="6" t="e">
        <f ca="1">VLOOKUP(J23,'Bảng Đơn vị'!$A$2:$B$10,2,1)</f>
        <v>#NAME?</v>
      </c>
      <c r="L23" s="7">
        <v>45688</v>
      </c>
      <c r="M23" s="8">
        <v>2025</v>
      </c>
      <c r="S23" s="9"/>
    </row>
    <row r="24" spans="1:19" ht="39.6" hidden="1">
      <c r="A24" s="5">
        <v>23</v>
      </c>
      <c r="B24" s="6"/>
      <c r="C24" s="6" t="str">
        <f t="shared" si="1"/>
        <v>Vấn đề kiểm duyệt dữ liệu trong nội dung thống kê ở cấp trung học cơ sở</v>
      </c>
      <c r="D24" s="5" t="s">
        <v>50</v>
      </c>
      <c r="E24" s="5">
        <v>3110123068</v>
      </c>
      <c r="F24" s="5" t="s">
        <v>32</v>
      </c>
      <c r="G24" s="6"/>
      <c r="H24" s="6"/>
      <c r="I24" s="5" t="s">
        <v>17</v>
      </c>
      <c r="J24" s="6" t="e">
        <f t="shared" ca="1" si="0"/>
        <v>#NAME?</v>
      </c>
      <c r="K24" s="6" t="e">
        <f ca="1">VLOOKUP(J24,'Bảng Đơn vị'!$A$2:$B$10,2,1)</f>
        <v>#NAME?</v>
      </c>
      <c r="L24" s="7">
        <v>45689</v>
      </c>
      <c r="M24" s="8">
        <v>2025</v>
      </c>
      <c r="S24" s="9"/>
    </row>
    <row r="25" spans="1:19" ht="39.6" hidden="1">
      <c r="A25" s="5">
        <v>24</v>
      </c>
      <c r="B25" s="6"/>
      <c r="C25" s="6" t="str">
        <f t="shared" si="1"/>
        <v>Vấn đề kiểm duyệt dữ liệu trong nội dung thống kê ở cấp trung học cơ sở</v>
      </c>
      <c r="D25" s="5" t="s">
        <v>51</v>
      </c>
      <c r="E25" s="5">
        <v>3110124035</v>
      </c>
      <c r="F25" s="5" t="s">
        <v>15</v>
      </c>
      <c r="G25" s="6"/>
      <c r="H25" s="6"/>
      <c r="I25" s="5" t="s">
        <v>17</v>
      </c>
      <c r="J25" s="6" t="e">
        <f t="shared" ca="1" si="0"/>
        <v>#NAME?</v>
      </c>
      <c r="K25" s="6" t="e">
        <f ca="1">VLOOKUP(J25,'Bảng Đơn vị'!$A$2:$B$10,2,1)</f>
        <v>#NAME?</v>
      </c>
      <c r="L25" s="7">
        <v>45690</v>
      </c>
      <c r="M25" s="8">
        <v>2025</v>
      </c>
      <c r="S25" s="9"/>
    </row>
    <row r="26" spans="1:19" ht="39.6" hidden="1">
      <c r="A26" s="5">
        <v>25</v>
      </c>
      <c r="B26" s="6"/>
      <c r="C26" s="6" t="str">
        <f t="shared" si="1"/>
        <v>Vấn đề kiểm duyệt dữ liệu trong nội dung thống kê ở cấp trung học cơ sở</v>
      </c>
      <c r="D26" s="5" t="s">
        <v>52</v>
      </c>
      <c r="E26" s="5">
        <v>3110124019</v>
      </c>
      <c r="F26" s="5" t="s">
        <v>15</v>
      </c>
      <c r="G26" s="6"/>
      <c r="H26" s="6"/>
      <c r="I26" s="5" t="s">
        <v>17</v>
      </c>
      <c r="J26" s="6" t="e">
        <f t="shared" ca="1" si="0"/>
        <v>#NAME?</v>
      </c>
      <c r="K26" s="6" t="e">
        <f ca="1">VLOOKUP(J26,'Bảng Đơn vị'!$A$2:$B$10,2,1)</f>
        <v>#NAME?</v>
      </c>
      <c r="L26" s="7">
        <v>45691</v>
      </c>
      <c r="M26" s="8">
        <v>2025</v>
      </c>
      <c r="S26" s="9"/>
    </row>
    <row r="27" spans="1:19" ht="26.4" hidden="1">
      <c r="A27" s="5">
        <v>26</v>
      </c>
      <c r="B27" s="5" t="s">
        <v>53</v>
      </c>
      <c r="C27" s="6" t="str">
        <f t="shared" si="1"/>
        <v>Thuật toán K-means và ứng dụng</v>
      </c>
      <c r="D27" s="5" t="s">
        <v>54</v>
      </c>
      <c r="E27" s="5">
        <v>3110524016</v>
      </c>
      <c r="F27" s="5" t="s">
        <v>55</v>
      </c>
      <c r="G27" s="5" t="s">
        <v>48</v>
      </c>
      <c r="H27" s="6"/>
      <c r="I27" s="5" t="s">
        <v>17</v>
      </c>
      <c r="J27" s="6" t="e">
        <f t="shared" ca="1" si="0"/>
        <v>#NAME?</v>
      </c>
      <c r="K27" s="6" t="e">
        <f ca="1">VLOOKUP(J27,'Bảng Đơn vị'!$A$2:$B$10,2,1)</f>
        <v>#NAME?</v>
      </c>
      <c r="L27" s="7">
        <v>45692</v>
      </c>
      <c r="M27" s="8">
        <v>2025</v>
      </c>
      <c r="S27" s="9"/>
    </row>
    <row r="28" spans="1:19" ht="26.4" hidden="1">
      <c r="A28" s="5">
        <v>27</v>
      </c>
      <c r="B28" s="6"/>
      <c r="C28" s="6" t="str">
        <f t="shared" si="1"/>
        <v>Thuật toán K-means và ứng dụng</v>
      </c>
      <c r="D28" s="5" t="s">
        <v>56</v>
      </c>
      <c r="E28" s="5">
        <v>3110524008</v>
      </c>
      <c r="F28" s="6"/>
      <c r="G28" s="6"/>
      <c r="H28" s="6"/>
      <c r="I28" s="5" t="s">
        <v>17</v>
      </c>
      <c r="J28" s="6" t="e">
        <f t="shared" ca="1" si="0"/>
        <v>#NAME?</v>
      </c>
      <c r="K28" s="6" t="e">
        <f ca="1">VLOOKUP(J28,'Bảng Đơn vị'!$A$2:$B$10,2,1)</f>
        <v>#NAME?</v>
      </c>
      <c r="L28" s="7">
        <v>45693</v>
      </c>
      <c r="M28" s="8">
        <v>2025</v>
      </c>
      <c r="S28" s="9"/>
    </row>
    <row r="29" spans="1:19" ht="26.4" hidden="1">
      <c r="A29" s="5">
        <v>28</v>
      </c>
      <c r="B29" s="6"/>
      <c r="C29" s="6" t="str">
        <f t="shared" si="1"/>
        <v>Thuật toán K-means và ứng dụng</v>
      </c>
      <c r="D29" s="5" t="s">
        <v>57</v>
      </c>
      <c r="E29" s="5">
        <v>3110524006</v>
      </c>
      <c r="F29" s="6"/>
      <c r="G29" s="6"/>
      <c r="H29" s="6"/>
      <c r="I29" s="5" t="s">
        <v>17</v>
      </c>
      <c r="J29" s="6" t="e">
        <f t="shared" ca="1" si="0"/>
        <v>#NAME?</v>
      </c>
      <c r="K29" s="6" t="e">
        <f ca="1">VLOOKUP(J29,'Bảng Đơn vị'!$A$2:$B$10,2,1)</f>
        <v>#NAME?</v>
      </c>
      <c r="L29" s="7">
        <v>45694</v>
      </c>
      <c r="M29" s="8">
        <v>2025</v>
      </c>
      <c r="S29" s="9"/>
    </row>
    <row r="30" spans="1:19" ht="26.4" hidden="1">
      <c r="A30" s="5">
        <v>29</v>
      </c>
      <c r="B30" s="6"/>
      <c r="C30" s="6" t="str">
        <f t="shared" si="1"/>
        <v>Thuật toán K-means và ứng dụng</v>
      </c>
      <c r="D30" s="5" t="s">
        <v>58</v>
      </c>
      <c r="E30" s="5">
        <v>3110524032</v>
      </c>
      <c r="F30" s="6"/>
      <c r="G30" s="6"/>
      <c r="H30" s="6"/>
      <c r="I30" s="5" t="s">
        <v>17</v>
      </c>
      <c r="J30" s="6" t="e">
        <f t="shared" ca="1" si="0"/>
        <v>#NAME?</v>
      </c>
      <c r="K30" s="6" t="e">
        <f ca="1">VLOOKUP(J30,'Bảng Đơn vị'!$A$2:$B$10,2,1)</f>
        <v>#NAME?</v>
      </c>
      <c r="L30" s="7">
        <v>45695</v>
      </c>
      <c r="M30" s="8">
        <v>2025</v>
      </c>
      <c r="S30" s="9"/>
    </row>
    <row r="31" spans="1:19" ht="26.4" hidden="1">
      <c r="A31" s="5">
        <v>30</v>
      </c>
      <c r="B31" s="6"/>
      <c r="C31" s="6" t="str">
        <f t="shared" si="1"/>
        <v>Thuật toán K-means và ứng dụng</v>
      </c>
      <c r="D31" s="5" t="s">
        <v>59</v>
      </c>
      <c r="E31" s="5">
        <v>3110524011</v>
      </c>
      <c r="F31" s="6"/>
      <c r="G31" s="6"/>
      <c r="H31" s="6"/>
      <c r="I31" s="5" t="s">
        <v>17</v>
      </c>
      <c r="J31" s="6" t="e">
        <f t="shared" ca="1" si="0"/>
        <v>#NAME?</v>
      </c>
      <c r="K31" s="6" t="e">
        <f ca="1">VLOOKUP(J31,'Bảng Đơn vị'!$A$2:$B$10,2,1)</f>
        <v>#NAME?</v>
      </c>
      <c r="L31" s="7">
        <v>45696</v>
      </c>
      <c r="M31" s="8">
        <v>2025</v>
      </c>
      <c r="S31" s="9"/>
    </row>
    <row r="32" spans="1:19" ht="39.6" hidden="1">
      <c r="A32" s="5">
        <v>31</v>
      </c>
      <c r="B32" s="5" t="s">
        <v>60</v>
      </c>
      <c r="C32" s="6" t="str">
        <f t="shared" si="1"/>
        <v>Mối quan hệ giữa các phủ trong không gian topo X với các phủ trong siêu không gian của X</v>
      </c>
      <c r="D32" s="5" t="s">
        <v>61</v>
      </c>
      <c r="E32" s="5">
        <v>3110121142</v>
      </c>
      <c r="F32" s="5" t="s">
        <v>22</v>
      </c>
      <c r="G32" s="5" t="s">
        <v>62</v>
      </c>
      <c r="H32" s="6"/>
      <c r="I32" s="5" t="s">
        <v>17</v>
      </c>
      <c r="J32" s="6" t="e">
        <f t="shared" ca="1" si="0"/>
        <v>#NAME?</v>
      </c>
      <c r="K32" s="6" t="e">
        <f ca="1">VLOOKUP(J32,'Bảng Đơn vị'!$A$2:$B$10,2,1)</f>
        <v>#NAME?</v>
      </c>
      <c r="L32" s="7">
        <v>45697</v>
      </c>
      <c r="M32" s="8">
        <v>2025</v>
      </c>
      <c r="S32" s="9"/>
    </row>
    <row r="33" spans="1:19" ht="39.6" hidden="1">
      <c r="A33" s="5">
        <v>32</v>
      </c>
      <c r="B33" s="6"/>
      <c r="C33" s="6" t="str">
        <f t="shared" si="1"/>
        <v>Mối quan hệ giữa các phủ trong không gian topo X với các phủ trong siêu không gian của X</v>
      </c>
      <c r="D33" s="5" t="s">
        <v>63</v>
      </c>
      <c r="E33" s="5">
        <v>3110122066</v>
      </c>
      <c r="F33" s="5" t="s">
        <v>44</v>
      </c>
      <c r="G33" s="6"/>
      <c r="H33" s="6"/>
      <c r="I33" s="5" t="s">
        <v>17</v>
      </c>
      <c r="J33" s="6" t="e">
        <f t="shared" ca="1" si="0"/>
        <v>#NAME?</v>
      </c>
      <c r="K33" s="6" t="e">
        <f ca="1">VLOOKUP(J33,'Bảng Đơn vị'!$A$2:$B$10,2,1)</f>
        <v>#NAME?</v>
      </c>
      <c r="L33" s="7">
        <v>45698</v>
      </c>
      <c r="M33" s="8">
        <v>2025</v>
      </c>
      <c r="S33" s="9"/>
    </row>
    <row r="34" spans="1:19" ht="39.6" hidden="1">
      <c r="A34" s="5">
        <v>33</v>
      </c>
      <c r="B34" s="5" t="s">
        <v>64</v>
      </c>
      <c r="C34" s="6" t="str">
        <f t="shared" si="1"/>
        <v>Các tính chất topo được xây dựng bởi sự hội tụ theo
ideal</v>
      </c>
      <c r="D34" s="5" t="s">
        <v>65</v>
      </c>
      <c r="E34" s="5">
        <v>3110123033</v>
      </c>
      <c r="F34" s="5" t="s">
        <v>66</v>
      </c>
      <c r="G34" s="5" t="s">
        <v>62</v>
      </c>
      <c r="H34" s="6"/>
      <c r="I34" s="5" t="s">
        <v>17</v>
      </c>
      <c r="J34" s="6" t="e">
        <f t="shared" ca="1" si="0"/>
        <v>#NAME?</v>
      </c>
      <c r="K34" s="6" t="e">
        <f ca="1">VLOOKUP(J34,'Bảng Đơn vị'!$A$2:$B$10,2,1)</f>
        <v>#NAME?</v>
      </c>
      <c r="L34" s="7">
        <v>45699</v>
      </c>
      <c r="M34" s="8">
        <v>2025</v>
      </c>
      <c r="S34" s="9"/>
    </row>
    <row r="35" spans="1:19" ht="39.6" hidden="1">
      <c r="A35" s="5">
        <v>34</v>
      </c>
      <c r="B35" s="6"/>
      <c r="C35" s="6" t="str">
        <f t="shared" si="1"/>
        <v>Các tính chất topo được xây dựng bởi sự hội tụ theo
ideal</v>
      </c>
      <c r="D35" s="5" t="s">
        <v>67</v>
      </c>
      <c r="E35" s="5">
        <v>3110123070</v>
      </c>
      <c r="F35" s="6"/>
      <c r="G35" s="6"/>
      <c r="H35" s="6"/>
      <c r="I35" s="5" t="s">
        <v>17</v>
      </c>
      <c r="J35" s="6" t="e">
        <f t="shared" ca="1" si="0"/>
        <v>#NAME?</v>
      </c>
      <c r="K35" s="6" t="e">
        <f ca="1">VLOOKUP(J35,'Bảng Đơn vị'!$A$2:$B$10,2,1)</f>
        <v>#NAME?</v>
      </c>
      <c r="L35" s="7">
        <v>45700</v>
      </c>
      <c r="M35" s="8">
        <v>2025</v>
      </c>
      <c r="S35" s="9"/>
    </row>
    <row r="36" spans="1:19" ht="39.6" hidden="1">
      <c r="A36" s="5">
        <v>35</v>
      </c>
      <c r="B36" s="6"/>
      <c r="C36" s="6" t="str">
        <f t="shared" si="1"/>
        <v>Các tính chất topo được xây dựng bởi sự hội tụ theo
ideal</v>
      </c>
      <c r="D36" s="5" t="s">
        <v>68</v>
      </c>
      <c r="E36" s="5">
        <v>3110123089</v>
      </c>
      <c r="F36" s="6"/>
      <c r="G36" s="6"/>
      <c r="H36" s="6"/>
      <c r="I36" s="5" t="s">
        <v>17</v>
      </c>
      <c r="J36" s="6" t="e">
        <f t="shared" ca="1" si="0"/>
        <v>#NAME?</v>
      </c>
      <c r="K36" s="6" t="e">
        <f ca="1">VLOOKUP(J36,'Bảng Đơn vị'!$A$2:$B$10,2,1)</f>
        <v>#NAME?</v>
      </c>
      <c r="L36" s="7">
        <v>45701</v>
      </c>
      <c r="M36" s="8">
        <v>2025</v>
      </c>
      <c r="S36" s="9"/>
    </row>
    <row r="37" spans="1:19" ht="39.6" hidden="1">
      <c r="A37" s="5">
        <v>36</v>
      </c>
      <c r="B37" s="6"/>
      <c r="C37" s="6" t="str">
        <f t="shared" si="1"/>
        <v>Các tính chất topo được xây dựng bởi sự hội tụ theo
ideal</v>
      </c>
      <c r="D37" s="5" t="s">
        <v>69</v>
      </c>
      <c r="E37" s="5">
        <v>3110123047</v>
      </c>
      <c r="F37" s="6"/>
      <c r="G37" s="6"/>
      <c r="H37" s="6"/>
      <c r="I37" s="5" t="s">
        <v>17</v>
      </c>
      <c r="J37" s="6" t="e">
        <f t="shared" ca="1" si="0"/>
        <v>#NAME?</v>
      </c>
      <c r="K37" s="6" t="e">
        <f ca="1">VLOOKUP(J37,'Bảng Đơn vị'!$A$2:$B$10,2,1)</f>
        <v>#NAME?</v>
      </c>
      <c r="L37" s="7">
        <v>45702</v>
      </c>
      <c r="M37" s="8">
        <v>2025</v>
      </c>
      <c r="S37" s="9"/>
    </row>
    <row r="38" spans="1:19" ht="26.4" hidden="1">
      <c r="A38" s="5">
        <v>37</v>
      </c>
      <c r="B38" s="5" t="s">
        <v>70</v>
      </c>
      <c r="C38" s="6" t="str">
        <f t="shared" si="1"/>
        <v>Phân tích nguyên sơ của idean</v>
      </c>
      <c r="D38" s="5" t="s">
        <v>71</v>
      </c>
      <c r="E38" s="5">
        <v>3110122015</v>
      </c>
      <c r="F38" s="5" t="s">
        <v>44</v>
      </c>
      <c r="G38" s="5" t="s">
        <v>72</v>
      </c>
      <c r="H38" s="6"/>
      <c r="I38" s="5" t="s">
        <v>17</v>
      </c>
      <c r="J38" s="6" t="e">
        <f t="shared" ca="1" si="0"/>
        <v>#NAME?</v>
      </c>
      <c r="K38" s="6" t="e">
        <f ca="1">VLOOKUP(J38,'Bảng Đơn vị'!$A$2:$B$10,2,1)</f>
        <v>#NAME?</v>
      </c>
      <c r="L38" s="7">
        <v>45703</v>
      </c>
      <c r="M38" s="8">
        <v>2025</v>
      </c>
      <c r="S38" s="9"/>
    </row>
    <row r="39" spans="1:19" ht="26.4" hidden="1">
      <c r="A39" s="5">
        <v>38</v>
      </c>
      <c r="B39" s="6"/>
      <c r="C39" s="6" t="str">
        <f t="shared" si="1"/>
        <v>Phân tích nguyên sơ của idean</v>
      </c>
      <c r="D39" s="5" t="s">
        <v>73</v>
      </c>
      <c r="E39" s="5">
        <v>3110122100</v>
      </c>
      <c r="F39" s="5" t="s">
        <v>74</v>
      </c>
      <c r="G39" s="6"/>
      <c r="H39" s="6"/>
      <c r="I39" s="5" t="s">
        <v>17</v>
      </c>
      <c r="J39" s="6" t="e">
        <f t="shared" ca="1" si="0"/>
        <v>#NAME?</v>
      </c>
      <c r="K39" s="6" t="e">
        <f ca="1">VLOOKUP(J39,'Bảng Đơn vị'!$A$2:$B$10,2,1)</f>
        <v>#NAME?</v>
      </c>
      <c r="L39" s="7">
        <v>45704</v>
      </c>
      <c r="M39" s="8">
        <v>2025</v>
      </c>
      <c r="S39" s="9"/>
    </row>
    <row r="40" spans="1:19" ht="26.4" hidden="1">
      <c r="A40" s="5">
        <v>39</v>
      </c>
      <c r="B40" s="6"/>
      <c r="C40" s="6" t="str">
        <f t="shared" si="1"/>
        <v>Phân tích nguyên sơ của idean</v>
      </c>
      <c r="D40" s="5" t="s">
        <v>75</v>
      </c>
      <c r="E40" s="5">
        <v>3110122102</v>
      </c>
      <c r="F40" s="5" t="s">
        <v>44</v>
      </c>
      <c r="G40" s="6"/>
      <c r="H40" s="6"/>
      <c r="I40" s="5" t="s">
        <v>17</v>
      </c>
      <c r="J40" s="6" t="e">
        <f t="shared" ca="1" si="0"/>
        <v>#NAME?</v>
      </c>
      <c r="K40" s="6" t="e">
        <f ca="1">VLOOKUP(J40,'Bảng Đơn vị'!$A$2:$B$10,2,1)</f>
        <v>#NAME?</v>
      </c>
      <c r="L40" s="7">
        <v>45705</v>
      </c>
      <c r="M40" s="8">
        <v>2025</v>
      </c>
      <c r="S40" s="9"/>
    </row>
    <row r="41" spans="1:19" ht="26.4" hidden="1">
      <c r="A41" s="5">
        <v>40</v>
      </c>
      <c r="B41" s="6"/>
      <c r="C41" s="6" t="str">
        <f t="shared" si="1"/>
        <v>Phân tích nguyên sơ của idean</v>
      </c>
      <c r="D41" s="5" t="s">
        <v>76</v>
      </c>
      <c r="E41" s="5">
        <v>3100122026</v>
      </c>
      <c r="F41" s="5" t="s">
        <v>44</v>
      </c>
      <c r="G41" s="6"/>
      <c r="H41" s="6"/>
      <c r="I41" s="5" t="s">
        <v>17</v>
      </c>
      <c r="J41" s="6" t="e">
        <f t="shared" ca="1" si="0"/>
        <v>#NAME?</v>
      </c>
      <c r="K41" s="6" t="e">
        <f ca="1">VLOOKUP(J41,'Bảng Đơn vị'!$A$2:$B$10,2,1)</f>
        <v>#NAME?</v>
      </c>
      <c r="L41" s="7">
        <v>45706</v>
      </c>
      <c r="M41" s="8">
        <v>2025</v>
      </c>
      <c r="S41" s="9"/>
    </row>
    <row r="42" spans="1:19" ht="52.8" hidden="1">
      <c r="A42" s="5">
        <v>41</v>
      </c>
      <c r="B42" s="5" t="s">
        <v>77</v>
      </c>
      <c r="C42" s="6" t="str">
        <f t="shared" si="1"/>
        <v>Phép tính trên giá trị khoảng và áp dụng trong thiết lập mô hình toán học của một nhà máy sản xuất thép</v>
      </c>
      <c r="D42" s="5" t="s">
        <v>78</v>
      </c>
      <c r="E42" s="5">
        <v>3110123103</v>
      </c>
      <c r="F42" s="5" t="s">
        <v>66</v>
      </c>
      <c r="G42" s="5" t="s">
        <v>79</v>
      </c>
      <c r="H42" s="6"/>
      <c r="I42" s="5" t="s">
        <v>17</v>
      </c>
      <c r="J42" s="6" t="e">
        <f t="shared" ca="1" si="0"/>
        <v>#NAME?</v>
      </c>
      <c r="K42" s="6" t="e">
        <f ca="1">VLOOKUP(J42,'Bảng Đơn vị'!$A$2:$B$10,2,1)</f>
        <v>#NAME?</v>
      </c>
      <c r="L42" s="7">
        <v>45707</v>
      </c>
      <c r="M42" s="8">
        <v>2025</v>
      </c>
      <c r="S42" s="9"/>
    </row>
    <row r="43" spans="1:19" ht="52.8" hidden="1">
      <c r="A43" s="5">
        <v>42</v>
      </c>
      <c r="B43" s="6"/>
      <c r="C43" s="6" t="str">
        <f t="shared" si="1"/>
        <v>Phép tính trên giá trị khoảng và áp dụng trong thiết lập mô hình toán học của một nhà máy sản xuất thép</v>
      </c>
      <c r="D43" s="5" t="s">
        <v>80</v>
      </c>
      <c r="E43" s="5">
        <v>3110123003</v>
      </c>
      <c r="F43" s="6"/>
      <c r="G43" s="6"/>
      <c r="H43" s="6"/>
      <c r="I43" s="5" t="s">
        <v>17</v>
      </c>
      <c r="J43" s="6" t="e">
        <f t="shared" ca="1" si="0"/>
        <v>#NAME?</v>
      </c>
      <c r="K43" s="6" t="e">
        <f ca="1">VLOOKUP(J43,'Bảng Đơn vị'!$A$2:$B$10,2,1)</f>
        <v>#NAME?</v>
      </c>
      <c r="L43" s="7">
        <v>45708</v>
      </c>
      <c r="M43" s="8">
        <v>2025</v>
      </c>
      <c r="S43" s="9"/>
    </row>
    <row r="44" spans="1:19" ht="52.8" hidden="1">
      <c r="A44" s="5">
        <v>43</v>
      </c>
      <c r="B44" s="6"/>
      <c r="C44" s="6" t="str">
        <f t="shared" si="1"/>
        <v>Phép tính trên giá trị khoảng và áp dụng trong thiết lập mô hình toán học của một nhà máy sản xuất thép</v>
      </c>
      <c r="D44" s="5" t="s">
        <v>81</v>
      </c>
      <c r="E44" s="5">
        <v>3110123025</v>
      </c>
      <c r="F44" s="6"/>
      <c r="G44" s="6"/>
      <c r="H44" s="6"/>
      <c r="I44" s="5" t="s">
        <v>17</v>
      </c>
      <c r="J44" s="6" t="e">
        <f t="shared" ca="1" si="0"/>
        <v>#NAME?</v>
      </c>
      <c r="K44" s="6" t="e">
        <f ca="1">VLOOKUP(J44,'Bảng Đơn vị'!$A$2:$B$10,2,1)</f>
        <v>#NAME?</v>
      </c>
      <c r="L44" s="7">
        <v>45709</v>
      </c>
      <c r="M44" s="8">
        <v>2025</v>
      </c>
      <c r="S44" s="9"/>
    </row>
    <row r="45" spans="1:19" ht="52.8" hidden="1">
      <c r="A45" s="5">
        <v>44</v>
      </c>
      <c r="B45" s="6"/>
      <c r="C45" s="6" t="str">
        <f t="shared" si="1"/>
        <v>Phép tính trên giá trị khoảng và áp dụng trong thiết lập mô hình toán học của một nhà máy sản xuất thép</v>
      </c>
      <c r="D45" s="5" t="s">
        <v>82</v>
      </c>
      <c r="E45" s="5">
        <v>3110123039</v>
      </c>
      <c r="F45" s="6"/>
      <c r="G45" s="6"/>
      <c r="H45" s="6"/>
      <c r="I45" s="5" t="s">
        <v>17</v>
      </c>
      <c r="J45" s="6" t="e">
        <f t="shared" ca="1" si="0"/>
        <v>#NAME?</v>
      </c>
      <c r="K45" s="6" t="e">
        <f ca="1">VLOOKUP(J45,'Bảng Đơn vị'!$A$2:$B$10,2,1)</f>
        <v>#NAME?</v>
      </c>
      <c r="L45" s="7">
        <v>45710</v>
      </c>
      <c r="M45" s="8">
        <v>2025</v>
      </c>
      <c r="S45" s="9"/>
    </row>
    <row r="46" spans="1:19" ht="39.6" hidden="1">
      <c r="A46" s="5">
        <v>45</v>
      </c>
      <c r="B46" s="5" t="s">
        <v>83</v>
      </c>
      <c r="C46" s="6" t="str">
        <f t="shared" si="1"/>
        <v>Thực hành hoạt động trải nghiệm về ứng dụng một số vấn đề toán học vào giáo dục dân số Toán 11</v>
      </c>
      <c r="D46" s="5" t="s">
        <v>84</v>
      </c>
      <c r="E46" s="5">
        <v>3110121087</v>
      </c>
      <c r="F46" s="5" t="s">
        <v>22</v>
      </c>
      <c r="G46" s="5" t="s">
        <v>85</v>
      </c>
      <c r="H46" s="6"/>
      <c r="I46" s="5" t="s">
        <v>17</v>
      </c>
      <c r="J46" s="6" t="e">
        <f t="shared" ca="1" si="0"/>
        <v>#NAME?</v>
      </c>
      <c r="K46" s="6" t="e">
        <f ca="1">VLOOKUP(J46,'Bảng Đơn vị'!$A$2:$B$10,2,1)</f>
        <v>#NAME?</v>
      </c>
      <c r="L46" s="7">
        <v>45711</v>
      </c>
      <c r="M46" s="8">
        <v>2025</v>
      </c>
      <c r="S46" s="9"/>
    </row>
    <row r="47" spans="1:19" ht="39.6" hidden="1">
      <c r="A47" s="5">
        <v>46</v>
      </c>
      <c r="B47" s="6"/>
      <c r="C47" s="6" t="str">
        <f t="shared" si="1"/>
        <v>Thực hành hoạt động trải nghiệm về ứng dụng một số vấn đề toán học vào giáo dục dân số Toán 11</v>
      </c>
      <c r="D47" s="5" t="s">
        <v>86</v>
      </c>
      <c r="E47" s="5">
        <v>3110121048</v>
      </c>
      <c r="F47" s="6"/>
      <c r="G47" s="6"/>
      <c r="H47" s="6"/>
      <c r="I47" s="5" t="s">
        <v>17</v>
      </c>
      <c r="J47" s="6" t="e">
        <f t="shared" ca="1" si="0"/>
        <v>#NAME?</v>
      </c>
      <c r="K47" s="6" t="e">
        <f ca="1">VLOOKUP(J47,'Bảng Đơn vị'!$A$2:$B$10,2,1)</f>
        <v>#NAME?</v>
      </c>
      <c r="L47" s="7">
        <v>45712</v>
      </c>
      <c r="M47" s="8">
        <v>2025</v>
      </c>
      <c r="S47" s="9"/>
    </row>
    <row r="48" spans="1:19" ht="39.6" hidden="1">
      <c r="A48" s="5">
        <v>47</v>
      </c>
      <c r="B48" s="6"/>
      <c r="C48" s="6" t="str">
        <f t="shared" si="1"/>
        <v>Thực hành hoạt động trải nghiệm về ứng dụng một số vấn đề toán học vào giáo dục dân số Toán 11</v>
      </c>
      <c r="D48" s="5" t="s">
        <v>87</v>
      </c>
      <c r="E48" s="5">
        <v>3110121021</v>
      </c>
      <c r="F48" s="6"/>
      <c r="G48" s="6"/>
      <c r="H48" s="6"/>
      <c r="I48" s="5" t="s">
        <v>17</v>
      </c>
      <c r="J48" s="6" t="e">
        <f t="shared" ca="1" si="0"/>
        <v>#NAME?</v>
      </c>
      <c r="K48" s="6" t="e">
        <f ca="1">VLOOKUP(J48,'Bảng Đơn vị'!$A$2:$B$10,2,1)</f>
        <v>#NAME?</v>
      </c>
      <c r="L48" s="7">
        <v>45713</v>
      </c>
      <c r="M48" s="8">
        <v>2025</v>
      </c>
      <c r="S48" s="9"/>
    </row>
    <row r="49" spans="1:19" ht="39.6" hidden="1">
      <c r="A49" s="5">
        <v>48</v>
      </c>
      <c r="B49" s="5" t="s">
        <v>88</v>
      </c>
      <c r="C49" s="6" t="str">
        <f t="shared" si="1"/>
        <v>Thiết kế và tổ chức hoạt động trải nghiệm qua dạy học toán tài chính cho học sinh lớp 10.</v>
      </c>
      <c r="D49" s="5" t="s">
        <v>89</v>
      </c>
      <c r="E49" s="5">
        <v>3110123007</v>
      </c>
      <c r="F49" s="5" t="s">
        <v>32</v>
      </c>
      <c r="G49" s="5" t="s">
        <v>85</v>
      </c>
      <c r="H49" s="6"/>
      <c r="I49" s="5" t="s">
        <v>17</v>
      </c>
      <c r="J49" s="6" t="e">
        <f t="shared" ca="1" si="0"/>
        <v>#NAME?</v>
      </c>
      <c r="K49" s="6" t="e">
        <f ca="1">VLOOKUP(J49,'Bảng Đơn vị'!$A$2:$B$10,2,1)</f>
        <v>#NAME?</v>
      </c>
      <c r="L49" s="7">
        <v>45714</v>
      </c>
      <c r="M49" s="8">
        <v>2025</v>
      </c>
      <c r="S49" s="9"/>
    </row>
    <row r="50" spans="1:19" ht="39.6" hidden="1">
      <c r="A50" s="5">
        <v>49</v>
      </c>
      <c r="B50" s="6"/>
      <c r="C50" s="6" t="str">
        <f t="shared" si="1"/>
        <v>Thiết kế và tổ chức hoạt động trải nghiệm qua dạy học toán tài chính cho học sinh lớp 10.</v>
      </c>
      <c r="D50" s="5" t="s">
        <v>90</v>
      </c>
      <c r="E50" s="5">
        <v>3110123072</v>
      </c>
      <c r="F50" s="6"/>
      <c r="G50" s="6"/>
      <c r="H50" s="6"/>
      <c r="I50" s="5" t="s">
        <v>17</v>
      </c>
      <c r="J50" s="6" t="e">
        <f t="shared" ca="1" si="0"/>
        <v>#NAME?</v>
      </c>
      <c r="K50" s="6" t="e">
        <f ca="1">VLOOKUP(J50,'Bảng Đơn vị'!$A$2:$B$10,2,1)</f>
        <v>#NAME?</v>
      </c>
      <c r="L50" s="7">
        <v>45715</v>
      </c>
      <c r="M50" s="8">
        <v>2025</v>
      </c>
      <c r="S50" s="9"/>
    </row>
    <row r="51" spans="1:19" ht="39.6" hidden="1">
      <c r="A51" s="5">
        <v>50</v>
      </c>
      <c r="B51" s="6"/>
      <c r="C51" s="6" t="str">
        <f t="shared" si="1"/>
        <v>Thiết kế và tổ chức hoạt động trải nghiệm qua dạy học toán tài chính cho học sinh lớp 10.</v>
      </c>
      <c r="D51" s="5" t="s">
        <v>91</v>
      </c>
      <c r="E51" s="5">
        <v>3110123073</v>
      </c>
      <c r="F51" s="6"/>
      <c r="G51" s="6"/>
      <c r="H51" s="6"/>
      <c r="I51" s="5" t="s">
        <v>17</v>
      </c>
      <c r="J51" s="6" t="e">
        <f t="shared" ca="1" si="0"/>
        <v>#NAME?</v>
      </c>
      <c r="K51" s="6" t="e">
        <f ca="1">VLOOKUP(J51,'Bảng Đơn vị'!$A$2:$B$10,2,1)</f>
        <v>#NAME?</v>
      </c>
      <c r="L51" s="7">
        <v>45716</v>
      </c>
      <c r="M51" s="8">
        <v>2025</v>
      </c>
      <c r="S51" s="9"/>
    </row>
    <row r="52" spans="1:19" ht="26.4" hidden="1">
      <c r="A52" s="5">
        <v>51</v>
      </c>
      <c r="B52" s="5" t="s">
        <v>92</v>
      </c>
      <c r="C52" s="6" t="str">
        <f t="shared" si="1"/>
        <v>Về trường hợp thứ bậc cấp 2(3) cho hệ điều khiển vi phân</v>
      </c>
      <c r="D52" s="5" t="s">
        <v>93</v>
      </c>
      <c r="E52" s="5">
        <v>3110121128</v>
      </c>
      <c r="F52" s="5" t="s">
        <v>22</v>
      </c>
      <c r="G52" s="5" t="s">
        <v>94</v>
      </c>
      <c r="H52" s="6"/>
      <c r="I52" s="5" t="s">
        <v>17</v>
      </c>
      <c r="J52" s="6" t="e">
        <f t="shared" ca="1" si="0"/>
        <v>#NAME?</v>
      </c>
      <c r="K52" s="6" t="e">
        <f ca="1">VLOOKUP(J52,'Bảng Đơn vị'!$A$2:$B$10,2,1)</f>
        <v>#NAME?</v>
      </c>
      <c r="L52" s="7">
        <v>45717</v>
      </c>
      <c r="M52" s="8">
        <v>2025</v>
      </c>
      <c r="S52" s="9"/>
    </row>
    <row r="53" spans="1:19" ht="26.4" hidden="1">
      <c r="A53" s="5">
        <v>52</v>
      </c>
      <c r="B53" s="6"/>
      <c r="C53" s="6" t="str">
        <f t="shared" si="1"/>
        <v>Về trường hợp thứ bậc cấp 2(3) cho hệ điều khiển vi phân</v>
      </c>
      <c r="D53" s="5" t="s">
        <v>95</v>
      </c>
      <c r="E53" s="5">
        <v>3110121018</v>
      </c>
      <c r="F53" s="6"/>
      <c r="G53" s="6"/>
      <c r="H53" s="6"/>
      <c r="I53" s="5" t="s">
        <v>17</v>
      </c>
      <c r="J53" s="6" t="e">
        <f t="shared" ca="1" si="0"/>
        <v>#NAME?</v>
      </c>
      <c r="K53" s="6" t="e">
        <f ca="1">VLOOKUP(J53,'Bảng Đơn vị'!$A$2:$B$10,2,1)</f>
        <v>#NAME?</v>
      </c>
      <c r="L53" s="7">
        <v>45718</v>
      </c>
      <c r="M53" s="8">
        <v>2025</v>
      </c>
      <c r="S53" s="9"/>
    </row>
    <row r="54" spans="1:19" ht="26.4" hidden="1">
      <c r="A54" s="5">
        <v>53</v>
      </c>
      <c r="B54" s="5" t="s">
        <v>96</v>
      </c>
      <c r="C54" s="6" t="str">
        <f t="shared" si="1"/>
        <v>Về tính chất bóng của hệ động lực tuyến tính</v>
      </c>
      <c r="D54" s="5" t="s">
        <v>97</v>
      </c>
      <c r="E54" s="5">
        <v>3110123022</v>
      </c>
      <c r="F54" s="5" t="s">
        <v>32</v>
      </c>
      <c r="G54" s="5" t="s">
        <v>98</v>
      </c>
      <c r="H54" s="6"/>
      <c r="I54" s="5" t="s">
        <v>17</v>
      </c>
      <c r="J54" s="6" t="e">
        <f t="shared" ca="1" si="0"/>
        <v>#NAME?</v>
      </c>
      <c r="K54" s="6" t="e">
        <f ca="1">VLOOKUP(J54,'Bảng Đơn vị'!$A$2:$B$10,2,1)</f>
        <v>#NAME?</v>
      </c>
      <c r="L54" s="7">
        <v>45719</v>
      </c>
      <c r="M54" s="8">
        <v>2025</v>
      </c>
      <c r="S54" s="9"/>
    </row>
    <row r="55" spans="1:19" ht="26.4" hidden="1">
      <c r="A55" s="5">
        <v>54</v>
      </c>
      <c r="B55" s="6"/>
      <c r="C55" s="6" t="str">
        <f t="shared" si="1"/>
        <v>Về tính chất bóng của hệ động lực tuyến tính</v>
      </c>
      <c r="D55" s="5" t="s">
        <v>99</v>
      </c>
      <c r="E55" s="5">
        <v>3110123051</v>
      </c>
      <c r="F55" s="6"/>
      <c r="G55" s="6"/>
      <c r="H55" s="6"/>
      <c r="I55" s="5" t="s">
        <v>17</v>
      </c>
      <c r="J55" s="6" t="e">
        <f t="shared" ca="1" si="0"/>
        <v>#NAME?</v>
      </c>
      <c r="K55" s="6" t="e">
        <f ca="1">VLOOKUP(J55,'Bảng Đơn vị'!$A$2:$B$10,2,1)</f>
        <v>#NAME?</v>
      </c>
      <c r="L55" s="7">
        <v>45720</v>
      </c>
      <c r="M55" s="8">
        <v>2025</v>
      </c>
      <c r="S55" s="9"/>
    </row>
    <row r="56" spans="1:19" ht="39.6" hidden="1">
      <c r="A56" s="5">
        <v>55</v>
      </c>
      <c r="B56" s="5" t="s">
        <v>100</v>
      </c>
      <c r="C56" s="6" t="str">
        <f t="shared" si="1"/>
        <v>Xây dựng và phát triển ứng dụng mang tính giáo dục thông qua các hoạt động trò chơi giải trí</v>
      </c>
      <c r="D56" s="5" t="s">
        <v>101</v>
      </c>
      <c r="E56" s="5">
        <v>3120123040</v>
      </c>
      <c r="F56" s="5" t="s">
        <v>102</v>
      </c>
      <c r="G56" s="5" t="s">
        <v>103</v>
      </c>
      <c r="H56" s="6"/>
      <c r="I56" s="5" t="s">
        <v>104</v>
      </c>
      <c r="J56" s="6" t="e">
        <f t="shared" ca="1" si="0"/>
        <v>#NAME?</v>
      </c>
      <c r="K56" s="6" t="e">
        <f ca="1">VLOOKUP(J56,'Bảng Đơn vị'!$A$2:$B$10,2,1)</f>
        <v>#NAME?</v>
      </c>
      <c r="L56" s="7">
        <v>45721</v>
      </c>
      <c r="M56" s="8">
        <v>2025</v>
      </c>
      <c r="S56" s="9"/>
    </row>
    <row r="57" spans="1:19" ht="39.6" hidden="1">
      <c r="A57" s="5">
        <v>56</v>
      </c>
      <c r="B57" s="6"/>
      <c r="C57" s="6" t="str">
        <f t="shared" si="1"/>
        <v>Xây dựng và phát triển ứng dụng mang tính giáo dục thông qua các hoạt động trò chơi giải trí</v>
      </c>
      <c r="D57" s="5" t="s">
        <v>105</v>
      </c>
      <c r="E57" s="5">
        <v>3120123008</v>
      </c>
      <c r="F57" s="6"/>
      <c r="G57" s="6"/>
      <c r="H57" s="6"/>
      <c r="I57" s="5" t="s">
        <v>104</v>
      </c>
      <c r="J57" s="6" t="e">
        <f t="shared" ca="1" si="0"/>
        <v>#NAME?</v>
      </c>
      <c r="K57" s="6" t="e">
        <f ca="1">VLOOKUP(J57,'Bảng Đơn vị'!$A$2:$B$10,2,1)</f>
        <v>#NAME?</v>
      </c>
      <c r="L57" s="7">
        <v>45722</v>
      </c>
      <c r="M57" s="8">
        <v>2025</v>
      </c>
      <c r="S57" s="9"/>
    </row>
    <row r="58" spans="1:19" ht="39.6" hidden="1">
      <c r="A58" s="5">
        <v>57</v>
      </c>
      <c r="B58" s="6"/>
      <c r="C58" s="6" t="str">
        <f t="shared" si="1"/>
        <v>Xây dựng và phát triển ứng dụng mang tính giáo dục thông qua các hoạt động trò chơi giải trí</v>
      </c>
      <c r="D58" s="5" t="s">
        <v>106</v>
      </c>
      <c r="E58" s="5">
        <v>3120123024</v>
      </c>
      <c r="F58" s="6"/>
      <c r="G58" s="6"/>
      <c r="H58" s="6"/>
      <c r="I58" s="5" t="s">
        <v>104</v>
      </c>
      <c r="J58" s="6" t="e">
        <f t="shared" ca="1" si="0"/>
        <v>#NAME?</v>
      </c>
      <c r="K58" s="6" t="e">
        <f ca="1">VLOOKUP(J58,'Bảng Đơn vị'!$A$2:$B$10,2,1)</f>
        <v>#NAME?</v>
      </c>
      <c r="L58" s="7">
        <v>45723</v>
      </c>
      <c r="M58" s="8">
        <v>2025</v>
      </c>
      <c r="S58" s="9"/>
    </row>
    <row r="59" spans="1:19" ht="39.6" hidden="1">
      <c r="A59" s="5">
        <v>58</v>
      </c>
      <c r="B59" s="6"/>
      <c r="C59" s="6" t="str">
        <f t="shared" si="1"/>
        <v>Xây dựng và phát triển ứng dụng mang tính giáo dục thông qua các hoạt động trò chơi giải trí</v>
      </c>
      <c r="D59" s="5" t="s">
        <v>107</v>
      </c>
      <c r="E59" s="5">
        <v>3120123013</v>
      </c>
      <c r="F59" s="6"/>
      <c r="G59" s="6"/>
      <c r="H59" s="6"/>
      <c r="I59" s="5" t="s">
        <v>104</v>
      </c>
      <c r="J59" s="6" t="e">
        <f t="shared" ca="1" si="0"/>
        <v>#NAME?</v>
      </c>
      <c r="K59" s="6" t="e">
        <f ca="1">VLOOKUP(J59,'Bảng Đơn vị'!$A$2:$B$10,2,1)</f>
        <v>#NAME?</v>
      </c>
      <c r="L59" s="7">
        <v>45724</v>
      </c>
      <c r="M59" s="8">
        <v>2025</v>
      </c>
      <c r="S59" s="9"/>
    </row>
    <row r="60" spans="1:19" ht="79.2" hidden="1">
      <c r="A60" s="5">
        <v>59</v>
      </c>
      <c r="B60" s="5" t="s">
        <v>108</v>
      </c>
      <c r="C60" s="6" t="str">
        <f t="shared" si="1"/>
        <v>Khám phá các yếu tố ảnh hưởng đến tư duy lập trình trong giải quyết vấn đề của sinh viên Trường Đại học Sư phạm - Đại học Đà Nẵng. Đề xuất hướng ứng dụng trong thiết kế bài giảng</v>
      </c>
      <c r="D60" s="5" t="s">
        <v>109</v>
      </c>
      <c r="E60" s="5">
        <v>3120121002</v>
      </c>
      <c r="F60" s="5" t="s">
        <v>110</v>
      </c>
      <c r="G60" s="5" t="s">
        <v>111</v>
      </c>
      <c r="H60" s="6"/>
      <c r="I60" s="5" t="s">
        <v>104</v>
      </c>
      <c r="J60" s="6" t="e">
        <f t="shared" ca="1" si="0"/>
        <v>#NAME?</v>
      </c>
      <c r="K60" s="6" t="e">
        <f ca="1">VLOOKUP(J60,'Bảng Đơn vị'!$A$2:$B$10,2,1)</f>
        <v>#NAME?</v>
      </c>
      <c r="L60" s="7">
        <v>45725</v>
      </c>
      <c r="M60" s="8">
        <v>2025</v>
      </c>
      <c r="S60" s="9"/>
    </row>
    <row r="61" spans="1:19" ht="79.2" hidden="1">
      <c r="A61" s="5">
        <v>60</v>
      </c>
      <c r="B61" s="6"/>
      <c r="C61" s="6" t="str">
        <f t="shared" si="1"/>
        <v>Khám phá các yếu tố ảnh hưởng đến tư duy lập trình trong giải quyết vấn đề của sinh viên Trường Đại học Sư phạm - Đại học Đà Nẵng. Đề xuất hướng ứng dụng trong thiết kế bài giảng</v>
      </c>
      <c r="D61" s="5" t="s">
        <v>112</v>
      </c>
      <c r="E61" s="5">
        <v>3120121033</v>
      </c>
      <c r="F61" s="6"/>
      <c r="G61" s="6"/>
      <c r="H61" s="6"/>
      <c r="I61" s="5" t="s">
        <v>104</v>
      </c>
      <c r="J61" s="6" t="e">
        <f t="shared" ca="1" si="0"/>
        <v>#NAME?</v>
      </c>
      <c r="K61" s="6" t="e">
        <f ca="1">VLOOKUP(J61,'Bảng Đơn vị'!$A$2:$B$10,2,1)</f>
        <v>#NAME?</v>
      </c>
      <c r="L61" s="7">
        <v>45726</v>
      </c>
      <c r="M61" s="8">
        <v>2025</v>
      </c>
      <c r="S61" s="9"/>
    </row>
    <row r="62" spans="1:19" ht="79.2" hidden="1">
      <c r="A62" s="5">
        <v>61</v>
      </c>
      <c r="B62" s="6"/>
      <c r="C62" s="6" t="str">
        <f t="shared" si="1"/>
        <v>Khám phá các yếu tố ảnh hưởng đến tư duy lập trình trong giải quyết vấn đề của sinh viên Trường Đại học Sư phạm - Đại học Đà Nẵng. Đề xuất hướng ứng dụng trong thiết kế bài giảng</v>
      </c>
      <c r="D62" s="5" t="s">
        <v>113</v>
      </c>
      <c r="E62" s="5">
        <v>3120121014</v>
      </c>
      <c r="F62" s="6"/>
      <c r="G62" s="6"/>
      <c r="H62" s="6"/>
      <c r="I62" s="5" t="s">
        <v>104</v>
      </c>
      <c r="J62" s="6" t="e">
        <f t="shared" ca="1" si="0"/>
        <v>#NAME?</v>
      </c>
      <c r="K62" s="6" t="e">
        <f ca="1">VLOOKUP(J62,'Bảng Đơn vị'!$A$2:$B$10,2,1)</f>
        <v>#NAME?</v>
      </c>
      <c r="L62" s="7">
        <v>45727</v>
      </c>
      <c r="M62" s="8">
        <v>2025</v>
      </c>
      <c r="S62" s="9"/>
    </row>
    <row r="63" spans="1:19" ht="39.6" hidden="1">
      <c r="A63" s="5">
        <v>62</v>
      </c>
      <c r="B63" s="5" t="s">
        <v>114</v>
      </c>
      <c r="C63" s="6" t="str">
        <f t="shared" si="1"/>
        <v>Ứng dụng IoT trong việc xây dựng mô hình cho việc dạy học STEM ở trường THPT</v>
      </c>
      <c r="D63" s="5" t="s">
        <v>115</v>
      </c>
      <c r="E63" s="5">
        <v>3120121028</v>
      </c>
      <c r="F63" s="5" t="s">
        <v>110</v>
      </c>
      <c r="G63" s="5" t="s">
        <v>116</v>
      </c>
      <c r="H63" s="6"/>
      <c r="I63" s="5" t="s">
        <v>104</v>
      </c>
      <c r="J63" s="6" t="e">
        <f t="shared" ca="1" si="0"/>
        <v>#NAME?</v>
      </c>
      <c r="K63" s="6" t="e">
        <f ca="1">VLOOKUP(J63,'Bảng Đơn vị'!$A$2:$B$10,2,1)</f>
        <v>#NAME?</v>
      </c>
      <c r="L63" s="7">
        <v>45728</v>
      </c>
      <c r="M63" s="8">
        <v>2025</v>
      </c>
      <c r="S63" s="9"/>
    </row>
    <row r="64" spans="1:19" ht="39.6" hidden="1">
      <c r="A64" s="5">
        <v>63</v>
      </c>
      <c r="B64" s="6"/>
      <c r="C64" s="6" t="str">
        <f t="shared" si="1"/>
        <v>Ứng dụng IoT trong việc xây dựng mô hình cho việc dạy học STEM ở trường THPT</v>
      </c>
      <c r="D64" s="5" t="s">
        <v>117</v>
      </c>
      <c r="E64" s="5">
        <v>3120121021</v>
      </c>
      <c r="F64" s="6"/>
      <c r="G64" s="6"/>
      <c r="H64" s="6"/>
      <c r="I64" s="5" t="s">
        <v>104</v>
      </c>
      <c r="J64" s="6" t="e">
        <f t="shared" ca="1" si="0"/>
        <v>#NAME?</v>
      </c>
      <c r="K64" s="6" t="e">
        <f ca="1">VLOOKUP(J64,'Bảng Đơn vị'!$A$2:$B$10,2,1)</f>
        <v>#NAME?</v>
      </c>
      <c r="L64" s="7">
        <v>45729</v>
      </c>
      <c r="M64" s="8">
        <v>2025</v>
      </c>
      <c r="S64" s="9"/>
    </row>
    <row r="65" spans="1:19" ht="39.6" hidden="1">
      <c r="A65" s="5">
        <v>64</v>
      </c>
      <c r="B65" s="6"/>
      <c r="C65" s="6" t="str">
        <f t="shared" si="1"/>
        <v>Ứng dụng IoT trong việc xây dựng mô hình cho việc dạy học STEM ở trường THPT</v>
      </c>
      <c r="D65" s="5" t="s">
        <v>118</v>
      </c>
      <c r="E65" s="5">
        <v>3120121012</v>
      </c>
      <c r="F65" s="6"/>
      <c r="G65" s="6"/>
      <c r="H65" s="6"/>
      <c r="I65" s="5" t="s">
        <v>104</v>
      </c>
      <c r="J65" s="6" t="e">
        <f t="shared" ca="1" si="0"/>
        <v>#NAME?</v>
      </c>
      <c r="K65" s="6" t="e">
        <f ca="1">VLOOKUP(J65,'Bảng Đơn vị'!$A$2:$B$10,2,1)</f>
        <v>#NAME?</v>
      </c>
      <c r="L65" s="7">
        <v>45730</v>
      </c>
      <c r="M65" s="8">
        <v>2025</v>
      </c>
      <c r="S65" s="9"/>
    </row>
    <row r="66" spans="1:19" ht="66" hidden="1">
      <c r="A66" s="5">
        <v>65</v>
      </c>
      <c r="B66" s="5" t="s">
        <v>119</v>
      </c>
      <c r="C66" s="6" t="str">
        <f t="shared" si="1"/>
        <v>Thiết kế, tổ chức hoạt động trải nghiệm STEM chủ đề “Ứng dụng công nghệ vào nông nghiệp” trong dạy học chuyên đề “Mở đầu về điện tử học” – Vật lí 11</v>
      </c>
      <c r="D66" s="5" t="s">
        <v>120</v>
      </c>
      <c r="E66" s="5">
        <v>3130122054</v>
      </c>
      <c r="F66" s="5" t="s">
        <v>121</v>
      </c>
      <c r="G66" s="5" t="s">
        <v>122</v>
      </c>
      <c r="H66" s="6"/>
      <c r="I66" s="5" t="s">
        <v>123</v>
      </c>
      <c r="J66" s="6" t="e">
        <f t="shared" ca="1" si="0"/>
        <v>#NAME?</v>
      </c>
      <c r="K66" s="6" t="e">
        <f ca="1">VLOOKUP(J66,'Bảng Đơn vị'!$A$2:$B$10,2,1)</f>
        <v>#NAME?</v>
      </c>
      <c r="L66" s="7">
        <v>45731</v>
      </c>
      <c r="M66" s="8">
        <v>2025</v>
      </c>
      <c r="S66" s="9"/>
    </row>
    <row r="67" spans="1:19" ht="66" hidden="1">
      <c r="A67" s="5">
        <v>66</v>
      </c>
      <c r="B67" s="6"/>
      <c r="C67" s="6" t="str">
        <f t="shared" si="1"/>
        <v>Thiết kế, tổ chức hoạt động trải nghiệm STEM chủ đề “Ứng dụng công nghệ vào nông nghiệp” trong dạy học chuyên đề “Mở đầu về điện tử học” – Vật lí 11</v>
      </c>
      <c r="D67" s="5" t="s">
        <v>124</v>
      </c>
      <c r="E67" s="5">
        <v>3130123024</v>
      </c>
      <c r="F67" s="5" t="s">
        <v>125</v>
      </c>
      <c r="G67" s="6"/>
      <c r="H67" s="6"/>
      <c r="I67" s="5" t="s">
        <v>123</v>
      </c>
      <c r="J67" s="6" t="e">
        <f t="shared" ca="1" si="0"/>
        <v>#NAME?</v>
      </c>
      <c r="K67" s="6" t="e">
        <f ca="1">VLOOKUP(J67,'Bảng Đơn vị'!$A$2:$B$10,2,1)</f>
        <v>#NAME?</v>
      </c>
      <c r="L67" s="7">
        <v>45732</v>
      </c>
      <c r="M67" s="8">
        <v>2025</v>
      </c>
      <c r="S67" s="9"/>
    </row>
    <row r="68" spans="1:19" ht="66" hidden="1">
      <c r="A68" s="5">
        <v>67</v>
      </c>
      <c r="B68" s="6"/>
      <c r="C68" s="6" t="str">
        <f t="shared" si="1"/>
        <v>Thiết kế, tổ chức hoạt động trải nghiệm STEM chủ đề “Ứng dụng công nghệ vào nông nghiệp” trong dạy học chuyên đề “Mở đầu về điện tử học” – Vật lí 11</v>
      </c>
      <c r="D68" s="5" t="s">
        <v>126</v>
      </c>
      <c r="E68" s="5">
        <v>3130123021</v>
      </c>
      <c r="F68" s="5" t="s">
        <v>125</v>
      </c>
      <c r="G68" s="6"/>
      <c r="H68" s="6"/>
      <c r="I68" s="5" t="s">
        <v>123</v>
      </c>
      <c r="J68" s="6" t="e">
        <f t="shared" ca="1" si="0"/>
        <v>#NAME?</v>
      </c>
      <c r="K68" s="6" t="e">
        <f ca="1">VLOOKUP(J68,'Bảng Đơn vị'!$A$2:$B$10,2,1)</f>
        <v>#NAME?</v>
      </c>
      <c r="L68" s="7">
        <v>45733</v>
      </c>
      <c r="M68" s="8">
        <v>2025</v>
      </c>
      <c r="S68" s="9"/>
    </row>
    <row r="69" spans="1:19" ht="66" hidden="1">
      <c r="A69" s="5">
        <v>68</v>
      </c>
      <c r="B69" s="6"/>
      <c r="C69" s="6" t="str">
        <f t="shared" si="1"/>
        <v>Thiết kế, tổ chức hoạt động trải nghiệm STEM chủ đề “Ứng dụng công nghệ vào nông nghiệp” trong dạy học chuyên đề “Mở đầu về điện tử học” – Vật lí 11</v>
      </c>
      <c r="D69" s="5" t="s">
        <v>127</v>
      </c>
      <c r="E69" s="5">
        <v>3130123001</v>
      </c>
      <c r="F69" s="5" t="s">
        <v>125</v>
      </c>
      <c r="G69" s="6"/>
      <c r="H69" s="6"/>
      <c r="I69" s="5" t="s">
        <v>123</v>
      </c>
      <c r="J69" s="6" t="e">
        <f t="shared" ca="1" si="0"/>
        <v>#NAME?</v>
      </c>
      <c r="K69" s="6" t="e">
        <f ca="1">VLOOKUP(J69,'Bảng Đơn vị'!$A$2:$B$10,2,1)</f>
        <v>#NAME?</v>
      </c>
      <c r="L69" s="7">
        <v>45734</v>
      </c>
      <c r="M69" s="8">
        <v>2025</v>
      </c>
      <c r="S69" s="9"/>
    </row>
    <row r="70" spans="1:19" ht="66" hidden="1">
      <c r="A70" s="5">
        <v>69</v>
      </c>
      <c r="B70" s="6"/>
      <c r="C70" s="6" t="str">
        <f t="shared" si="1"/>
        <v>Thiết kế, tổ chức hoạt động trải nghiệm STEM chủ đề “Ứng dụng công nghệ vào nông nghiệp” trong dạy học chuyên đề “Mở đầu về điện tử học” – Vật lí 11</v>
      </c>
      <c r="D70" s="5" t="s">
        <v>128</v>
      </c>
      <c r="E70" s="5">
        <v>3130121097</v>
      </c>
      <c r="F70" s="5" t="s">
        <v>129</v>
      </c>
      <c r="G70" s="6"/>
      <c r="H70" s="6"/>
      <c r="I70" s="5" t="s">
        <v>123</v>
      </c>
      <c r="J70" s="6" t="e">
        <f t="shared" ca="1" si="0"/>
        <v>#NAME?</v>
      </c>
      <c r="K70" s="6" t="e">
        <f ca="1">VLOOKUP(J70,'Bảng Đơn vị'!$A$2:$B$10,2,1)</f>
        <v>#NAME?</v>
      </c>
      <c r="L70" s="7">
        <v>45735</v>
      </c>
      <c r="M70" s="8">
        <v>2025</v>
      </c>
      <c r="S70" s="9"/>
    </row>
    <row r="71" spans="1:19" ht="66" hidden="1">
      <c r="A71" s="5">
        <v>70</v>
      </c>
      <c r="B71" s="5" t="s">
        <v>130</v>
      </c>
      <c r="C71" s="6" t="str">
        <f t="shared" si="1"/>
        <v>Nghiên cứu, ứng dụng công nghệ thực tế ảo tăng cường (AR) trong dạy học môn Khoa học tự nhiên hướng phát triển năng lực khoa học tự nhiên cho học sinh</v>
      </c>
      <c r="D71" s="5" t="s">
        <v>131</v>
      </c>
      <c r="E71" s="5">
        <v>3140722114</v>
      </c>
      <c r="F71" s="5" t="s">
        <v>132</v>
      </c>
      <c r="G71" s="5" t="s">
        <v>122</v>
      </c>
      <c r="H71" s="6"/>
      <c r="I71" s="5" t="s">
        <v>123</v>
      </c>
      <c r="J71" s="6" t="e">
        <f t="shared" ca="1" si="0"/>
        <v>#NAME?</v>
      </c>
      <c r="K71" s="6" t="e">
        <f ca="1">VLOOKUP(J71,'Bảng Đơn vị'!$A$2:$B$10,2,1)</f>
        <v>#NAME?</v>
      </c>
      <c r="L71" s="7">
        <v>45736</v>
      </c>
      <c r="M71" s="8">
        <v>2025</v>
      </c>
      <c r="S71" s="9"/>
    </row>
    <row r="72" spans="1:19" ht="66" hidden="1">
      <c r="A72" s="5">
        <v>71</v>
      </c>
      <c r="B72" s="6"/>
      <c r="C72" s="6" t="str">
        <f t="shared" si="1"/>
        <v>Nghiên cứu, ứng dụng công nghệ thực tế ảo tăng cường (AR) trong dạy học môn Khoa học tự nhiên hướng phát triển năng lực khoa học tự nhiên cho học sinh</v>
      </c>
      <c r="D72" s="5" t="s">
        <v>133</v>
      </c>
      <c r="E72" s="5">
        <v>3140722008</v>
      </c>
      <c r="F72" s="5" t="s">
        <v>132</v>
      </c>
      <c r="G72" s="6"/>
      <c r="H72" s="6"/>
      <c r="I72" s="5" t="s">
        <v>123</v>
      </c>
      <c r="J72" s="6" t="e">
        <f t="shared" ca="1" si="0"/>
        <v>#NAME?</v>
      </c>
      <c r="K72" s="6" t="e">
        <f ca="1">VLOOKUP(J72,'Bảng Đơn vị'!$A$2:$B$10,2,1)</f>
        <v>#NAME?</v>
      </c>
      <c r="L72" s="7">
        <v>45737</v>
      </c>
      <c r="M72" s="8">
        <v>2025</v>
      </c>
      <c r="S72" s="9"/>
    </row>
    <row r="73" spans="1:19" ht="66" hidden="1">
      <c r="A73" s="5">
        <v>72</v>
      </c>
      <c r="B73" s="6"/>
      <c r="C73" s="6" t="str">
        <f t="shared" si="1"/>
        <v>Nghiên cứu, ứng dụng công nghệ thực tế ảo tăng cường (AR) trong dạy học môn Khoa học tự nhiên hướng phát triển năng lực khoa học tự nhiên cho học sinh</v>
      </c>
      <c r="D73" s="5" t="s">
        <v>134</v>
      </c>
      <c r="E73" s="5">
        <v>3140722090</v>
      </c>
      <c r="F73" s="5" t="s">
        <v>132</v>
      </c>
      <c r="G73" s="6"/>
      <c r="H73" s="6"/>
      <c r="I73" s="5" t="s">
        <v>123</v>
      </c>
      <c r="J73" s="6" t="e">
        <f t="shared" ca="1" si="0"/>
        <v>#NAME?</v>
      </c>
      <c r="K73" s="6" t="e">
        <f ca="1">VLOOKUP(J73,'Bảng Đơn vị'!$A$2:$B$10,2,1)</f>
        <v>#NAME?</v>
      </c>
      <c r="L73" s="7">
        <v>45738</v>
      </c>
      <c r="M73" s="8">
        <v>2025</v>
      </c>
      <c r="S73" s="9"/>
    </row>
    <row r="74" spans="1:19" ht="66" hidden="1">
      <c r="A74" s="5">
        <v>73</v>
      </c>
      <c r="B74" s="6"/>
      <c r="C74" s="6" t="str">
        <f t="shared" si="1"/>
        <v>Nghiên cứu, ứng dụng công nghệ thực tế ảo tăng cường (AR) trong dạy học môn Khoa học tự nhiên hướng phát triển năng lực khoa học tự nhiên cho học sinh</v>
      </c>
      <c r="D74" s="5" t="s">
        <v>135</v>
      </c>
      <c r="E74" s="5">
        <v>3140722034</v>
      </c>
      <c r="F74" s="5" t="s">
        <v>132</v>
      </c>
      <c r="G74" s="6"/>
      <c r="H74" s="6"/>
      <c r="I74" s="5" t="s">
        <v>123</v>
      </c>
      <c r="J74" s="6" t="e">
        <f t="shared" ca="1" si="0"/>
        <v>#NAME?</v>
      </c>
      <c r="K74" s="6" t="e">
        <f ca="1">VLOOKUP(J74,'Bảng Đơn vị'!$A$2:$B$10,2,1)</f>
        <v>#NAME?</v>
      </c>
      <c r="L74" s="7">
        <v>45739</v>
      </c>
      <c r="M74" s="8">
        <v>2025</v>
      </c>
      <c r="S74" s="9"/>
    </row>
    <row r="75" spans="1:19" ht="66" hidden="1">
      <c r="A75" s="5">
        <v>74</v>
      </c>
      <c r="B75" s="6"/>
      <c r="C75" s="6" t="str">
        <f t="shared" si="1"/>
        <v>Nghiên cứu, ứng dụng công nghệ thực tế ảo tăng cường (AR) trong dạy học môn Khoa học tự nhiên hướng phát triển năng lực khoa học tự nhiên cho học sinh</v>
      </c>
      <c r="D75" s="5" t="s">
        <v>136</v>
      </c>
      <c r="E75" s="5">
        <v>3140722022</v>
      </c>
      <c r="F75" s="5" t="s">
        <v>132</v>
      </c>
      <c r="G75" s="6"/>
      <c r="H75" s="6"/>
      <c r="I75" s="5" t="s">
        <v>123</v>
      </c>
      <c r="J75" s="6" t="e">
        <f t="shared" ca="1" si="0"/>
        <v>#NAME?</v>
      </c>
      <c r="K75" s="6" t="e">
        <f ca="1">VLOOKUP(J75,'Bảng Đơn vị'!$A$2:$B$10,2,1)</f>
        <v>#NAME?</v>
      </c>
      <c r="L75" s="7">
        <v>45740</v>
      </c>
      <c r="M75" s="8">
        <v>2025</v>
      </c>
      <c r="S75" s="9"/>
    </row>
    <row r="76" spans="1:19" ht="39.6" hidden="1">
      <c r="A76" s="5">
        <v>75</v>
      </c>
      <c r="B76" s="5" t="s">
        <v>137</v>
      </c>
      <c r="C76" s="6" t="str">
        <f t="shared" si="1"/>
        <v>Thiết kế tài liệu giáo khoa điện tử dành cho học sinh khiếm thị trong học môn KHTN lớp 9</v>
      </c>
      <c r="D76" s="5" t="s">
        <v>138</v>
      </c>
      <c r="E76" s="5">
        <v>3140722044</v>
      </c>
      <c r="F76" s="5" t="s">
        <v>132</v>
      </c>
      <c r="G76" s="5" t="s">
        <v>139</v>
      </c>
      <c r="H76" s="6"/>
      <c r="I76" s="5" t="s">
        <v>123</v>
      </c>
      <c r="J76" s="6" t="e">
        <f t="shared" ca="1" si="0"/>
        <v>#NAME?</v>
      </c>
      <c r="K76" s="6" t="e">
        <f ca="1">VLOOKUP(J76,'Bảng Đơn vị'!$A$2:$B$10,2,1)</f>
        <v>#NAME?</v>
      </c>
      <c r="L76" s="7">
        <v>45741</v>
      </c>
      <c r="M76" s="8">
        <v>2025</v>
      </c>
      <c r="S76" s="9"/>
    </row>
    <row r="77" spans="1:19" ht="39.6" hidden="1">
      <c r="A77" s="5">
        <v>76</v>
      </c>
      <c r="B77" s="6"/>
      <c r="C77" s="6" t="str">
        <f t="shared" si="1"/>
        <v>Thiết kế tài liệu giáo khoa điện tử dành cho học sinh khiếm thị trong học môn KHTN lớp 9</v>
      </c>
      <c r="D77" s="5" t="s">
        <v>140</v>
      </c>
      <c r="E77" s="5">
        <v>3140722120</v>
      </c>
      <c r="F77" s="5" t="s">
        <v>141</v>
      </c>
      <c r="G77" s="6"/>
      <c r="H77" s="6"/>
      <c r="I77" s="5" t="s">
        <v>123</v>
      </c>
      <c r="J77" s="6" t="e">
        <f t="shared" ca="1" si="0"/>
        <v>#NAME?</v>
      </c>
      <c r="K77" s="6" t="e">
        <f ca="1">VLOOKUP(J77,'Bảng Đơn vị'!$A$2:$B$10,2,1)</f>
        <v>#NAME?</v>
      </c>
      <c r="L77" s="7">
        <v>45742</v>
      </c>
      <c r="M77" s="8">
        <v>2025</v>
      </c>
      <c r="S77" s="9"/>
    </row>
    <row r="78" spans="1:19" ht="39.6" hidden="1">
      <c r="A78" s="5">
        <v>77</v>
      </c>
      <c r="B78" s="6"/>
      <c r="C78" s="6" t="str">
        <f t="shared" si="1"/>
        <v>Thiết kế tài liệu giáo khoa điện tử dành cho học sinh khiếm thị trong học môn KHTN lớp 9</v>
      </c>
      <c r="D78" s="5" t="s">
        <v>142</v>
      </c>
      <c r="E78" s="5">
        <v>3140722118</v>
      </c>
      <c r="F78" s="5" t="s">
        <v>141</v>
      </c>
      <c r="G78" s="6"/>
      <c r="H78" s="6"/>
      <c r="I78" s="5" t="s">
        <v>123</v>
      </c>
      <c r="J78" s="6" t="e">
        <f t="shared" ca="1" si="0"/>
        <v>#NAME?</v>
      </c>
      <c r="K78" s="6" t="e">
        <f ca="1">VLOOKUP(J78,'Bảng Đơn vị'!$A$2:$B$10,2,1)</f>
        <v>#NAME?</v>
      </c>
      <c r="L78" s="7">
        <v>45743</v>
      </c>
      <c r="M78" s="8">
        <v>2025</v>
      </c>
      <c r="S78" s="9"/>
    </row>
    <row r="79" spans="1:19" ht="52.8" hidden="1">
      <c r="A79" s="5">
        <v>78</v>
      </c>
      <c r="B79" s="5" t="s">
        <v>143</v>
      </c>
      <c r="C79" s="6" t="str">
        <f t="shared" si="1"/>
        <v>Chế tạo gậy thông minh dành cho người khiếm thị</v>
      </c>
      <c r="D79" s="5" t="s">
        <v>144</v>
      </c>
      <c r="E79" s="5" t="s">
        <v>145</v>
      </c>
      <c r="F79" s="5" t="s">
        <v>121</v>
      </c>
      <c r="G79" s="5" t="s">
        <v>139</v>
      </c>
      <c r="H79" s="6"/>
      <c r="I79" s="5" t="s">
        <v>123</v>
      </c>
      <c r="J79" s="6" t="e">
        <f t="shared" ca="1" si="0"/>
        <v>#NAME?</v>
      </c>
      <c r="K79" s="6" t="e">
        <f ca="1">VLOOKUP(J79,'Bảng Đơn vị'!$A$2:$B$10,2,1)</f>
        <v>#NAME?</v>
      </c>
      <c r="L79" s="7">
        <v>45744</v>
      </c>
      <c r="M79" s="8">
        <v>2025</v>
      </c>
      <c r="S79" s="9"/>
    </row>
    <row r="80" spans="1:19" ht="26.4" hidden="1">
      <c r="A80" s="5">
        <v>79</v>
      </c>
      <c r="B80" s="6"/>
      <c r="C80" s="6" t="str">
        <f t="shared" si="1"/>
        <v>Chế tạo gậy thông minh dành cho người khiếm thị</v>
      </c>
      <c r="D80" s="5" t="s">
        <v>146</v>
      </c>
      <c r="E80" s="6"/>
      <c r="F80" s="6"/>
      <c r="G80" s="6"/>
      <c r="H80" s="6"/>
      <c r="I80" s="5" t="s">
        <v>123</v>
      </c>
      <c r="J80" s="6" t="e">
        <f t="shared" ca="1" si="0"/>
        <v>#NAME?</v>
      </c>
      <c r="K80" s="6" t="e">
        <f ca="1">VLOOKUP(J80,'Bảng Đơn vị'!$A$2:$B$10,2,1)</f>
        <v>#NAME?</v>
      </c>
      <c r="L80" s="7">
        <v>45745</v>
      </c>
      <c r="M80" s="8">
        <v>2025</v>
      </c>
      <c r="S80" s="9"/>
    </row>
    <row r="81" spans="1:19" ht="26.4" hidden="1">
      <c r="A81" s="5">
        <v>80</v>
      </c>
      <c r="B81" s="6"/>
      <c r="C81" s="6" t="str">
        <f t="shared" si="1"/>
        <v>Chế tạo gậy thông minh dành cho người khiếm thị</v>
      </c>
      <c r="D81" s="5" t="s">
        <v>147</v>
      </c>
      <c r="E81" s="6"/>
      <c r="F81" s="6"/>
      <c r="G81" s="6"/>
      <c r="H81" s="6"/>
      <c r="I81" s="5" t="s">
        <v>123</v>
      </c>
      <c r="J81" s="6" t="e">
        <f t="shared" ca="1" si="0"/>
        <v>#NAME?</v>
      </c>
      <c r="K81" s="6" t="e">
        <f ca="1">VLOOKUP(J81,'Bảng Đơn vị'!$A$2:$B$10,2,1)</f>
        <v>#NAME?</v>
      </c>
      <c r="L81" s="7">
        <v>45746</v>
      </c>
      <c r="M81" s="8">
        <v>2025</v>
      </c>
      <c r="S81" s="9"/>
    </row>
    <row r="82" spans="1:19" ht="26.4" hidden="1">
      <c r="A82" s="5">
        <v>81</v>
      </c>
      <c r="B82" s="6"/>
      <c r="C82" s="6" t="str">
        <f t="shared" si="1"/>
        <v>Chế tạo gậy thông minh dành cho người khiếm thị</v>
      </c>
      <c r="D82" s="5" t="s">
        <v>148</v>
      </c>
      <c r="E82" s="6"/>
      <c r="F82" s="6"/>
      <c r="G82" s="6"/>
      <c r="H82" s="6"/>
      <c r="I82" s="5" t="s">
        <v>123</v>
      </c>
      <c r="J82" s="6" t="e">
        <f t="shared" ca="1" si="0"/>
        <v>#NAME?</v>
      </c>
      <c r="K82" s="6" t="e">
        <f ca="1">VLOOKUP(J82,'Bảng Đơn vị'!$A$2:$B$10,2,1)</f>
        <v>#NAME?</v>
      </c>
      <c r="L82" s="7">
        <v>45747</v>
      </c>
      <c r="M82" s="8">
        <v>2025</v>
      </c>
      <c r="S82" s="9"/>
    </row>
    <row r="83" spans="1:19" ht="66" hidden="1">
      <c r="A83" s="5">
        <v>82</v>
      </c>
      <c r="B83" s="5" t="s">
        <v>149</v>
      </c>
      <c r="C83" s="6" t="str">
        <f t="shared" si="1"/>
        <v>Xây dựng bài tập môn Khoa học tự nhiên 9 theo cấu trúc đề Trung học phổ thông Quốc gia năm 2025 nhằm đánh giá năng lực khoa học tự nhiên của học sinh</v>
      </c>
      <c r="D83" s="5" t="s">
        <v>150</v>
      </c>
      <c r="E83" s="5">
        <v>3140722005</v>
      </c>
      <c r="F83" s="5" t="s">
        <v>141</v>
      </c>
      <c r="G83" s="5" t="s">
        <v>151</v>
      </c>
      <c r="H83" s="6"/>
      <c r="I83" s="5" t="s">
        <v>123</v>
      </c>
      <c r="J83" s="6" t="e">
        <f t="shared" ca="1" si="0"/>
        <v>#NAME?</v>
      </c>
      <c r="K83" s="6" t="e">
        <f ca="1">VLOOKUP(J83,'Bảng Đơn vị'!$A$2:$B$10,2,1)</f>
        <v>#NAME?</v>
      </c>
      <c r="L83" s="7">
        <v>45748</v>
      </c>
      <c r="M83" s="8">
        <v>2025</v>
      </c>
      <c r="S83" s="9"/>
    </row>
    <row r="84" spans="1:19" ht="66" hidden="1">
      <c r="A84" s="5">
        <v>83</v>
      </c>
      <c r="B84" s="6"/>
      <c r="C84" s="6" t="str">
        <f t="shared" si="1"/>
        <v>Xây dựng bài tập môn Khoa học tự nhiên 9 theo cấu trúc đề Trung học phổ thông Quốc gia năm 2025 nhằm đánh giá năng lực khoa học tự nhiên của học sinh</v>
      </c>
      <c r="D84" s="5" t="s">
        <v>152</v>
      </c>
      <c r="E84" s="5">
        <v>3140722002</v>
      </c>
      <c r="F84" s="5" t="s">
        <v>141</v>
      </c>
      <c r="G84" s="6"/>
      <c r="H84" s="6"/>
      <c r="I84" s="5" t="s">
        <v>123</v>
      </c>
      <c r="J84" s="6" t="e">
        <f t="shared" ca="1" si="0"/>
        <v>#NAME?</v>
      </c>
      <c r="K84" s="6" t="e">
        <f ca="1">VLOOKUP(J84,'Bảng Đơn vị'!$A$2:$B$10,2,1)</f>
        <v>#NAME?</v>
      </c>
      <c r="L84" s="7">
        <v>45749</v>
      </c>
      <c r="M84" s="8">
        <v>2025</v>
      </c>
      <c r="S84" s="9"/>
    </row>
    <row r="85" spans="1:19" ht="66" hidden="1">
      <c r="A85" s="5">
        <v>84</v>
      </c>
      <c r="B85" s="6"/>
      <c r="C85" s="6" t="str">
        <f t="shared" si="1"/>
        <v>Xây dựng bài tập môn Khoa học tự nhiên 9 theo cấu trúc đề Trung học phổ thông Quốc gia năm 2025 nhằm đánh giá năng lực khoa học tự nhiên của học sinh</v>
      </c>
      <c r="D85" s="5" t="s">
        <v>153</v>
      </c>
      <c r="E85" s="5">
        <v>3140722065</v>
      </c>
      <c r="F85" s="5" t="s">
        <v>141</v>
      </c>
      <c r="G85" s="6"/>
      <c r="H85" s="6"/>
      <c r="I85" s="5" t="s">
        <v>123</v>
      </c>
      <c r="J85" s="6" t="e">
        <f t="shared" ca="1" si="0"/>
        <v>#NAME?</v>
      </c>
      <c r="K85" s="6" t="e">
        <f ca="1">VLOOKUP(J85,'Bảng Đơn vị'!$A$2:$B$10,2,1)</f>
        <v>#NAME?</v>
      </c>
      <c r="L85" s="7">
        <v>45750</v>
      </c>
      <c r="M85" s="8">
        <v>2025</v>
      </c>
      <c r="S85" s="9"/>
    </row>
    <row r="86" spans="1:19" ht="66" hidden="1">
      <c r="A86" s="5">
        <v>85</v>
      </c>
      <c r="B86" s="6"/>
      <c r="C86" s="6" t="str">
        <f t="shared" si="1"/>
        <v>Xây dựng bài tập môn Khoa học tự nhiên 9 theo cấu trúc đề Trung học phổ thông Quốc gia năm 2025 nhằm đánh giá năng lực khoa học tự nhiên của học sinh</v>
      </c>
      <c r="D86" s="5" t="s">
        <v>154</v>
      </c>
      <c r="E86" s="5">
        <v>3140722076</v>
      </c>
      <c r="F86" s="5" t="s">
        <v>141</v>
      </c>
      <c r="G86" s="6"/>
      <c r="H86" s="6"/>
      <c r="I86" s="5" t="s">
        <v>123</v>
      </c>
      <c r="J86" s="6" t="e">
        <f t="shared" ca="1" si="0"/>
        <v>#NAME?</v>
      </c>
      <c r="K86" s="6" t="e">
        <f ca="1">VLOOKUP(J86,'Bảng Đơn vị'!$A$2:$B$10,2,1)</f>
        <v>#NAME?</v>
      </c>
      <c r="L86" s="7">
        <v>45751</v>
      </c>
      <c r="M86" s="8">
        <v>2025</v>
      </c>
      <c r="S86" s="9"/>
    </row>
    <row r="87" spans="1:19" ht="66" hidden="1">
      <c r="A87" s="5">
        <v>86</v>
      </c>
      <c r="B87" s="6"/>
      <c r="C87" s="6" t="str">
        <f t="shared" si="1"/>
        <v>Xây dựng bài tập môn Khoa học tự nhiên 9 theo cấu trúc đề Trung học phổ thông Quốc gia năm 2025 nhằm đánh giá năng lực khoa học tự nhiên của học sinh</v>
      </c>
      <c r="D87" s="5" t="s">
        <v>155</v>
      </c>
      <c r="E87" s="5">
        <v>3140722113</v>
      </c>
      <c r="F87" s="5" t="s">
        <v>132</v>
      </c>
      <c r="G87" s="6"/>
      <c r="H87" s="6"/>
      <c r="I87" s="5" t="s">
        <v>123</v>
      </c>
      <c r="J87" s="6" t="e">
        <f t="shared" ca="1" si="0"/>
        <v>#NAME?</v>
      </c>
      <c r="K87" s="6" t="e">
        <f ca="1">VLOOKUP(J87,'Bảng Đơn vị'!$A$2:$B$10,2,1)</f>
        <v>#NAME?</v>
      </c>
      <c r="L87" s="7">
        <v>45752</v>
      </c>
      <c r="M87" s="8">
        <v>2025</v>
      </c>
      <c r="S87" s="9"/>
    </row>
    <row r="88" spans="1:19" ht="66" hidden="1">
      <c r="A88" s="5">
        <v>87</v>
      </c>
      <c r="B88" s="5" t="s">
        <v>156</v>
      </c>
      <c r="C88" s="6" t="str">
        <f t="shared" si="1"/>
        <v>Chế tạo bè cứu hộ tự động phát tín hiệu GPS khi gặp nạn</v>
      </c>
      <c r="D88" s="5" t="s">
        <v>157</v>
      </c>
      <c r="E88" s="5" t="s">
        <v>158</v>
      </c>
      <c r="F88" s="5" t="s">
        <v>159</v>
      </c>
      <c r="G88" s="5" t="s">
        <v>160</v>
      </c>
      <c r="H88" s="6"/>
      <c r="I88" s="5" t="s">
        <v>123</v>
      </c>
      <c r="J88" s="6" t="e">
        <f t="shared" ca="1" si="0"/>
        <v>#NAME?</v>
      </c>
      <c r="K88" s="6" t="e">
        <f ca="1">VLOOKUP(J88,'Bảng Đơn vị'!$A$2:$B$10,2,1)</f>
        <v>#NAME?</v>
      </c>
      <c r="L88" s="7">
        <v>45753</v>
      </c>
      <c r="M88" s="8">
        <v>2025</v>
      </c>
      <c r="S88" s="9"/>
    </row>
    <row r="89" spans="1:19" ht="26.4" hidden="1">
      <c r="A89" s="5">
        <v>88</v>
      </c>
      <c r="B89" s="6"/>
      <c r="C89" s="6" t="str">
        <f t="shared" si="1"/>
        <v>Chế tạo bè cứu hộ tự động phát tín hiệu GPS khi gặp nạn</v>
      </c>
      <c r="D89" s="5" t="s">
        <v>161</v>
      </c>
      <c r="E89" s="6"/>
      <c r="F89" s="6"/>
      <c r="G89" s="6"/>
      <c r="H89" s="6"/>
      <c r="I89" s="5" t="s">
        <v>123</v>
      </c>
      <c r="J89" s="6" t="e">
        <f t="shared" ca="1" si="0"/>
        <v>#NAME?</v>
      </c>
      <c r="K89" s="6" t="e">
        <f ca="1">VLOOKUP(J89,'Bảng Đơn vị'!$A$2:$B$10,2,1)</f>
        <v>#NAME?</v>
      </c>
      <c r="L89" s="7">
        <v>45754</v>
      </c>
      <c r="M89" s="8">
        <v>2025</v>
      </c>
      <c r="S89" s="9"/>
    </row>
    <row r="90" spans="1:19" ht="26.4" hidden="1">
      <c r="A90" s="5">
        <v>89</v>
      </c>
      <c r="B90" s="6"/>
      <c r="C90" s="6" t="str">
        <f t="shared" si="1"/>
        <v>Chế tạo bè cứu hộ tự động phát tín hiệu GPS khi gặp nạn</v>
      </c>
      <c r="D90" s="5" t="s">
        <v>162</v>
      </c>
      <c r="E90" s="6"/>
      <c r="F90" s="6"/>
      <c r="G90" s="6"/>
      <c r="H90" s="6"/>
      <c r="I90" s="5" t="s">
        <v>123</v>
      </c>
      <c r="J90" s="6" t="e">
        <f t="shared" ca="1" si="0"/>
        <v>#NAME?</v>
      </c>
      <c r="K90" s="6" t="e">
        <f ca="1">VLOOKUP(J90,'Bảng Đơn vị'!$A$2:$B$10,2,1)</f>
        <v>#NAME?</v>
      </c>
      <c r="L90" s="7">
        <v>45755</v>
      </c>
      <c r="M90" s="8">
        <v>2025</v>
      </c>
      <c r="S90" s="9"/>
    </row>
    <row r="91" spans="1:19" ht="26.4" hidden="1">
      <c r="A91" s="5">
        <v>90</v>
      </c>
      <c r="B91" s="6"/>
      <c r="C91" s="6" t="str">
        <f t="shared" si="1"/>
        <v>Chế tạo bè cứu hộ tự động phát tín hiệu GPS khi gặp nạn</v>
      </c>
      <c r="D91" s="5" t="s">
        <v>163</v>
      </c>
      <c r="E91" s="6"/>
      <c r="F91" s="6"/>
      <c r="G91" s="6"/>
      <c r="H91" s="6"/>
      <c r="I91" s="5" t="s">
        <v>123</v>
      </c>
      <c r="J91" s="6" t="e">
        <f t="shared" ca="1" si="0"/>
        <v>#NAME?</v>
      </c>
      <c r="K91" s="6" t="e">
        <f ca="1">VLOOKUP(J91,'Bảng Đơn vị'!$A$2:$B$10,2,1)</f>
        <v>#NAME?</v>
      </c>
      <c r="L91" s="7">
        <v>45756</v>
      </c>
      <c r="M91" s="8">
        <v>2025</v>
      </c>
      <c r="S91" s="9"/>
    </row>
    <row r="92" spans="1:19" ht="26.4" hidden="1">
      <c r="A92" s="5">
        <v>91</v>
      </c>
      <c r="B92" s="6"/>
      <c r="C92" s="6" t="str">
        <f t="shared" si="1"/>
        <v>Chế tạo bè cứu hộ tự động phát tín hiệu GPS khi gặp nạn</v>
      </c>
      <c r="D92" s="5" t="s">
        <v>164</v>
      </c>
      <c r="E92" s="6"/>
      <c r="F92" s="6"/>
      <c r="G92" s="6"/>
      <c r="H92" s="6"/>
      <c r="I92" s="5" t="s">
        <v>123</v>
      </c>
      <c r="J92" s="6" t="e">
        <f t="shared" ca="1" si="0"/>
        <v>#NAME?</v>
      </c>
      <c r="K92" s="6" t="e">
        <f ca="1">VLOOKUP(J92,'Bảng Đơn vị'!$A$2:$B$10,2,1)</f>
        <v>#NAME?</v>
      </c>
      <c r="L92" s="7">
        <v>45757</v>
      </c>
      <c r="M92" s="8">
        <v>2025</v>
      </c>
      <c r="S92" s="9"/>
    </row>
    <row r="93" spans="1:19" ht="66" hidden="1">
      <c r="A93" s="5">
        <v>92</v>
      </c>
      <c r="B93" s="5" t="s">
        <v>165</v>
      </c>
      <c r="C93" s="6" t="str">
        <f t="shared" si="1"/>
        <v>Thiết kế và xây dựng bộ lắp ghép mô hình STEAM theo chủ đề "Năng lượng và sự biến đổi" trong môn KHTN ở trường Trung học cơ sở</v>
      </c>
      <c r="D93" s="5" t="s">
        <v>166</v>
      </c>
      <c r="E93" s="5">
        <v>3140722054</v>
      </c>
      <c r="F93" s="5" t="s">
        <v>141</v>
      </c>
      <c r="G93" s="5" t="s">
        <v>167</v>
      </c>
      <c r="H93" s="6"/>
      <c r="I93" s="5" t="s">
        <v>123</v>
      </c>
      <c r="J93" s="6" t="e">
        <f t="shared" ca="1" si="0"/>
        <v>#NAME?</v>
      </c>
      <c r="K93" s="6" t="e">
        <f ca="1">VLOOKUP(J93,'Bảng Đơn vị'!$A$2:$B$10,2,1)</f>
        <v>#NAME?</v>
      </c>
      <c r="L93" s="7">
        <v>45758</v>
      </c>
      <c r="M93" s="8">
        <v>2025</v>
      </c>
      <c r="S93" s="9"/>
    </row>
    <row r="94" spans="1:19" ht="66" hidden="1">
      <c r="A94" s="5">
        <v>93</v>
      </c>
      <c r="B94" s="6"/>
      <c r="C94" s="6" t="str">
        <f t="shared" si="1"/>
        <v>Thiết kế và xây dựng bộ lắp ghép mô hình STEAM theo chủ đề "Năng lượng và sự biến đổi" trong môn KHTN ở trường Trung học cơ sở</v>
      </c>
      <c r="D94" s="5" t="s">
        <v>168</v>
      </c>
      <c r="E94" s="5">
        <v>3140722039</v>
      </c>
      <c r="F94" s="5" t="s">
        <v>141</v>
      </c>
      <c r="G94" s="6"/>
      <c r="H94" s="6"/>
      <c r="I94" s="5" t="s">
        <v>123</v>
      </c>
      <c r="J94" s="6" t="e">
        <f t="shared" ca="1" si="0"/>
        <v>#NAME?</v>
      </c>
      <c r="K94" s="6" t="e">
        <f ca="1">VLOOKUP(J94,'Bảng Đơn vị'!$A$2:$B$10,2,1)</f>
        <v>#NAME?</v>
      </c>
      <c r="L94" s="7">
        <v>45759</v>
      </c>
      <c r="M94" s="8">
        <v>2025</v>
      </c>
      <c r="S94" s="9"/>
    </row>
    <row r="95" spans="1:19" ht="66" hidden="1">
      <c r="A95" s="5">
        <v>94</v>
      </c>
      <c r="B95" s="6"/>
      <c r="C95" s="6" t="str">
        <f t="shared" si="1"/>
        <v>Thiết kế và xây dựng bộ lắp ghép mô hình STEAM theo chủ đề "Năng lượng và sự biến đổi" trong môn KHTN ở trường Trung học cơ sở</v>
      </c>
      <c r="D95" s="5" t="s">
        <v>169</v>
      </c>
      <c r="E95" s="5">
        <v>3140722013</v>
      </c>
      <c r="F95" s="5" t="s">
        <v>141</v>
      </c>
      <c r="G95" s="6"/>
      <c r="H95" s="6"/>
      <c r="I95" s="5" t="s">
        <v>123</v>
      </c>
      <c r="J95" s="6" t="e">
        <f t="shared" ca="1" si="0"/>
        <v>#NAME?</v>
      </c>
      <c r="K95" s="6" t="e">
        <f ca="1">VLOOKUP(J95,'Bảng Đơn vị'!$A$2:$B$10,2,1)</f>
        <v>#NAME?</v>
      </c>
      <c r="L95" s="7">
        <v>45760</v>
      </c>
      <c r="M95" s="8">
        <v>2025</v>
      </c>
      <c r="S95" s="9"/>
    </row>
    <row r="96" spans="1:19" ht="66" hidden="1">
      <c r="A96" s="5">
        <v>95</v>
      </c>
      <c r="B96" s="6"/>
      <c r="C96" s="6" t="str">
        <f t="shared" si="1"/>
        <v>Thiết kế và xây dựng bộ lắp ghép mô hình STEAM theo chủ đề "Năng lượng và sự biến đổi" trong môn KHTN ở trường Trung học cơ sở</v>
      </c>
      <c r="D96" s="5" t="s">
        <v>170</v>
      </c>
      <c r="E96" s="5">
        <v>3140722073</v>
      </c>
      <c r="F96" s="5" t="s">
        <v>141</v>
      </c>
      <c r="G96" s="6"/>
      <c r="H96" s="6"/>
      <c r="I96" s="5" t="s">
        <v>123</v>
      </c>
      <c r="J96" s="6" t="e">
        <f t="shared" ca="1" si="0"/>
        <v>#NAME?</v>
      </c>
      <c r="K96" s="6" t="e">
        <f ca="1">VLOOKUP(J96,'Bảng Đơn vị'!$A$2:$B$10,2,1)</f>
        <v>#NAME?</v>
      </c>
      <c r="L96" s="7">
        <v>45761</v>
      </c>
      <c r="M96" s="8">
        <v>2025</v>
      </c>
      <c r="S96" s="9"/>
    </row>
    <row r="97" spans="1:19" ht="66" hidden="1">
      <c r="A97" s="5">
        <v>96</v>
      </c>
      <c r="B97" s="5" t="s">
        <v>171</v>
      </c>
      <c r="C97" s="6" t="str">
        <f t="shared" si="1"/>
        <v>Thiết kế e-book hỗ trợ dạy học chương “Động lực học”- Vật lý 10 - sách Kết nối Tri thức và Cuộc sống hướng phát triển năng lực tự học của học sinh.</v>
      </c>
      <c r="D97" s="5" t="s">
        <v>172</v>
      </c>
      <c r="E97" s="5">
        <v>3130124003</v>
      </c>
      <c r="F97" s="5" t="s">
        <v>173</v>
      </c>
      <c r="G97" s="5" t="s">
        <v>174</v>
      </c>
      <c r="H97" s="6"/>
      <c r="I97" s="5" t="s">
        <v>123</v>
      </c>
      <c r="J97" s="6" t="e">
        <f t="shared" ca="1" si="0"/>
        <v>#NAME?</v>
      </c>
      <c r="K97" s="6" t="e">
        <f ca="1">VLOOKUP(J97,'Bảng Đơn vị'!$A$2:$B$10,2,1)</f>
        <v>#NAME?</v>
      </c>
      <c r="L97" s="7">
        <v>45762</v>
      </c>
      <c r="M97" s="8">
        <v>2025</v>
      </c>
      <c r="S97" s="9"/>
    </row>
    <row r="98" spans="1:19" ht="66" hidden="1">
      <c r="A98" s="5">
        <v>97</v>
      </c>
      <c r="B98" s="6"/>
      <c r="C98" s="6" t="str">
        <f t="shared" si="1"/>
        <v>Thiết kế e-book hỗ trợ dạy học chương “Động lực học”- Vật lý 10 - sách Kết nối Tri thức và Cuộc sống hướng phát triển năng lực tự học của học sinh.</v>
      </c>
      <c r="D98" s="5" t="s">
        <v>175</v>
      </c>
      <c r="E98" s="5">
        <v>3130124010</v>
      </c>
      <c r="F98" s="5" t="s">
        <v>173</v>
      </c>
      <c r="G98" s="6"/>
      <c r="H98" s="6"/>
      <c r="I98" s="5" t="s">
        <v>123</v>
      </c>
      <c r="J98" s="6" t="e">
        <f t="shared" ca="1" si="0"/>
        <v>#NAME?</v>
      </c>
      <c r="K98" s="6" t="e">
        <f ca="1">VLOOKUP(J98,'Bảng Đơn vị'!$A$2:$B$10,2,1)</f>
        <v>#NAME?</v>
      </c>
      <c r="L98" s="7">
        <v>45763</v>
      </c>
      <c r="M98" s="8">
        <v>2025</v>
      </c>
      <c r="S98" s="9"/>
    </row>
    <row r="99" spans="1:19" ht="66" hidden="1">
      <c r="A99" s="5">
        <v>98</v>
      </c>
      <c r="B99" s="6"/>
      <c r="C99" s="6" t="str">
        <f t="shared" si="1"/>
        <v>Thiết kế e-book hỗ trợ dạy học chương “Động lực học”- Vật lý 10 - sách Kết nối Tri thức và Cuộc sống hướng phát triển năng lực tự học của học sinh.</v>
      </c>
      <c r="D99" s="5" t="s">
        <v>176</v>
      </c>
      <c r="E99" s="5">
        <v>3130124006</v>
      </c>
      <c r="F99" s="5" t="s">
        <v>173</v>
      </c>
      <c r="G99" s="6"/>
      <c r="H99" s="6"/>
      <c r="I99" s="5" t="s">
        <v>123</v>
      </c>
      <c r="J99" s="6" t="e">
        <f t="shared" ca="1" si="0"/>
        <v>#NAME?</v>
      </c>
      <c r="K99" s="6" t="e">
        <f ca="1">VLOOKUP(J99,'Bảng Đơn vị'!$A$2:$B$10,2,1)</f>
        <v>#NAME?</v>
      </c>
      <c r="L99" s="7">
        <v>45764</v>
      </c>
      <c r="M99" s="8">
        <v>2025</v>
      </c>
      <c r="S99" s="9"/>
    </row>
    <row r="100" spans="1:19" ht="66" hidden="1">
      <c r="A100" s="5">
        <v>99</v>
      </c>
      <c r="B100" s="6"/>
      <c r="C100" s="6" t="str">
        <f t="shared" si="1"/>
        <v>Thiết kế e-book hỗ trợ dạy học chương “Động lực học”- Vật lý 10 - sách Kết nối Tri thức và Cuộc sống hướng phát triển năng lực tự học của học sinh.</v>
      </c>
      <c r="D100" s="5" t="s">
        <v>177</v>
      </c>
      <c r="E100" s="5">
        <v>3130124007</v>
      </c>
      <c r="F100" s="5" t="s">
        <v>173</v>
      </c>
      <c r="G100" s="6"/>
      <c r="H100" s="6"/>
      <c r="I100" s="5" t="s">
        <v>123</v>
      </c>
      <c r="J100" s="6" t="e">
        <f t="shared" ca="1" si="0"/>
        <v>#NAME?</v>
      </c>
      <c r="K100" s="6" t="e">
        <f ca="1">VLOOKUP(J100,'Bảng Đơn vị'!$A$2:$B$10,2,1)</f>
        <v>#NAME?</v>
      </c>
      <c r="L100" s="7">
        <v>45765</v>
      </c>
      <c r="M100" s="8">
        <v>2025</v>
      </c>
      <c r="S100" s="9"/>
    </row>
    <row r="101" spans="1:19" ht="66" hidden="1">
      <c r="A101" s="5">
        <v>100</v>
      </c>
      <c r="B101" s="6"/>
      <c r="C101" s="6" t="str">
        <f t="shared" si="1"/>
        <v>Thiết kế e-book hỗ trợ dạy học chương “Động lực học”- Vật lý 10 - sách Kết nối Tri thức và Cuộc sống hướng phát triển năng lực tự học của học sinh.</v>
      </c>
      <c r="D101" s="5" t="s">
        <v>178</v>
      </c>
      <c r="E101" s="5">
        <v>3120124017</v>
      </c>
      <c r="F101" s="5" t="s">
        <v>179</v>
      </c>
      <c r="G101" s="6"/>
      <c r="H101" s="6"/>
      <c r="I101" s="5" t="s">
        <v>123</v>
      </c>
      <c r="J101" s="6" t="e">
        <f t="shared" ca="1" si="0"/>
        <v>#NAME?</v>
      </c>
      <c r="K101" s="6" t="e">
        <f ca="1">VLOOKUP(J101,'Bảng Đơn vị'!$A$2:$B$10,2,1)</f>
        <v>#NAME?</v>
      </c>
      <c r="L101" s="7">
        <v>45766</v>
      </c>
      <c r="M101" s="8">
        <v>2025</v>
      </c>
      <c r="S101" s="9"/>
    </row>
    <row r="102" spans="1:19" ht="66" hidden="1">
      <c r="A102" s="5">
        <v>101</v>
      </c>
      <c r="B102" s="5" t="s">
        <v>180</v>
      </c>
      <c r="C102" s="6" t="str">
        <f t="shared" si="1"/>
        <v>Nghiên cứu chế tạo vật liệu thủy tinh pha tạp ion đất hiếm hoặc kim loại chuyển tiếp ứng dụng trong đo liều bức xạ</v>
      </c>
      <c r="D102" s="5" t="s">
        <v>181</v>
      </c>
      <c r="E102" s="5" t="s">
        <v>182</v>
      </c>
      <c r="F102" s="5" t="s">
        <v>183</v>
      </c>
      <c r="G102" s="5" t="s">
        <v>184</v>
      </c>
      <c r="H102" s="6"/>
      <c r="I102" s="5" t="s">
        <v>123</v>
      </c>
      <c r="J102" s="6" t="e">
        <f t="shared" ca="1" si="0"/>
        <v>#NAME?</v>
      </c>
      <c r="K102" s="6" t="e">
        <f ca="1">VLOOKUP(J102,'Bảng Đơn vị'!$A$2:$B$10,2,1)</f>
        <v>#NAME?</v>
      </c>
      <c r="L102" s="7">
        <v>45767</v>
      </c>
      <c r="M102" s="8">
        <v>2025</v>
      </c>
      <c r="S102" s="9"/>
    </row>
    <row r="103" spans="1:19" ht="52.8" hidden="1">
      <c r="A103" s="5">
        <v>102</v>
      </c>
      <c r="B103" s="6"/>
      <c r="C103" s="6" t="str">
        <f t="shared" si="1"/>
        <v>Nghiên cứu chế tạo vật liệu thủy tinh pha tạp ion đất hiếm hoặc kim loại chuyển tiếp ứng dụng trong đo liều bức xạ</v>
      </c>
      <c r="D103" s="5" t="s">
        <v>185</v>
      </c>
      <c r="E103" s="6"/>
      <c r="F103" s="5" t="s">
        <v>129</v>
      </c>
      <c r="G103" s="6"/>
      <c r="H103" s="6"/>
      <c r="I103" s="5" t="s">
        <v>123</v>
      </c>
      <c r="J103" s="6" t="e">
        <f t="shared" ca="1" si="0"/>
        <v>#NAME?</v>
      </c>
      <c r="K103" s="6" t="e">
        <f ca="1">VLOOKUP(J103,'Bảng Đơn vị'!$A$2:$B$10,2,1)</f>
        <v>#NAME?</v>
      </c>
      <c r="L103" s="7">
        <v>45768</v>
      </c>
      <c r="M103" s="8">
        <v>2025</v>
      </c>
      <c r="S103" s="9"/>
    </row>
    <row r="104" spans="1:19" ht="52.8" hidden="1">
      <c r="A104" s="5">
        <v>103</v>
      </c>
      <c r="B104" s="6"/>
      <c r="C104" s="6" t="str">
        <f t="shared" si="1"/>
        <v>Nghiên cứu chế tạo vật liệu thủy tinh pha tạp ion đất hiếm hoặc kim loại chuyển tiếp ứng dụng trong đo liều bức xạ</v>
      </c>
      <c r="D104" s="5" t="s">
        <v>186</v>
      </c>
      <c r="E104" s="6"/>
      <c r="F104" s="5" t="s">
        <v>129</v>
      </c>
      <c r="G104" s="6"/>
      <c r="H104" s="6"/>
      <c r="I104" s="5" t="s">
        <v>123</v>
      </c>
      <c r="J104" s="6" t="e">
        <f t="shared" ca="1" si="0"/>
        <v>#NAME?</v>
      </c>
      <c r="K104" s="6" t="e">
        <f ca="1">VLOOKUP(J104,'Bảng Đơn vị'!$A$2:$B$10,2,1)</f>
        <v>#NAME?</v>
      </c>
      <c r="L104" s="7">
        <v>45769</v>
      </c>
      <c r="M104" s="8">
        <v>2025</v>
      </c>
      <c r="S104" s="9"/>
    </row>
    <row r="105" spans="1:19" ht="52.8" hidden="1">
      <c r="A105" s="5">
        <v>104</v>
      </c>
      <c r="B105" s="6"/>
      <c r="C105" s="6" t="str">
        <f t="shared" si="1"/>
        <v>Nghiên cứu chế tạo vật liệu thủy tinh pha tạp ion đất hiếm hoặc kim loại chuyển tiếp ứng dụng trong đo liều bức xạ</v>
      </c>
      <c r="D105" s="5" t="s">
        <v>187</v>
      </c>
      <c r="E105" s="6"/>
      <c r="F105" s="5" t="s">
        <v>188</v>
      </c>
      <c r="G105" s="6"/>
      <c r="H105" s="6"/>
      <c r="I105" s="5" t="s">
        <v>123</v>
      </c>
      <c r="J105" s="6" t="e">
        <f t="shared" ca="1" si="0"/>
        <v>#NAME?</v>
      </c>
      <c r="K105" s="6" t="e">
        <f ca="1">VLOOKUP(J105,'Bảng Đơn vị'!$A$2:$B$10,2,1)</f>
        <v>#NAME?</v>
      </c>
      <c r="L105" s="7">
        <v>45770</v>
      </c>
      <c r="M105" s="8">
        <v>2025</v>
      </c>
      <c r="S105" s="9"/>
    </row>
    <row r="106" spans="1:19" ht="52.8" hidden="1">
      <c r="A106" s="5">
        <v>105</v>
      </c>
      <c r="B106" s="6"/>
      <c r="C106" s="6" t="str">
        <f t="shared" si="1"/>
        <v>Nghiên cứu chế tạo vật liệu thủy tinh pha tạp ion đất hiếm hoặc kim loại chuyển tiếp ứng dụng trong đo liều bức xạ</v>
      </c>
      <c r="D106" s="5" t="s">
        <v>189</v>
      </c>
      <c r="E106" s="6"/>
      <c r="F106" s="5" t="s">
        <v>121</v>
      </c>
      <c r="G106" s="6"/>
      <c r="H106" s="6"/>
      <c r="I106" s="5" t="s">
        <v>123</v>
      </c>
      <c r="J106" s="6" t="e">
        <f t="shared" ca="1" si="0"/>
        <v>#NAME?</v>
      </c>
      <c r="K106" s="6" t="e">
        <f ca="1">VLOOKUP(J106,'Bảng Đơn vị'!$A$2:$B$10,2,1)</f>
        <v>#NAME?</v>
      </c>
      <c r="L106" s="7">
        <v>45771</v>
      </c>
      <c r="M106" s="8">
        <v>2025</v>
      </c>
      <c r="S106" s="9"/>
    </row>
    <row r="107" spans="1:19" ht="66" hidden="1">
      <c r="A107" s="5">
        <v>106</v>
      </c>
      <c r="B107" s="5" t="s">
        <v>190</v>
      </c>
      <c r="C107" s="6" t="str">
        <f t="shared" si="1"/>
        <v>Nghiên cứu và chế tạo vật liệu Na0.5Bi0.5TiO3 pha tạp ion đất hiếm ứng dụng để tăng cường độ nhạy của các thiết bị cảm biến và thiết bị cơ điện</v>
      </c>
      <c r="D107" s="5" t="s">
        <v>191</v>
      </c>
      <c r="E107" s="5" t="s">
        <v>192</v>
      </c>
      <c r="F107" s="5" t="s">
        <v>193</v>
      </c>
      <c r="G107" s="5" t="s">
        <v>184</v>
      </c>
      <c r="H107" s="6"/>
      <c r="I107" s="5" t="s">
        <v>123</v>
      </c>
      <c r="J107" s="6" t="e">
        <f t="shared" ca="1" si="0"/>
        <v>#NAME?</v>
      </c>
      <c r="K107" s="6" t="e">
        <f ca="1">VLOOKUP(J107,'Bảng Đơn vị'!$A$2:$B$10,2,1)</f>
        <v>#NAME?</v>
      </c>
      <c r="L107" s="7">
        <v>45772</v>
      </c>
      <c r="M107" s="8">
        <v>2025</v>
      </c>
      <c r="S107" s="9"/>
    </row>
    <row r="108" spans="1:19" ht="66" hidden="1">
      <c r="A108" s="5">
        <v>107</v>
      </c>
      <c r="B108" s="6"/>
      <c r="C108" s="6" t="str">
        <f t="shared" si="1"/>
        <v>Nghiên cứu và chế tạo vật liệu Na0.5Bi0.5TiO3 pha tạp ion đất hiếm ứng dụng để tăng cường độ nhạy của các thiết bị cảm biến và thiết bị cơ điện</v>
      </c>
      <c r="D108" s="5" t="s">
        <v>194</v>
      </c>
      <c r="E108" s="6"/>
      <c r="F108" s="5" t="s">
        <v>121</v>
      </c>
      <c r="G108" s="6"/>
      <c r="H108" s="6"/>
      <c r="I108" s="5" t="s">
        <v>123</v>
      </c>
      <c r="J108" s="6" t="e">
        <f t="shared" ca="1" si="0"/>
        <v>#NAME?</v>
      </c>
      <c r="K108" s="6" t="e">
        <f ca="1">VLOOKUP(J108,'Bảng Đơn vị'!$A$2:$B$10,2,1)</f>
        <v>#NAME?</v>
      </c>
      <c r="L108" s="7">
        <v>45773</v>
      </c>
      <c r="M108" s="8">
        <v>2025</v>
      </c>
      <c r="S108" s="9"/>
    </row>
    <row r="109" spans="1:19" ht="66" hidden="1">
      <c r="A109" s="5">
        <v>108</v>
      </c>
      <c r="B109" s="6"/>
      <c r="C109" s="6" t="str">
        <f t="shared" si="1"/>
        <v>Nghiên cứu và chế tạo vật liệu Na0.5Bi0.5TiO3 pha tạp ion đất hiếm ứng dụng để tăng cường độ nhạy của các thiết bị cảm biến và thiết bị cơ điện</v>
      </c>
      <c r="D109" s="5" t="s">
        <v>195</v>
      </c>
      <c r="E109" s="6"/>
      <c r="F109" s="5" t="s">
        <v>121</v>
      </c>
      <c r="G109" s="6"/>
      <c r="H109" s="6"/>
      <c r="I109" s="5" t="s">
        <v>123</v>
      </c>
      <c r="J109" s="6" t="e">
        <f t="shared" ca="1" si="0"/>
        <v>#NAME?</v>
      </c>
      <c r="K109" s="6" t="e">
        <f ca="1">VLOOKUP(J109,'Bảng Đơn vị'!$A$2:$B$10,2,1)</f>
        <v>#NAME?</v>
      </c>
      <c r="L109" s="7">
        <v>45774</v>
      </c>
      <c r="M109" s="8">
        <v>2025</v>
      </c>
      <c r="S109" s="9"/>
    </row>
    <row r="110" spans="1:19" ht="66" hidden="1">
      <c r="A110" s="5">
        <v>109</v>
      </c>
      <c r="B110" s="6"/>
      <c r="C110" s="6" t="str">
        <f t="shared" si="1"/>
        <v>Nghiên cứu và chế tạo vật liệu Na0.5Bi0.5TiO3 pha tạp ion đất hiếm ứng dụng để tăng cường độ nhạy của các thiết bị cảm biến và thiết bị cơ điện</v>
      </c>
      <c r="D110" s="5" t="s">
        <v>196</v>
      </c>
      <c r="E110" s="6"/>
      <c r="F110" s="5" t="s">
        <v>121</v>
      </c>
      <c r="G110" s="6"/>
      <c r="H110" s="6"/>
      <c r="I110" s="5" t="s">
        <v>123</v>
      </c>
      <c r="J110" s="6" t="e">
        <f t="shared" ca="1" si="0"/>
        <v>#NAME?</v>
      </c>
      <c r="K110" s="6" t="e">
        <f ca="1">VLOOKUP(J110,'Bảng Đơn vị'!$A$2:$B$10,2,1)</f>
        <v>#NAME?</v>
      </c>
      <c r="L110" s="7">
        <v>45775</v>
      </c>
      <c r="M110" s="8">
        <v>2025</v>
      </c>
      <c r="S110" s="9"/>
    </row>
    <row r="111" spans="1:19" ht="66" hidden="1">
      <c r="A111" s="5">
        <v>110</v>
      </c>
      <c r="B111" s="6"/>
      <c r="C111" s="6" t="str">
        <f t="shared" si="1"/>
        <v>Nghiên cứu và chế tạo vật liệu Na0.5Bi0.5TiO3 pha tạp ion đất hiếm ứng dụng để tăng cường độ nhạy của các thiết bị cảm biến và thiết bị cơ điện</v>
      </c>
      <c r="D111" s="5" t="s">
        <v>197</v>
      </c>
      <c r="E111" s="6"/>
      <c r="F111" s="5" t="s">
        <v>121</v>
      </c>
      <c r="G111" s="6"/>
      <c r="H111" s="6"/>
      <c r="I111" s="5" t="s">
        <v>123</v>
      </c>
      <c r="J111" s="6" t="e">
        <f t="shared" ca="1" si="0"/>
        <v>#NAME?</v>
      </c>
      <c r="K111" s="6" t="e">
        <f ca="1">VLOOKUP(J111,'Bảng Đơn vị'!$A$2:$B$10,2,1)</f>
        <v>#NAME?</v>
      </c>
      <c r="L111" s="7">
        <v>45776</v>
      </c>
      <c r="M111" s="8">
        <v>2025</v>
      </c>
      <c r="S111" s="9"/>
    </row>
    <row r="112" spans="1:19" ht="39.6" hidden="1">
      <c r="A112" s="5">
        <v>111</v>
      </c>
      <c r="B112" s="5" t="s">
        <v>198</v>
      </c>
      <c r="C112" s="6" t="str">
        <f t="shared" si="1"/>
        <v>Nghiên cứu chế tạo và khảo sát tính chất nhiệt phát quang của vật liệu Sr3B2O6 pha tạp đất hiếm</v>
      </c>
      <c r="D112" s="5" t="s">
        <v>199</v>
      </c>
      <c r="E112" s="5">
        <v>3130323013</v>
      </c>
      <c r="F112" s="5" t="s">
        <v>188</v>
      </c>
      <c r="G112" s="5" t="s">
        <v>200</v>
      </c>
      <c r="H112" s="6"/>
      <c r="I112" s="5" t="s">
        <v>123</v>
      </c>
      <c r="J112" s="6" t="e">
        <f t="shared" ca="1" si="0"/>
        <v>#NAME?</v>
      </c>
      <c r="K112" s="6" t="e">
        <f ca="1">VLOOKUP(J112,'Bảng Đơn vị'!$A$2:$B$10,2,1)</f>
        <v>#NAME?</v>
      </c>
      <c r="L112" s="7">
        <v>45777</v>
      </c>
      <c r="M112" s="8">
        <v>2025</v>
      </c>
      <c r="S112" s="9"/>
    </row>
    <row r="113" spans="1:19" ht="39.6" hidden="1">
      <c r="A113" s="5">
        <v>112</v>
      </c>
      <c r="B113" s="6"/>
      <c r="C113" s="6" t="str">
        <f t="shared" si="1"/>
        <v>Nghiên cứu chế tạo và khảo sát tính chất nhiệt phát quang của vật liệu Sr3B2O6 pha tạp đất hiếm</v>
      </c>
      <c r="D113" s="5" t="s">
        <v>201</v>
      </c>
      <c r="E113" s="5">
        <v>3130323009</v>
      </c>
      <c r="F113" s="5" t="s">
        <v>188</v>
      </c>
      <c r="G113" s="6"/>
      <c r="H113" s="6"/>
      <c r="I113" s="5" t="s">
        <v>123</v>
      </c>
      <c r="J113" s="6" t="e">
        <f t="shared" ca="1" si="0"/>
        <v>#NAME?</v>
      </c>
      <c r="K113" s="6" t="e">
        <f ca="1">VLOOKUP(J113,'Bảng Đơn vị'!$A$2:$B$10,2,1)</f>
        <v>#NAME?</v>
      </c>
      <c r="L113" s="7">
        <v>45778</v>
      </c>
      <c r="M113" s="8">
        <v>2025</v>
      </c>
      <c r="S113" s="9"/>
    </row>
    <row r="114" spans="1:19" ht="39.6" hidden="1">
      <c r="A114" s="5">
        <v>113</v>
      </c>
      <c r="B114" s="6"/>
      <c r="C114" s="6" t="str">
        <f t="shared" si="1"/>
        <v>Nghiên cứu chế tạo và khảo sát tính chất nhiệt phát quang của vật liệu Sr3B2O6 pha tạp đất hiếm</v>
      </c>
      <c r="D114" s="5" t="s">
        <v>187</v>
      </c>
      <c r="E114" s="5">
        <v>3130323004</v>
      </c>
      <c r="F114" s="5" t="s">
        <v>188</v>
      </c>
      <c r="G114" s="6"/>
      <c r="H114" s="6"/>
      <c r="I114" s="5" t="s">
        <v>123</v>
      </c>
      <c r="J114" s="6" t="e">
        <f t="shared" ca="1" si="0"/>
        <v>#NAME?</v>
      </c>
      <c r="K114" s="6" t="e">
        <f ca="1">VLOOKUP(J114,'Bảng Đơn vị'!$A$2:$B$10,2,1)</f>
        <v>#NAME?</v>
      </c>
      <c r="L114" s="7">
        <v>45779</v>
      </c>
      <c r="M114" s="8">
        <v>2025</v>
      </c>
      <c r="S114" s="9"/>
    </row>
    <row r="115" spans="1:19" ht="39.6" hidden="1">
      <c r="A115" s="5">
        <v>114</v>
      </c>
      <c r="B115" s="6"/>
      <c r="C115" s="6" t="str">
        <f t="shared" si="1"/>
        <v>Nghiên cứu chế tạo và khảo sát tính chất nhiệt phát quang của vật liệu Sr3B2O6 pha tạp đất hiếm</v>
      </c>
      <c r="D115" s="5" t="s">
        <v>202</v>
      </c>
      <c r="E115" s="5">
        <v>3130323014</v>
      </c>
      <c r="F115" s="5" t="s">
        <v>188</v>
      </c>
      <c r="G115" s="6"/>
      <c r="H115" s="6"/>
      <c r="I115" s="5" t="s">
        <v>123</v>
      </c>
      <c r="J115" s="6" t="e">
        <f t="shared" ca="1" si="0"/>
        <v>#NAME?</v>
      </c>
      <c r="K115" s="6" t="e">
        <f ca="1">VLOOKUP(J115,'Bảng Đơn vị'!$A$2:$B$10,2,1)</f>
        <v>#NAME?</v>
      </c>
      <c r="L115" s="7">
        <v>45780</v>
      </c>
      <c r="M115" s="8">
        <v>2025</v>
      </c>
      <c r="S115" s="9"/>
    </row>
    <row r="116" spans="1:19" ht="39.6" hidden="1">
      <c r="A116" s="5">
        <v>115</v>
      </c>
      <c r="B116" s="6"/>
      <c r="C116" s="6" t="str">
        <f t="shared" si="1"/>
        <v>Nghiên cứu chế tạo và khảo sát tính chất nhiệt phát quang của vật liệu Sr3B2O6 pha tạp đất hiếm</v>
      </c>
      <c r="D116" s="5" t="s">
        <v>203</v>
      </c>
      <c r="E116" s="5">
        <v>3130323010</v>
      </c>
      <c r="F116" s="5" t="s">
        <v>188</v>
      </c>
      <c r="G116" s="6"/>
      <c r="H116" s="6"/>
      <c r="I116" s="5" t="s">
        <v>123</v>
      </c>
      <c r="J116" s="6" t="e">
        <f t="shared" ca="1" si="0"/>
        <v>#NAME?</v>
      </c>
      <c r="K116" s="6" t="e">
        <f ca="1">VLOOKUP(J116,'Bảng Đơn vị'!$A$2:$B$10,2,1)</f>
        <v>#NAME?</v>
      </c>
      <c r="L116" s="7">
        <v>45781</v>
      </c>
      <c r="M116" s="8">
        <v>2025</v>
      </c>
      <c r="S116" s="9"/>
    </row>
    <row r="117" spans="1:19" ht="66" hidden="1">
      <c r="A117" s="5">
        <v>116</v>
      </c>
      <c r="B117" s="5" t="s">
        <v>204</v>
      </c>
      <c r="C117" s="6" t="str">
        <f t="shared" si="1"/>
        <v>Nghiên cứu chế tạo và tính chất quang của vật liệu Ba2MgSi2O7 pha tạp các ion đất hiếm định hướng ứng dụng trong chiếu sáng.</v>
      </c>
      <c r="D117" s="5" t="s">
        <v>205</v>
      </c>
      <c r="E117" s="5" t="s">
        <v>206</v>
      </c>
      <c r="F117" s="5" t="s">
        <v>207</v>
      </c>
      <c r="G117" s="5" t="s">
        <v>200</v>
      </c>
      <c r="H117" s="6"/>
      <c r="I117" s="5" t="s">
        <v>123</v>
      </c>
      <c r="J117" s="6" t="e">
        <f t="shared" ca="1" si="0"/>
        <v>#NAME?</v>
      </c>
      <c r="K117" s="6" t="e">
        <f ca="1">VLOOKUP(J117,'Bảng Đơn vị'!$A$2:$B$10,2,1)</f>
        <v>#NAME?</v>
      </c>
      <c r="L117" s="7">
        <v>45782</v>
      </c>
      <c r="M117" s="8">
        <v>2025</v>
      </c>
      <c r="S117" s="9"/>
    </row>
    <row r="118" spans="1:19" ht="66" hidden="1">
      <c r="A118" s="5">
        <v>117</v>
      </c>
      <c r="B118" s="6"/>
      <c r="C118" s="6" t="str">
        <f t="shared" si="1"/>
        <v>Nghiên cứu chế tạo và tính chất quang của vật liệu Ba2MgSi2O7 pha tạp các ion đất hiếm định hướng ứng dụng trong chiếu sáng.</v>
      </c>
      <c r="D118" s="5" t="s">
        <v>208</v>
      </c>
      <c r="E118" s="5">
        <v>3130123013</v>
      </c>
      <c r="F118" s="5" t="s">
        <v>125</v>
      </c>
      <c r="G118" s="6"/>
      <c r="H118" s="6"/>
      <c r="I118" s="5" t="s">
        <v>123</v>
      </c>
      <c r="J118" s="6" t="e">
        <f t="shared" ca="1" si="0"/>
        <v>#NAME?</v>
      </c>
      <c r="K118" s="6" t="e">
        <f ca="1">VLOOKUP(J118,'Bảng Đơn vị'!$A$2:$B$10,2,1)</f>
        <v>#NAME?</v>
      </c>
      <c r="L118" s="7">
        <v>45783</v>
      </c>
      <c r="M118" s="8">
        <v>2025</v>
      </c>
      <c r="S118" s="9"/>
    </row>
    <row r="119" spans="1:19" ht="66" hidden="1">
      <c r="A119" s="5">
        <v>118</v>
      </c>
      <c r="B119" s="6"/>
      <c r="C119" s="6" t="str">
        <f t="shared" si="1"/>
        <v>Nghiên cứu chế tạo và tính chất quang của vật liệu Ba2MgSi2O7 pha tạp các ion đất hiếm định hướng ứng dụng trong chiếu sáng.</v>
      </c>
      <c r="D119" s="5" t="s">
        <v>209</v>
      </c>
      <c r="E119" s="6"/>
      <c r="F119" s="6"/>
      <c r="G119" s="6"/>
      <c r="H119" s="6"/>
      <c r="I119" s="5" t="s">
        <v>123</v>
      </c>
      <c r="J119" s="6" t="e">
        <f t="shared" ca="1" si="0"/>
        <v>#NAME?</v>
      </c>
      <c r="K119" s="6" t="e">
        <f ca="1">VLOOKUP(J119,'Bảng Đơn vị'!$A$2:$B$10,2,1)</f>
        <v>#NAME?</v>
      </c>
      <c r="L119" s="7">
        <v>45784</v>
      </c>
      <c r="M119" s="8">
        <v>2025</v>
      </c>
      <c r="S119" s="9"/>
    </row>
    <row r="120" spans="1:19" ht="66" hidden="1">
      <c r="A120" s="5">
        <v>119</v>
      </c>
      <c r="B120" s="6"/>
      <c r="C120" s="6" t="str">
        <f t="shared" si="1"/>
        <v>Nghiên cứu chế tạo và tính chất quang của vật liệu Ba2MgSi2O7 pha tạp các ion đất hiếm định hướng ứng dụng trong chiếu sáng.</v>
      </c>
      <c r="D120" s="5" t="s">
        <v>210</v>
      </c>
      <c r="E120" s="6"/>
      <c r="F120" s="6"/>
      <c r="G120" s="6"/>
      <c r="H120" s="6"/>
      <c r="I120" s="5" t="s">
        <v>123</v>
      </c>
      <c r="J120" s="6" t="e">
        <f t="shared" ca="1" si="0"/>
        <v>#NAME?</v>
      </c>
      <c r="K120" s="6" t="e">
        <f ca="1">VLOOKUP(J120,'Bảng Đơn vị'!$A$2:$B$10,2,1)</f>
        <v>#NAME?</v>
      </c>
      <c r="L120" s="7">
        <v>45785</v>
      </c>
      <c r="M120" s="8">
        <v>2025</v>
      </c>
      <c r="S120" s="9"/>
    </row>
    <row r="121" spans="1:19" ht="52.8" hidden="1">
      <c r="A121" s="5">
        <v>120</v>
      </c>
      <c r="B121" s="5" t="s">
        <v>211</v>
      </c>
      <c r="C121" s="6" t="str">
        <f t="shared" si="1"/>
        <v>Nghiên cứu sự ảnh hưởng của pha tạp Mn, Ni, Zn lên cấu trúc và tính chất của vật liệu Cobalt Ferrite.</v>
      </c>
      <c r="D121" s="5" t="s">
        <v>212</v>
      </c>
      <c r="E121" s="5">
        <v>3110122008</v>
      </c>
      <c r="F121" s="5" t="s">
        <v>121</v>
      </c>
      <c r="G121" s="5" t="s">
        <v>213</v>
      </c>
      <c r="H121" s="6"/>
      <c r="I121" s="5" t="s">
        <v>123</v>
      </c>
      <c r="J121" s="6" t="e">
        <f t="shared" ca="1" si="0"/>
        <v>#NAME?</v>
      </c>
      <c r="K121" s="6" t="e">
        <f ca="1">VLOOKUP(J121,'Bảng Đơn vị'!$A$2:$B$10,2,1)</f>
        <v>#NAME?</v>
      </c>
      <c r="L121" s="7">
        <v>45786</v>
      </c>
      <c r="M121" s="8">
        <v>2025</v>
      </c>
      <c r="S121" s="9"/>
    </row>
    <row r="122" spans="1:19" ht="52.8" hidden="1">
      <c r="A122" s="5">
        <v>121</v>
      </c>
      <c r="B122" s="6"/>
      <c r="C122" s="6" t="str">
        <f t="shared" si="1"/>
        <v>Nghiên cứu sự ảnh hưởng của pha tạp Mn, Ni, Zn lên cấu trúc và tính chất của vật liệu Cobalt Ferrite.</v>
      </c>
      <c r="D122" s="5" t="s">
        <v>214</v>
      </c>
      <c r="E122" s="5">
        <v>3130122002</v>
      </c>
      <c r="F122" s="5" t="s">
        <v>121</v>
      </c>
      <c r="G122" s="6"/>
      <c r="H122" s="6"/>
      <c r="I122" s="5" t="s">
        <v>123</v>
      </c>
      <c r="J122" s="6" t="e">
        <f t="shared" ca="1" si="0"/>
        <v>#NAME?</v>
      </c>
      <c r="K122" s="6" t="e">
        <f ca="1">VLOOKUP(J122,'Bảng Đơn vị'!$A$2:$B$10,2,1)</f>
        <v>#NAME?</v>
      </c>
      <c r="L122" s="7">
        <v>45787</v>
      </c>
      <c r="M122" s="8">
        <v>2025</v>
      </c>
      <c r="S122" s="9"/>
    </row>
    <row r="123" spans="1:19" ht="52.8" hidden="1">
      <c r="A123" s="5">
        <v>122</v>
      </c>
      <c r="B123" s="6"/>
      <c r="C123" s="6" t="str">
        <f t="shared" si="1"/>
        <v>Nghiên cứu sự ảnh hưởng của pha tạp Mn, Ni, Zn lên cấu trúc và tính chất của vật liệu Cobalt Ferrite.</v>
      </c>
      <c r="D123" s="5" t="s">
        <v>215</v>
      </c>
      <c r="E123" s="5">
        <v>3130122005</v>
      </c>
      <c r="F123" s="5" t="s">
        <v>121</v>
      </c>
      <c r="G123" s="6"/>
      <c r="H123" s="6"/>
      <c r="I123" s="5" t="s">
        <v>123</v>
      </c>
      <c r="J123" s="6" t="e">
        <f t="shared" ca="1" si="0"/>
        <v>#NAME?</v>
      </c>
      <c r="K123" s="6" t="e">
        <f ca="1">VLOOKUP(J123,'Bảng Đơn vị'!$A$2:$B$10,2,1)</f>
        <v>#NAME?</v>
      </c>
      <c r="L123" s="7">
        <v>45788</v>
      </c>
      <c r="M123" s="8">
        <v>2025</v>
      </c>
      <c r="S123" s="9"/>
    </row>
    <row r="124" spans="1:19" ht="52.8" hidden="1">
      <c r="A124" s="5">
        <v>123</v>
      </c>
      <c r="B124" s="6"/>
      <c r="C124" s="6" t="str">
        <f t="shared" si="1"/>
        <v>Nghiên cứu sự ảnh hưởng của pha tạp Mn, Ni, Zn lên cấu trúc và tính chất của vật liệu Cobalt Ferrite.</v>
      </c>
      <c r="D124" s="5" t="s">
        <v>186</v>
      </c>
      <c r="E124" s="5">
        <v>3130123006</v>
      </c>
      <c r="F124" s="5" t="s">
        <v>125</v>
      </c>
      <c r="G124" s="6"/>
      <c r="H124" s="6"/>
      <c r="I124" s="5" t="s">
        <v>123</v>
      </c>
      <c r="J124" s="6" t="e">
        <f t="shared" ca="1" si="0"/>
        <v>#NAME?</v>
      </c>
      <c r="K124" s="6" t="e">
        <f ca="1">VLOOKUP(J124,'Bảng Đơn vị'!$A$2:$B$10,2,1)</f>
        <v>#NAME?</v>
      </c>
      <c r="L124" s="7">
        <v>45789</v>
      </c>
      <c r="M124" s="8">
        <v>2025</v>
      </c>
      <c r="S124" s="9"/>
    </row>
    <row r="125" spans="1:19" ht="39.6" hidden="1">
      <c r="A125" s="5">
        <v>124</v>
      </c>
      <c r="B125" s="5" t="s">
        <v>216</v>
      </c>
      <c r="C125" s="6" t="str">
        <f t="shared" si="1"/>
        <v>Chế tạo và nghiên cứu các đặc trưng cấu trúc của vật liệu spinel pha tạp ion đất hiếm</v>
      </c>
      <c r="D125" s="5" t="s">
        <v>217</v>
      </c>
      <c r="E125" s="5">
        <v>3130322008</v>
      </c>
      <c r="F125" s="5" t="s">
        <v>193</v>
      </c>
      <c r="G125" s="5" t="s">
        <v>218</v>
      </c>
      <c r="H125" s="6"/>
      <c r="I125" s="5" t="s">
        <v>123</v>
      </c>
      <c r="J125" s="6" t="e">
        <f t="shared" ca="1" si="0"/>
        <v>#NAME?</v>
      </c>
      <c r="K125" s="6" t="e">
        <f ca="1">VLOOKUP(J125,'Bảng Đơn vị'!$A$2:$B$10,2,1)</f>
        <v>#NAME?</v>
      </c>
      <c r="L125" s="7">
        <v>45790</v>
      </c>
      <c r="M125" s="8">
        <v>2025</v>
      </c>
      <c r="S125" s="9"/>
    </row>
    <row r="126" spans="1:19" ht="39.6" hidden="1">
      <c r="A126" s="5">
        <v>125</v>
      </c>
      <c r="B126" s="6"/>
      <c r="C126" s="6" t="str">
        <f t="shared" si="1"/>
        <v>Chế tạo và nghiên cứu các đặc trưng cấu trúc của vật liệu spinel pha tạp ion đất hiếm</v>
      </c>
      <c r="D126" s="5" t="s">
        <v>191</v>
      </c>
      <c r="E126" s="5">
        <v>3130322007</v>
      </c>
      <c r="F126" s="5" t="s">
        <v>193</v>
      </c>
      <c r="G126" s="6"/>
      <c r="H126" s="6"/>
      <c r="I126" s="5" t="s">
        <v>123</v>
      </c>
      <c r="J126" s="6" t="e">
        <f t="shared" ca="1" si="0"/>
        <v>#NAME?</v>
      </c>
      <c r="K126" s="6" t="e">
        <f ca="1">VLOOKUP(J126,'Bảng Đơn vị'!$A$2:$B$10,2,1)</f>
        <v>#NAME?</v>
      </c>
      <c r="L126" s="7">
        <v>45791</v>
      </c>
      <c r="M126" s="8">
        <v>2025</v>
      </c>
      <c r="S126" s="9"/>
    </row>
    <row r="127" spans="1:19" ht="39.6" hidden="1">
      <c r="A127" s="5">
        <v>126</v>
      </c>
      <c r="B127" s="6"/>
      <c r="C127" s="6" t="str">
        <f t="shared" si="1"/>
        <v>Chế tạo và nghiên cứu các đặc trưng cấu trúc của vật liệu spinel pha tạp ion đất hiếm</v>
      </c>
      <c r="D127" s="5" t="s">
        <v>219</v>
      </c>
      <c r="E127" s="5">
        <v>3130322006</v>
      </c>
      <c r="F127" s="5" t="s">
        <v>193</v>
      </c>
      <c r="G127" s="6"/>
      <c r="H127" s="6"/>
      <c r="I127" s="5" t="s">
        <v>123</v>
      </c>
      <c r="J127" s="6" t="e">
        <f t="shared" ca="1" si="0"/>
        <v>#NAME?</v>
      </c>
      <c r="K127" s="6" t="e">
        <f ca="1">VLOOKUP(J127,'Bảng Đơn vị'!$A$2:$B$10,2,1)</f>
        <v>#NAME?</v>
      </c>
      <c r="L127" s="7">
        <v>45792</v>
      </c>
      <c r="M127" s="8">
        <v>2025</v>
      </c>
      <c r="S127" s="9"/>
    </row>
    <row r="128" spans="1:19" ht="39.6" hidden="1">
      <c r="A128" s="5">
        <v>127</v>
      </c>
      <c r="B128" s="6"/>
      <c r="C128" s="6" t="str">
        <f t="shared" si="1"/>
        <v>Chế tạo và nghiên cứu các đặc trưng cấu trúc của vật liệu spinel pha tạp ion đất hiếm</v>
      </c>
      <c r="D128" s="5" t="s">
        <v>220</v>
      </c>
      <c r="E128" s="5">
        <v>3130322002</v>
      </c>
      <c r="F128" s="5" t="s">
        <v>193</v>
      </c>
      <c r="G128" s="6"/>
      <c r="H128" s="6"/>
      <c r="I128" s="5" t="s">
        <v>123</v>
      </c>
      <c r="J128" s="6" t="e">
        <f t="shared" ca="1" si="0"/>
        <v>#NAME?</v>
      </c>
      <c r="K128" s="6" t="e">
        <f ca="1">VLOOKUP(J128,'Bảng Đơn vị'!$A$2:$B$10,2,1)</f>
        <v>#NAME?</v>
      </c>
      <c r="L128" s="7">
        <v>45793</v>
      </c>
      <c r="M128" s="8">
        <v>2025</v>
      </c>
      <c r="S128" s="9"/>
    </row>
    <row r="129" spans="1:19" ht="66" hidden="1">
      <c r="A129" s="5">
        <v>128</v>
      </c>
      <c r="B129" s="5" t="s">
        <v>221</v>
      </c>
      <c r="C129" s="6" t="str">
        <f t="shared" si="1"/>
        <v>Nghiên cứu ảnh hưởng của áp suất và hàm lượng khí oxy đến cấu trúc và tính chất của màng mỏng ZnO chế tạo bằng phương pháp phún xạ</v>
      </c>
      <c r="D129" s="5" t="s">
        <v>219</v>
      </c>
      <c r="E129" s="5">
        <v>3130322006</v>
      </c>
      <c r="F129" s="5" t="s">
        <v>193</v>
      </c>
      <c r="G129" s="5" t="s">
        <v>222</v>
      </c>
      <c r="H129" s="6"/>
      <c r="I129" s="5" t="s">
        <v>123</v>
      </c>
      <c r="J129" s="6" t="e">
        <f t="shared" ca="1" si="0"/>
        <v>#NAME?</v>
      </c>
      <c r="K129" s="6" t="e">
        <f ca="1">VLOOKUP(J129,'Bảng Đơn vị'!$A$2:$B$10,2,1)</f>
        <v>#NAME?</v>
      </c>
      <c r="L129" s="7">
        <v>45794</v>
      </c>
      <c r="M129" s="8">
        <v>2025</v>
      </c>
      <c r="S129" s="9"/>
    </row>
    <row r="130" spans="1:19" ht="66" hidden="1">
      <c r="A130" s="5">
        <v>129</v>
      </c>
      <c r="B130" s="6"/>
      <c r="C130" s="6" t="str">
        <f t="shared" si="1"/>
        <v>Nghiên cứu ảnh hưởng của áp suất và hàm lượng khí oxy đến cấu trúc và tính chất của màng mỏng ZnO chế tạo bằng phương pháp phún xạ</v>
      </c>
      <c r="D130" s="5" t="s">
        <v>220</v>
      </c>
      <c r="E130" s="5">
        <v>3130322002</v>
      </c>
      <c r="F130" s="5" t="s">
        <v>193</v>
      </c>
      <c r="G130" s="6"/>
      <c r="H130" s="6"/>
      <c r="I130" s="5" t="s">
        <v>123</v>
      </c>
      <c r="J130" s="6" t="e">
        <f t="shared" ca="1" si="0"/>
        <v>#NAME?</v>
      </c>
      <c r="K130" s="6" t="e">
        <f ca="1">VLOOKUP(J130,'Bảng Đơn vị'!$A$2:$B$10,2,1)</f>
        <v>#NAME?</v>
      </c>
      <c r="L130" s="7">
        <v>45795</v>
      </c>
      <c r="M130" s="8">
        <v>2025</v>
      </c>
      <c r="S130" s="9"/>
    </row>
    <row r="131" spans="1:19" ht="66" hidden="1">
      <c r="A131" s="5">
        <v>130</v>
      </c>
      <c r="B131" s="6"/>
      <c r="C131" s="6" t="str">
        <f t="shared" si="1"/>
        <v>Nghiên cứu ảnh hưởng của áp suất và hàm lượng khí oxy đến cấu trúc và tính chất của màng mỏng ZnO chế tạo bằng phương pháp phún xạ</v>
      </c>
      <c r="D131" s="5" t="s">
        <v>208</v>
      </c>
      <c r="E131" s="5">
        <v>3130122029</v>
      </c>
      <c r="F131" s="5" t="s">
        <v>121</v>
      </c>
      <c r="G131" s="6"/>
      <c r="H131" s="6"/>
      <c r="I131" s="5" t="s">
        <v>123</v>
      </c>
      <c r="J131" s="6" t="e">
        <f t="shared" ca="1" si="0"/>
        <v>#NAME?</v>
      </c>
      <c r="K131" s="6" t="e">
        <f ca="1">VLOOKUP(J131,'Bảng Đơn vị'!$A$2:$B$10,2,1)</f>
        <v>#NAME?</v>
      </c>
      <c r="L131" s="7">
        <v>45796</v>
      </c>
      <c r="M131" s="8">
        <v>2025</v>
      </c>
      <c r="S131" s="9"/>
    </row>
    <row r="132" spans="1:19" ht="66" hidden="1">
      <c r="A132" s="5">
        <v>131</v>
      </c>
      <c r="B132" s="6"/>
      <c r="C132" s="6" t="str">
        <f t="shared" si="1"/>
        <v>Nghiên cứu ảnh hưởng của áp suất và hàm lượng khí oxy đến cấu trúc và tính chất của màng mỏng ZnO chế tạo bằng phương pháp phún xạ</v>
      </c>
      <c r="D132" s="5" t="s">
        <v>223</v>
      </c>
      <c r="E132" s="5">
        <v>3130122003</v>
      </c>
      <c r="F132" s="5" t="s">
        <v>121</v>
      </c>
      <c r="G132" s="6"/>
      <c r="H132" s="6"/>
      <c r="I132" s="5" t="s">
        <v>123</v>
      </c>
      <c r="J132" s="6" t="e">
        <f t="shared" ca="1" si="0"/>
        <v>#NAME?</v>
      </c>
      <c r="K132" s="6" t="e">
        <f ca="1">VLOOKUP(J132,'Bảng Đơn vị'!$A$2:$B$10,2,1)</f>
        <v>#NAME?</v>
      </c>
      <c r="L132" s="7">
        <v>45797</v>
      </c>
      <c r="M132" s="8">
        <v>2025</v>
      </c>
      <c r="S132" s="9"/>
    </row>
    <row r="133" spans="1:19" ht="66" hidden="1">
      <c r="A133" s="5">
        <v>132</v>
      </c>
      <c r="B133" s="6"/>
      <c r="C133" s="6" t="str">
        <f t="shared" si="1"/>
        <v>Nghiên cứu ảnh hưởng của áp suất và hàm lượng khí oxy đến cấu trúc và tính chất của màng mỏng ZnO chế tạo bằng phương pháp phún xạ</v>
      </c>
      <c r="D133" s="5" t="s">
        <v>215</v>
      </c>
      <c r="E133" s="5">
        <v>3130122005</v>
      </c>
      <c r="F133" s="5" t="s">
        <v>121</v>
      </c>
      <c r="G133" s="6"/>
      <c r="H133" s="6"/>
      <c r="I133" s="5" t="s">
        <v>123</v>
      </c>
      <c r="J133" s="6" t="e">
        <f t="shared" ca="1" si="0"/>
        <v>#NAME?</v>
      </c>
      <c r="K133" s="6" t="e">
        <f ca="1">VLOOKUP(J133,'Bảng Đơn vị'!$A$2:$B$10,2,1)</f>
        <v>#NAME?</v>
      </c>
      <c r="L133" s="7">
        <v>45798</v>
      </c>
      <c r="M133" s="8">
        <v>2025</v>
      </c>
      <c r="S133" s="9"/>
    </row>
    <row r="134" spans="1:19" ht="66" hidden="1">
      <c r="A134" s="5">
        <v>133</v>
      </c>
      <c r="B134" s="5" t="s">
        <v>224</v>
      </c>
      <c r="C134" s="6" t="str">
        <f t="shared" si="1"/>
        <v>Nghiên cứu sự truyền năng lượng giữa ion Bi3+ và các kim loại chuyển tiếp hoặc ion đất hiếm trong một số mạng nền ứng dụng chế tạo vật liệu chiếu sáng</v>
      </c>
      <c r="D134" s="5" t="s">
        <v>225</v>
      </c>
      <c r="E134" s="5" t="s">
        <v>226</v>
      </c>
      <c r="F134" s="5" t="s">
        <v>227</v>
      </c>
      <c r="G134" s="5" t="s">
        <v>228</v>
      </c>
      <c r="H134" s="6"/>
      <c r="I134" s="5" t="s">
        <v>123</v>
      </c>
      <c r="J134" s="6" t="e">
        <f t="shared" ca="1" si="0"/>
        <v>#NAME?</v>
      </c>
      <c r="K134" s="6" t="e">
        <f ca="1">VLOOKUP(J134,'Bảng Đơn vị'!$A$2:$B$10,2,1)</f>
        <v>#NAME?</v>
      </c>
      <c r="L134" s="7">
        <v>45799</v>
      </c>
      <c r="M134" s="8">
        <v>2025</v>
      </c>
      <c r="S134" s="9"/>
    </row>
    <row r="135" spans="1:19" ht="66" hidden="1">
      <c r="A135" s="5">
        <v>134</v>
      </c>
      <c r="B135" s="6"/>
      <c r="C135" s="6" t="str">
        <f t="shared" si="1"/>
        <v>Nghiên cứu sự truyền năng lượng giữa ion Bi3+ và các kim loại chuyển tiếp hoặc ion đất hiếm trong một số mạng nền ứng dụng chế tạo vật liệu chiếu sáng</v>
      </c>
      <c r="D135" s="5" t="s">
        <v>229</v>
      </c>
      <c r="E135" s="6"/>
      <c r="F135" s="6"/>
      <c r="G135" s="6"/>
      <c r="H135" s="6"/>
      <c r="I135" s="5" t="s">
        <v>123</v>
      </c>
      <c r="J135" s="6" t="e">
        <f t="shared" ca="1" si="0"/>
        <v>#NAME?</v>
      </c>
      <c r="K135" s="6" t="e">
        <f ca="1">VLOOKUP(J135,'Bảng Đơn vị'!$A$2:$B$10,2,1)</f>
        <v>#NAME?</v>
      </c>
      <c r="L135" s="7">
        <v>45800</v>
      </c>
      <c r="M135" s="8">
        <v>2025</v>
      </c>
      <c r="S135" s="9"/>
    </row>
    <row r="136" spans="1:19" ht="66" hidden="1">
      <c r="A136" s="5">
        <v>135</v>
      </c>
      <c r="B136" s="6"/>
      <c r="C136" s="6" t="str">
        <f t="shared" si="1"/>
        <v>Nghiên cứu sự truyền năng lượng giữa ion Bi3+ và các kim loại chuyển tiếp hoặc ion đất hiếm trong một số mạng nền ứng dụng chế tạo vật liệu chiếu sáng</v>
      </c>
      <c r="D136" s="5" t="s">
        <v>230</v>
      </c>
      <c r="E136" s="6"/>
      <c r="F136" s="6"/>
      <c r="G136" s="6"/>
      <c r="H136" s="6"/>
      <c r="I136" s="5" t="s">
        <v>123</v>
      </c>
      <c r="J136" s="6" t="e">
        <f t="shared" ca="1" si="0"/>
        <v>#NAME?</v>
      </c>
      <c r="K136" s="6" t="e">
        <f ca="1">VLOOKUP(J136,'Bảng Đơn vị'!$A$2:$B$10,2,1)</f>
        <v>#NAME?</v>
      </c>
      <c r="L136" s="7">
        <v>45801</v>
      </c>
      <c r="M136" s="8">
        <v>2025</v>
      </c>
      <c r="S136" s="9"/>
    </row>
    <row r="137" spans="1:19" ht="66" hidden="1">
      <c r="A137" s="5">
        <v>136</v>
      </c>
      <c r="B137" s="6"/>
      <c r="C137" s="6" t="str">
        <f t="shared" si="1"/>
        <v>Nghiên cứu sự truyền năng lượng giữa ion Bi3+ và các kim loại chuyển tiếp hoặc ion đất hiếm trong một số mạng nền ứng dụng chế tạo vật liệu chiếu sáng</v>
      </c>
      <c r="D137" s="5" t="s">
        <v>231</v>
      </c>
      <c r="E137" s="6"/>
      <c r="F137" s="6"/>
      <c r="G137" s="6"/>
      <c r="H137" s="6"/>
      <c r="I137" s="5" t="s">
        <v>123</v>
      </c>
      <c r="J137" s="6" t="e">
        <f t="shared" ca="1" si="0"/>
        <v>#NAME?</v>
      </c>
      <c r="K137" s="6" t="e">
        <f ca="1">VLOOKUP(J137,'Bảng Đơn vị'!$A$2:$B$10,2,1)</f>
        <v>#NAME?</v>
      </c>
      <c r="L137" s="7">
        <v>45802</v>
      </c>
      <c r="M137" s="8">
        <v>2025</v>
      </c>
      <c r="S137" s="9"/>
    </row>
    <row r="138" spans="1:19" ht="66" hidden="1">
      <c r="A138" s="5">
        <v>137</v>
      </c>
      <c r="B138" s="6"/>
      <c r="C138" s="6" t="str">
        <f t="shared" si="1"/>
        <v>Nghiên cứu sự truyền năng lượng giữa ion Bi3+ và các kim loại chuyển tiếp hoặc ion đất hiếm trong một số mạng nền ứng dụng chế tạo vật liệu chiếu sáng</v>
      </c>
      <c r="D138" s="5" t="s">
        <v>232</v>
      </c>
      <c r="E138" s="6"/>
      <c r="F138" s="6"/>
      <c r="G138" s="6"/>
      <c r="H138" s="6"/>
      <c r="I138" s="5" t="s">
        <v>123</v>
      </c>
      <c r="J138" s="6" t="e">
        <f t="shared" ca="1" si="0"/>
        <v>#NAME?</v>
      </c>
      <c r="K138" s="6" t="e">
        <f ca="1">VLOOKUP(J138,'Bảng Đơn vị'!$A$2:$B$10,2,1)</f>
        <v>#NAME?</v>
      </c>
      <c r="L138" s="7">
        <v>45803</v>
      </c>
      <c r="M138" s="8">
        <v>2025</v>
      </c>
      <c r="S138" s="9"/>
    </row>
    <row r="139" spans="1:19" ht="39.6" hidden="1">
      <c r="A139" s="5">
        <v>138</v>
      </c>
      <c r="B139" s="5" t="s">
        <v>233</v>
      </c>
      <c r="C139" s="6" t="str">
        <f t="shared" si="1"/>
        <v>Nghiên cứu ứng dụng ước tính pha lượng tử trong mô phỏng phân tử</v>
      </c>
      <c r="D139" s="5" t="s">
        <v>234</v>
      </c>
      <c r="E139" s="5">
        <v>3130122025</v>
      </c>
      <c r="F139" s="5" t="s">
        <v>121</v>
      </c>
      <c r="G139" s="5" t="s">
        <v>235</v>
      </c>
      <c r="H139" s="6"/>
      <c r="I139" s="5" t="s">
        <v>123</v>
      </c>
      <c r="J139" s="6" t="e">
        <f t="shared" ca="1" si="0"/>
        <v>#NAME?</v>
      </c>
      <c r="K139" s="6" t="e">
        <f ca="1">VLOOKUP(J139,'Bảng Đơn vị'!$A$2:$B$10,2,1)</f>
        <v>#NAME?</v>
      </c>
      <c r="L139" s="7">
        <v>45804</v>
      </c>
      <c r="M139" s="8">
        <v>2025</v>
      </c>
      <c r="S139" s="9"/>
    </row>
    <row r="140" spans="1:19" ht="39.6" hidden="1">
      <c r="A140" s="5">
        <v>139</v>
      </c>
      <c r="B140" s="6"/>
      <c r="C140" s="6" t="str">
        <f t="shared" si="1"/>
        <v>Nghiên cứu ứng dụng ước tính pha lượng tử trong mô phỏng phân tử</v>
      </c>
      <c r="D140" s="5" t="s">
        <v>210</v>
      </c>
      <c r="E140" s="5">
        <v>3130123013</v>
      </c>
      <c r="F140" s="5" t="s">
        <v>125</v>
      </c>
      <c r="G140" s="6"/>
      <c r="H140" s="6"/>
      <c r="I140" s="5" t="s">
        <v>123</v>
      </c>
      <c r="J140" s="6" t="e">
        <f t="shared" ca="1" si="0"/>
        <v>#NAME?</v>
      </c>
      <c r="K140" s="6" t="e">
        <f ca="1">VLOOKUP(J140,'Bảng Đơn vị'!$A$2:$B$10,2,1)</f>
        <v>#NAME?</v>
      </c>
      <c r="L140" s="7">
        <v>45805</v>
      </c>
      <c r="M140" s="8">
        <v>2025</v>
      </c>
      <c r="S140" s="9"/>
    </row>
    <row r="141" spans="1:19" ht="39.6" hidden="1">
      <c r="A141" s="5">
        <v>140</v>
      </c>
      <c r="B141" s="6"/>
      <c r="C141" s="6" t="str">
        <f t="shared" si="1"/>
        <v>Nghiên cứu ứng dụng ước tính pha lượng tử trong mô phỏng phân tử</v>
      </c>
      <c r="D141" s="5" t="s">
        <v>236</v>
      </c>
      <c r="E141" s="5">
        <v>3130124015</v>
      </c>
      <c r="F141" s="5" t="s">
        <v>173</v>
      </c>
      <c r="G141" s="6"/>
      <c r="H141" s="6"/>
      <c r="I141" s="5" t="s">
        <v>123</v>
      </c>
      <c r="J141" s="6" t="e">
        <f t="shared" ca="1" si="0"/>
        <v>#NAME?</v>
      </c>
      <c r="K141" s="6" t="e">
        <f ca="1">VLOOKUP(J141,'Bảng Đơn vị'!$A$2:$B$10,2,1)</f>
        <v>#NAME?</v>
      </c>
      <c r="L141" s="7">
        <v>45806</v>
      </c>
      <c r="M141" s="8">
        <v>2025</v>
      </c>
      <c r="S141" s="9"/>
    </row>
    <row r="142" spans="1:19" ht="39.6" hidden="1">
      <c r="A142" s="5">
        <v>141</v>
      </c>
      <c r="B142" s="6"/>
      <c r="C142" s="6" t="str">
        <f t="shared" si="1"/>
        <v>Nghiên cứu ứng dụng ước tính pha lượng tử trong mô phỏng phân tử</v>
      </c>
      <c r="D142" s="5" t="s">
        <v>237</v>
      </c>
      <c r="E142" s="5">
        <v>3130124023</v>
      </c>
      <c r="F142" s="5" t="s">
        <v>173</v>
      </c>
      <c r="G142" s="6"/>
      <c r="H142" s="6"/>
      <c r="I142" s="5" t="s">
        <v>123</v>
      </c>
      <c r="J142" s="6" t="e">
        <f t="shared" ca="1" si="0"/>
        <v>#NAME?</v>
      </c>
      <c r="K142" s="6" t="e">
        <f ca="1">VLOOKUP(J142,'Bảng Đơn vị'!$A$2:$B$10,2,1)</f>
        <v>#NAME?</v>
      </c>
      <c r="L142" s="7">
        <v>45807</v>
      </c>
      <c r="M142" s="8">
        <v>2025</v>
      </c>
      <c r="S142" s="9"/>
    </row>
    <row r="143" spans="1:19" ht="52.8" hidden="1">
      <c r="A143" s="5">
        <v>142</v>
      </c>
      <c r="B143" s="5" t="s">
        <v>238</v>
      </c>
      <c r="C143" s="6" t="str">
        <f t="shared" si="1"/>
        <v>Nghiên cứu mạng lai nerual lượng tử trong nhận dạng khuôn mặt và ứng dụng vào hệ thống điểm danh học sinh</v>
      </c>
      <c r="D143" s="5" t="s">
        <v>128</v>
      </c>
      <c r="E143" s="5">
        <v>3130121097</v>
      </c>
      <c r="F143" s="5" t="s">
        <v>129</v>
      </c>
      <c r="G143" s="5" t="s">
        <v>235</v>
      </c>
      <c r="H143" s="6"/>
      <c r="I143" s="5" t="s">
        <v>123</v>
      </c>
      <c r="J143" s="6" t="e">
        <f t="shared" ca="1" si="0"/>
        <v>#NAME?</v>
      </c>
      <c r="K143" s="6" t="e">
        <f ca="1">VLOOKUP(J143,'Bảng Đơn vị'!$A$2:$B$10,2,1)</f>
        <v>#NAME?</v>
      </c>
      <c r="L143" s="7">
        <v>45808</v>
      </c>
      <c r="M143" s="8">
        <v>2025</v>
      </c>
      <c r="S143" s="9"/>
    </row>
    <row r="144" spans="1:19" ht="52.8" hidden="1">
      <c r="A144" s="5">
        <v>143</v>
      </c>
      <c r="B144" s="6"/>
      <c r="C144" s="6" t="str">
        <f t="shared" si="1"/>
        <v>Nghiên cứu mạng lai nerual lượng tử trong nhận dạng khuôn mặt và ứng dụng vào hệ thống điểm danh học sinh</v>
      </c>
      <c r="D144" s="5" t="s">
        <v>239</v>
      </c>
      <c r="E144" s="5">
        <v>3130122006</v>
      </c>
      <c r="F144" s="5" t="s">
        <v>121</v>
      </c>
      <c r="G144" s="6"/>
      <c r="H144" s="6"/>
      <c r="I144" s="5" t="s">
        <v>123</v>
      </c>
      <c r="J144" s="6" t="e">
        <f t="shared" ca="1" si="0"/>
        <v>#NAME?</v>
      </c>
      <c r="K144" s="6" t="e">
        <f ca="1">VLOOKUP(J144,'Bảng Đơn vị'!$A$2:$B$10,2,1)</f>
        <v>#NAME?</v>
      </c>
      <c r="L144" s="7">
        <v>45809</v>
      </c>
      <c r="M144" s="8">
        <v>2025</v>
      </c>
      <c r="S144" s="9"/>
    </row>
    <row r="145" spans="1:19" ht="52.8" hidden="1">
      <c r="A145" s="5">
        <v>144</v>
      </c>
      <c r="B145" s="6"/>
      <c r="C145" s="6" t="str">
        <f t="shared" si="1"/>
        <v>Nghiên cứu mạng lai nerual lượng tử trong nhận dạng khuôn mặt và ứng dụng vào hệ thống điểm danh học sinh</v>
      </c>
      <c r="D145" s="5" t="s">
        <v>240</v>
      </c>
      <c r="E145" s="5">
        <v>3130122010</v>
      </c>
      <c r="F145" s="5" t="s">
        <v>121</v>
      </c>
      <c r="G145" s="6"/>
      <c r="H145" s="6"/>
      <c r="I145" s="5" t="s">
        <v>123</v>
      </c>
      <c r="J145" s="6" t="e">
        <f t="shared" ca="1" si="0"/>
        <v>#NAME?</v>
      </c>
      <c r="K145" s="6" t="e">
        <f ca="1">VLOOKUP(J145,'Bảng Đơn vị'!$A$2:$B$10,2,1)</f>
        <v>#NAME?</v>
      </c>
      <c r="L145" s="7">
        <v>45810</v>
      </c>
      <c r="M145" s="8">
        <v>2025</v>
      </c>
      <c r="S145" s="9"/>
    </row>
    <row r="146" spans="1:19" ht="52.8" hidden="1">
      <c r="A146" s="5">
        <v>145</v>
      </c>
      <c r="B146" s="6"/>
      <c r="C146" s="6" t="str">
        <f t="shared" si="1"/>
        <v>Nghiên cứu mạng lai nerual lượng tử trong nhận dạng khuôn mặt và ứng dụng vào hệ thống điểm danh học sinh</v>
      </c>
      <c r="D146" s="5" t="s">
        <v>241</v>
      </c>
      <c r="E146" s="5">
        <v>3130122022</v>
      </c>
      <c r="F146" s="5" t="s">
        <v>121</v>
      </c>
      <c r="G146" s="6"/>
      <c r="H146" s="6"/>
      <c r="I146" s="5" t="s">
        <v>123</v>
      </c>
      <c r="J146" s="6" t="e">
        <f t="shared" ca="1" si="0"/>
        <v>#NAME?</v>
      </c>
      <c r="K146" s="6" t="e">
        <f ca="1">VLOOKUP(J146,'Bảng Đơn vị'!$A$2:$B$10,2,1)</f>
        <v>#NAME?</v>
      </c>
      <c r="L146" s="7">
        <v>45811</v>
      </c>
      <c r="M146" s="8">
        <v>2025</v>
      </c>
      <c r="S146" s="9"/>
    </row>
    <row r="147" spans="1:19" ht="52.8" hidden="1">
      <c r="A147" s="5">
        <v>146</v>
      </c>
      <c r="B147" s="6"/>
      <c r="C147" s="6" t="str">
        <f t="shared" si="1"/>
        <v>Nghiên cứu mạng lai nerual lượng tử trong nhận dạng khuôn mặt và ứng dụng vào hệ thống điểm danh học sinh</v>
      </c>
      <c r="D147" s="5" t="s">
        <v>242</v>
      </c>
      <c r="E147" s="5">
        <v>3130123004</v>
      </c>
      <c r="F147" s="5" t="s">
        <v>125</v>
      </c>
      <c r="G147" s="6"/>
      <c r="H147" s="6"/>
      <c r="I147" s="5" t="s">
        <v>123</v>
      </c>
      <c r="J147" s="6" t="e">
        <f t="shared" ca="1" si="0"/>
        <v>#NAME?</v>
      </c>
      <c r="K147" s="6" t="e">
        <f ca="1">VLOOKUP(J147,'Bảng Đơn vị'!$A$2:$B$10,2,1)</f>
        <v>#NAME?</v>
      </c>
      <c r="L147" s="7">
        <v>45812</v>
      </c>
      <c r="M147" s="8">
        <v>2025</v>
      </c>
      <c r="S147" s="9"/>
    </row>
    <row r="148" spans="1:19" ht="39.6" hidden="1">
      <c r="A148" s="5">
        <v>147</v>
      </c>
      <c r="B148" s="5" t="s">
        <v>243</v>
      </c>
      <c r="C148" s="6" t="str">
        <f t="shared" si="1"/>
        <v>Chế tạo và nghiên cứu đặc trưng quang học của ion bismuth trong nền silicate</v>
      </c>
      <c r="D148" s="5" t="s">
        <v>229</v>
      </c>
      <c r="E148" s="5">
        <v>3130121065</v>
      </c>
      <c r="F148" s="5" t="s">
        <v>183</v>
      </c>
      <c r="G148" s="5" t="s">
        <v>244</v>
      </c>
      <c r="H148" s="6"/>
      <c r="I148" s="5" t="s">
        <v>123</v>
      </c>
      <c r="J148" s="6" t="e">
        <f t="shared" ca="1" si="0"/>
        <v>#NAME?</v>
      </c>
      <c r="K148" s="6" t="e">
        <f ca="1">VLOOKUP(J148,'Bảng Đơn vị'!$A$2:$B$10,2,1)</f>
        <v>#NAME?</v>
      </c>
      <c r="L148" s="7">
        <v>45813</v>
      </c>
      <c r="M148" s="8">
        <v>2025</v>
      </c>
      <c r="S148" s="9"/>
    </row>
    <row r="149" spans="1:19" ht="39.6" hidden="1">
      <c r="A149" s="5">
        <v>148</v>
      </c>
      <c r="B149" s="6"/>
      <c r="C149" s="6" t="str">
        <f t="shared" si="1"/>
        <v>Chế tạo và nghiên cứu đặc trưng quang học của ion bismuth trong nền silicate</v>
      </c>
      <c r="D149" s="5" t="s">
        <v>245</v>
      </c>
      <c r="E149" s="5">
        <v>3140722085</v>
      </c>
      <c r="F149" s="5" t="s">
        <v>132</v>
      </c>
      <c r="G149" s="6"/>
      <c r="H149" s="6"/>
      <c r="I149" s="5" t="s">
        <v>123</v>
      </c>
      <c r="J149" s="6" t="e">
        <f t="shared" ca="1" si="0"/>
        <v>#NAME?</v>
      </c>
      <c r="K149" s="6" t="e">
        <f ca="1">VLOOKUP(J149,'Bảng Đơn vị'!$A$2:$B$10,2,1)</f>
        <v>#NAME?</v>
      </c>
      <c r="L149" s="7">
        <v>45814</v>
      </c>
      <c r="M149" s="8">
        <v>2025</v>
      </c>
      <c r="S149" s="9"/>
    </row>
    <row r="150" spans="1:19" ht="39.6" hidden="1">
      <c r="A150" s="5">
        <v>149</v>
      </c>
      <c r="B150" s="6"/>
      <c r="C150" s="6" t="str">
        <f t="shared" si="1"/>
        <v>Chế tạo và nghiên cứu đặc trưng quang học của ion bismuth trong nền silicate</v>
      </c>
      <c r="D150" s="5" t="s">
        <v>246</v>
      </c>
      <c r="E150" s="5">
        <v>3140722110</v>
      </c>
      <c r="F150" s="5" t="s">
        <v>132</v>
      </c>
      <c r="G150" s="6"/>
      <c r="H150" s="6"/>
      <c r="I150" s="5" t="s">
        <v>123</v>
      </c>
      <c r="J150" s="6" t="e">
        <f t="shared" ca="1" si="0"/>
        <v>#NAME?</v>
      </c>
      <c r="K150" s="6" t="e">
        <f ca="1">VLOOKUP(J150,'Bảng Đơn vị'!$A$2:$B$10,2,1)</f>
        <v>#NAME?</v>
      </c>
      <c r="L150" s="7">
        <v>45815</v>
      </c>
      <c r="M150" s="8">
        <v>2025</v>
      </c>
      <c r="S150" s="9"/>
    </row>
    <row r="151" spans="1:19" ht="39.6" hidden="1">
      <c r="A151" s="5">
        <v>150</v>
      </c>
      <c r="B151" s="6"/>
      <c r="C151" s="6" t="str">
        <f t="shared" si="1"/>
        <v>Chế tạo và nghiên cứu đặc trưng quang học của ion bismuth trong nền silicate</v>
      </c>
      <c r="D151" s="5" t="s">
        <v>247</v>
      </c>
      <c r="E151" s="5">
        <v>3140722015</v>
      </c>
      <c r="F151" s="5" t="s">
        <v>132</v>
      </c>
      <c r="G151" s="6"/>
      <c r="H151" s="6"/>
      <c r="I151" s="5" t="s">
        <v>123</v>
      </c>
      <c r="J151" s="6" t="e">
        <f t="shared" ca="1" si="0"/>
        <v>#NAME?</v>
      </c>
      <c r="K151" s="6" t="e">
        <f ca="1">VLOOKUP(J151,'Bảng Đơn vị'!$A$2:$B$10,2,1)</f>
        <v>#NAME?</v>
      </c>
      <c r="L151" s="7">
        <v>45816</v>
      </c>
      <c r="M151" s="8">
        <v>2025</v>
      </c>
      <c r="S151" s="9"/>
    </row>
    <row r="152" spans="1:19" ht="39.6" hidden="1">
      <c r="A152" s="5">
        <v>151</v>
      </c>
      <c r="B152" s="5" t="s">
        <v>248</v>
      </c>
      <c r="C152" s="6" t="str">
        <f t="shared" si="1"/>
        <v>Chế tạo và nghiên cứu sự biến đổi cấu trúc tinh thể của vật liệu spinel theo nhiệt độ thủy nhiệt.</v>
      </c>
      <c r="D152" s="5" t="s">
        <v>214</v>
      </c>
      <c r="E152" s="5">
        <v>3130122002</v>
      </c>
      <c r="F152" s="5" t="s">
        <v>121</v>
      </c>
      <c r="G152" s="5" t="s">
        <v>249</v>
      </c>
      <c r="H152" s="6"/>
      <c r="I152" s="5" t="s">
        <v>123</v>
      </c>
      <c r="J152" s="6" t="e">
        <f t="shared" ca="1" si="0"/>
        <v>#NAME?</v>
      </c>
      <c r="K152" s="6" t="e">
        <f ca="1">VLOOKUP(J152,'Bảng Đơn vị'!$A$2:$B$10,2,1)</f>
        <v>#NAME?</v>
      </c>
      <c r="L152" s="7">
        <v>45817</v>
      </c>
      <c r="M152" s="8">
        <v>2025</v>
      </c>
      <c r="S152" s="9"/>
    </row>
    <row r="153" spans="1:19" ht="39.6" hidden="1">
      <c r="A153" s="5">
        <v>152</v>
      </c>
      <c r="B153" s="6"/>
      <c r="C153" s="6" t="str">
        <f t="shared" si="1"/>
        <v>Chế tạo và nghiên cứu sự biến đổi cấu trúc tinh thể của vật liệu spinel theo nhiệt độ thủy nhiệt.</v>
      </c>
      <c r="D153" s="5" t="s">
        <v>212</v>
      </c>
      <c r="E153" s="5">
        <v>3110122008</v>
      </c>
      <c r="F153" s="5" t="s">
        <v>121</v>
      </c>
      <c r="G153" s="6"/>
      <c r="H153" s="6"/>
      <c r="I153" s="5" t="s">
        <v>123</v>
      </c>
      <c r="J153" s="6" t="e">
        <f t="shared" ca="1" si="0"/>
        <v>#NAME?</v>
      </c>
      <c r="K153" s="6" t="e">
        <f ca="1">VLOOKUP(J153,'Bảng Đơn vị'!$A$2:$B$10,2,1)</f>
        <v>#NAME?</v>
      </c>
      <c r="L153" s="7">
        <v>45818</v>
      </c>
      <c r="M153" s="8">
        <v>2025</v>
      </c>
      <c r="S153" s="9"/>
    </row>
    <row r="154" spans="1:19" ht="39.6" hidden="1">
      <c r="A154" s="5">
        <v>153</v>
      </c>
      <c r="B154" s="6"/>
      <c r="C154" s="6" t="str">
        <f t="shared" si="1"/>
        <v>Chế tạo và nghiên cứu sự biến đổi cấu trúc tinh thể của vật liệu spinel theo nhiệt độ thủy nhiệt.</v>
      </c>
      <c r="D154" s="5" t="s">
        <v>250</v>
      </c>
      <c r="E154" s="5">
        <v>3130121125</v>
      </c>
      <c r="F154" s="5" t="s">
        <v>183</v>
      </c>
      <c r="G154" s="6"/>
      <c r="H154" s="6"/>
      <c r="I154" s="5" t="s">
        <v>123</v>
      </c>
      <c r="J154" s="6" t="e">
        <f t="shared" ca="1" si="0"/>
        <v>#NAME?</v>
      </c>
      <c r="K154" s="6" t="e">
        <f ca="1">VLOOKUP(J154,'Bảng Đơn vị'!$A$2:$B$10,2,1)</f>
        <v>#NAME?</v>
      </c>
      <c r="L154" s="7">
        <v>45819</v>
      </c>
      <c r="M154" s="8">
        <v>2025</v>
      </c>
      <c r="S154" s="9"/>
    </row>
    <row r="155" spans="1:19" ht="39.6" hidden="1">
      <c r="A155" s="5">
        <v>154</v>
      </c>
      <c r="B155" s="6"/>
      <c r="C155" s="6" t="str">
        <f t="shared" si="1"/>
        <v>Chế tạo và nghiên cứu sự biến đổi cấu trúc tinh thể của vật liệu spinel theo nhiệt độ thủy nhiệt.</v>
      </c>
      <c r="D155" s="5" t="s">
        <v>251</v>
      </c>
      <c r="E155" s="5">
        <v>3130123009</v>
      </c>
      <c r="F155" s="5" t="s">
        <v>125</v>
      </c>
      <c r="G155" s="6"/>
      <c r="H155" s="6"/>
      <c r="I155" s="5" t="s">
        <v>123</v>
      </c>
      <c r="J155" s="6" t="e">
        <f t="shared" ca="1" si="0"/>
        <v>#NAME?</v>
      </c>
      <c r="K155" s="6" t="e">
        <f ca="1">VLOOKUP(J155,'Bảng Đơn vị'!$A$2:$B$10,2,1)</f>
        <v>#NAME?</v>
      </c>
      <c r="L155" s="7">
        <v>45820</v>
      </c>
      <c r="M155" s="8">
        <v>2025</v>
      </c>
      <c r="S155" s="9"/>
    </row>
    <row r="156" spans="1:19" ht="39.6" hidden="1">
      <c r="A156" s="5">
        <v>155</v>
      </c>
      <c r="B156" s="6"/>
      <c r="C156" s="6" t="str">
        <f t="shared" si="1"/>
        <v>Chế tạo và nghiên cứu sự biến đổi cấu trúc tinh thể của vật liệu spinel theo nhiệt độ thủy nhiệt.</v>
      </c>
      <c r="D156" s="5" t="s">
        <v>157</v>
      </c>
      <c r="E156" s="5">
        <v>3130123008</v>
      </c>
      <c r="F156" s="5" t="s">
        <v>125</v>
      </c>
      <c r="G156" s="6"/>
      <c r="H156" s="6"/>
      <c r="I156" s="5" t="s">
        <v>123</v>
      </c>
      <c r="J156" s="6" t="e">
        <f t="shared" ca="1" si="0"/>
        <v>#NAME?</v>
      </c>
      <c r="K156" s="6" t="e">
        <f ca="1">VLOOKUP(J156,'Bảng Đơn vị'!$A$2:$B$10,2,1)</f>
        <v>#NAME?</v>
      </c>
      <c r="L156" s="7">
        <v>45821</v>
      </c>
      <c r="M156" s="8">
        <v>2025</v>
      </c>
      <c r="S156" s="9"/>
    </row>
    <row r="157" spans="1:19" ht="52.8" hidden="1">
      <c r="A157" s="5">
        <v>156</v>
      </c>
      <c r="B157" s="5" t="s">
        <v>252</v>
      </c>
      <c r="C157" s="6" t="str">
        <f t="shared" si="1"/>
        <v>Nghiên cứu và tổng hợp chất nano spinels coban cromit (CoCr2O4) ứng dụng để loại bỏ khí methane cho động cơ CNG</v>
      </c>
      <c r="D157" s="5" t="s">
        <v>253</v>
      </c>
      <c r="E157" s="5" t="s">
        <v>254</v>
      </c>
      <c r="F157" s="5" t="s">
        <v>141</v>
      </c>
      <c r="G157" s="5" t="s">
        <v>249</v>
      </c>
      <c r="H157" s="6"/>
      <c r="I157" s="5" t="s">
        <v>123</v>
      </c>
      <c r="J157" s="6" t="e">
        <f t="shared" ca="1" si="0"/>
        <v>#NAME?</v>
      </c>
      <c r="K157" s="6" t="e">
        <f ca="1">VLOOKUP(J157,'Bảng Đơn vị'!$A$2:$B$10,2,1)</f>
        <v>#NAME?</v>
      </c>
      <c r="L157" s="7">
        <v>45822</v>
      </c>
      <c r="M157" s="8">
        <v>2025</v>
      </c>
      <c r="S157" s="9"/>
    </row>
    <row r="158" spans="1:19" ht="52.8" hidden="1">
      <c r="A158" s="5">
        <v>157</v>
      </c>
      <c r="B158" s="6"/>
      <c r="C158" s="6" t="str">
        <f t="shared" si="1"/>
        <v>Nghiên cứu và tổng hợp chất nano spinels coban cromit (CoCr2O4) ứng dụng để loại bỏ khí methane cho động cơ CNG</v>
      </c>
      <c r="D158" s="5" t="s">
        <v>255</v>
      </c>
      <c r="E158" s="6"/>
      <c r="F158" s="6"/>
      <c r="G158" s="6"/>
      <c r="H158" s="6"/>
      <c r="I158" s="5" t="s">
        <v>123</v>
      </c>
      <c r="J158" s="6" t="e">
        <f t="shared" ca="1" si="0"/>
        <v>#NAME?</v>
      </c>
      <c r="K158" s="6" t="e">
        <f ca="1">VLOOKUP(J158,'Bảng Đơn vị'!$A$2:$B$10,2,1)</f>
        <v>#NAME?</v>
      </c>
      <c r="L158" s="7">
        <v>45823</v>
      </c>
      <c r="M158" s="8">
        <v>2025</v>
      </c>
      <c r="S158" s="9"/>
    </row>
    <row r="159" spans="1:19" ht="52.8" hidden="1">
      <c r="A159" s="5">
        <v>158</v>
      </c>
      <c r="B159" s="6"/>
      <c r="C159" s="6" t="str">
        <f t="shared" si="1"/>
        <v>Nghiên cứu và tổng hợp chất nano spinels coban cromit (CoCr2O4) ứng dụng để loại bỏ khí methane cho động cơ CNG</v>
      </c>
      <c r="D159" s="5" t="s">
        <v>256</v>
      </c>
      <c r="E159" s="6"/>
      <c r="F159" s="6"/>
      <c r="G159" s="6"/>
      <c r="H159" s="6"/>
      <c r="I159" s="5" t="s">
        <v>123</v>
      </c>
      <c r="J159" s="6" t="e">
        <f t="shared" ca="1" si="0"/>
        <v>#NAME?</v>
      </c>
      <c r="K159" s="6" t="e">
        <f ca="1">VLOOKUP(J159,'Bảng Đơn vị'!$A$2:$B$10,2,1)</f>
        <v>#NAME?</v>
      </c>
      <c r="L159" s="7">
        <v>45824</v>
      </c>
      <c r="M159" s="8">
        <v>2025</v>
      </c>
      <c r="S159" s="9"/>
    </row>
    <row r="160" spans="1:19" ht="52.8" hidden="1">
      <c r="A160" s="5">
        <v>159</v>
      </c>
      <c r="B160" s="6"/>
      <c r="C160" s="6" t="str">
        <f t="shared" si="1"/>
        <v>Nghiên cứu và tổng hợp chất nano spinels coban cromit (CoCr2O4) ứng dụng để loại bỏ khí methane cho động cơ CNG</v>
      </c>
      <c r="D160" s="5" t="s">
        <v>257</v>
      </c>
      <c r="E160" s="6"/>
      <c r="F160" s="6"/>
      <c r="G160" s="6"/>
      <c r="H160" s="6"/>
      <c r="I160" s="5" t="s">
        <v>123</v>
      </c>
      <c r="J160" s="6" t="e">
        <f t="shared" ca="1" si="0"/>
        <v>#NAME?</v>
      </c>
      <c r="K160" s="6" t="e">
        <f ca="1">VLOOKUP(J160,'Bảng Đơn vị'!$A$2:$B$10,2,1)</f>
        <v>#NAME?</v>
      </c>
      <c r="L160" s="7">
        <v>45825</v>
      </c>
      <c r="M160" s="8">
        <v>2025</v>
      </c>
      <c r="S160" s="9"/>
    </row>
    <row r="161" spans="1:19" ht="92.4" hidden="1">
      <c r="A161" s="5">
        <v>160</v>
      </c>
      <c r="B161" s="5" t="s">
        <v>258</v>
      </c>
      <c r="C161" s="6" t="str">
        <f t="shared" si="1"/>
        <v xml:space="preserve">Kết hợp mô hình lớp học đảo ngược và phương pháp dạy học nghiên cứu - khám phá trong dạy học môn Hoá học nhằm phát triển năng lực tìm hiểu tự nhiên dưới góc độ Hoá học cho học sinh. </v>
      </c>
      <c r="D161" s="5" t="s">
        <v>259</v>
      </c>
      <c r="E161" s="5">
        <v>3140122030</v>
      </c>
      <c r="F161" s="5" t="s">
        <v>260</v>
      </c>
      <c r="G161" s="5" t="s">
        <v>261</v>
      </c>
      <c r="H161" s="6"/>
      <c r="I161" s="5" t="s">
        <v>262</v>
      </c>
      <c r="J161" s="6" t="e">
        <f t="shared" ca="1" si="0"/>
        <v>#NAME?</v>
      </c>
      <c r="K161" s="6" t="e">
        <f ca="1">VLOOKUP(J161,'Bảng Đơn vị'!$A$2:$B$10,2,1)</f>
        <v>#NAME?</v>
      </c>
      <c r="L161" s="7">
        <v>45826</v>
      </c>
      <c r="M161" s="8">
        <v>2025</v>
      </c>
      <c r="S161" s="9"/>
    </row>
    <row r="162" spans="1:19" ht="79.2" hidden="1">
      <c r="A162" s="5">
        <v>161</v>
      </c>
      <c r="B162" s="6"/>
      <c r="C162" s="6" t="str">
        <f t="shared" si="1"/>
        <v xml:space="preserve">Kết hợp mô hình lớp học đảo ngược và phương pháp dạy học nghiên cứu - khám phá trong dạy học môn Hoá học nhằm phát triển năng lực tìm hiểu tự nhiên dưới góc độ Hoá học cho học sinh. </v>
      </c>
      <c r="D162" s="5" t="s">
        <v>263</v>
      </c>
      <c r="E162" s="5">
        <v>3140122048</v>
      </c>
      <c r="F162" s="6"/>
      <c r="G162" s="6"/>
      <c r="H162" s="6"/>
      <c r="I162" s="5" t="s">
        <v>262</v>
      </c>
      <c r="J162" s="6" t="e">
        <f t="shared" ca="1" si="0"/>
        <v>#NAME?</v>
      </c>
      <c r="K162" s="6" t="e">
        <f ca="1">VLOOKUP(J162,'Bảng Đơn vị'!$A$2:$B$10,2,1)</f>
        <v>#NAME?</v>
      </c>
      <c r="L162" s="7">
        <v>45827</v>
      </c>
      <c r="M162" s="8">
        <v>2025</v>
      </c>
      <c r="S162" s="9"/>
    </row>
    <row r="163" spans="1:19" ht="79.2" hidden="1">
      <c r="A163" s="5">
        <v>162</v>
      </c>
      <c r="B163" s="6"/>
      <c r="C163" s="6" t="str">
        <f t="shared" si="1"/>
        <v xml:space="preserve">Kết hợp mô hình lớp học đảo ngược và phương pháp dạy học nghiên cứu - khám phá trong dạy học môn Hoá học nhằm phát triển năng lực tìm hiểu tự nhiên dưới góc độ Hoá học cho học sinh. </v>
      </c>
      <c r="D163" s="5" t="s">
        <v>264</v>
      </c>
      <c r="E163" s="5">
        <v>3140122005</v>
      </c>
      <c r="F163" s="6"/>
      <c r="G163" s="6"/>
      <c r="H163" s="6"/>
      <c r="I163" s="5" t="s">
        <v>262</v>
      </c>
      <c r="J163" s="6" t="e">
        <f t="shared" ca="1" si="0"/>
        <v>#NAME?</v>
      </c>
      <c r="K163" s="6" t="e">
        <f ca="1">VLOOKUP(J163,'Bảng Đơn vị'!$A$2:$B$10,2,1)</f>
        <v>#NAME?</v>
      </c>
      <c r="L163" s="7">
        <v>45828</v>
      </c>
      <c r="M163" s="8">
        <v>2025</v>
      </c>
      <c r="S163" s="9"/>
    </row>
    <row r="164" spans="1:19" ht="79.2" hidden="1">
      <c r="A164" s="5">
        <v>163</v>
      </c>
      <c r="B164" s="6"/>
      <c r="C164" s="6" t="str">
        <f t="shared" si="1"/>
        <v xml:space="preserve">Kết hợp mô hình lớp học đảo ngược và phương pháp dạy học nghiên cứu - khám phá trong dạy học môn Hoá học nhằm phát triển năng lực tìm hiểu tự nhiên dưới góc độ Hoá học cho học sinh. </v>
      </c>
      <c r="D164" s="5" t="s">
        <v>265</v>
      </c>
      <c r="E164" s="5">
        <v>3140122012</v>
      </c>
      <c r="F164" s="6"/>
      <c r="G164" s="6"/>
      <c r="H164" s="6"/>
      <c r="I164" s="5" t="s">
        <v>262</v>
      </c>
      <c r="J164" s="6" t="e">
        <f t="shared" ca="1" si="0"/>
        <v>#NAME?</v>
      </c>
      <c r="K164" s="6" t="e">
        <f ca="1">VLOOKUP(J164,'Bảng Đơn vị'!$A$2:$B$10,2,1)</f>
        <v>#NAME?</v>
      </c>
      <c r="L164" s="7">
        <v>45829</v>
      </c>
      <c r="M164" s="8">
        <v>2025</v>
      </c>
      <c r="S164" s="9"/>
    </row>
    <row r="165" spans="1:19" ht="79.2" hidden="1">
      <c r="A165" s="5">
        <v>164</v>
      </c>
      <c r="B165" s="6"/>
      <c r="C165" s="6" t="str">
        <f t="shared" si="1"/>
        <v xml:space="preserve">Kết hợp mô hình lớp học đảo ngược và phương pháp dạy học nghiên cứu - khám phá trong dạy học môn Hoá học nhằm phát triển năng lực tìm hiểu tự nhiên dưới góc độ Hoá học cho học sinh. </v>
      </c>
      <c r="D165" s="5" t="s">
        <v>266</v>
      </c>
      <c r="E165" s="5">
        <v>3140122028</v>
      </c>
      <c r="F165" s="6"/>
      <c r="G165" s="6"/>
      <c r="H165" s="6"/>
      <c r="I165" s="5" t="s">
        <v>262</v>
      </c>
      <c r="J165" s="6" t="e">
        <f t="shared" ca="1" si="0"/>
        <v>#NAME?</v>
      </c>
      <c r="K165" s="6" t="e">
        <f ca="1">VLOOKUP(J165,'Bảng Đơn vị'!$A$2:$B$10,2,1)</f>
        <v>#NAME?</v>
      </c>
      <c r="L165" s="7">
        <v>45830</v>
      </c>
      <c r="M165" s="8">
        <v>2025</v>
      </c>
      <c r="S165" s="9"/>
    </row>
    <row r="166" spans="1:19" ht="79.2" hidden="1">
      <c r="A166" s="5">
        <v>165</v>
      </c>
      <c r="B166" s="5" t="s">
        <v>267</v>
      </c>
      <c r="C166" s="6" t="str">
        <f t="shared" si="1"/>
        <v xml:space="preserve">Phát triển năng lực giải quyết vấn đề và sáng tạo cho học sinh phổ thông qua dạy học theo dự án chủ đề "Năng lượng và sự biến đổi" trong môn Khoa học Tự nhiên </v>
      </c>
      <c r="D166" s="5" t="s">
        <v>268</v>
      </c>
      <c r="E166" s="5">
        <v>3140721003</v>
      </c>
      <c r="F166" s="5" t="s">
        <v>269</v>
      </c>
      <c r="G166" s="5" t="s">
        <v>270</v>
      </c>
      <c r="H166" s="6"/>
      <c r="I166" s="5" t="s">
        <v>262</v>
      </c>
      <c r="J166" s="6" t="e">
        <f t="shared" ca="1" si="0"/>
        <v>#NAME?</v>
      </c>
      <c r="K166" s="6" t="e">
        <f ca="1">VLOOKUP(J166,'Bảng Đơn vị'!$A$2:$B$10,2,1)</f>
        <v>#NAME?</v>
      </c>
      <c r="L166" s="7">
        <v>45831</v>
      </c>
      <c r="M166" s="8">
        <v>2025</v>
      </c>
      <c r="S166" s="9"/>
    </row>
    <row r="167" spans="1:19" ht="79.2" hidden="1">
      <c r="A167" s="5">
        <v>166</v>
      </c>
      <c r="B167" s="6"/>
      <c r="C167" s="6" t="str">
        <f t="shared" si="1"/>
        <v xml:space="preserve">Phát triển năng lực giải quyết vấn đề và sáng tạo cho học sinh phổ thông qua dạy học theo dự án chủ đề "Năng lượng và sự biến đổi" trong môn Khoa học Tự nhiên </v>
      </c>
      <c r="D167" s="5" t="s">
        <v>271</v>
      </c>
      <c r="E167" s="5">
        <v>3140721170</v>
      </c>
      <c r="F167" s="5" t="s">
        <v>269</v>
      </c>
      <c r="G167" s="6"/>
      <c r="H167" s="6"/>
      <c r="I167" s="5" t="s">
        <v>262</v>
      </c>
      <c r="J167" s="6" t="e">
        <f t="shared" ca="1" si="0"/>
        <v>#NAME?</v>
      </c>
      <c r="K167" s="6" t="e">
        <f ca="1">VLOOKUP(J167,'Bảng Đơn vị'!$A$2:$B$10,2,1)</f>
        <v>#NAME?</v>
      </c>
      <c r="L167" s="7">
        <v>45832</v>
      </c>
      <c r="M167" s="8">
        <v>2025</v>
      </c>
      <c r="S167" s="9"/>
    </row>
    <row r="168" spans="1:19" ht="79.2" hidden="1">
      <c r="A168" s="5">
        <v>167</v>
      </c>
      <c r="B168" s="6"/>
      <c r="C168" s="6" t="str">
        <f t="shared" si="1"/>
        <v xml:space="preserve">Phát triển năng lực giải quyết vấn đề và sáng tạo cho học sinh phổ thông qua dạy học theo dự án chủ đề "Năng lượng và sự biến đổi" trong môn Khoa học Tự nhiên </v>
      </c>
      <c r="D168" s="5" t="s">
        <v>272</v>
      </c>
      <c r="E168" s="5">
        <v>3140721102</v>
      </c>
      <c r="F168" s="5" t="s">
        <v>273</v>
      </c>
      <c r="G168" s="6"/>
      <c r="H168" s="6"/>
      <c r="I168" s="5" t="s">
        <v>262</v>
      </c>
      <c r="J168" s="6" t="e">
        <f t="shared" ca="1" si="0"/>
        <v>#NAME?</v>
      </c>
      <c r="K168" s="6" t="e">
        <f ca="1">VLOOKUP(J168,'Bảng Đơn vị'!$A$2:$B$10,2,1)</f>
        <v>#NAME?</v>
      </c>
      <c r="L168" s="7">
        <v>45833</v>
      </c>
      <c r="M168" s="8">
        <v>2025</v>
      </c>
      <c r="S168" s="9"/>
    </row>
    <row r="169" spans="1:19" ht="79.2" hidden="1">
      <c r="A169" s="5">
        <v>168</v>
      </c>
      <c r="B169" s="6"/>
      <c r="C169" s="6" t="str">
        <f t="shared" si="1"/>
        <v xml:space="preserve">Phát triển năng lực giải quyết vấn đề và sáng tạo cho học sinh phổ thông qua dạy học theo dự án chủ đề "Năng lượng và sự biến đổi" trong môn Khoa học Tự nhiên </v>
      </c>
      <c r="D169" s="5" t="s">
        <v>274</v>
      </c>
      <c r="E169" s="5">
        <v>3140122008</v>
      </c>
      <c r="F169" s="5" t="s">
        <v>260</v>
      </c>
      <c r="G169" s="6"/>
      <c r="H169" s="6"/>
      <c r="I169" s="5" t="s">
        <v>262</v>
      </c>
      <c r="J169" s="6" t="e">
        <f t="shared" ca="1" si="0"/>
        <v>#NAME?</v>
      </c>
      <c r="K169" s="6" t="e">
        <f ca="1">VLOOKUP(J169,'Bảng Đơn vị'!$A$2:$B$10,2,1)</f>
        <v>#NAME?</v>
      </c>
      <c r="L169" s="7">
        <v>45834</v>
      </c>
      <c r="M169" s="8">
        <v>2025</v>
      </c>
      <c r="S169" s="9"/>
    </row>
    <row r="170" spans="1:19" ht="79.2" hidden="1">
      <c r="A170" s="5">
        <v>169</v>
      </c>
      <c r="B170" s="6"/>
      <c r="C170" s="6" t="str">
        <f t="shared" si="1"/>
        <v xml:space="preserve">Phát triển năng lực giải quyết vấn đề và sáng tạo cho học sinh phổ thông qua dạy học theo dự án chủ đề "Năng lượng và sự biến đổi" trong môn Khoa học Tự nhiên </v>
      </c>
      <c r="D170" s="5" t="s">
        <v>275</v>
      </c>
      <c r="E170" s="5">
        <v>3140122017</v>
      </c>
      <c r="F170" s="5" t="s">
        <v>260</v>
      </c>
      <c r="G170" s="6"/>
      <c r="H170" s="6"/>
      <c r="I170" s="5" t="s">
        <v>262</v>
      </c>
      <c r="J170" s="6" t="e">
        <f t="shared" ca="1" si="0"/>
        <v>#NAME?</v>
      </c>
      <c r="K170" s="6" t="e">
        <f ca="1">VLOOKUP(J170,'Bảng Đơn vị'!$A$2:$B$10,2,1)</f>
        <v>#NAME?</v>
      </c>
      <c r="L170" s="7">
        <v>45835</v>
      </c>
      <c r="M170" s="8">
        <v>2025</v>
      </c>
      <c r="S170" s="9"/>
    </row>
    <row r="171" spans="1:19" ht="66" hidden="1">
      <c r="A171" s="5">
        <v>170</v>
      </c>
      <c r="B171" s="5" t="s">
        <v>276</v>
      </c>
      <c r="C171" s="6" t="str">
        <f t="shared" si="1"/>
        <v>Nghiên cứu ảnh hưởng của các nhóm thế lên phổ kích thích electron của bithiophene azo bằng phương pháp hoá học tính toán</v>
      </c>
      <c r="D171" s="5" t="s">
        <v>277</v>
      </c>
      <c r="E171" s="5">
        <v>3140121004</v>
      </c>
      <c r="F171" s="5" t="s">
        <v>278</v>
      </c>
      <c r="G171" s="5" t="s">
        <v>279</v>
      </c>
      <c r="H171" s="6"/>
      <c r="I171" s="5" t="s">
        <v>262</v>
      </c>
      <c r="J171" s="6" t="e">
        <f t="shared" ca="1" si="0"/>
        <v>#NAME?</v>
      </c>
      <c r="K171" s="6" t="e">
        <f ca="1">VLOOKUP(J171,'Bảng Đơn vị'!$A$2:$B$10,2,1)</f>
        <v>#NAME?</v>
      </c>
      <c r="L171" s="7">
        <v>45836</v>
      </c>
      <c r="M171" s="8">
        <v>2025</v>
      </c>
      <c r="S171" s="9"/>
    </row>
    <row r="172" spans="1:19" ht="66" hidden="1">
      <c r="A172" s="5">
        <v>171</v>
      </c>
      <c r="B172" s="6"/>
      <c r="C172" s="6" t="str">
        <f t="shared" si="1"/>
        <v>Nghiên cứu ảnh hưởng của các nhóm thế lên phổ kích thích electron của bithiophene azo bằng phương pháp hoá học tính toán</v>
      </c>
      <c r="D172" s="5" t="s">
        <v>280</v>
      </c>
      <c r="E172" s="5">
        <v>3140121053</v>
      </c>
      <c r="F172" s="6"/>
      <c r="G172" s="6"/>
      <c r="H172" s="6"/>
      <c r="I172" s="5" t="s">
        <v>262</v>
      </c>
      <c r="J172" s="6" t="e">
        <f t="shared" ca="1" si="0"/>
        <v>#NAME?</v>
      </c>
      <c r="K172" s="6" t="e">
        <f ca="1">VLOOKUP(J172,'Bảng Đơn vị'!$A$2:$B$10,2,1)</f>
        <v>#NAME?</v>
      </c>
      <c r="L172" s="7">
        <v>45837</v>
      </c>
      <c r="M172" s="8">
        <v>2025</v>
      </c>
      <c r="S172" s="9"/>
    </row>
    <row r="173" spans="1:19" ht="39.6" hidden="1">
      <c r="A173" s="5">
        <v>172</v>
      </c>
      <c r="B173" s="5" t="s">
        <v>281</v>
      </c>
      <c r="C173" s="6" t="str">
        <f t="shared" si="1"/>
        <v>Nghiên cứu kết hợp hoa đu đủ đực với các vị thuốc khác trong phòng chống bệnh ung thư</v>
      </c>
      <c r="D173" s="5" t="s">
        <v>282</v>
      </c>
      <c r="E173" s="5">
        <v>3140621002</v>
      </c>
      <c r="F173" s="5" t="s">
        <v>283</v>
      </c>
      <c r="G173" s="5" t="s">
        <v>284</v>
      </c>
      <c r="H173" s="6"/>
      <c r="I173" s="5" t="s">
        <v>262</v>
      </c>
      <c r="J173" s="6" t="e">
        <f t="shared" ca="1" si="0"/>
        <v>#NAME?</v>
      </c>
      <c r="K173" s="6" t="e">
        <f ca="1">VLOOKUP(J173,'Bảng Đơn vị'!$A$2:$B$10,2,1)</f>
        <v>#NAME?</v>
      </c>
      <c r="L173" s="7">
        <v>45838</v>
      </c>
      <c r="M173" s="8">
        <v>2025</v>
      </c>
      <c r="S173" s="9"/>
    </row>
    <row r="174" spans="1:19" ht="39.6" hidden="1">
      <c r="A174" s="5">
        <v>173</v>
      </c>
      <c r="B174" s="6"/>
      <c r="C174" s="6" t="str">
        <f t="shared" si="1"/>
        <v>Nghiên cứu kết hợp hoa đu đủ đực với các vị thuốc khác trong phòng chống bệnh ung thư</v>
      </c>
      <c r="D174" s="5" t="s">
        <v>285</v>
      </c>
      <c r="E174" s="5">
        <v>3140321101</v>
      </c>
      <c r="F174" s="6"/>
      <c r="G174" s="6"/>
      <c r="H174" s="6"/>
      <c r="I174" s="5" t="s">
        <v>262</v>
      </c>
      <c r="J174" s="6" t="e">
        <f t="shared" ca="1" si="0"/>
        <v>#NAME?</v>
      </c>
      <c r="K174" s="6" t="e">
        <f ca="1">VLOOKUP(J174,'Bảng Đơn vị'!$A$2:$B$10,2,1)</f>
        <v>#NAME?</v>
      </c>
      <c r="L174" s="7">
        <v>45839</v>
      </c>
      <c r="M174" s="8">
        <v>2025</v>
      </c>
      <c r="S174" s="9"/>
    </row>
    <row r="175" spans="1:19" ht="52.8" hidden="1">
      <c r="A175" s="5">
        <v>174</v>
      </c>
      <c r="B175" s="5" t="s">
        <v>286</v>
      </c>
      <c r="C175" s="6" t="str">
        <f t="shared" si="1"/>
        <v>Nghiên cứu và phát triển vật liệu dựa trên nền Fe và Cu oxide để chuyển hóa Ethylene glycol thành sản phẩm có giá trị.</v>
      </c>
      <c r="D175" s="5" t="s">
        <v>287</v>
      </c>
      <c r="E175" s="5">
        <v>3140122055</v>
      </c>
      <c r="F175" s="5" t="s">
        <v>260</v>
      </c>
      <c r="G175" s="5" t="s">
        <v>288</v>
      </c>
      <c r="H175" s="6"/>
      <c r="I175" s="5" t="s">
        <v>262</v>
      </c>
      <c r="J175" s="6" t="e">
        <f t="shared" ca="1" si="0"/>
        <v>#NAME?</v>
      </c>
      <c r="K175" s="6" t="e">
        <f ca="1">VLOOKUP(J175,'Bảng Đơn vị'!$A$2:$B$10,2,1)</f>
        <v>#NAME?</v>
      </c>
      <c r="L175" s="7">
        <v>45840</v>
      </c>
      <c r="M175" s="8">
        <v>2025</v>
      </c>
      <c r="S175" s="9"/>
    </row>
    <row r="176" spans="1:19" ht="52.8" hidden="1">
      <c r="A176" s="5">
        <v>175</v>
      </c>
      <c r="B176" s="6"/>
      <c r="C176" s="6" t="str">
        <f t="shared" si="1"/>
        <v>Nghiên cứu và phát triển vật liệu dựa trên nền Fe và Cu oxide để chuyển hóa Ethylene glycol thành sản phẩm có giá trị.</v>
      </c>
      <c r="D176" s="5" t="s">
        <v>289</v>
      </c>
      <c r="E176" s="5">
        <v>3140122046</v>
      </c>
      <c r="F176" s="6"/>
      <c r="G176" s="6"/>
      <c r="H176" s="6"/>
      <c r="I176" s="5" t="s">
        <v>262</v>
      </c>
      <c r="J176" s="6" t="e">
        <f t="shared" ca="1" si="0"/>
        <v>#NAME?</v>
      </c>
      <c r="K176" s="6" t="e">
        <f ca="1">VLOOKUP(J176,'Bảng Đơn vị'!$A$2:$B$10,2,1)</f>
        <v>#NAME?</v>
      </c>
      <c r="L176" s="7">
        <v>45841</v>
      </c>
      <c r="M176" s="8">
        <v>2025</v>
      </c>
      <c r="S176" s="9"/>
    </row>
    <row r="177" spans="1:19" ht="132" hidden="1">
      <c r="A177" s="5">
        <v>176</v>
      </c>
      <c r="B177" s="5" t="s">
        <v>290</v>
      </c>
      <c r="C177" s="6" t="str">
        <f t="shared" si="1"/>
        <v>Ứng dụng Visual Novel vào dạy học chuyên đề Cơ chế phản ứng trong Hoá học hữu cơ</v>
      </c>
      <c r="D177" s="5" t="s">
        <v>291</v>
      </c>
      <c r="E177" s="5">
        <v>3140122038</v>
      </c>
      <c r="F177" s="5" t="s">
        <v>260</v>
      </c>
      <c r="G177" s="5" t="s">
        <v>292</v>
      </c>
      <c r="H177" s="5" t="s">
        <v>293</v>
      </c>
      <c r="I177" s="5" t="s">
        <v>262</v>
      </c>
      <c r="J177" s="6" t="e">
        <f t="shared" ca="1" si="0"/>
        <v>#NAME?</v>
      </c>
      <c r="K177" s="6" t="e">
        <f ca="1">VLOOKUP(J177,'Bảng Đơn vị'!$A$2:$B$10,2,1)</f>
        <v>#NAME?</v>
      </c>
      <c r="L177" s="7">
        <v>45842</v>
      </c>
      <c r="M177" s="8">
        <v>2025</v>
      </c>
      <c r="S177" s="9"/>
    </row>
    <row r="178" spans="1:19" ht="39.6" hidden="1">
      <c r="A178" s="5">
        <v>177</v>
      </c>
      <c r="B178" s="6"/>
      <c r="C178" s="6" t="str">
        <f t="shared" si="1"/>
        <v>Ứng dụng Visual Novel vào dạy học chuyên đề Cơ chế phản ứng trong Hoá học hữu cơ</v>
      </c>
      <c r="D178" s="5" t="s">
        <v>294</v>
      </c>
      <c r="E178" s="5">
        <v>3140122025</v>
      </c>
      <c r="F178" s="6"/>
      <c r="G178" s="6"/>
      <c r="H178" s="6"/>
      <c r="I178" s="5" t="s">
        <v>262</v>
      </c>
      <c r="J178" s="6" t="e">
        <f t="shared" ca="1" si="0"/>
        <v>#NAME?</v>
      </c>
      <c r="K178" s="6" t="e">
        <f ca="1">VLOOKUP(J178,'Bảng Đơn vị'!$A$2:$B$10,2,1)</f>
        <v>#NAME?</v>
      </c>
      <c r="L178" s="7">
        <v>45843</v>
      </c>
      <c r="M178" s="8">
        <v>2025</v>
      </c>
      <c r="S178" s="9"/>
    </row>
    <row r="179" spans="1:19" ht="39.6" hidden="1">
      <c r="A179" s="5">
        <v>178</v>
      </c>
      <c r="B179" s="6"/>
      <c r="C179" s="6" t="str">
        <f t="shared" si="1"/>
        <v>Ứng dụng Visual Novel vào dạy học chuyên đề Cơ chế phản ứng trong Hoá học hữu cơ</v>
      </c>
      <c r="D179" s="5" t="s">
        <v>295</v>
      </c>
      <c r="E179" s="5">
        <v>3140122034</v>
      </c>
      <c r="F179" s="6"/>
      <c r="G179" s="6"/>
      <c r="H179" s="6"/>
      <c r="I179" s="5" t="s">
        <v>262</v>
      </c>
      <c r="J179" s="6" t="e">
        <f t="shared" ca="1" si="0"/>
        <v>#NAME?</v>
      </c>
      <c r="K179" s="6" t="e">
        <f ca="1">VLOOKUP(J179,'Bảng Đơn vị'!$A$2:$B$10,2,1)</f>
        <v>#NAME?</v>
      </c>
      <c r="L179" s="7">
        <v>45844</v>
      </c>
      <c r="M179" s="8">
        <v>2025</v>
      </c>
      <c r="S179" s="9"/>
    </row>
    <row r="180" spans="1:19" ht="39.6" hidden="1">
      <c r="A180" s="5">
        <v>179</v>
      </c>
      <c r="B180" s="6"/>
      <c r="C180" s="6" t="str">
        <f t="shared" si="1"/>
        <v>Ứng dụng Visual Novel vào dạy học chuyên đề Cơ chế phản ứng trong Hoá học hữu cơ</v>
      </c>
      <c r="D180" s="5" t="s">
        <v>296</v>
      </c>
      <c r="E180" s="5">
        <v>3140122051</v>
      </c>
      <c r="F180" s="6"/>
      <c r="G180" s="6"/>
      <c r="H180" s="6"/>
      <c r="I180" s="5" t="s">
        <v>262</v>
      </c>
      <c r="J180" s="6" t="e">
        <f t="shared" ca="1" si="0"/>
        <v>#NAME?</v>
      </c>
      <c r="K180" s="6" t="e">
        <f ca="1">VLOOKUP(J180,'Bảng Đơn vị'!$A$2:$B$10,2,1)</f>
        <v>#NAME?</v>
      </c>
      <c r="L180" s="7">
        <v>45845</v>
      </c>
      <c r="M180" s="8">
        <v>2025</v>
      </c>
      <c r="S180" s="9"/>
    </row>
    <row r="181" spans="1:19" ht="39.6" hidden="1">
      <c r="A181" s="5">
        <v>180</v>
      </c>
      <c r="B181" s="6"/>
      <c r="C181" s="6" t="str">
        <f t="shared" si="1"/>
        <v>Ứng dụng Visual Novel vào dạy học chuyên đề Cơ chế phản ứng trong Hoá học hữu cơ</v>
      </c>
      <c r="D181" s="5" t="s">
        <v>297</v>
      </c>
      <c r="E181" s="5">
        <v>3140122040</v>
      </c>
      <c r="F181" s="6"/>
      <c r="G181" s="6"/>
      <c r="H181" s="6"/>
      <c r="I181" s="5" t="s">
        <v>262</v>
      </c>
      <c r="J181" s="6" t="e">
        <f t="shared" ca="1" si="0"/>
        <v>#NAME?</v>
      </c>
      <c r="K181" s="6" t="e">
        <f ca="1">VLOOKUP(J181,'Bảng Đơn vị'!$A$2:$B$10,2,1)</f>
        <v>#NAME?</v>
      </c>
      <c r="L181" s="7">
        <v>45846</v>
      </c>
      <c r="M181" s="8">
        <v>2025</v>
      </c>
      <c r="S181" s="9"/>
    </row>
    <row r="182" spans="1:19" ht="132" hidden="1">
      <c r="A182" s="5">
        <v>181</v>
      </c>
      <c r="B182" s="5" t="s">
        <v>298</v>
      </c>
      <c r="C182" s="6" t="str">
        <f t="shared" si="1"/>
        <v>Thiết kế sổ tay điện tử trong dạy học chủ đề "Trái Đất và Bầu Trời" - KHTN 6</v>
      </c>
      <c r="D182" s="5" t="s">
        <v>299</v>
      </c>
      <c r="E182" s="5">
        <v>3140722105</v>
      </c>
      <c r="F182" s="5" t="s">
        <v>141</v>
      </c>
      <c r="G182" s="5" t="s">
        <v>292</v>
      </c>
      <c r="H182" s="5" t="s">
        <v>293</v>
      </c>
      <c r="I182" s="5" t="s">
        <v>262</v>
      </c>
      <c r="J182" s="6" t="e">
        <f t="shared" ca="1" si="0"/>
        <v>#NAME?</v>
      </c>
      <c r="K182" s="6" t="e">
        <f ca="1">VLOOKUP(J182,'Bảng Đơn vị'!$A$2:$B$10,2,1)</f>
        <v>#NAME?</v>
      </c>
      <c r="L182" s="7">
        <v>45847</v>
      </c>
      <c r="M182" s="8">
        <v>2025</v>
      </c>
      <c r="S182" s="9"/>
    </row>
    <row r="183" spans="1:19" ht="39.6" hidden="1">
      <c r="A183" s="5">
        <v>182</v>
      </c>
      <c r="B183" s="6"/>
      <c r="C183" s="6" t="str">
        <f t="shared" si="1"/>
        <v>Thiết kế sổ tay điện tử trong dạy học chủ đề "Trái Đất và Bầu Trời" - KHTN 6</v>
      </c>
      <c r="D183" s="5" t="s">
        <v>170</v>
      </c>
      <c r="E183" s="5">
        <v>3140722073</v>
      </c>
      <c r="F183" s="6"/>
      <c r="G183" s="6"/>
      <c r="H183" s="6"/>
      <c r="I183" s="5" t="s">
        <v>262</v>
      </c>
      <c r="J183" s="6" t="e">
        <f t="shared" ca="1" si="0"/>
        <v>#NAME?</v>
      </c>
      <c r="K183" s="6" t="e">
        <f ca="1">VLOOKUP(J183,'Bảng Đơn vị'!$A$2:$B$10,2,1)</f>
        <v>#NAME?</v>
      </c>
      <c r="L183" s="7">
        <v>45848</v>
      </c>
      <c r="M183" s="8">
        <v>2025</v>
      </c>
      <c r="S183" s="9"/>
    </row>
    <row r="184" spans="1:19" ht="39.6" hidden="1">
      <c r="A184" s="5">
        <v>183</v>
      </c>
      <c r="B184" s="6"/>
      <c r="C184" s="6" t="str">
        <f t="shared" si="1"/>
        <v>Thiết kế sổ tay điện tử trong dạy học chủ đề "Trái Đất và Bầu Trời" - KHTN 6</v>
      </c>
      <c r="D184" s="5" t="s">
        <v>300</v>
      </c>
      <c r="E184" s="5">
        <v>3140722088</v>
      </c>
      <c r="F184" s="6"/>
      <c r="G184" s="6"/>
      <c r="H184" s="6"/>
      <c r="I184" s="5" t="s">
        <v>262</v>
      </c>
      <c r="J184" s="6" t="e">
        <f t="shared" ca="1" si="0"/>
        <v>#NAME?</v>
      </c>
      <c r="K184" s="6" t="e">
        <f ca="1">VLOOKUP(J184,'Bảng Đơn vị'!$A$2:$B$10,2,1)</f>
        <v>#NAME?</v>
      </c>
      <c r="L184" s="7">
        <v>45849</v>
      </c>
      <c r="M184" s="8">
        <v>2025</v>
      </c>
      <c r="S184" s="9"/>
    </row>
    <row r="185" spans="1:19" ht="39.6" hidden="1">
      <c r="A185" s="5">
        <v>184</v>
      </c>
      <c r="B185" s="6"/>
      <c r="C185" s="6" t="str">
        <f t="shared" si="1"/>
        <v>Thiết kế sổ tay điện tử trong dạy học chủ đề "Trái Đất và Bầu Trời" - KHTN 6</v>
      </c>
      <c r="D185" s="5" t="s">
        <v>301</v>
      </c>
      <c r="E185" s="5">
        <v>3140722096</v>
      </c>
      <c r="F185" s="6"/>
      <c r="G185" s="6"/>
      <c r="H185" s="6"/>
      <c r="I185" s="5" t="s">
        <v>262</v>
      </c>
      <c r="J185" s="6" t="e">
        <f t="shared" ca="1" si="0"/>
        <v>#NAME?</v>
      </c>
      <c r="K185" s="6" t="e">
        <f ca="1">VLOOKUP(J185,'Bảng Đơn vị'!$A$2:$B$10,2,1)</f>
        <v>#NAME?</v>
      </c>
      <c r="L185" s="7">
        <v>45850</v>
      </c>
      <c r="M185" s="8">
        <v>2025</v>
      </c>
      <c r="S185" s="9"/>
    </row>
    <row r="186" spans="1:19" ht="39.6" hidden="1">
      <c r="A186" s="5">
        <v>185</v>
      </c>
      <c r="B186" s="6"/>
      <c r="C186" s="6" t="str">
        <f t="shared" si="1"/>
        <v>Thiết kế sổ tay điện tử trong dạy học chủ đề "Trái Đất và Bầu Trời" - KHTN 6</v>
      </c>
      <c r="D186" s="5" t="s">
        <v>302</v>
      </c>
      <c r="E186" s="5">
        <v>3140722038</v>
      </c>
      <c r="F186" s="6"/>
      <c r="G186" s="6"/>
      <c r="H186" s="6"/>
      <c r="I186" s="5" t="s">
        <v>262</v>
      </c>
      <c r="J186" s="6" t="e">
        <f t="shared" ca="1" si="0"/>
        <v>#NAME?</v>
      </c>
      <c r="K186" s="6" t="e">
        <f ca="1">VLOOKUP(J186,'Bảng Đơn vị'!$A$2:$B$10,2,1)</f>
        <v>#NAME?</v>
      </c>
      <c r="L186" s="7">
        <v>45851</v>
      </c>
      <c r="M186" s="8">
        <v>2025</v>
      </c>
      <c r="S186" s="9"/>
    </row>
    <row r="187" spans="1:19" ht="52.8" hidden="1">
      <c r="A187" s="5">
        <v>186</v>
      </c>
      <c r="B187" s="5" t="s">
        <v>303</v>
      </c>
      <c r="C187" s="6" t="str">
        <f t="shared" si="1"/>
        <v>Nghiên cứu tổng hợp vật liệu xúc tác điện hoá M-NixPy/Bọt 3D ứng dụng cho quá trình tách nước giải phóng khí Oxygen.</v>
      </c>
      <c r="D187" s="5" t="s">
        <v>304</v>
      </c>
      <c r="E187" s="5">
        <v>3140122045</v>
      </c>
      <c r="F187" s="5" t="s">
        <v>260</v>
      </c>
      <c r="G187" s="5" t="s">
        <v>305</v>
      </c>
      <c r="H187" s="6"/>
      <c r="I187" s="5" t="s">
        <v>262</v>
      </c>
      <c r="J187" s="6" t="e">
        <f t="shared" ca="1" si="0"/>
        <v>#NAME?</v>
      </c>
      <c r="K187" s="6" t="e">
        <f ca="1">VLOOKUP(J187,'Bảng Đơn vị'!$A$2:$B$10,2,1)</f>
        <v>#NAME?</v>
      </c>
      <c r="L187" s="7">
        <v>45852</v>
      </c>
      <c r="M187" s="8">
        <v>2025</v>
      </c>
      <c r="S187" s="9"/>
    </row>
    <row r="188" spans="1:19" ht="52.8" hidden="1">
      <c r="A188" s="5">
        <v>187</v>
      </c>
      <c r="B188" s="6"/>
      <c r="C188" s="6" t="str">
        <f t="shared" si="1"/>
        <v>Nghiên cứu tổng hợp vật liệu xúc tác điện hoá M-NixPy/Bọt 3D ứng dụng cho quá trình tách nước giải phóng khí Oxygen.</v>
      </c>
      <c r="D188" s="5" t="s">
        <v>306</v>
      </c>
      <c r="E188" s="5">
        <v>3140122039</v>
      </c>
      <c r="F188" s="6"/>
      <c r="G188" s="6"/>
      <c r="H188" s="6"/>
      <c r="I188" s="5" t="s">
        <v>262</v>
      </c>
      <c r="J188" s="6" t="e">
        <f t="shared" ca="1" si="0"/>
        <v>#NAME?</v>
      </c>
      <c r="K188" s="6" t="e">
        <f ca="1">VLOOKUP(J188,'Bảng Đơn vị'!$A$2:$B$10,2,1)</f>
        <v>#NAME?</v>
      </c>
      <c r="L188" s="7">
        <v>45853</v>
      </c>
      <c r="M188" s="8">
        <v>2025</v>
      </c>
      <c r="S188" s="9"/>
    </row>
    <row r="189" spans="1:19" ht="52.8" hidden="1">
      <c r="A189" s="5">
        <v>188</v>
      </c>
      <c r="B189" s="6"/>
      <c r="C189" s="6" t="str">
        <f t="shared" si="1"/>
        <v>Nghiên cứu tổng hợp vật liệu xúc tác điện hoá M-NixPy/Bọt 3D ứng dụng cho quá trình tách nước giải phóng khí Oxygen.</v>
      </c>
      <c r="D189" s="5" t="s">
        <v>307</v>
      </c>
      <c r="E189" s="5">
        <v>3140122014</v>
      </c>
      <c r="F189" s="6"/>
      <c r="G189" s="6"/>
      <c r="H189" s="6"/>
      <c r="I189" s="5" t="s">
        <v>262</v>
      </c>
      <c r="J189" s="6" t="e">
        <f t="shared" ca="1" si="0"/>
        <v>#NAME?</v>
      </c>
      <c r="K189" s="6" t="e">
        <f ca="1">VLOOKUP(J189,'Bảng Đơn vị'!$A$2:$B$10,2,1)</f>
        <v>#NAME?</v>
      </c>
      <c r="L189" s="7">
        <v>45854</v>
      </c>
      <c r="M189" s="8">
        <v>2025</v>
      </c>
      <c r="S189" s="9"/>
    </row>
    <row r="190" spans="1:19" ht="66" hidden="1">
      <c r="A190" s="5">
        <v>189</v>
      </c>
      <c r="B190" s="5" t="s">
        <v>308</v>
      </c>
      <c r="C190" s="6" t="str">
        <f t="shared" si="1"/>
        <v>Nghiên cứu tổng hợp điện cực xúc tác hợp kim giữa NixPy-NinOm/C ứng dụng cho quá trình tách nước giải phóng khí Oxygen.</v>
      </c>
      <c r="D190" s="5" t="s">
        <v>309</v>
      </c>
      <c r="E190" s="5">
        <v>3140122050</v>
      </c>
      <c r="F190" s="5" t="s">
        <v>260</v>
      </c>
      <c r="G190" s="5" t="s">
        <v>305</v>
      </c>
      <c r="H190" s="6"/>
      <c r="I190" s="5" t="s">
        <v>262</v>
      </c>
      <c r="J190" s="6" t="e">
        <f t="shared" ca="1" si="0"/>
        <v>#NAME?</v>
      </c>
      <c r="K190" s="6" t="e">
        <f ca="1">VLOOKUP(J190,'Bảng Đơn vị'!$A$2:$B$10,2,1)</f>
        <v>#NAME?</v>
      </c>
      <c r="L190" s="7">
        <v>45855</v>
      </c>
      <c r="M190" s="8">
        <v>2025</v>
      </c>
      <c r="S190" s="9"/>
    </row>
    <row r="191" spans="1:19" ht="66" hidden="1">
      <c r="A191" s="5">
        <v>190</v>
      </c>
      <c r="B191" s="6"/>
      <c r="C191" s="6" t="str">
        <f t="shared" si="1"/>
        <v>Nghiên cứu tổng hợp điện cực xúc tác hợp kim giữa NixPy-NinOm/C ứng dụng cho quá trình tách nước giải phóng khí Oxygen.</v>
      </c>
      <c r="D191" s="5" t="s">
        <v>310</v>
      </c>
      <c r="E191" s="5">
        <v>3140122044</v>
      </c>
      <c r="F191" s="6"/>
      <c r="G191" s="6"/>
      <c r="H191" s="6"/>
      <c r="I191" s="5" t="s">
        <v>262</v>
      </c>
      <c r="J191" s="6" t="e">
        <f t="shared" ca="1" si="0"/>
        <v>#NAME?</v>
      </c>
      <c r="K191" s="6" t="e">
        <f ca="1">VLOOKUP(J191,'Bảng Đơn vị'!$A$2:$B$10,2,1)</f>
        <v>#NAME?</v>
      </c>
      <c r="L191" s="7">
        <v>45856</v>
      </c>
      <c r="M191" s="8">
        <v>2025</v>
      </c>
      <c r="S191" s="9"/>
    </row>
    <row r="192" spans="1:19" ht="66" hidden="1">
      <c r="A192" s="5">
        <v>191</v>
      </c>
      <c r="B192" s="6"/>
      <c r="C192" s="6" t="str">
        <f t="shared" si="1"/>
        <v>Nghiên cứu tổng hợp điện cực xúc tác hợp kim giữa NixPy-NinOm/C ứng dụng cho quá trình tách nước giải phóng khí Oxygen.</v>
      </c>
      <c r="D192" s="5" t="s">
        <v>311</v>
      </c>
      <c r="E192" s="5">
        <v>3140122052</v>
      </c>
      <c r="F192" s="6"/>
      <c r="G192" s="6"/>
      <c r="H192" s="6"/>
      <c r="I192" s="5" t="s">
        <v>262</v>
      </c>
      <c r="J192" s="6" t="e">
        <f t="shared" ca="1" si="0"/>
        <v>#NAME?</v>
      </c>
      <c r="K192" s="6" t="e">
        <f ca="1">VLOOKUP(J192,'Bảng Đơn vị'!$A$2:$B$10,2,1)</f>
        <v>#NAME?</v>
      </c>
      <c r="L192" s="7">
        <v>45857</v>
      </c>
      <c r="M192" s="8">
        <v>2025</v>
      </c>
      <c r="S192" s="9"/>
    </row>
    <row r="193" spans="1:19" ht="39.6" hidden="1">
      <c r="A193" s="5">
        <v>192</v>
      </c>
      <c r="B193" s="5" t="s">
        <v>312</v>
      </c>
      <c r="C193" s="6" t="str">
        <f t="shared" si="1"/>
        <v>Nghiên cứu tổng hợp vật liệu Ni/NiO và ứng dụng làm xúc tác cho phản ứng điện phân nước.</v>
      </c>
      <c r="D193" s="5" t="s">
        <v>313</v>
      </c>
      <c r="E193" s="5">
        <v>3140721131</v>
      </c>
      <c r="F193" s="5" t="s">
        <v>273</v>
      </c>
      <c r="G193" s="5" t="s">
        <v>314</v>
      </c>
      <c r="H193" s="6"/>
      <c r="I193" s="5" t="s">
        <v>262</v>
      </c>
      <c r="J193" s="6" t="e">
        <f t="shared" ca="1" si="0"/>
        <v>#NAME?</v>
      </c>
      <c r="K193" s="6" t="e">
        <f ca="1">VLOOKUP(J193,'Bảng Đơn vị'!$A$2:$B$10,2,1)</f>
        <v>#NAME?</v>
      </c>
      <c r="L193" s="7">
        <v>45858</v>
      </c>
      <c r="M193" s="8">
        <v>2025</v>
      </c>
      <c r="S193" s="9"/>
    </row>
    <row r="194" spans="1:19" ht="39.6" hidden="1">
      <c r="A194" s="5">
        <v>193</v>
      </c>
      <c r="B194" s="6"/>
      <c r="C194" s="6" t="str">
        <f t="shared" si="1"/>
        <v>Nghiên cứu tổng hợp vật liệu Ni/NiO và ứng dụng làm xúc tác cho phản ứng điện phân nước.</v>
      </c>
      <c r="D194" s="5" t="s">
        <v>315</v>
      </c>
      <c r="E194" s="5">
        <v>3140721167</v>
      </c>
      <c r="F194" s="6"/>
      <c r="G194" s="6"/>
      <c r="H194" s="6"/>
      <c r="I194" s="5" t="s">
        <v>262</v>
      </c>
      <c r="J194" s="6" t="e">
        <f t="shared" ca="1" si="0"/>
        <v>#NAME?</v>
      </c>
      <c r="K194" s="6" t="e">
        <f ca="1">VLOOKUP(J194,'Bảng Đơn vị'!$A$2:$B$10,2,1)</f>
        <v>#NAME?</v>
      </c>
      <c r="L194" s="7">
        <v>45859</v>
      </c>
      <c r="M194" s="8">
        <v>2025</v>
      </c>
      <c r="S194" s="9"/>
    </row>
    <row r="195" spans="1:19" ht="39.6" hidden="1">
      <c r="A195" s="5">
        <v>194</v>
      </c>
      <c r="B195" s="6"/>
      <c r="C195" s="6" t="str">
        <f t="shared" si="1"/>
        <v>Nghiên cứu tổng hợp vật liệu Ni/NiO và ứng dụng làm xúc tác cho phản ứng điện phân nước.</v>
      </c>
      <c r="D195" s="5" t="s">
        <v>316</v>
      </c>
      <c r="E195" s="5">
        <v>3140721065</v>
      </c>
      <c r="F195" s="6"/>
      <c r="G195" s="6"/>
      <c r="H195" s="6"/>
      <c r="I195" s="5" t="s">
        <v>262</v>
      </c>
      <c r="J195" s="6" t="e">
        <f t="shared" ca="1" si="0"/>
        <v>#NAME?</v>
      </c>
      <c r="K195" s="6" t="e">
        <f ca="1">VLOOKUP(J195,'Bảng Đơn vị'!$A$2:$B$10,2,1)</f>
        <v>#NAME?</v>
      </c>
      <c r="L195" s="7">
        <v>45860</v>
      </c>
      <c r="M195" s="8">
        <v>2025</v>
      </c>
      <c r="S195" s="9"/>
    </row>
    <row r="196" spans="1:19" ht="39.6" hidden="1">
      <c r="A196" s="5">
        <v>195</v>
      </c>
      <c r="B196" s="6"/>
      <c r="C196" s="6" t="str">
        <f t="shared" si="1"/>
        <v>Nghiên cứu tổng hợp vật liệu Ni/NiO và ứng dụng làm xúc tác cho phản ứng điện phân nước.</v>
      </c>
      <c r="D196" s="5" t="s">
        <v>317</v>
      </c>
      <c r="E196" s="5">
        <v>3140721133</v>
      </c>
      <c r="F196" s="6"/>
      <c r="G196" s="6"/>
      <c r="H196" s="6"/>
      <c r="I196" s="5" t="s">
        <v>262</v>
      </c>
      <c r="J196" s="6" t="e">
        <f t="shared" ca="1" si="0"/>
        <v>#NAME?</v>
      </c>
      <c r="K196" s="6" t="e">
        <f ca="1">VLOOKUP(J196,'Bảng Đơn vị'!$A$2:$B$10,2,1)</f>
        <v>#NAME?</v>
      </c>
      <c r="L196" s="7">
        <v>45861</v>
      </c>
      <c r="M196" s="8">
        <v>2025</v>
      </c>
      <c r="S196" s="9"/>
    </row>
    <row r="197" spans="1:19" ht="52.8" hidden="1">
      <c r="A197" s="5">
        <v>196</v>
      </c>
      <c r="B197" s="5" t="s">
        <v>318</v>
      </c>
      <c r="C197" s="6" t="str">
        <f t="shared" si="1"/>
        <v>Nghiên cứu tổng hợp vật liệu composite NiO-Co3O4-ZnO bằng phương pháp sol-gel và ứng dụng làm chất xúc tác</v>
      </c>
      <c r="D197" s="5" t="s">
        <v>319</v>
      </c>
      <c r="E197" s="5">
        <v>3140122022</v>
      </c>
      <c r="F197" s="5" t="s">
        <v>260</v>
      </c>
      <c r="G197" s="5" t="s">
        <v>314</v>
      </c>
      <c r="H197" s="6"/>
      <c r="I197" s="5" t="s">
        <v>262</v>
      </c>
      <c r="J197" s="6" t="e">
        <f t="shared" ca="1" si="0"/>
        <v>#NAME?</v>
      </c>
      <c r="K197" s="6" t="e">
        <f ca="1">VLOOKUP(J197,'Bảng Đơn vị'!$A$2:$B$10,2,1)</f>
        <v>#NAME?</v>
      </c>
      <c r="L197" s="7">
        <v>45862</v>
      </c>
      <c r="M197" s="8">
        <v>2025</v>
      </c>
      <c r="S197" s="9"/>
    </row>
    <row r="198" spans="1:19" ht="52.8" hidden="1">
      <c r="A198" s="5">
        <v>197</v>
      </c>
      <c r="B198" s="6"/>
      <c r="C198" s="6" t="str">
        <f t="shared" si="1"/>
        <v>Nghiên cứu tổng hợp vật liệu composite NiO-Co3O4-ZnO bằng phương pháp sol-gel và ứng dụng làm chất xúc tác</v>
      </c>
      <c r="D198" s="5" t="s">
        <v>320</v>
      </c>
      <c r="E198" s="5">
        <v>3140122015</v>
      </c>
      <c r="F198" s="5" t="s">
        <v>260</v>
      </c>
      <c r="G198" s="6"/>
      <c r="H198" s="6"/>
      <c r="I198" s="5" t="s">
        <v>262</v>
      </c>
      <c r="J198" s="6" t="e">
        <f t="shared" ca="1" si="0"/>
        <v>#NAME?</v>
      </c>
      <c r="K198" s="6" t="e">
        <f ca="1">VLOOKUP(J198,'Bảng Đơn vị'!$A$2:$B$10,2,1)</f>
        <v>#NAME?</v>
      </c>
      <c r="L198" s="7">
        <v>45863</v>
      </c>
      <c r="M198" s="8">
        <v>2025</v>
      </c>
      <c r="S198" s="9"/>
    </row>
    <row r="199" spans="1:19" ht="52.8" hidden="1">
      <c r="A199" s="5">
        <v>198</v>
      </c>
      <c r="B199" s="6"/>
      <c r="C199" s="6" t="str">
        <f t="shared" si="1"/>
        <v>Nghiên cứu tổng hợp vật liệu composite NiO-Co3O4-ZnO bằng phương pháp sol-gel và ứng dụng làm chất xúc tác</v>
      </c>
      <c r="D199" s="5" t="s">
        <v>321</v>
      </c>
      <c r="E199" s="5">
        <v>3140122013</v>
      </c>
      <c r="F199" s="5" t="s">
        <v>260</v>
      </c>
      <c r="G199" s="6"/>
      <c r="H199" s="6"/>
      <c r="I199" s="5" t="s">
        <v>262</v>
      </c>
      <c r="J199" s="6" t="e">
        <f t="shared" ca="1" si="0"/>
        <v>#NAME?</v>
      </c>
      <c r="K199" s="6" t="e">
        <f ca="1">VLOOKUP(J199,'Bảng Đơn vị'!$A$2:$B$10,2,1)</f>
        <v>#NAME?</v>
      </c>
      <c r="L199" s="7">
        <v>45864</v>
      </c>
      <c r="M199" s="8">
        <v>2025</v>
      </c>
      <c r="S199" s="9"/>
    </row>
    <row r="200" spans="1:19" ht="52.8" hidden="1">
      <c r="A200" s="5">
        <v>199</v>
      </c>
      <c r="B200" s="6"/>
      <c r="C200" s="6" t="str">
        <f t="shared" si="1"/>
        <v>Nghiên cứu tổng hợp vật liệu composite NiO-Co3O4-ZnO bằng phương pháp sol-gel và ứng dụng làm chất xúc tác</v>
      </c>
      <c r="D200" s="5" t="s">
        <v>322</v>
      </c>
      <c r="E200" s="5">
        <v>3140122021</v>
      </c>
      <c r="F200" s="5" t="s">
        <v>260</v>
      </c>
      <c r="G200" s="6"/>
      <c r="H200" s="6"/>
      <c r="I200" s="5" t="s">
        <v>262</v>
      </c>
      <c r="J200" s="6" t="e">
        <f t="shared" ca="1" si="0"/>
        <v>#NAME?</v>
      </c>
      <c r="K200" s="6" t="e">
        <f ca="1">VLOOKUP(J200,'Bảng Đơn vị'!$A$2:$B$10,2,1)</f>
        <v>#NAME?</v>
      </c>
      <c r="L200" s="7">
        <v>45865</v>
      </c>
      <c r="M200" s="8">
        <v>2025</v>
      </c>
      <c r="S200" s="9"/>
    </row>
    <row r="201" spans="1:19" ht="52.8" hidden="1">
      <c r="A201" s="5">
        <v>200</v>
      </c>
      <c r="B201" s="6"/>
      <c r="C201" s="6" t="str">
        <f t="shared" si="1"/>
        <v>Nghiên cứu tổng hợp vật liệu composite NiO-Co3O4-ZnO bằng phương pháp sol-gel và ứng dụng làm chất xúc tác</v>
      </c>
      <c r="D201" s="5" t="s">
        <v>323</v>
      </c>
      <c r="E201" s="5">
        <v>3140123011</v>
      </c>
      <c r="F201" s="5" t="s">
        <v>324</v>
      </c>
      <c r="G201" s="6"/>
      <c r="H201" s="6"/>
      <c r="I201" s="5" t="s">
        <v>262</v>
      </c>
      <c r="J201" s="6" t="e">
        <f t="shared" ca="1" si="0"/>
        <v>#NAME?</v>
      </c>
      <c r="K201" s="6" t="e">
        <f ca="1">VLOOKUP(J201,'Bảng Đơn vị'!$A$2:$B$10,2,1)</f>
        <v>#NAME?</v>
      </c>
      <c r="L201" s="7">
        <v>45866</v>
      </c>
      <c r="M201" s="8">
        <v>2025</v>
      </c>
      <c r="S201" s="9"/>
    </row>
    <row r="202" spans="1:19" ht="39.6" hidden="1">
      <c r="A202" s="5">
        <v>201</v>
      </c>
      <c r="B202" s="5" t="s">
        <v>325</v>
      </c>
      <c r="C202" s="6" t="str">
        <f t="shared" si="1"/>
        <v>Nghiên cứu tổng hợp nano selenium từ H2SeO3 bằng ascorbic acid và ứng dụng</v>
      </c>
      <c r="D202" s="5" t="s">
        <v>326</v>
      </c>
      <c r="E202" s="5">
        <v>3140121024</v>
      </c>
      <c r="F202" s="5" t="s">
        <v>278</v>
      </c>
      <c r="G202" s="5" t="s">
        <v>327</v>
      </c>
      <c r="H202" s="6"/>
      <c r="I202" s="5" t="s">
        <v>262</v>
      </c>
      <c r="J202" s="6" t="e">
        <f t="shared" ca="1" si="0"/>
        <v>#NAME?</v>
      </c>
      <c r="K202" s="6" t="e">
        <f ca="1">VLOOKUP(J202,'Bảng Đơn vị'!$A$2:$B$10,2,1)</f>
        <v>#NAME?</v>
      </c>
      <c r="L202" s="7">
        <v>45867</v>
      </c>
      <c r="M202" s="8">
        <v>2025</v>
      </c>
      <c r="S202" s="9"/>
    </row>
    <row r="203" spans="1:19" ht="39.6" hidden="1">
      <c r="A203" s="5">
        <v>202</v>
      </c>
      <c r="B203" s="6"/>
      <c r="C203" s="6" t="str">
        <f t="shared" si="1"/>
        <v>Nghiên cứu tổng hợp nano selenium từ H2SeO3 bằng ascorbic acid và ứng dụng</v>
      </c>
      <c r="D203" s="5" t="s">
        <v>328</v>
      </c>
      <c r="E203" s="5">
        <v>3140121030</v>
      </c>
      <c r="F203" s="6"/>
      <c r="G203" s="6"/>
      <c r="H203" s="6"/>
      <c r="I203" s="5" t="s">
        <v>262</v>
      </c>
      <c r="J203" s="6" t="e">
        <f t="shared" ca="1" si="0"/>
        <v>#NAME?</v>
      </c>
      <c r="K203" s="6" t="e">
        <f ca="1">VLOOKUP(J203,'Bảng Đơn vị'!$A$2:$B$10,2,1)</f>
        <v>#NAME?</v>
      </c>
      <c r="L203" s="7">
        <v>45868</v>
      </c>
      <c r="M203" s="8">
        <v>2025</v>
      </c>
      <c r="S203" s="9"/>
    </row>
    <row r="204" spans="1:19" ht="39.6" hidden="1">
      <c r="A204" s="5">
        <v>203</v>
      </c>
      <c r="B204" s="6"/>
      <c r="C204" s="6" t="str">
        <f t="shared" si="1"/>
        <v>Nghiên cứu tổng hợp nano selenium từ H2SeO3 bằng ascorbic acid và ứng dụng</v>
      </c>
      <c r="D204" s="5" t="s">
        <v>329</v>
      </c>
      <c r="E204" s="5">
        <v>3140121050</v>
      </c>
      <c r="F204" s="6"/>
      <c r="G204" s="6"/>
      <c r="H204" s="6"/>
      <c r="I204" s="5" t="s">
        <v>262</v>
      </c>
      <c r="J204" s="6" t="e">
        <f t="shared" ca="1" si="0"/>
        <v>#NAME?</v>
      </c>
      <c r="K204" s="6" t="e">
        <f ca="1">VLOOKUP(J204,'Bảng Đơn vị'!$A$2:$B$10,2,1)</f>
        <v>#NAME?</v>
      </c>
      <c r="L204" s="7">
        <v>45869</v>
      </c>
      <c r="M204" s="8">
        <v>2025</v>
      </c>
      <c r="S204" s="9"/>
    </row>
    <row r="205" spans="1:19" ht="39.6" hidden="1">
      <c r="A205" s="5">
        <v>204</v>
      </c>
      <c r="B205" s="6"/>
      <c r="C205" s="6" t="str">
        <f t="shared" si="1"/>
        <v>Nghiên cứu tổng hợp nano selenium từ H2SeO3 bằng ascorbic acid và ứng dụng</v>
      </c>
      <c r="D205" s="5" t="s">
        <v>330</v>
      </c>
      <c r="E205" s="5">
        <v>3140121036</v>
      </c>
      <c r="F205" s="6"/>
      <c r="G205" s="6"/>
      <c r="H205" s="6"/>
      <c r="I205" s="5" t="s">
        <v>262</v>
      </c>
      <c r="J205" s="6" t="e">
        <f t="shared" ca="1" si="0"/>
        <v>#NAME?</v>
      </c>
      <c r="K205" s="6" t="e">
        <f ca="1">VLOOKUP(J205,'Bảng Đơn vị'!$A$2:$B$10,2,1)</f>
        <v>#NAME?</v>
      </c>
      <c r="L205" s="7">
        <v>45870</v>
      </c>
      <c r="M205" s="8">
        <v>2025</v>
      </c>
      <c r="S205" s="9"/>
    </row>
    <row r="206" spans="1:19" ht="52.8" hidden="1">
      <c r="A206" s="5">
        <v>205</v>
      </c>
      <c r="B206" s="5" t="s">
        <v>331</v>
      </c>
      <c r="C206" s="6" t="str">
        <f t="shared" si="1"/>
        <v>Nghiên cứu tổng hợp nano bạc từ AgNO3 bằng dịch chiết nước lá cây xạ đen và ứng dụng của nó</v>
      </c>
      <c r="D206" s="5" t="s">
        <v>332</v>
      </c>
      <c r="E206" s="5">
        <v>3140121006</v>
      </c>
      <c r="F206" s="5" t="s">
        <v>278</v>
      </c>
      <c r="G206" s="5" t="s">
        <v>333</v>
      </c>
      <c r="H206" s="6"/>
      <c r="I206" s="5" t="s">
        <v>262</v>
      </c>
      <c r="J206" s="6" t="e">
        <f t="shared" ca="1" si="0"/>
        <v>#NAME?</v>
      </c>
      <c r="K206" s="6" t="e">
        <f ca="1">VLOOKUP(J206,'Bảng Đơn vị'!$A$2:$B$10,2,1)</f>
        <v>#NAME?</v>
      </c>
      <c r="L206" s="7">
        <v>45871</v>
      </c>
      <c r="M206" s="8">
        <v>2025</v>
      </c>
      <c r="S206" s="9"/>
    </row>
    <row r="207" spans="1:19" ht="52.8" hidden="1">
      <c r="A207" s="5">
        <v>206</v>
      </c>
      <c r="B207" s="6"/>
      <c r="C207" s="6" t="str">
        <f t="shared" si="1"/>
        <v>Nghiên cứu tổng hợp nano bạc từ AgNO3 bằng dịch chiết nước lá cây xạ đen và ứng dụng của nó</v>
      </c>
      <c r="D207" s="5" t="s">
        <v>334</v>
      </c>
      <c r="E207" s="5">
        <v>3140121055</v>
      </c>
      <c r="F207" s="6"/>
      <c r="G207" s="6"/>
      <c r="H207" s="6"/>
      <c r="I207" s="5" t="s">
        <v>262</v>
      </c>
      <c r="J207" s="6" t="e">
        <f t="shared" ca="1" si="0"/>
        <v>#NAME?</v>
      </c>
      <c r="K207" s="6" t="e">
        <f ca="1">VLOOKUP(J207,'Bảng Đơn vị'!$A$2:$B$10,2,1)</f>
        <v>#NAME?</v>
      </c>
      <c r="L207" s="7">
        <v>45872</v>
      </c>
      <c r="M207" s="8">
        <v>2025</v>
      </c>
      <c r="S207" s="9"/>
    </row>
    <row r="208" spans="1:19" ht="52.8" hidden="1">
      <c r="A208" s="5">
        <v>207</v>
      </c>
      <c r="B208" s="6"/>
      <c r="C208" s="6" t="str">
        <f t="shared" si="1"/>
        <v>Nghiên cứu tổng hợp nano bạc từ AgNO3 bằng dịch chiết nước lá cây xạ đen và ứng dụng của nó</v>
      </c>
      <c r="D208" s="5" t="s">
        <v>335</v>
      </c>
      <c r="E208" s="5">
        <v>3140121018</v>
      </c>
      <c r="F208" s="6"/>
      <c r="G208" s="6"/>
      <c r="H208" s="6"/>
      <c r="I208" s="5" t="s">
        <v>262</v>
      </c>
      <c r="J208" s="6" t="e">
        <f t="shared" ca="1" si="0"/>
        <v>#NAME?</v>
      </c>
      <c r="K208" s="6" t="e">
        <f ca="1">VLOOKUP(J208,'Bảng Đơn vị'!$A$2:$B$10,2,1)</f>
        <v>#NAME?</v>
      </c>
      <c r="L208" s="7">
        <v>45873</v>
      </c>
      <c r="M208" s="8">
        <v>2025</v>
      </c>
      <c r="S208" s="9"/>
    </row>
    <row r="209" spans="1:19" ht="52.8" hidden="1">
      <c r="A209" s="5">
        <v>208</v>
      </c>
      <c r="B209" s="6"/>
      <c r="C209" s="6" t="str">
        <f t="shared" si="1"/>
        <v>Nghiên cứu tổng hợp nano bạc từ AgNO3 bằng dịch chiết nước lá cây xạ đen và ứng dụng của nó</v>
      </c>
      <c r="D209" s="5" t="s">
        <v>336</v>
      </c>
      <c r="E209" s="5">
        <v>3140121038</v>
      </c>
      <c r="F209" s="6"/>
      <c r="G209" s="6"/>
      <c r="H209" s="6"/>
      <c r="I209" s="5" t="s">
        <v>262</v>
      </c>
      <c r="J209" s="6" t="e">
        <f t="shared" ca="1" si="0"/>
        <v>#NAME?</v>
      </c>
      <c r="K209" s="6" t="e">
        <f ca="1">VLOOKUP(J209,'Bảng Đơn vị'!$A$2:$B$10,2,1)</f>
        <v>#NAME?</v>
      </c>
      <c r="L209" s="7">
        <v>45874</v>
      </c>
      <c r="M209" s="8">
        <v>2025</v>
      </c>
      <c r="S209" s="9"/>
    </row>
    <row r="210" spans="1:19" ht="52.8" hidden="1">
      <c r="A210" s="5">
        <v>209</v>
      </c>
      <c r="B210" s="6"/>
      <c r="C210" s="6" t="str">
        <f t="shared" si="1"/>
        <v>Nghiên cứu tổng hợp nano bạc từ AgNO3 bằng dịch chiết nước lá cây xạ đen và ứng dụng của nó</v>
      </c>
      <c r="D210" s="5" t="s">
        <v>337</v>
      </c>
      <c r="E210" s="5">
        <v>3140121057</v>
      </c>
      <c r="F210" s="6"/>
      <c r="G210" s="6"/>
      <c r="H210" s="6"/>
      <c r="I210" s="5" t="s">
        <v>262</v>
      </c>
      <c r="J210" s="6" t="e">
        <f t="shared" ca="1" si="0"/>
        <v>#NAME?</v>
      </c>
      <c r="K210" s="6" t="e">
        <f ca="1">VLOOKUP(J210,'Bảng Đơn vị'!$A$2:$B$10,2,1)</f>
        <v>#NAME?</v>
      </c>
      <c r="L210" s="7">
        <v>45875</v>
      </c>
      <c r="M210" s="8">
        <v>2025</v>
      </c>
      <c r="S210" s="9"/>
    </row>
    <row r="211" spans="1:19" ht="52.8" hidden="1">
      <c r="A211" s="5">
        <v>210</v>
      </c>
      <c r="B211" s="5" t="s">
        <v>338</v>
      </c>
      <c r="C211" s="6" t="str">
        <f t="shared" si="1"/>
        <v>Nghiên cứu chế tạo than sinh học từ các phế phẩm nông nghiệp và ứng dụng làm chất hấp phụ hợp chất màu trong nước</v>
      </c>
      <c r="D211" s="5" t="s">
        <v>339</v>
      </c>
      <c r="E211" s="5">
        <v>3140721152</v>
      </c>
      <c r="F211" s="5" t="s">
        <v>269</v>
      </c>
      <c r="G211" s="5" t="s">
        <v>340</v>
      </c>
      <c r="H211" s="6"/>
      <c r="I211" s="5" t="s">
        <v>262</v>
      </c>
      <c r="J211" s="6" t="e">
        <f t="shared" ca="1" si="0"/>
        <v>#NAME?</v>
      </c>
      <c r="K211" s="6" t="e">
        <f ca="1">VLOOKUP(J211,'Bảng Đơn vị'!$A$2:$B$10,2,1)</f>
        <v>#NAME?</v>
      </c>
      <c r="L211" s="7">
        <v>45876</v>
      </c>
      <c r="M211" s="8">
        <v>2025</v>
      </c>
      <c r="S211" s="9"/>
    </row>
    <row r="212" spans="1:19" ht="52.8" hidden="1">
      <c r="A212" s="5">
        <v>211</v>
      </c>
      <c r="B212" s="6"/>
      <c r="C212" s="6" t="str">
        <f t="shared" si="1"/>
        <v>Nghiên cứu chế tạo than sinh học từ các phế phẩm nông nghiệp và ứng dụng làm chất hấp phụ hợp chất màu trong nước</v>
      </c>
      <c r="D212" s="5" t="s">
        <v>341</v>
      </c>
      <c r="E212" s="5">
        <v>3140721112</v>
      </c>
      <c r="F212" s="6"/>
      <c r="G212" s="6"/>
      <c r="H212" s="6"/>
      <c r="I212" s="5" t="s">
        <v>262</v>
      </c>
      <c r="J212" s="6" t="e">
        <f t="shared" ca="1" si="0"/>
        <v>#NAME?</v>
      </c>
      <c r="K212" s="6" t="e">
        <f ca="1">VLOOKUP(J212,'Bảng Đơn vị'!$A$2:$B$10,2,1)</f>
        <v>#NAME?</v>
      </c>
      <c r="L212" s="7">
        <v>45877</v>
      </c>
      <c r="M212" s="8">
        <v>2025</v>
      </c>
      <c r="S212" s="9"/>
    </row>
    <row r="213" spans="1:19" ht="52.8" hidden="1">
      <c r="A213" s="5">
        <v>212</v>
      </c>
      <c r="B213" s="6"/>
      <c r="C213" s="6" t="str">
        <f t="shared" si="1"/>
        <v>Nghiên cứu chế tạo than sinh học từ các phế phẩm nông nghiệp và ứng dụng làm chất hấp phụ hợp chất màu trong nước</v>
      </c>
      <c r="D213" s="5" t="s">
        <v>342</v>
      </c>
      <c r="E213" s="5">
        <v>3140721150</v>
      </c>
      <c r="F213" s="6"/>
      <c r="G213" s="6"/>
      <c r="H213" s="6"/>
      <c r="I213" s="5" t="s">
        <v>262</v>
      </c>
      <c r="J213" s="6" t="e">
        <f t="shared" ca="1" si="0"/>
        <v>#NAME?</v>
      </c>
      <c r="K213" s="6" t="e">
        <f ca="1">VLOOKUP(J213,'Bảng Đơn vị'!$A$2:$B$10,2,1)</f>
        <v>#NAME?</v>
      </c>
      <c r="L213" s="7">
        <v>45878</v>
      </c>
      <c r="M213" s="8">
        <v>2025</v>
      </c>
      <c r="S213" s="9"/>
    </row>
    <row r="214" spans="1:19" ht="52.8" hidden="1">
      <c r="A214" s="5">
        <v>213</v>
      </c>
      <c r="B214" s="5" t="s">
        <v>343</v>
      </c>
      <c r="C214" s="6" t="str">
        <f t="shared" si="1"/>
        <v>Nghiên cứu ảnh hưởng của nhiệt độ nhiệt phân đến tính chất hóa lý của than sinh học chế tạo từ bã cà phê</v>
      </c>
      <c r="D214" s="5" t="s">
        <v>344</v>
      </c>
      <c r="E214" s="5">
        <v>3140722075</v>
      </c>
      <c r="F214" s="5" t="s">
        <v>141</v>
      </c>
      <c r="G214" s="5" t="s">
        <v>340</v>
      </c>
      <c r="H214" s="6"/>
      <c r="I214" s="5" t="s">
        <v>262</v>
      </c>
      <c r="J214" s="6" t="e">
        <f t="shared" ca="1" si="0"/>
        <v>#NAME?</v>
      </c>
      <c r="K214" s="6" t="e">
        <f ca="1">VLOOKUP(J214,'Bảng Đơn vị'!$A$2:$B$10,2,1)</f>
        <v>#NAME?</v>
      </c>
      <c r="L214" s="7">
        <v>45879</v>
      </c>
      <c r="M214" s="8">
        <v>2025</v>
      </c>
      <c r="S214" s="9"/>
    </row>
    <row r="215" spans="1:19" ht="52.8" hidden="1">
      <c r="A215" s="5">
        <v>214</v>
      </c>
      <c r="B215" s="6"/>
      <c r="C215" s="6" t="str">
        <f t="shared" si="1"/>
        <v>Nghiên cứu ảnh hưởng của nhiệt độ nhiệt phân đến tính chất hóa lý của than sinh học chế tạo từ bã cà phê</v>
      </c>
      <c r="D215" s="5" t="s">
        <v>345</v>
      </c>
      <c r="E215" s="5">
        <v>3140722106</v>
      </c>
      <c r="F215" s="6"/>
      <c r="G215" s="6"/>
      <c r="H215" s="6"/>
      <c r="I215" s="5" t="s">
        <v>262</v>
      </c>
      <c r="J215" s="6" t="e">
        <f t="shared" ca="1" si="0"/>
        <v>#NAME?</v>
      </c>
      <c r="K215" s="6" t="e">
        <f ca="1">VLOOKUP(J215,'Bảng Đơn vị'!$A$2:$B$10,2,1)</f>
        <v>#NAME?</v>
      </c>
      <c r="L215" s="7">
        <v>45880</v>
      </c>
      <c r="M215" s="8">
        <v>2025</v>
      </c>
      <c r="S215" s="9"/>
    </row>
    <row r="216" spans="1:19" ht="52.8" hidden="1">
      <c r="A216" s="5">
        <v>215</v>
      </c>
      <c r="B216" s="6"/>
      <c r="C216" s="6" t="str">
        <f t="shared" si="1"/>
        <v>Nghiên cứu ảnh hưởng của nhiệt độ nhiệt phân đến tính chất hóa lý của than sinh học chế tạo từ bã cà phê</v>
      </c>
      <c r="D216" s="5" t="s">
        <v>346</v>
      </c>
      <c r="E216" s="5">
        <v>3140722046</v>
      </c>
      <c r="F216" s="6"/>
      <c r="G216" s="6"/>
      <c r="H216" s="6"/>
      <c r="I216" s="5" t="s">
        <v>262</v>
      </c>
      <c r="J216" s="6" t="e">
        <f t="shared" ca="1" si="0"/>
        <v>#NAME?</v>
      </c>
      <c r="K216" s="6" t="e">
        <f ca="1">VLOOKUP(J216,'Bảng Đơn vị'!$A$2:$B$10,2,1)</f>
        <v>#NAME?</v>
      </c>
      <c r="L216" s="7">
        <v>45881</v>
      </c>
      <c r="M216" s="8">
        <v>2025</v>
      </c>
      <c r="S216" s="9"/>
    </row>
    <row r="217" spans="1:19" ht="52.8" hidden="1">
      <c r="A217" s="5">
        <v>216</v>
      </c>
      <c r="B217" s="5" t="s">
        <v>347</v>
      </c>
      <c r="C217" s="6" t="str">
        <f t="shared" si="1"/>
        <v>Ứng dụng sóng siêu âm trong tổng hợp một số dẫn xuất 1,5-dihydro-2H-pyrrol-2-one dựa vào phản ứng nhiều thành phần</v>
      </c>
      <c r="D217" s="5" t="s">
        <v>348</v>
      </c>
      <c r="E217" s="5">
        <v>3140121052</v>
      </c>
      <c r="F217" s="5" t="s">
        <v>278</v>
      </c>
      <c r="G217" s="5" t="s">
        <v>349</v>
      </c>
      <c r="H217" s="6"/>
      <c r="I217" s="5" t="s">
        <v>262</v>
      </c>
      <c r="J217" s="6" t="e">
        <f t="shared" ca="1" si="0"/>
        <v>#NAME?</v>
      </c>
      <c r="K217" s="6" t="e">
        <f ca="1">VLOOKUP(J217,'Bảng Đơn vị'!$A$2:$B$10,2,1)</f>
        <v>#NAME?</v>
      </c>
      <c r="L217" s="7">
        <v>45882</v>
      </c>
      <c r="M217" s="8">
        <v>2025</v>
      </c>
      <c r="S217" s="9"/>
    </row>
    <row r="218" spans="1:19" ht="52.8" hidden="1">
      <c r="A218" s="5">
        <v>217</v>
      </c>
      <c r="B218" s="6"/>
      <c r="C218" s="6" t="str">
        <f t="shared" si="1"/>
        <v>Ứng dụng sóng siêu âm trong tổng hợp một số dẫn xuất 1,5-dihydro-2H-pyrrol-2-one dựa vào phản ứng nhiều thành phần</v>
      </c>
      <c r="D218" s="5" t="s">
        <v>350</v>
      </c>
      <c r="E218" s="5">
        <v>3140321096</v>
      </c>
      <c r="F218" s="5" t="s">
        <v>283</v>
      </c>
      <c r="G218" s="6"/>
      <c r="H218" s="6"/>
      <c r="I218" s="5" t="s">
        <v>262</v>
      </c>
      <c r="J218" s="6" t="e">
        <f t="shared" ca="1" si="0"/>
        <v>#NAME?</v>
      </c>
      <c r="K218" s="6" t="e">
        <f ca="1">VLOOKUP(J218,'Bảng Đơn vị'!$A$2:$B$10,2,1)</f>
        <v>#NAME?</v>
      </c>
      <c r="L218" s="7">
        <v>45883</v>
      </c>
      <c r="M218" s="8">
        <v>2025</v>
      </c>
      <c r="S218" s="9"/>
    </row>
    <row r="219" spans="1:19" ht="52.8" hidden="1">
      <c r="A219" s="5">
        <v>218</v>
      </c>
      <c r="B219" s="6"/>
      <c r="C219" s="6" t="str">
        <f t="shared" si="1"/>
        <v>Ứng dụng sóng siêu âm trong tổng hợp một số dẫn xuất 1,5-dihydro-2H-pyrrol-2-one dựa vào phản ứng nhiều thành phần</v>
      </c>
      <c r="D219" s="5" t="s">
        <v>351</v>
      </c>
      <c r="E219" s="5">
        <v>3140321099</v>
      </c>
      <c r="F219" s="5" t="s">
        <v>352</v>
      </c>
      <c r="G219" s="6"/>
      <c r="H219" s="6"/>
      <c r="I219" s="5" t="s">
        <v>262</v>
      </c>
      <c r="J219" s="6" t="e">
        <f t="shared" ca="1" si="0"/>
        <v>#NAME?</v>
      </c>
      <c r="K219" s="6" t="e">
        <f ca="1">VLOOKUP(J219,'Bảng Đơn vị'!$A$2:$B$10,2,1)</f>
        <v>#NAME?</v>
      </c>
      <c r="L219" s="7">
        <v>45884</v>
      </c>
      <c r="M219" s="8">
        <v>2025</v>
      </c>
      <c r="S219" s="9"/>
    </row>
    <row r="220" spans="1:19" ht="52.8" hidden="1">
      <c r="A220" s="5">
        <v>219</v>
      </c>
      <c r="B220" s="6"/>
      <c r="C220" s="6" t="str">
        <f t="shared" si="1"/>
        <v>Ứng dụng sóng siêu âm trong tổng hợp một số dẫn xuất 1,5-dihydro-2H-pyrrol-2-one dựa vào phản ứng nhiều thành phần</v>
      </c>
      <c r="D220" s="5" t="s">
        <v>353</v>
      </c>
      <c r="E220" s="5">
        <v>3140322004</v>
      </c>
      <c r="F220" s="5" t="s">
        <v>352</v>
      </c>
      <c r="G220" s="6"/>
      <c r="H220" s="6"/>
      <c r="I220" s="5" t="s">
        <v>262</v>
      </c>
      <c r="J220" s="6" t="e">
        <f t="shared" ca="1" si="0"/>
        <v>#NAME?</v>
      </c>
      <c r="K220" s="6" t="e">
        <f ca="1">VLOOKUP(J220,'Bảng Đơn vị'!$A$2:$B$10,2,1)</f>
        <v>#NAME?</v>
      </c>
      <c r="L220" s="7">
        <v>45885</v>
      </c>
      <c r="M220" s="8">
        <v>2025</v>
      </c>
      <c r="S220" s="9"/>
    </row>
    <row r="221" spans="1:19" ht="52.8" hidden="1">
      <c r="A221" s="5">
        <v>220</v>
      </c>
      <c r="B221" s="6"/>
      <c r="C221" s="6" t="str">
        <f t="shared" si="1"/>
        <v>Ứng dụng sóng siêu âm trong tổng hợp một số dẫn xuất 1,5-dihydro-2H-pyrrol-2-one dựa vào phản ứng nhiều thành phần</v>
      </c>
      <c r="D221" s="5" t="s">
        <v>354</v>
      </c>
      <c r="E221" s="5">
        <v>3140322045</v>
      </c>
      <c r="F221" s="5" t="s">
        <v>352</v>
      </c>
      <c r="G221" s="6"/>
      <c r="H221" s="6"/>
      <c r="I221" s="5" t="s">
        <v>262</v>
      </c>
      <c r="J221" s="6" t="e">
        <f t="shared" ca="1" si="0"/>
        <v>#NAME?</v>
      </c>
      <c r="K221" s="6" t="e">
        <f ca="1">VLOOKUP(J221,'Bảng Đơn vị'!$A$2:$B$10,2,1)</f>
        <v>#NAME?</v>
      </c>
      <c r="L221" s="7">
        <v>45886</v>
      </c>
      <c r="M221" s="8">
        <v>2025</v>
      </c>
      <c r="S221" s="9"/>
    </row>
    <row r="222" spans="1:19" ht="52.8" hidden="1">
      <c r="A222" s="5">
        <v>221</v>
      </c>
      <c r="B222" s="5" t="s">
        <v>355</v>
      </c>
      <c r="C222" s="6" t="str">
        <f t="shared" si="1"/>
        <v>Nghiên cứu tổng hợp vật liệu CoO/NiO/ZnO và ứng dụng xúc tác quang phân huỷ MethyleneBlue</v>
      </c>
      <c r="D222" s="5" t="s">
        <v>356</v>
      </c>
      <c r="E222" s="5">
        <v>3140121049</v>
      </c>
      <c r="F222" s="5" t="s">
        <v>278</v>
      </c>
      <c r="G222" s="5" t="s">
        <v>357</v>
      </c>
      <c r="H222" s="6"/>
      <c r="I222" s="5" t="s">
        <v>262</v>
      </c>
      <c r="J222" s="6" t="e">
        <f t="shared" ca="1" si="0"/>
        <v>#NAME?</v>
      </c>
      <c r="K222" s="6" t="e">
        <f ca="1">VLOOKUP(J222,'Bảng Đơn vị'!$A$2:$B$10,2,1)</f>
        <v>#NAME?</v>
      </c>
      <c r="L222" s="7">
        <v>45887</v>
      </c>
      <c r="M222" s="8">
        <v>2025</v>
      </c>
      <c r="S222" s="9"/>
    </row>
    <row r="223" spans="1:19" ht="52.8" hidden="1">
      <c r="A223" s="5">
        <v>222</v>
      </c>
      <c r="B223" s="6"/>
      <c r="C223" s="6" t="str">
        <f t="shared" si="1"/>
        <v>Nghiên cứu tổng hợp vật liệu CoO/NiO/ZnO và ứng dụng xúc tác quang phân huỷ MethyleneBlue</v>
      </c>
      <c r="D223" s="5" t="s">
        <v>358</v>
      </c>
      <c r="E223" s="5">
        <v>3140122001</v>
      </c>
      <c r="F223" s="5" t="s">
        <v>260</v>
      </c>
      <c r="G223" s="6"/>
      <c r="H223" s="6"/>
      <c r="I223" s="5" t="s">
        <v>262</v>
      </c>
      <c r="J223" s="6" t="e">
        <f t="shared" ca="1" si="0"/>
        <v>#NAME?</v>
      </c>
      <c r="K223" s="6" t="e">
        <f ca="1">VLOOKUP(J223,'Bảng Đơn vị'!$A$2:$B$10,2,1)</f>
        <v>#NAME?</v>
      </c>
      <c r="L223" s="7">
        <v>45888</v>
      </c>
      <c r="M223" s="8">
        <v>2025</v>
      </c>
      <c r="S223" s="9"/>
    </row>
    <row r="224" spans="1:19" ht="39.6" hidden="1">
      <c r="A224" s="5">
        <v>223</v>
      </c>
      <c r="B224" s="5" t="s">
        <v>359</v>
      </c>
      <c r="C224" s="6" t="str">
        <f t="shared" si="1"/>
        <v>Nghiên cứu tổng hợp vật liệu CoO/ZnO và ứng dụng xúc tác quang phân huỷ Rhodamin B</v>
      </c>
      <c r="D224" s="5" t="s">
        <v>360</v>
      </c>
      <c r="E224" s="5">
        <v>3140122049</v>
      </c>
      <c r="F224" s="5" t="s">
        <v>260</v>
      </c>
      <c r="G224" s="5" t="s">
        <v>357</v>
      </c>
      <c r="H224" s="6"/>
      <c r="I224" s="5" t="s">
        <v>262</v>
      </c>
      <c r="J224" s="6" t="e">
        <f t="shared" ca="1" si="0"/>
        <v>#NAME?</v>
      </c>
      <c r="K224" s="6" t="e">
        <f ca="1">VLOOKUP(J224,'Bảng Đơn vị'!$A$2:$B$10,2,1)</f>
        <v>#NAME?</v>
      </c>
      <c r="L224" s="7">
        <v>45889</v>
      </c>
      <c r="M224" s="8">
        <v>2025</v>
      </c>
      <c r="S224" s="9"/>
    </row>
    <row r="225" spans="1:19" ht="39.6" hidden="1">
      <c r="A225" s="5">
        <v>224</v>
      </c>
      <c r="B225" s="6"/>
      <c r="C225" s="6" t="str">
        <f t="shared" si="1"/>
        <v>Nghiên cứu tổng hợp vật liệu CoO/ZnO và ứng dụng xúc tác quang phân huỷ Rhodamin B</v>
      </c>
      <c r="D225" s="5" t="s">
        <v>361</v>
      </c>
      <c r="E225" s="5">
        <v>3140122056</v>
      </c>
      <c r="F225" s="6"/>
      <c r="G225" s="6"/>
      <c r="H225" s="6"/>
      <c r="I225" s="5" t="s">
        <v>262</v>
      </c>
      <c r="J225" s="6" t="e">
        <f t="shared" ca="1" si="0"/>
        <v>#NAME?</v>
      </c>
      <c r="K225" s="6" t="e">
        <f ca="1">VLOOKUP(J225,'Bảng Đơn vị'!$A$2:$B$10,2,1)</f>
        <v>#NAME?</v>
      </c>
      <c r="L225" s="7">
        <v>45890</v>
      </c>
      <c r="M225" s="8">
        <v>2025</v>
      </c>
      <c r="S225" s="9"/>
    </row>
    <row r="226" spans="1:19" ht="39.6" hidden="1">
      <c r="A226" s="5">
        <v>225</v>
      </c>
      <c r="B226" s="6"/>
      <c r="C226" s="6" t="str">
        <f t="shared" si="1"/>
        <v>Nghiên cứu tổng hợp vật liệu CoO/ZnO và ứng dụng xúc tác quang phân huỷ Rhodamin B</v>
      </c>
      <c r="D226" s="5" t="s">
        <v>362</v>
      </c>
      <c r="E226" s="5">
        <v>3140122007</v>
      </c>
      <c r="F226" s="6"/>
      <c r="G226" s="6"/>
      <c r="H226" s="6"/>
      <c r="I226" s="5" t="s">
        <v>262</v>
      </c>
      <c r="J226" s="6" t="e">
        <f t="shared" ca="1" si="0"/>
        <v>#NAME?</v>
      </c>
      <c r="K226" s="6" t="e">
        <f ca="1">VLOOKUP(J226,'Bảng Đơn vị'!$A$2:$B$10,2,1)</f>
        <v>#NAME?</v>
      </c>
      <c r="L226" s="7">
        <v>45891</v>
      </c>
      <c r="M226" s="8">
        <v>2025</v>
      </c>
      <c r="S226" s="9"/>
    </row>
    <row r="227" spans="1:19" ht="39.6" hidden="1">
      <c r="A227" s="5">
        <v>226</v>
      </c>
      <c r="B227" s="6"/>
      <c r="C227" s="6" t="str">
        <f t="shared" si="1"/>
        <v>Nghiên cứu tổng hợp vật liệu CoO/ZnO và ứng dụng xúc tác quang phân huỷ Rhodamin B</v>
      </c>
      <c r="D227" s="5" t="s">
        <v>363</v>
      </c>
      <c r="E227" s="5">
        <v>3140122037</v>
      </c>
      <c r="F227" s="6"/>
      <c r="G227" s="6"/>
      <c r="H227" s="6"/>
      <c r="I227" s="5" t="s">
        <v>262</v>
      </c>
      <c r="J227" s="6" t="e">
        <f t="shared" ca="1" si="0"/>
        <v>#NAME?</v>
      </c>
      <c r="K227" s="6" t="e">
        <f ca="1">VLOOKUP(J227,'Bảng Đơn vị'!$A$2:$B$10,2,1)</f>
        <v>#NAME?</v>
      </c>
      <c r="L227" s="7">
        <v>45892</v>
      </c>
      <c r="M227" s="8">
        <v>2025</v>
      </c>
      <c r="S227" s="9"/>
    </row>
    <row r="228" spans="1:19" ht="39.6" hidden="1">
      <c r="A228" s="5">
        <v>227</v>
      </c>
      <c r="B228" s="6"/>
      <c r="C228" s="6" t="str">
        <f t="shared" si="1"/>
        <v>Nghiên cứu tổng hợp vật liệu CoO/ZnO và ứng dụng xúc tác quang phân huỷ Rhodamin B</v>
      </c>
      <c r="D228" s="5" t="s">
        <v>364</v>
      </c>
      <c r="E228" s="5">
        <v>3140122049</v>
      </c>
      <c r="F228" s="6"/>
      <c r="G228" s="6"/>
      <c r="H228" s="6"/>
      <c r="I228" s="5" t="s">
        <v>262</v>
      </c>
      <c r="J228" s="6" t="e">
        <f t="shared" ca="1" si="0"/>
        <v>#NAME?</v>
      </c>
      <c r="K228" s="6" t="e">
        <f ca="1">VLOOKUP(J228,'Bảng Đơn vị'!$A$2:$B$10,2,1)</f>
        <v>#NAME?</v>
      </c>
      <c r="L228" s="7">
        <v>45893</v>
      </c>
      <c r="M228" s="8">
        <v>2025</v>
      </c>
      <c r="S228" s="9"/>
    </row>
    <row r="229" spans="1:19" ht="105.6" hidden="1">
      <c r="A229" s="5">
        <v>228</v>
      </c>
      <c r="B229" s="5" t="s">
        <v>365</v>
      </c>
      <c r="C229" s="6" t="str">
        <f t="shared" si="1"/>
        <v>Nghiên cứu tổng hợp vật liệu Ni/NiO và ứng dụng làm xúc tác cho phản ứng điện phân nước.Nghiên cứu tổng hợp vật liệu Ag-Cu/Fe3O4 và ứng dụng làm xúc tác cho phản ứng khử chất màu rhodamine B và methylene blue</v>
      </c>
      <c r="D229" s="5" t="s">
        <v>366</v>
      </c>
      <c r="E229" s="5">
        <v>3140721154</v>
      </c>
      <c r="F229" s="5" t="s">
        <v>273</v>
      </c>
      <c r="G229" s="5" t="s">
        <v>367</v>
      </c>
      <c r="H229" s="6"/>
      <c r="I229" s="5" t="s">
        <v>262</v>
      </c>
      <c r="J229" s="6" t="e">
        <f t="shared" ca="1" si="0"/>
        <v>#NAME?</v>
      </c>
      <c r="K229" s="6" t="e">
        <f ca="1">VLOOKUP(J229,'Bảng Đơn vị'!$A$2:$B$10,2,1)</f>
        <v>#NAME?</v>
      </c>
      <c r="L229" s="7">
        <v>45894</v>
      </c>
      <c r="M229" s="8">
        <v>2025</v>
      </c>
      <c r="S229" s="9"/>
    </row>
    <row r="230" spans="1:19" ht="105.6" hidden="1">
      <c r="A230" s="5">
        <v>229</v>
      </c>
      <c r="B230" s="6"/>
      <c r="C230" s="6" t="str">
        <f t="shared" si="1"/>
        <v>Nghiên cứu tổng hợp vật liệu Ni/NiO và ứng dụng làm xúc tác cho phản ứng điện phân nước.Nghiên cứu tổng hợp vật liệu Ag-Cu/Fe3O4 và ứng dụng làm xúc tác cho phản ứng khử chất màu rhodamine B và methylene blue</v>
      </c>
      <c r="D230" s="5" t="s">
        <v>368</v>
      </c>
      <c r="E230" s="5">
        <v>3140721124</v>
      </c>
      <c r="F230" s="6"/>
      <c r="G230" s="6"/>
      <c r="H230" s="6"/>
      <c r="I230" s="5" t="s">
        <v>262</v>
      </c>
      <c r="J230" s="6" t="e">
        <f t="shared" ca="1" si="0"/>
        <v>#NAME?</v>
      </c>
      <c r="K230" s="6" t="e">
        <f ca="1">VLOOKUP(J230,'Bảng Đơn vị'!$A$2:$B$10,2,1)</f>
        <v>#NAME?</v>
      </c>
      <c r="L230" s="7">
        <v>45895</v>
      </c>
      <c r="M230" s="8">
        <v>2025</v>
      </c>
      <c r="S230" s="9"/>
    </row>
    <row r="231" spans="1:19" ht="105.6" hidden="1">
      <c r="A231" s="5">
        <v>230</v>
      </c>
      <c r="B231" s="6"/>
      <c r="C231" s="6" t="str">
        <f t="shared" si="1"/>
        <v>Nghiên cứu tổng hợp vật liệu Ni/NiO và ứng dụng làm xúc tác cho phản ứng điện phân nước.Nghiên cứu tổng hợp vật liệu Ag-Cu/Fe3O4 và ứng dụng làm xúc tác cho phản ứng khử chất màu rhodamine B và methylene blue</v>
      </c>
      <c r="D231" s="5" t="s">
        <v>369</v>
      </c>
      <c r="E231" s="5">
        <v>3140721156</v>
      </c>
      <c r="F231" s="6"/>
      <c r="G231" s="6"/>
      <c r="H231" s="6"/>
      <c r="I231" s="5" t="s">
        <v>262</v>
      </c>
      <c r="J231" s="6" t="e">
        <f t="shared" ca="1" si="0"/>
        <v>#NAME?</v>
      </c>
      <c r="K231" s="6" t="e">
        <f ca="1">VLOOKUP(J231,'Bảng Đơn vị'!$A$2:$B$10,2,1)</f>
        <v>#NAME?</v>
      </c>
      <c r="L231" s="7">
        <v>45896</v>
      </c>
      <c r="M231" s="8">
        <v>2025</v>
      </c>
      <c r="S231" s="9"/>
    </row>
    <row r="232" spans="1:19" ht="105.6" hidden="1">
      <c r="A232" s="5">
        <v>231</v>
      </c>
      <c r="B232" s="6"/>
      <c r="C232" s="6" t="str">
        <f t="shared" si="1"/>
        <v>Nghiên cứu tổng hợp vật liệu Ni/NiO và ứng dụng làm xúc tác cho phản ứng điện phân nước.Nghiên cứu tổng hợp vật liệu Ag-Cu/Fe3O4 và ứng dụng làm xúc tác cho phản ứng khử chất màu rhodamine B và methylene blue</v>
      </c>
      <c r="D232" s="5" t="s">
        <v>370</v>
      </c>
      <c r="E232" s="5">
        <v>3140721166</v>
      </c>
      <c r="F232" s="6"/>
      <c r="G232" s="6"/>
      <c r="H232" s="6"/>
      <c r="I232" s="5" t="s">
        <v>262</v>
      </c>
      <c r="J232" s="6" t="e">
        <f t="shared" ca="1" si="0"/>
        <v>#NAME?</v>
      </c>
      <c r="K232" s="6" t="e">
        <f ca="1">VLOOKUP(J232,'Bảng Đơn vị'!$A$2:$B$10,2,1)</f>
        <v>#NAME?</v>
      </c>
      <c r="L232" s="7">
        <v>45897</v>
      </c>
      <c r="M232" s="8">
        <v>2025</v>
      </c>
      <c r="S232" s="9"/>
    </row>
    <row r="233" spans="1:19" ht="66" hidden="1">
      <c r="A233" s="5">
        <v>232</v>
      </c>
      <c r="B233" s="5" t="s">
        <v>371</v>
      </c>
      <c r="C233" s="6" t="str">
        <f t="shared" si="1"/>
        <v>Nghiên cứu tổng hợp vật liệu NiO/Fe3O4 và ZnO/Fe3O4 bằng phương pháp hóa học xanh sử dụng dịch chiết lá bàng và ứng dụng xử lý chất màu</v>
      </c>
      <c r="D233" s="5" t="s">
        <v>344</v>
      </c>
      <c r="E233" s="5">
        <v>3140321049</v>
      </c>
      <c r="F233" s="5" t="s">
        <v>283</v>
      </c>
      <c r="G233" s="5" t="s">
        <v>367</v>
      </c>
      <c r="H233" s="6"/>
      <c r="I233" s="5" t="s">
        <v>262</v>
      </c>
      <c r="J233" s="6" t="e">
        <f t="shared" ca="1" si="0"/>
        <v>#NAME?</v>
      </c>
      <c r="K233" s="6" t="e">
        <f ca="1">VLOOKUP(J233,'Bảng Đơn vị'!$A$2:$B$10,2,1)</f>
        <v>#NAME?</v>
      </c>
      <c r="L233" s="7">
        <v>45898</v>
      </c>
      <c r="M233" s="8">
        <v>2025</v>
      </c>
      <c r="S233" s="9"/>
    </row>
    <row r="234" spans="1:19" ht="66" hidden="1">
      <c r="A234" s="5">
        <v>233</v>
      </c>
      <c r="B234" s="6"/>
      <c r="C234" s="6" t="str">
        <f t="shared" si="1"/>
        <v>Nghiên cứu tổng hợp vật liệu NiO/Fe3O4 và ZnO/Fe3O4 bằng phương pháp hóa học xanh sử dụng dịch chiết lá bàng và ứng dụng xử lý chất màu</v>
      </c>
      <c r="D234" s="5" t="s">
        <v>372</v>
      </c>
      <c r="E234" s="5">
        <v>3140321064</v>
      </c>
      <c r="F234" s="5" t="s">
        <v>283</v>
      </c>
      <c r="G234" s="6"/>
      <c r="H234" s="6"/>
      <c r="I234" s="5" t="s">
        <v>262</v>
      </c>
      <c r="J234" s="6" t="e">
        <f t="shared" ca="1" si="0"/>
        <v>#NAME?</v>
      </c>
      <c r="K234" s="6" t="e">
        <f ca="1">VLOOKUP(J234,'Bảng Đơn vị'!$A$2:$B$10,2,1)</f>
        <v>#NAME?</v>
      </c>
      <c r="L234" s="7">
        <v>45899</v>
      </c>
      <c r="M234" s="8">
        <v>2025</v>
      </c>
      <c r="S234" s="9"/>
    </row>
    <row r="235" spans="1:19" ht="66" hidden="1">
      <c r="A235" s="5">
        <v>234</v>
      </c>
      <c r="B235" s="6"/>
      <c r="C235" s="6" t="str">
        <f t="shared" si="1"/>
        <v>Nghiên cứu tổng hợp vật liệu NiO/Fe3O4 và ZnO/Fe3O4 bằng phương pháp hóa học xanh sử dụng dịch chiết lá bàng và ứng dụng xử lý chất màu</v>
      </c>
      <c r="D235" s="5" t="s">
        <v>373</v>
      </c>
      <c r="E235" s="5">
        <v>3140721057</v>
      </c>
      <c r="F235" s="5" t="s">
        <v>269</v>
      </c>
      <c r="G235" s="6"/>
      <c r="H235" s="6"/>
      <c r="I235" s="5" t="s">
        <v>262</v>
      </c>
      <c r="J235" s="6" t="e">
        <f t="shared" ca="1" si="0"/>
        <v>#NAME?</v>
      </c>
      <c r="K235" s="6" t="e">
        <f ca="1">VLOOKUP(J235,'Bảng Đơn vị'!$A$2:$B$10,2,1)</f>
        <v>#NAME?</v>
      </c>
      <c r="L235" s="7">
        <v>45900</v>
      </c>
      <c r="M235" s="8">
        <v>2025</v>
      </c>
      <c r="S235" s="9"/>
    </row>
    <row r="236" spans="1:19" ht="66" hidden="1">
      <c r="A236" s="5">
        <v>235</v>
      </c>
      <c r="B236" s="6"/>
      <c r="C236" s="6" t="str">
        <f t="shared" si="1"/>
        <v>Nghiên cứu tổng hợp vật liệu NiO/Fe3O4 và ZnO/Fe3O4 bằng phương pháp hóa học xanh sử dụng dịch chiết lá bàng và ứng dụng xử lý chất màu</v>
      </c>
      <c r="D236" s="5" t="s">
        <v>374</v>
      </c>
      <c r="E236" s="5">
        <v>3140321050</v>
      </c>
      <c r="F236" s="5" t="s">
        <v>283</v>
      </c>
      <c r="G236" s="6"/>
      <c r="H236" s="6"/>
      <c r="I236" s="5" t="s">
        <v>262</v>
      </c>
      <c r="J236" s="6" t="e">
        <f t="shared" ca="1" si="0"/>
        <v>#NAME?</v>
      </c>
      <c r="K236" s="6" t="e">
        <f ca="1">VLOOKUP(J236,'Bảng Đơn vị'!$A$2:$B$10,2,1)</f>
        <v>#NAME?</v>
      </c>
      <c r="L236" s="7">
        <v>45901</v>
      </c>
      <c r="M236" s="8">
        <v>2025</v>
      </c>
      <c r="S236" s="9"/>
    </row>
    <row r="237" spans="1:19" ht="66" hidden="1">
      <c r="A237" s="5">
        <v>236</v>
      </c>
      <c r="B237" s="6"/>
      <c r="C237" s="6" t="str">
        <f t="shared" si="1"/>
        <v>Nghiên cứu tổng hợp vật liệu NiO/Fe3O4 và ZnO/Fe3O4 bằng phương pháp hóa học xanh sử dụng dịch chiết lá bàng và ứng dụng xử lý chất màu</v>
      </c>
      <c r="D237" s="5" t="s">
        <v>375</v>
      </c>
      <c r="E237" s="5">
        <v>3140321077</v>
      </c>
      <c r="F237" s="5" t="s">
        <v>283</v>
      </c>
      <c r="G237" s="6"/>
      <c r="H237" s="6"/>
      <c r="I237" s="5" t="s">
        <v>262</v>
      </c>
      <c r="J237" s="6" t="e">
        <f t="shared" ca="1" si="0"/>
        <v>#NAME?</v>
      </c>
      <c r="K237" s="6" t="e">
        <f ca="1">VLOOKUP(J237,'Bảng Đơn vị'!$A$2:$B$10,2,1)</f>
        <v>#NAME?</v>
      </c>
      <c r="L237" s="7">
        <v>45902</v>
      </c>
      <c r="M237" s="8">
        <v>2025</v>
      </c>
      <c r="S237" s="9"/>
    </row>
    <row r="238" spans="1:19" ht="79.2" hidden="1">
      <c r="A238" s="5">
        <v>237</v>
      </c>
      <c r="B238" s="5" t="s">
        <v>376</v>
      </c>
      <c r="C238" s="6" t="str">
        <f t="shared" si="1"/>
        <v>Nghiên cứu cơ chế đa chức năng của hợp chất alkaloid mới (pyrroloquinolone A) được phân lập từ cây Atractylis cancellata L. trong điều trị bệnh Alzheimer bằng phương pháp hóa tính toán</v>
      </c>
      <c r="D238" s="5" t="s">
        <v>377</v>
      </c>
      <c r="E238" s="5">
        <v>3140122032</v>
      </c>
      <c r="F238" s="5" t="s">
        <v>260</v>
      </c>
      <c r="G238" s="5" t="s">
        <v>378</v>
      </c>
      <c r="H238" s="6"/>
      <c r="I238" s="5" t="s">
        <v>262</v>
      </c>
      <c r="J238" s="6" t="e">
        <f t="shared" ca="1" si="0"/>
        <v>#NAME?</v>
      </c>
      <c r="K238" s="6" t="e">
        <f ca="1">VLOOKUP(J238,'Bảng Đơn vị'!$A$2:$B$10,2,1)</f>
        <v>#NAME?</v>
      </c>
      <c r="L238" s="7">
        <v>45903</v>
      </c>
      <c r="M238" s="8">
        <v>2025</v>
      </c>
      <c r="S238" s="9"/>
    </row>
    <row r="239" spans="1:19" ht="79.2" hidden="1">
      <c r="A239" s="5">
        <v>238</v>
      </c>
      <c r="B239" s="6"/>
      <c r="C239" s="6" t="str">
        <f t="shared" si="1"/>
        <v>Nghiên cứu cơ chế đa chức năng của hợp chất alkaloid mới (pyrroloquinolone A) được phân lập từ cây Atractylis cancellata L. trong điều trị bệnh Alzheimer bằng phương pháp hóa tính toán</v>
      </c>
      <c r="D239" s="5" t="s">
        <v>379</v>
      </c>
      <c r="E239" s="5">
        <v>3140122010</v>
      </c>
      <c r="F239" s="6"/>
      <c r="G239" s="6"/>
      <c r="H239" s="6"/>
      <c r="I239" s="5" t="s">
        <v>262</v>
      </c>
      <c r="J239" s="6" t="e">
        <f t="shared" ca="1" si="0"/>
        <v>#NAME?</v>
      </c>
      <c r="K239" s="6" t="e">
        <f ca="1">VLOOKUP(J239,'Bảng Đơn vị'!$A$2:$B$10,2,1)</f>
        <v>#NAME?</v>
      </c>
      <c r="L239" s="7">
        <v>45904</v>
      </c>
      <c r="M239" s="8">
        <v>2025</v>
      </c>
      <c r="S239" s="9"/>
    </row>
    <row r="240" spans="1:19" ht="79.2" hidden="1">
      <c r="A240" s="5">
        <v>239</v>
      </c>
      <c r="B240" s="6"/>
      <c r="C240" s="6" t="str">
        <f t="shared" si="1"/>
        <v>Nghiên cứu cơ chế đa chức năng của hợp chất alkaloid mới (pyrroloquinolone A) được phân lập từ cây Atractylis cancellata L. trong điều trị bệnh Alzheimer bằng phương pháp hóa tính toán</v>
      </c>
      <c r="D240" s="5" t="s">
        <v>380</v>
      </c>
      <c r="E240" s="5">
        <v>3140122053</v>
      </c>
      <c r="F240" s="6"/>
      <c r="G240" s="6"/>
      <c r="H240" s="6"/>
      <c r="I240" s="5" t="s">
        <v>262</v>
      </c>
      <c r="J240" s="6" t="e">
        <f t="shared" ca="1" si="0"/>
        <v>#NAME?</v>
      </c>
      <c r="K240" s="6" t="e">
        <f ca="1">VLOOKUP(J240,'Bảng Đơn vị'!$A$2:$B$10,2,1)</f>
        <v>#NAME?</v>
      </c>
      <c r="L240" s="7">
        <v>45905</v>
      </c>
      <c r="M240" s="8">
        <v>2025</v>
      </c>
      <c r="S240" s="9"/>
    </row>
    <row r="241" spans="1:19" ht="79.2" hidden="1">
      <c r="A241" s="5">
        <v>240</v>
      </c>
      <c r="B241" s="6"/>
      <c r="C241" s="6" t="str">
        <f t="shared" si="1"/>
        <v>Nghiên cứu cơ chế đa chức năng của hợp chất alkaloid mới (pyrroloquinolone A) được phân lập từ cây Atractylis cancellata L. trong điều trị bệnh Alzheimer bằng phương pháp hóa tính toán</v>
      </c>
      <c r="D241" s="5" t="s">
        <v>381</v>
      </c>
      <c r="E241" s="5">
        <v>3140122018</v>
      </c>
      <c r="F241" s="6"/>
      <c r="G241" s="6"/>
      <c r="H241" s="6"/>
      <c r="I241" s="5" t="s">
        <v>262</v>
      </c>
      <c r="J241" s="6" t="e">
        <f t="shared" ca="1" si="0"/>
        <v>#NAME?</v>
      </c>
      <c r="K241" s="6" t="e">
        <f ca="1">VLOOKUP(J241,'Bảng Đơn vị'!$A$2:$B$10,2,1)</f>
        <v>#NAME?</v>
      </c>
      <c r="L241" s="7">
        <v>45906</v>
      </c>
      <c r="M241" s="8">
        <v>2025</v>
      </c>
      <c r="S241" s="9"/>
    </row>
    <row r="242" spans="1:19" ht="39.6" hidden="1">
      <c r="A242" s="5">
        <v>241</v>
      </c>
      <c r="B242" s="5" t="s">
        <v>382</v>
      </c>
      <c r="C242" s="6" t="str">
        <f t="shared" si="1"/>
        <v>Nghiên cứu tái chế chất thải hữu cơ từ nguyên liệu làm đồ uống và ứng dụng</v>
      </c>
      <c r="D242" s="5" t="s">
        <v>383</v>
      </c>
      <c r="E242" s="5">
        <v>3140722092</v>
      </c>
      <c r="F242" s="5" t="s">
        <v>141</v>
      </c>
      <c r="G242" s="5" t="s">
        <v>384</v>
      </c>
      <c r="H242" s="6"/>
      <c r="I242" s="5" t="s">
        <v>262</v>
      </c>
      <c r="J242" s="6" t="e">
        <f t="shared" ca="1" si="0"/>
        <v>#NAME?</v>
      </c>
      <c r="K242" s="6" t="e">
        <f ca="1">VLOOKUP(J242,'Bảng Đơn vị'!$A$2:$B$10,2,1)</f>
        <v>#NAME?</v>
      </c>
      <c r="L242" s="7">
        <v>45907</v>
      </c>
      <c r="M242" s="8">
        <v>2025</v>
      </c>
      <c r="S242" s="9"/>
    </row>
    <row r="243" spans="1:19" ht="39.6" hidden="1">
      <c r="A243" s="5">
        <v>242</v>
      </c>
      <c r="B243" s="6"/>
      <c r="C243" s="6" t="str">
        <f t="shared" si="1"/>
        <v>Nghiên cứu tái chế chất thải hữu cơ từ nguyên liệu làm đồ uống và ứng dụng</v>
      </c>
      <c r="D243" s="5" t="s">
        <v>385</v>
      </c>
      <c r="E243" s="5">
        <v>3140722107</v>
      </c>
      <c r="F243" s="6"/>
      <c r="G243" s="6"/>
      <c r="H243" s="6"/>
      <c r="I243" s="5" t="s">
        <v>262</v>
      </c>
      <c r="J243" s="6" t="e">
        <f t="shared" ca="1" si="0"/>
        <v>#NAME?</v>
      </c>
      <c r="K243" s="6" t="e">
        <f ca="1">VLOOKUP(J243,'Bảng Đơn vị'!$A$2:$B$10,2,1)</f>
        <v>#NAME?</v>
      </c>
      <c r="L243" s="7">
        <v>45908</v>
      </c>
      <c r="M243" s="8">
        <v>2025</v>
      </c>
      <c r="S243" s="9"/>
    </row>
    <row r="244" spans="1:19" ht="39.6" hidden="1">
      <c r="A244" s="5">
        <v>243</v>
      </c>
      <c r="B244" s="6"/>
      <c r="C244" s="6" t="str">
        <f t="shared" si="1"/>
        <v>Nghiên cứu tái chế chất thải hữu cơ từ nguyên liệu làm đồ uống và ứng dụng</v>
      </c>
      <c r="D244" s="5" t="s">
        <v>386</v>
      </c>
      <c r="E244" s="5">
        <v>3140722103</v>
      </c>
      <c r="F244" s="6"/>
      <c r="G244" s="6"/>
      <c r="H244" s="6"/>
      <c r="I244" s="5" t="s">
        <v>262</v>
      </c>
      <c r="J244" s="6" t="e">
        <f t="shared" ca="1" si="0"/>
        <v>#NAME?</v>
      </c>
      <c r="K244" s="6" t="e">
        <f ca="1">VLOOKUP(J244,'Bảng Đơn vị'!$A$2:$B$10,2,1)</f>
        <v>#NAME?</v>
      </c>
      <c r="L244" s="7">
        <v>45909</v>
      </c>
      <c r="M244" s="8">
        <v>2025</v>
      </c>
      <c r="S244" s="9"/>
    </row>
    <row r="245" spans="1:19" ht="39.6" hidden="1">
      <c r="A245" s="5">
        <v>244</v>
      </c>
      <c r="B245" s="6"/>
      <c r="C245" s="6" t="str">
        <f t="shared" si="1"/>
        <v>Nghiên cứu tái chế chất thải hữu cơ từ nguyên liệu làm đồ uống và ứng dụng</v>
      </c>
      <c r="D245" s="5" t="s">
        <v>387</v>
      </c>
      <c r="E245" s="5">
        <v>3140722053</v>
      </c>
      <c r="F245" s="6"/>
      <c r="G245" s="6"/>
      <c r="H245" s="6"/>
      <c r="I245" s="5" t="s">
        <v>262</v>
      </c>
      <c r="J245" s="6" t="e">
        <f t="shared" ca="1" si="0"/>
        <v>#NAME?</v>
      </c>
      <c r="K245" s="6" t="e">
        <f ca="1">VLOOKUP(J245,'Bảng Đơn vị'!$A$2:$B$10,2,1)</f>
        <v>#NAME?</v>
      </c>
      <c r="L245" s="7">
        <v>45910</v>
      </c>
      <c r="M245" s="8">
        <v>2025</v>
      </c>
      <c r="S245" s="9"/>
    </row>
    <row r="246" spans="1:19" ht="39.6" hidden="1">
      <c r="A246" s="5">
        <v>245</v>
      </c>
      <c r="B246" s="6"/>
      <c r="C246" s="6" t="str">
        <f t="shared" si="1"/>
        <v>Nghiên cứu tái chế chất thải hữu cơ từ nguyên liệu làm đồ uống và ứng dụng</v>
      </c>
      <c r="D246" s="5" t="s">
        <v>388</v>
      </c>
      <c r="E246" s="5">
        <v>3140722048</v>
      </c>
      <c r="F246" s="6"/>
      <c r="G246" s="6"/>
      <c r="H246" s="6"/>
      <c r="I246" s="5" t="s">
        <v>262</v>
      </c>
      <c r="J246" s="6" t="e">
        <f t="shared" ca="1" si="0"/>
        <v>#NAME?</v>
      </c>
      <c r="K246" s="6" t="e">
        <f ca="1">VLOOKUP(J246,'Bảng Đơn vị'!$A$2:$B$10,2,1)</f>
        <v>#NAME?</v>
      </c>
      <c r="L246" s="7">
        <v>45911</v>
      </c>
      <c r="M246" s="8">
        <v>2025</v>
      </c>
      <c r="S246" s="9"/>
    </row>
    <row r="247" spans="1:19" ht="39.6" hidden="1">
      <c r="A247" s="5">
        <v>246</v>
      </c>
      <c r="B247" s="5" t="s">
        <v>389</v>
      </c>
      <c r="C247" s="6" t="str">
        <f t="shared" si="1"/>
        <v>Nghiên cứu thành phần hóa học và ứng dụng của vỏ quả cà phê</v>
      </c>
      <c r="D247" s="5" t="s">
        <v>390</v>
      </c>
      <c r="E247" s="5">
        <v>3140321067</v>
      </c>
      <c r="F247" s="5" t="s">
        <v>283</v>
      </c>
      <c r="G247" s="5" t="s">
        <v>384</v>
      </c>
      <c r="H247" s="6"/>
      <c r="I247" s="5" t="s">
        <v>262</v>
      </c>
      <c r="J247" s="6" t="e">
        <f t="shared" ca="1" si="0"/>
        <v>#NAME?</v>
      </c>
      <c r="K247" s="6" t="e">
        <f ca="1">VLOOKUP(J247,'Bảng Đơn vị'!$A$2:$B$10,2,1)</f>
        <v>#NAME?</v>
      </c>
      <c r="L247" s="7">
        <v>45912</v>
      </c>
      <c r="M247" s="8">
        <v>2025</v>
      </c>
      <c r="S247" s="9"/>
    </row>
    <row r="248" spans="1:19" ht="39.6" hidden="1">
      <c r="A248" s="5">
        <v>247</v>
      </c>
      <c r="B248" s="6"/>
      <c r="C248" s="6" t="str">
        <f t="shared" si="1"/>
        <v>Nghiên cứu thành phần hóa học và ứng dụng của vỏ quả cà phê</v>
      </c>
      <c r="D248" s="5" t="s">
        <v>391</v>
      </c>
      <c r="E248" s="5">
        <v>3140321069</v>
      </c>
      <c r="F248" s="6"/>
      <c r="G248" s="6"/>
      <c r="H248" s="6"/>
      <c r="I248" s="5" t="s">
        <v>262</v>
      </c>
      <c r="J248" s="6" t="e">
        <f t="shared" ca="1" si="0"/>
        <v>#NAME?</v>
      </c>
      <c r="K248" s="6" t="e">
        <f ca="1">VLOOKUP(J248,'Bảng Đơn vị'!$A$2:$B$10,2,1)</f>
        <v>#NAME?</v>
      </c>
      <c r="L248" s="7">
        <v>45913</v>
      </c>
      <c r="M248" s="8">
        <v>2025</v>
      </c>
      <c r="S248" s="9"/>
    </row>
    <row r="249" spans="1:19" ht="39.6" hidden="1">
      <c r="A249" s="5">
        <v>248</v>
      </c>
      <c r="B249" s="6"/>
      <c r="C249" s="6" t="str">
        <f t="shared" si="1"/>
        <v>Nghiên cứu thành phần hóa học và ứng dụng của vỏ quả cà phê</v>
      </c>
      <c r="D249" s="5" t="s">
        <v>392</v>
      </c>
      <c r="E249" s="5">
        <v>3140321070</v>
      </c>
      <c r="F249" s="6"/>
      <c r="G249" s="6"/>
      <c r="H249" s="6"/>
      <c r="I249" s="5" t="s">
        <v>262</v>
      </c>
      <c r="J249" s="6" t="e">
        <f t="shared" ca="1" si="0"/>
        <v>#NAME?</v>
      </c>
      <c r="K249" s="6" t="e">
        <f ca="1">VLOOKUP(J249,'Bảng Đơn vị'!$A$2:$B$10,2,1)</f>
        <v>#NAME?</v>
      </c>
      <c r="L249" s="7">
        <v>45914</v>
      </c>
      <c r="M249" s="8">
        <v>2025</v>
      </c>
      <c r="S249" s="9"/>
    </row>
    <row r="250" spans="1:19" ht="39.6" hidden="1">
      <c r="A250" s="5">
        <v>249</v>
      </c>
      <c r="B250" s="6"/>
      <c r="C250" s="6" t="str">
        <f t="shared" si="1"/>
        <v>Nghiên cứu thành phần hóa học và ứng dụng của vỏ quả cà phê</v>
      </c>
      <c r="D250" s="5" t="s">
        <v>393</v>
      </c>
      <c r="E250" s="5">
        <v>3140321092</v>
      </c>
      <c r="F250" s="6"/>
      <c r="G250" s="6"/>
      <c r="H250" s="6"/>
      <c r="I250" s="5" t="s">
        <v>262</v>
      </c>
      <c r="J250" s="6" t="e">
        <f t="shared" ca="1" si="0"/>
        <v>#NAME?</v>
      </c>
      <c r="K250" s="6" t="e">
        <f ca="1">VLOOKUP(J250,'Bảng Đơn vị'!$A$2:$B$10,2,1)</f>
        <v>#NAME?</v>
      </c>
      <c r="L250" s="7">
        <v>45915</v>
      </c>
      <c r="M250" s="8">
        <v>2025</v>
      </c>
      <c r="S250" s="9"/>
    </row>
    <row r="251" spans="1:19" ht="39.6" hidden="1">
      <c r="A251" s="5">
        <v>250</v>
      </c>
      <c r="B251" s="6"/>
      <c r="C251" s="6" t="str">
        <f t="shared" si="1"/>
        <v>Nghiên cứu thành phần hóa học và ứng dụng của vỏ quả cà phê</v>
      </c>
      <c r="D251" s="5" t="s">
        <v>394</v>
      </c>
      <c r="E251" s="5">
        <v>3140321094</v>
      </c>
      <c r="F251" s="6"/>
      <c r="G251" s="6"/>
      <c r="H251" s="6"/>
      <c r="I251" s="5" t="s">
        <v>262</v>
      </c>
      <c r="J251" s="6" t="e">
        <f t="shared" ca="1" si="0"/>
        <v>#NAME?</v>
      </c>
      <c r="K251" s="6" t="e">
        <f ca="1">VLOOKUP(J251,'Bảng Đơn vị'!$A$2:$B$10,2,1)</f>
        <v>#NAME?</v>
      </c>
      <c r="L251" s="7">
        <v>45916</v>
      </c>
      <c r="M251" s="8">
        <v>2025</v>
      </c>
      <c r="S251" s="9"/>
    </row>
    <row r="252" spans="1:19" ht="52.8" hidden="1">
      <c r="A252" s="5">
        <v>251</v>
      </c>
      <c r="B252" s="5" t="s">
        <v>395</v>
      </c>
      <c r="C252" s="6" t="str">
        <f t="shared" si="1"/>
        <v>Digital Folklore: Nghiên cứu trường hợp truyền thuyết dân gian đương đại qua tác phẩm điện ảnh “Chuyện ma gần nhà”</v>
      </c>
      <c r="D252" s="5" t="s">
        <v>396</v>
      </c>
      <c r="E252" s="5">
        <v>3170123013</v>
      </c>
      <c r="F252" s="5" t="s">
        <v>397</v>
      </c>
      <c r="G252" s="5" t="s">
        <v>398</v>
      </c>
      <c r="H252" s="6"/>
      <c r="I252" s="5" t="s">
        <v>399</v>
      </c>
      <c r="J252" s="6" t="e">
        <f t="shared" ca="1" si="0"/>
        <v>#NAME?</v>
      </c>
      <c r="K252" s="6" t="e">
        <f ca="1">VLOOKUP(J252,'Bảng Đơn vị'!$A$2:$B$10,2,1)</f>
        <v>#NAME?</v>
      </c>
      <c r="L252" s="7">
        <v>45917</v>
      </c>
      <c r="M252" s="8">
        <v>2025</v>
      </c>
      <c r="S252" s="9"/>
    </row>
    <row r="253" spans="1:19" ht="52.8" hidden="1">
      <c r="A253" s="5">
        <v>252</v>
      </c>
      <c r="B253" s="6"/>
      <c r="C253" s="6" t="str">
        <f t="shared" si="1"/>
        <v>Digital Folklore: Nghiên cứu trường hợp truyền thuyết dân gian đương đại qua tác phẩm điện ảnh “Chuyện ma gần nhà”</v>
      </c>
      <c r="D253" s="5" t="s">
        <v>400</v>
      </c>
      <c r="E253" s="5">
        <v>3170123042</v>
      </c>
      <c r="F253" s="6"/>
      <c r="G253" s="6"/>
      <c r="H253" s="6"/>
      <c r="I253" s="5" t="s">
        <v>399</v>
      </c>
      <c r="J253" s="6" t="e">
        <f t="shared" ca="1" si="0"/>
        <v>#NAME?</v>
      </c>
      <c r="K253" s="6" t="e">
        <f ca="1">VLOOKUP(J253,'Bảng Đơn vị'!$A$2:$B$10,2,1)</f>
        <v>#NAME?</v>
      </c>
      <c r="L253" s="7">
        <v>45918</v>
      </c>
      <c r="M253" s="8">
        <v>2025</v>
      </c>
      <c r="S253" s="9"/>
    </row>
    <row r="254" spans="1:19" ht="52.8" hidden="1">
      <c r="A254" s="5">
        <v>253</v>
      </c>
      <c r="B254" s="6"/>
      <c r="C254" s="6" t="str">
        <f t="shared" si="1"/>
        <v>Digital Folklore: Nghiên cứu trường hợp truyền thuyết dân gian đương đại qua tác phẩm điện ảnh “Chuyện ma gần nhà”</v>
      </c>
      <c r="D254" s="5" t="s">
        <v>401</v>
      </c>
      <c r="E254" s="5">
        <v>3170123097</v>
      </c>
      <c r="F254" s="6"/>
      <c r="G254" s="6"/>
      <c r="H254" s="6"/>
      <c r="I254" s="5" t="s">
        <v>399</v>
      </c>
      <c r="J254" s="6" t="e">
        <f t="shared" ca="1" si="0"/>
        <v>#NAME?</v>
      </c>
      <c r="K254" s="6" t="e">
        <f ca="1">VLOOKUP(J254,'Bảng Đơn vị'!$A$2:$B$10,2,1)</f>
        <v>#NAME?</v>
      </c>
      <c r="L254" s="7">
        <v>45919</v>
      </c>
      <c r="M254" s="8">
        <v>2025</v>
      </c>
      <c r="S254" s="9"/>
    </row>
    <row r="255" spans="1:19" ht="52.8" hidden="1">
      <c r="A255" s="5">
        <v>254</v>
      </c>
      <c r="B255" s="6"/>
      <c r="C255" s="6" t="str">
        <f t="shared" si="1"/>
        <v>Digital Folklore: Nghiên cứu trường hợp truyền thuyết dân gian đương đại qua tác phẩm điện ảnh “Chuyện ma gần nhà”</v>
      </c>
      <c r="D255" s="5" t="s">
        <v>402</v>
      </c>
      <c r="E255" s="5">
        <v>3170123100</v>
      </c>
      <c r="F255" s="6"/>
      <c r="G255" s="6"/>
      <c r="H255" s="6"/>
      <c r="I255" s="5" t="s">
        <v>399</v>
      </c>
      <c r="J255" s="6" t="e">
        <f t="shared" ca="1" si="0"/>
        <v>#NAME?</v>
      </c>
      <c r="K255" s="6" t="e">
        <f ca="1">VLOOKUP(J255,'Bảng Đơn vị'!$A$2:$B$10,2,1)</f>
        <v>#NAME?</v>
      </c>
      <c r="L255" s="7">
        <v>45920</v>
      </c>
      <c r="M255" s="8">
        <v>2025</v>
      </c>
      <c r="S255" s="9"/>
    </row>
    <row r="256" spans="1:19" ht="52.8" hidden="1">
      <c r="A256" s="5">
        <v>255</v>
      </c>
      <c r="B256" s="6"/>
      <c r="C256" s="6" t="str">
        <f t="shared" si="1"/>
        <v>Digital Folklore: Nghiên cứu trường hợp truyền thuyết dân gian đương đại qua tác phẩm điện ảnh “Chuyện ma gần nhà”</v>
      </c>
      <c r="D256" s="5" t="s">
        <v>403</v>
      </c>
      <c r="E256" s="5">
        <v>3170123095</v>
      </c>
      <c r="F256" s="6"/>
      <c r="G256" s="6"/>
      <c r="H256" s="6"/>
      <c r="I256" s="5" t="s">
        <v>399</v>
      </c>
      <c r="J256" s="6" t="e">
        <f t="shared" ca="1" si="0"/>
        <v>#NAME?</v>
      </c>
      <c r="K256" s="6" t="e">
        <f ca="1">VLOOKUP(J256,'Bảng Đơn vị'!$A$2:$B$10,2,1)</f>
        <v>#NAME?</v>
      </c>
      <c r="L256" s="7">
        <v>45921</v>
      </c>
      <c r="M256" s="8">
        <v>2025</v>
      </c>
      <c r="S256" s="9"/>
    </row>
    <row r="257" spans="1:19" ht="52.8" hidden="1">
      <c r="A257" s="5">
        <v>256</v>
      </c>
      <c r="B257" s="5" t="s">
        <v>404</v>
      </c>
      <c r="C257" s="6" t="str">
        <f t="shared" si="1"/>
        <v>Nghiên cứu hệ thống ký hiệu-biểu tượng của văn bản thơ trong Sách giáo khoa Ngữ văn bậc Trung học Phổ thông</v>
      </c>
      <c r="D257" s="5" t="s">
        <v>405</v>
      </c>
      <c r="E257" s="5">
        <v>3170122052</v>
      </c>
      <c r="F257" s="5" t="s">
        <v>406</v>
      </c>
      <c r="G257" s="5" t="s">
        <v>407</v>
      </c>
      <c r="H257" s="6"/>
      <c r="I257" s="5" t="s">
        <v>399</v>
      </c>
      <c r="J257" s="6" t="e">
        <f t="shared" ca="1" si="0"/>
        <v>#NAME?</v>
      </c>
      <c r="K257" s="6" t="e">
        <f ca="1">VLOOKUP(J257,'Bảng Đơn vị'!$A$2:$B$10,2,1)</f>
        <v>#NAME?</v>
      </c>
      <c r="L257" s="7">
        <v>45922</v>
      </c>
      <c r="M257" s="8">
        <v>2025</v>
      </c>
      <c r="S257" s="9"/>
    </row>
    <row r="258" spans="1:19" ht="52.8" hidden="1">
      <c r="A258" s="5">
        <v>257</v>
      </c>
      <c r="B258" s="6"/>
      <c r="C258" s="6" t="str">
        <f t="shared" si="1"/>
        <v>Nghiên cứu hệ thống ký hiệu-biểu tượng của văn bản thơ trong Sách giáo khoa Ngữ văn bậc Trung học Phổ thông</v>
      </c>
      <c r="D258" s="5" t="s">
        <v>408</v>
      </c>
      <c r="E258" s="5">
        <v>3170122083</v>
      </c>
      <c r="F258" s="6"/>
      <c r="G258" s="6"/>
      <c r="H258" s="6"/>
      <c r="I258" s="5" t="s">
        <v>399</v>
      </c>
      <c r="J258" s="6" t="e">
        <f t="shared" ca="1" si="0"/>
        <v>#NAME?</v>
      </c>
      <c r="K258" s="6" t="e">
        <f ca="1">VLOOKUP(J258,'Bảng Đơn vị'!$A$2:$B$10,2,1)</f>
        <v>#NAME?</v>
      </c>
      <c r="L258" s="7">
        <v>45923</v>
      </c>
      <c r="M258" s="8">
        <v>2025</v>
      </c>
      <c r="S258" s="9"/>
    </row>
    <row r="259" spans="1:19" ht="39.6" hidden="1">
      <c r="A259" s="5">
        <v>258</v>
      </c>
      <c r="B259" s="5" t="s">
        <v>409</v>
      </c>
      <c r="C259" s="6" t="str">
        <f t="shared" si="1"/>
        <v>Đặc điểm ngôn ngữ đánh giá trong diễn ngôn báo chí tiếng Việt về cơn bão Yagi ở Việt Nam</v>
      </c>
      <c r="D259" s="5" t="s">
        <v>410</v>
      </c>
      <c r="E259" s="5">
        <v>3170122084</v>
      </c>
      <c r="F259" s="5" t="s">
        <v>411</v>
      </c>
      <c r="G259" s="5" t="s">
        <v>407</v>
      </c>
      <c r="H259" s="6"/>
      <c r="I259" s="5" t="s">
        <v>399</v>
      </c>
      <c r="J259" s="6" t="e">
        <f t="shared" ca="1" si="0"/>
        <v>#NAME?</v>
      </c>
      <c r="K259" s="6" t="e">
        <f ca="1">VLOOKUP(J259,'Bảng Đơn vị'!$A$2:$B$10,2,1)</f>
        <v>#NAME?</v>
      </c>
      <c r="L259" s="7">
        <v>45924</v>
      </c>
      <c r="M259" s="8">
        <v>2025</v>
      </c>
      <c r="S259" s="9"/>
    </row>
    <row r="260" spans="1:19" ht="39.6" hidden="1">
      <c r="A260" s="5">
        <v>259</v>
      </c>
      <c r="B260" s="6"/>
      <c r="C260" s="6" t="str">
        <f t="shared" si="1"/>
        <v>Đặc điểm ngôn ngữ đánh giá trong diễn ngôn báo chí tiếng Việt về cơn bão Yagi ở Việt Nam</v>
      </c>
      <c r="D260" s="5" t="s">
        <v>412</v>
      </c>
      <c r="E260" s="5">
        <v>3170122062</v>
      </c>
      <c r="F260" s="6"/>
      <c r="G260" s="6"/>
      <c r="H260" s="6"/>
      <c r="I260" s="5" t="s">
        <v>399</v>
      </c>
      <c r="J260" s="6" t="e">
        <f t="shared" ca="1" si="0"/>
        <v>#NAME?</v>
      </c>
      <c r="K260" s="6" t="e">
        <f ca="1">VLOOKUP(J260,'Bảng Đơn vị'!$A$2:$B$10,2,1)</f>
        <v>#NAME?</v>
      </c>
      <c r="L260" s="7">
        <v>45925</v>
      </c>
      <c r="M260" s="8">
        <v>2025</v>
      </c>
      <c r="S260" s="9"/>
    </row>
    <row r="261" spans="1:19" ht="39.6" hidden="1">
      <c r="A261" s="5">
        <v>260</v>
      </c>
      <c r="B261" s="5" t="s">
        <v>413</v>
      </c>
      <c r="C261" s="6" t="str">
        <f t="shared" si="1"/>
        <v>Một số tác phẩm văn học Việt Nam đầu thế kỉ XXI từ cái nhìn phê bình hậu nhân</v>
      </c>
      <c r="D261" s="5" t="s">
        <v>414</v>
      </c>
      <c r="E261" s="5">
        <v>3170122068</v>
      </c>
      <c r="F261" s="5" t="s">
        <v>411</v>
      </c>
      <c r="G261" s="5" t="s">
        <v>415</v>
      </c>
      <c r="H261" s="6"/>
      <c r="I261" s="5" t="s">
        <v>399</v>
      </c>
      <c r="J261" s="6" t="e">
        <f t="shared" ca="1" si="0"/>
        <v>#NAME?</v>
      </c>
      <c r="K261" s="6" t="e">
        <f ca="1">VLOOKUP(J261,'Bảng Đơn vị'!$A$2:$B$10,2,1)</f>
        <v>#NAME?</v>
      </c>
      <c r="L261" s="7">
        <v>45926</v>
      </c>
      <c r="M261" s="8">
        <v>2025</v>
      </c>
      <c r="S261" s="9"/>
    </row>
    <row r="262" spans="1:19" ht="39.6" hidden="1">
      <c r="A262" s="5">
        <v>261</v>
      </c>
      <c r="B262" s="6"/>
      <c r="C262" s="6" t="str">
        <f t="shared" si="1"/>
        <v>Một số tác phẩm văn học Việt Nam đầu thế kỉ XXI từ cái nhìn phê bình hậu nhân</v>
      </c>
      <c r="D262" s="5" t="s">
        <v>416</v>
      </c>
      <c r="E262" s="5">
        <v>3170122046</v>
      </c>
      <c r="F262" s="5" t="s">
        <v>411</v>
      </c>
      <c r="G262" s="6"/>
      <c r="H262" s="6"/>
      <c r="I262" s="5" t="s">
        <v>399</v>
      </c>
      <c r="J262" s="6" t="e">
        <f t="shared" ca="1" si="0"/>
        <v>#NAME?</v>
      </c>
      <c r="K262" s="6" t="e">
        <f ca="1">VLOOKUP(J262,'Bảng Đơn vị'!$A$2:$B$10,2,1)</f>
        <v>#NAME?</v>
      </c>
      <c r="L262" s="7">
        <v>45927</v>
      </c>
      <c r="M262" s="8">
        <v>2025</v>
      </c>
      <c r="S262" s="9"/>
    </row>
    <row r="263" spans="1:19" ht="39.6" hidden="1">
      <c r="A263" s="5">
        <v>262</v>
      </c>
      <c r="B263" s="5" t="s">
        <v>417</v>
      </c>
      <c r="C263" s="6" t="str">
        <f t="shared" si="1"/>
        <v>Phát triển nền tảng Ngữ văn số FlipClassroom: Tăng cường tự học và thảo luận tương tác</v>
      </c>
      <c r="D263" s="5" t="s">
        <v>418</v>
      </c>
      <c r="E263" s="5">
        <v>3170122087</v>
      </c>
      <c r="F263" s="5" t="s">
        <v>406</v>
      </c>
      <c r="G263" s="5" t="s">
        <v>419</v>
      </c>
      <c r="H263" s="6"/>
      <c r="I263" s="5" t="s">
        <v>399</v>
      </c>
      <c r="J263" s="6" t="e">
        <f t="shared" ca="1" si="0"/>
        <v>#NAME?</v>
      </c>
      <c r="K263" s="6" t="e">
        <f ca="1">VLOOKUP(J263,'Bảng Đơn vị'!$A$2:$B$10,2,1)</f>
        <v>#NAME?</v>
      </c>
      <c r="L263" s="7">
        <v>45928</v>
      </c>
      <c r="M263" s="8">
        <v>2025</v>
      </c>
      <c r="S263" s="9"/>
    </row>
    <row r="264" spans="1:19" ht="39.6" hidden="1">
      <c r="A264" s="5">
        <v>263</v>
      </c>
      <c r="B264" s="6"/>
      <c r="C264" s="6" t="str">
        <f t="shared" si="1"/>
        <v>Phát triển nền tảng Ngữ văn số FlipClassroom: Tăng cường tự học và thảo luận tương tác</v>
      </c>
      <c r="D264" s="5" t="s">
        <v>420</v>
      </c>
      <c r="E264" s="5">
        <v>3170122001</v>
      </c>
      <c r="F264" s="6"/>
      <c r="G264" s="6"/>
      <c r="H264" s="6"/>
      <c r="I264" s="5" t="s">
        <v>399</v>
      </c>
      <c r="J264" s="6" t="e">
        <f t="shared" ca="1" si="0"/>
        <v>#NAME?</v>
      </c>
      <c r="K264" s="6" t="e">
        <f ca="1">VLOOKUP(J264,'Bảng Đơn vị'!$A$2:$B$10,2,1)</f>
        <v>#NAME?</v>
      </c>
      <c r="L264" s="7">
        <v>45929</v>
      </c>
      <c r="M264" s="8">
        <v>2025</v>
      </c>
      <c r="S264" s="9"/>
    </row>
    <row r="265" spans="1:19" ht="39.6" hidden="1">
      <c r="A265" s="5">
        <v>264</v>
      </c>
      <c r="B265" s="6"/>
      <c r="C265" s="6" t="str">
        <f t="shared" si="1"/>
        <v>Phát triển nền tảng Ngữ văn số FlipClassroom: Tăng cường tự học và thảo luận tương tác</v>
      </c>
      <c r="D265" s="5" t="s">
        <v>421</v>
      </c>
      <c r="E265" s="5">
        <v>3170122070</v>
      </c>
      <c r="F265" s="6"/>
      <c r="G265" s="6"/>
      <c r="H265" s="6"/>
      <c r="I265" s="5" t="s">
        <v>399</v>
      </c>
      <c r="J265" s="6" t="e">
        <f t="shared" ca="1" si="0"/>
        <v>#NAME?</v>
      </c>
      <c r="K265" s="6" t="e">
        <f ca="1">VLOOKUP(J265,'Bảng Đơn vị'!$A$2:$B$10,2,1)</f>
        <v>#NAME?</v>
      </c>
      <c r="L265" s="7">
        <v>45930</v>
      </c>
      <c r="M265" s="8">
        <v>2025</v>
      </c>
      <c r="S265" s="9"/>
    </row>
    <row r="266" spans="1:19" ht="39.6" hidden="1">
      <c r="A266" s="5">
        <v>265</v>
      </c>
      <c r="B266" s="6"/>
      <c r="C266" s="6" t="str">
        <f t="shared" si="1"/>
        <v>Phát triển nền tảng Ngữ văn số FlipClassroom: Tăng cường tự học và thảo luận tương tác</v>
      </c>
      <c r="D266" s="5" t="s">
        <v>422</v>
      </c>
      <c r="E266" s="5">
        <v>3170122104</v>
      </c>
      <c r="F266" s="6"/>
      <c r="G266" s="6"/>
      <c r="H266" s="6"/>
      <c r="I266" s="5" t="s">
        <v>399</v>
      </c>
      <c r="J266" s="6" t="e">
        <f t="shared" ca="1" si="0"/>
        <v>#NAME?</v>
      </c>
      <c r="K266" s="6" t="e">
        <f ca="1">VLOOKUP(J266,'Bảng Đơn vị'!$A$2:$B$10,2,1)</f>
        <v>#NAME?</v>
      </c>
      <c r="L266" s="7">
        <v>45931</v>
      </c>
      <c r="M266" s="8">
        <v>2025</v>
      </c>
      <c r="S266" s="9"/>
    </row>
    <row r="267" spans="1:19" ht="39.6" hidden="1">
      <c r="A267" s="5">
        <v>266</v>
      </c>
      <c r="B267" s="5" t="s">
        <v>423</v>
      </c>
      <c r="C267" s="6" t="str">
        <f t="shared" si="1"/>
        <v>Văn xuôi M.Prisvin từ góc nhìn phê bình sinh thái</v>
      </c>
      <c r="D267" s="5" t="s">
        <v>424</v>
      </c>
      <c r="E267" s="5">
        <v>3170221150</v>
      </c>
      <c r="F267" s="5" t="s">
        <v>425</v>
      </c>
      <c r="G267" s="5" t="s">
        <v>426</v>
      </c>
      <c r="H267" s="6"/>
      <c r="I267" s="5" t="s">
        <v>399</v>
      </c>
      <c r="J267" s="6" t="e">
        <f t="shared" ca="1" si="0"/>
        <v>#NAME?</v>
      </c>
      <c r="K267" s="6" t="e">
        <f ca="1">VLOOKUP(J267,'Bảng Đơn vị'!$A$2:$B$10,2,1)</f>
        <v>#NAME?</v>
      </c>
      <c r="L267" s="7">
        <v>45932</v>
      </c>
      <c r="M267" s="8">
        <v>2025</v>
      </c>
      <c r="S267" s="9"/>
    </row>
    <row r="268" spans="1:19" ht="39.6" hidden="1">
      <c r="A268" s="5">
        <v>267</v>
      </c>
      <c r="B268" s="6"/>
      <c r="C268" s="6" t="str">
        <f t="shared" si="1"/>
        <v>Văn xuôi M.Prisvin từ góc nhìn phê bình sinh thái</v>
      </c>
      <c r="D268" s="5" t="s">
        <v>427</v>
      </c>
      <c r="E268" s="5">
        <v>3170121063</v>
      </c>
      <c r="F268" s="5" t="s">
        <v>428</v>
      </c>
      <c r="G268" s="6"/>
      <c r="H268" s="6"/>
      <c r="I268" s="5" t="s">
        <v>399</v>
      </c>
      <c r="J268" s="6" t="e">
        <f t="shared" ca="1" si="0"/>
        <v>#NAME?</v>
      </c>
      <c r="K268" s="6" t="e">
        <f ca="1">VLOOKUP(J268,'Bảng Đơn vị'!$A$2:$B$10,2,1)</f>
        <v>#NAME?</v>
      </c>
      <c r="L268" s="7">
        <v>45933</v>
      </c>
      <c r="M268" s="8">
        <v>2025</v>
      </c>
      <c r="S268" s="9"/>
    </row>
    <row r="269" spans="1:19" ht="39.6" hidden="1">
      <c r="A269" s="5">
        <v>268</v>
      </c>
      <c r="B269" s="6"/>
      <c r="C269" s="6" t="str">
        <f t="shared" si="1"/>
        <v>Văn xuôi M.Prisvin từ góc nhìn phê bình sinh thái</v>
      </c>
      <c r="D269" s="5" t="s">
        <v>429</v>
      </c>
      <c r="E269" s="5">
        <v>3170221089</v>
      </c>
      <c r="F269" s="5" t="s">
        <v>425</v>
      </c>
      <c r="G269" s="6"/>
      <c r="H269" s="6"/>
      <c r="I269" s="5" t="s">
        <v>399</v>
      </c>
      <c r="J269" s="6" t="e">
        <f t="shared" ca="1" si="0"/>
        <v>#NAME?</v>
      </c>
      <c r="K269" s="6" t="e">
        <f ca="1">VLOOKUP(J269,'Bảng Đơn vị'!$A$2:$B$10,2,1)</f>
        <v>#NAME?</v>
      </c>
      <c r="L269" s="7">
        <v>45934</v>
      </c>
      <c r="M269" s="8">
        <v>2025</v>
      </c>
      <c r="S269" s="9"/>
    </row>
    <row r="270" spans="1:19" ht="52.8" hidden="1">
      <c r="A270" s="5">
        <v>269</v>
      </c>
      <c r="B270" s="5" t="s">
        <v>430</v>
      </c>
      <c r="C270" s="6" t="str">
        <f t="shared" si="1"/>
        <v>Truyền thông ứng phó thiên tai: xây dựng mô hình thông tin đối phó bão lụt và nắng nóng ở thành phố Đà Nẵng.</v>
      </c>
      <c r="D270" s="5" t="s">
        <v>431</v>
      </c>
      <c r="E270" s="5">
        <v>3170423053</v>
      </c>
      <c r="F270" s="5" t="s">
        <v>432</v>
      </c>
      <c r="G270" s="5" t="s">
        <v>433</v>
      </c>
      <c r="H270" s="6"/>
      <c r="I270" s="5" t="s">
        <v>399</v>
      </c>
      <c r="J270" s="6" t="e">
        <f t="shared" ca="1" si="0"/>
        <v>#NAME?</v>
      </c>
      <c r="K270" s="6" t="e">
        <f ca="1">VLOOKUP(J270,'Bảng Đơn vị'!$A$2:$B$10,2,1)</f>
        <v>#NAME?</v>
      </c>
      <c r="L270" s="7">
        <v>45935</v>
      </c>
      <c r="M270" s="8">
        <v>2025</v>
      </c>
      <c r="S270" s="9"/>
    </row>
    <row r="271" spans="1:19" ht="52.8" hidden="1">
      <c r="A271" s="5">
        <v>270</v>
      </c>
      <c r="B271" s="6"/>
      <c r="C271" s="6" t="str">
        <f t="shared" si="1"/>
        <v>Truyền thông ứng phó thiên tai: xây dựng mô hình thông tin đối phó bão lụt và nắng nóng ở thành phố Đà Nẵng.</v>
      </c>
      <c r="D271" s="5" t="s">
        <v>434</v>
      </c>
      <c r="E271" s="5">
        <v>3170423061</v>
      </c>
      <c r="F271" s="6"/>
      <c r="G271" s="6"/>
      <c r="H271" s="6"/>
      <c r="I271" s="5" t="s">
        <v>399</v>
      </c>
      <c r="J271" s="6" t="e">
        <f t="shared" ca="1" si="0"/>
        <v>#NAME?</v>
      </c>
      <c r="K271" s="6" t="e">
        <f ca="1">VLOOKUP(J271,'Bảng Đơn vị'!$A$2:$B$10,2,1)</f>
        <v>#NAME?</v>
      </c>
      <c r="L271" s="7">
        <v>45936</v>
      </c>
      <c r="M271" s="8">
        <v>2025</v>
      </c>
      <c r="S271" s="9"/>
    </row>
    <row r="272" spans="1:19" ht="52.8" hidden="1">
      <c r="A272" s="5">
        <v>271</v>
      </c>
      <c r="B272" s="6"/>
      <c r="C272" s="6" t="str">
        <f t="shared" si="1"/>
        <v>Truyền thông ứng phó thiên tai: xây dựng mô hình thông tin đối phó bão lụt và nắng nóng ở thành phố Đà Nẵng.</v>
      </c>
      <c r="D272" s="5" t="s">
        <v>435</v>
      </c>
      <c r="E272" s="5">
        <v>3170423011</v>
      </c>
      <c r="F272" s="6"/>
      <c r="G272" s="6"/>
      <c r="H272" s="6"/>
      <c r="I272" s="5" t="s">
        <v>399</v>
      </c>
      <c r="J272" s="6" t="e">
        <f t="shared" ca="1" si="0"/>
        <v>#NAME?</v>
      </c>
      <c r="K272" s="6" t="e">
        <f ca="1">VLOOKUP(J272,'Bảng Đơn vị'!$A$2:$B$10,2,1)</f>
        <v>#NAME?</v>
      </c>
      <c r="L272" s="7">
        <v>45937</v>
      </c>
      <c r="M272" s="8">
        <v>2025</v>
      </c>
      <c r="S272" s="9"/>
    </row>
    <row r="273" spans="1:19" ht="52.8" hidden="1">
      <c r="A273" s="5">
        <v>272</v>
      </c>
      <c r="B273" s="6"/>
      <c r="C273" s="6" t="str">
        <f t="shared" si="1"/>
        <v>Truyền thông ứng phó thiên tai: xây dựng mô hình thông tin đối phó bão lụt và nắng nóng ở thành phố Đà Nẵng.</v>
      </c>
      <c r="D273" s="5" t="s">
        <v>436</v>
      </c>
      <c r="E273" s="5">
        <v>3170423038</v>
      </c>
      <c r="F273" s="6"/>
      <c r="G273" s="6"/>
      <c r="H273" s="6"/>
      <c r="I273" s="5" t="s">
        <v>399</v>
      </c>
      <c r="J273" s="6" t="e">
        <f t="shared" ca="1" si="0"/>
        <v>#NAME?</v>
      </c>
      <c r="K273" s="6" t="e">
        <f ca="1">VLOOKUP(J273,'Bảng Đơn vị'!$A$2:$B$10,2,1)</f>
        <v>#NAME?</v>
      </c>
      <c r="L273" s="7">
        <v>45938</v>
      </c>
      <c r="M273" s="8">
        <v>2025</v>
      </c>
      <c r="S273" s="9"/>
    </row>
    <row r="274" spans="1:19" ht="52.8" hidden="1">
      <c r="A274" s="5">
        <v>273</v>
      </c>
      <c r="B274" s="6"/>
      <c r="C274" s="6" t="str">
        <f t="shared" si="1"/>
        <v>Truyền thông ứng phó thiên tai: xây dựng mô hình thông tin đối phó bão lụt và nắng nóng ở thành phố Đà Nẵng.</v>
      </c>
      <c r="D274" s="5" t="s">
        <v>437</v>
      </c>
      <c r="E274" s="5">
        <v>3170423041</v>
      </c>
      <c r="F274" s="6"/>
      <c r="G274" s="6"/>
      <c r="H274" s="6"/>
      <c r="I274" s="5" t="s">
        <v>399</v>
      </c>
      <c r="J274" s="6" t="e">
        <f t="shared" ca="1" si="0"/>
        <v>#NAME?</v>
      </c>
      <c r="K274" s="6" t="e">
        <f ca="1">VLOOKUP(J274,'Bảng Đơn vị'!$A$2:$B$10,2,1)</f>
        <v>#NAME?</v>
      </c>
      <c r="L274" s="7">
        <v>45939</v>
      </c>
      <c r="M274" s="8">
        <v>2025</v>
      </c>
      <c r="S274" s="9"/>
    </row>
    <row r="275" spans="1:19" ht="39.6" hidden="1">
      <c r="A275" s="5">
        <v>274</v>
      </c>
      <c r="B275" s="5" t="s">
        <v>438</v>
      </c>
      <c r="C275" s="6" t="str">
        <f t="shared" si="1"/>
        <v xml:space="preserve">Truyền thông giúp giảm bạo lực giới cho phụ nữ </v>
      </c>
      <c r="D275" s="5" t="s">
        <v>439</v>
      </c>
      <c r="E275" s="5">
        <v>3170422106</v>
      </c>
      <c r="F275" s="5" t="s">
        <v>440</v>
      </c>
      <c r="G275" s="5" t="s">
        <v>433</v>
      </c>
      <c r="H275" s="6"/>
      <c r="I275" s="5" t="s">
        <v>399</v>
      </c>
      <c r="J275" s="6" t="e">
        <f t="shared" ca="1" si="0"/>
        <v>#NAME?</v>
      </c>
      <c r="K275" s="6" t="e">
        <f ca="1">VLOOKUP(J275,'Bảng Đơn vị'!$A$2:$B$10,2,1)</f>
        <v>#NAME?</v>
      </c>
      <c r="L275" s="7">
        <v>45940</v>
      </c>
      <c r="M275" s="8">
        <v>2025</v>
      </c>
      <c r="S275" s="9"/>
    </row>
    <row r="276" spans="1:19" ht="39.6" hidden="1">
      <c r="A276" s="5">
        <v>275</v>
      </c>
      <c r="B276" s="6"/>
      <c r="C276" s="6" t="str">
        <f t="shared" si="1"/>
        <v xml:space="preserve">Truyền thông giúp giảm bạo lực giới cho phụ nữ </v>
      </c>
      <c r="D276" s="5" t="s">
        <v>441</v>
      </c>
      <c r="E276" s="5">
        <v>3170422047</v>
      </c>
      <c r="F276" s="5" t="s">
        <v>442</v>
      </c>
      <c r="G276" s="6"/>
      <c r="H276" s="6"/>
      <c r="I276" s="5" t="s">
        <v>399</v>
      </c>
      <c r="J276" s="6" t="e">
        <f t="shared" ca="1" si="0"/>
        <v>#NAME?</v>
      </c>
      <c r="K276" s="6" t="e">
        <f ca="1">VLOOKUP(J276,'Bảng Đơn vị'!$A$2:$B$10,2,1)</f>
        <v>#NAME?</v>
      </c>
      <c r="L276" s="7">
        <v>45941</v>
      </c>
      <c r="M276" s="8">
        <v>2025</v>
      </c>
      <c r="S276" s="9"/>
    </row>
    <row r="277" spans="1:19" ht="39.6" hidden="1">
      <c r="A277" s="5">
        <v>276</v>
      </c>
      <c r="B277" s="6"/>
      <c r="C277" s="6" t="str">
        <f t="shared" si="1"/>
        <v xml:space="preserve">Truyền thông giúp giảm bạo lực giới cho phụ nữ </v>
      </c>
      <c r="D277" s="5" t="s">
        <v>443</v>
      </c>
      <c r="E277" s="5">
        <v>3170422062</v>
      </c>
      <c r="F277" s="5" t="s">
        <v>440</v>
      </c>
      <c r="G277" s="6"/>
      <c r="H277" s="6"/>
      <c r="I277" s="5" t="s">
        <v>399</v>
      </c>
      <c r="J277" s="6" t="e">
        <f t="shared" ca="1" si="0"/>
        <v>#NAME?</v>
      </c>
      <c r="K277" s="6" t="e">
        <f ca="1">VLOOKUP(J277,'Bảng Đơn vị'!$A$2:$B$10,2,1)</f>
        <v>#NAME?</v>
      </c>
      <c r="L277" s="7">
        <v>45942</v>
      </c>
      <c r="M277" s="8">
        <v>2025</v>
      </c>
      <c r="S277" s="9"/>
    </row>
    <row r="278" spans="1:19" ht="39.6" hidden="1">
      <c r="A278" s="5">
        <v>277</v>
      </c>
      <c r="B278" s="6"/>
      <c r="C278" s="6" t="str">
        <f t="shared" si="1"/>
        <v xml:space="preserve">Truyền thông giúp giảm bạo lực giới cho phụ nữ </v>
      </c>
      <c r="D278" s="5" t="s">
        <v>444</v>
      </c>
      <c r="E278" s="5">
        <v>3170423137</v>
      </c>
      <c r="F278" s="5" t="s">
        <v>445</v>
      </c>
      <c r="G278" s="6"/>
      <c r="H278" s="6"/>
      <c r="I278" s="5" t="s">
        <v>399</v>
      </c>
      <c r="J278" s="6" t="e">
        <f t="shared" ca="1" si="0"/>
        <v>#NAME?</v>
      </c>
      <c r="K278" s="6" t="e">
        <f ca="1">VLOOKUP(J278,'Bảng Đơn vị'!$A$2:$B$10,2,1)</f>
        <v>#NAME?</v>
      </c>
      <c r="L278" s="7">
        <v>45943</v>
      </c>
      <c r="M278" s="8">
        <v>2025</v>
      </c>
      <c r="S278" s="9"/>
    </row>
    <row r="279" spans="1:19" ht="39.6" hidden="1">
      <c r="A279" s="5">
        <v>278</v>
      </c>
      <c r="B279" s="6"/>
      <c r="C279" s="6" t="str">
        <f t="shared" si="1"/>
        <v xml:space="preserve">Truyền thông giúp giảm bạo lực giới cho phụ nữ </v>
      </c>
      <c r="D279" s="5" t="s">
        <v>446</v>
      </c>
      <c r="E279" s="5">
        <v>3170423039</v>
      </c>
      <c r="F279" s="5" t="s">
        <v>445</v>
      </c>
      <c r="G279" s="6"/>
      <c r="H279" s="6"/>
      <c r="I279" s="5" t="s">
        <v>399</v>
      </c>
      <c r="J279" s="6" t="e">
        <f t="shared" ca="1" si="0"/>
        <v>#NAME?</v>
      </c>
      <c r="K279" s="6" t="e">
        <f ca="1">VLOOKUP(J279,'Bảng Đơn vị'!$A$2:$B$10,2,1)</f>
        <v>#NAME?</v>
      </c>
      <c r="L279" s="7">
        <v>45944</v>
      </c>
      <c r="M279" s="8">
        <v>2025</v>
      </c>
      <c r="S279" s="9"/>
    </row>
    <row r="280" spans="1:19" ht="52.8" hidden="1">
      <c r="A280" s="5">
        <v>279</v>
      </c>
      <c r="B280" s="5" t="s">
        <v>447</v>
      </c>
      <c r="C280" s="6" t="str">
        <f t="shared" si="1"/>
        <v>Truyền thông khoa học công nghệ và sức khỏe ở Việt Nam - Một tiếp cận về năng lực của chủ thể truyền thông</v>
      </c>
      <c r="D280" s="5" t="s">
        <v>448</v>
      </c>
      <c r="E280" s="5">
        <v>3170422107</v>
      </c>
      <c r="F280" s="5" t="s">
        <v>442</v>
      </c>
      <c r="G280" s="5" t="s">
        <v>449</v>
      </c>
      <c r="H280" s="6"/>
      <c r="I280" s="5" t="s">
        <v>399</v>
      </c>
      <c r="J280" s="6" t="e">
        <f t="shared" ca="1" si="0"/>
        <v>#NAME?</v>
      </c>
      <c r="K280" s="6" t="e">
        <f ca="1">VLOOKUP(J280,'Bảng Đơn vị'!$A$2:$B$10,2,1)</f>
        <v>#NAME?</v>
      </c>
      <c r="L280" s="7">
        <v>45945</v>
      </c>
      <c r="M280" s="8">
        <v>2025</v>
      </c>
      <c r="S280" s="9"/>
    </row>
    <row r="281" spans="1:19" ht="52.8" hidden="1">
      <c r="A281" s="5">
        <v>280</v>
      </c>
      <c r="B281" s="6"/>
      <c r="C281" s="6" t="str">
        <f t="shared" si="1"/>
        <v>Truyền thông khoa học công nghệ và sức khỏe ở Việt Nam - Một tiếp cận về năng lực của chủ thể truyền thông</v>
      </c>
      <c r="D281" s="5" t="s">
        <v>450</v>
      </c>
      <c r="E281" s="5">
        <v>3170422044</v>
      </c>
      <c r="F281" s="6"/>
      <c r="G281" s="6"/>
      <c r="H281" s="6"/>
      <c r="I281" s="5" t="s">
        <v>399</v>
      </c>
      <c r="J281" s="6" t="e">
        <f t="shared" ca="1" si="0"/>
        <v>#NAME?</v>
      </c>
      <c r="K281" s="6" t="e">
        <f ca="1">VLOOKUP(J281,'Bảng Đơn vị'!$A$2:$B$10,2,1)</f>
        <v>#NAME?</v>
      </c>
      <c r="L281" s="7">
        <v>45946</v>
      </c>
      <c r="M281" s="8">
        <v>2025</v>
      </c>
      <c r="S281" s="9"/>
    </row>
    <row r="282" spans="1:19" ht="52.8" hidden="1">
      <c r="A282" s="5">
        <v>281</v>
      </c>
      <c r="B282" s="6"/>
      <c r="C282" s="6" t="str">
        <f t="shared" si="1"/>
        <v>Truyền thông khoa học công nghệ và sức khỏe ở Việt Nam - Một tiếp cận về năng lực của chủ thể truyền thông</v>
      </c>
      <c r="D282" s="5" t="s">
        <v>451</v>
      </c>
      <c r="E282" s="5">
        <v>3170422090</v>
      </c>
      <c r="F282" s="6"/>
      <c r="G282" s="6"/>
      <c r="H282" s="6"/>
      <c r="I282" s="5" t="s">
        <v>399</v>
      </c>
      <c r="J282" s="6" t="e">
        <f t="shared" ca="1" si="0"/>
        <v>#NAME?</v>
      </c>
      <c r="K282" s="6" t="e">
        <f ca="1">VLOOKUP(J282,'Bảng Đơn vị'!$A$2:$B$10,2,1)</f>
        <v>#NAME?</v>
      </c>
      <c r="L282" s="7">
        <v>45947</v>
      </c>
      <c r="M282" s="8">
        <v>2025</v>
      </c>
      <c r="S282" s="9"/>
    </row>
    <row r="283" spans="1:19" ht="52.8" hidden="1">
      <c r="A283" s="5">
        <v>282</v>
      </c>
      <c r="B283" s="6"/>
      <c r="C283" s="6" t="str">
        <f t="shared" si="1"/>
        <v>Truyền thông khoa học công nghệ và sức khỏe ở Việt Nam - Một tiếp cận về năng lực của chủ thể truyền thông</v>
      </c>
      <c r="D283" s="5" t="s">
        <v>452</v>
      </c>
      <c r="E283" s="5">
        <v>3170422087</v>
      </c>
      <c r="F283" s="6"/>
      <c r="G283" s="6"/>
      <c r="H283" s="6"/>
      <c r="I283" s="5" t="s">
        <v>399</v>
      </c>
      <c r="J283" s="6" t="e">
        <f t="shared" ca="1" si="0"/>
        <v>#NAME?</v>
      </c>
      <c r="K283" s="6" t="e">
        <f ca="1">VLOOKUP(J283,'Bảng Đơn vị'!$A$2:$B$10,2,1)</f>
        <v>#NAME?</v>
      </c>
      <c r="L283" s="7">
        <v>45948</v>
      </c>
      <c r="M283" s="8">
        <v>2025</v>
      </c>
      <c r="S283" s="9"/>
    </row>
    <row r="284" spans="1:19" ht="52.8" hidden="1">
      <c r="A284" s="5">
        <v>283</v>
      </c>
      <c r="B284" s="6"/>
      <c r="C284" s="6" t="str">
        <f t="shared" si="1"/>
        <v>Truyền thông khoa học công nghệ và sức khỏe ở Việt Nam - Một tiếp cận về năng lực của chủ thể truyền thông</v>
      </c>
      <c r="D284" s="5" t="s">
        <v>453</v>
      </c>
      <c r="E284" s="5">
        <v>3170422037</v>
      </c>
      <c r="F284" s="6"/>
      <c r="G284" s="6"/>
      <c r="H284" s="6"/>
      <c r="I284" s="5" t="s">
        <v>399</v>
      </c>
      <c r="J284" s="6" t="e">
        <f t="shared" ca="1" si="0"/>
        <v>#NAME?</v>
      </c>
      <c r="K284" s="6" t="e">
        <f ca="1">VLOOKUP(J284,'Bảng Đơn vị'!$A$2:$B$10,2,1)</f>
        <v>#NAME?</v>
      </c>
      <c r="L284" s="7">
        <v>45949</v>
      </c>
      <c r="M284" s="8">
        <v>2025</v>
      </c>
      <c r="S284" s="9"/>
    </row>
    <row r="285" spans="1:19" ht="39.6" hidden="1">
      <c r="A285" s="5">
        <v>284</v>
      </c>
      <c r="B285" s="5" t="s">
        <v>454</v>
      </c>
      <c r="C285" s="6" t="str">
        <f t="shared" si="1"/>
        <v>Niềm tin tôn giáo trong đời sống Phật tử (khảo sát qua trường hợp gia đình Phật tử tại Đà Nẵng)</v>
      </c>
      <c r="D285" s="5" t="s">
        <v>455</v>
      </c>
      <c r="E285" s="5">
        <v>3170322032</v>
      </c>
      <c r="F285" s="5" t="s">
        <v>456</v>
      </c>
      <c r="G285" s="5" t="s">
        <v>457</v>
      </c>
      <c r="H285" s="6"/>
      <c r="I285" s="5" t="s">
        <v>399</v>
      </c>
      <c r="J285" s="6" t="e">
        <f t="shared" ca="1" si="0"/>
        <v>#NAME?</v>
      </c>
      <c r="K285" s="6" t="e">
        <f ca="1">VLOOKUP(J285,'Bảng Đơn vị'!$A$2:$B$10,2,1)</f>
        <v>#NAME?</v>
      </c>
      <c r="L285" s="7">
        <v>45950</v>
      </c>
      <c r="M285" s="8">
        <v>2025</v>
      </c>
      <c r="S285" s="9"/>
    </row>
    <row r="286" spans="1:19" ht="39.6" hidden="1">
      <c r="A286" s="5">
        <v>285</v>
      </c>
      <c r="B286" s="6"/>
      <c r="C286" s="6" t="str">
        <f t="shared" si="1"/>
        <v>Niềm tin tôn giáo trong đời sống Phật tử (khảo sát qua trường hợp gia đình Phật tử tại Đà Nẵng)</v>
      </c>
      <c r="D286" s="5" t="s">
        <v>458</v>
      </c>
      <c r="E286" s="5">
        <v>3170322040</v>
      </c>
      <c r="F286" s="6"/>
      <c r="G286" s="6"/>
      <c r="H286" s="6"/>
      <c r="I286" s="5" t="s">
        <v>399</v>
      </c>
      <c r="J286" s="6" t="e">
        <f t="shared" ca="1" si="0"/>
        <v>#NAME?</v>
      </c>
      <c r="K286" s="6" t="e">
        <f ca="1">VLOOKUP(J286,'Bảng Đơn vị'!$A$2:$B$10,2,1)</f>
        <v>#NAME?</v>
      </c>
      <c r="L286" s="7">
        <v>45951</v>
      </c>
      <c r="M286" s="8">
        <v>2025</v>
      </c>
      <c r="S286" s="9"/>
    </row>
    <row r="287" spans="1:19" ht="39.6" hidden="1">
      <c r="A287" s="5">
        <v>286</v>
      </c>
      <c r="B287" s="5" t="s">
        <v>459</v>
      </c>
      <c r="C287" s="6" t="str">
        <f t="shared" si="1"/>
        <v>Biến đổi văn hóa cộng đồng Hàn Quốc sinh sống tại thành phố Đà Nẵng</v>
      </c>
      <c r="D287" s="5" t="s">
        <v>460</v>
      </c>
      <c r="E287" s="10">
        <v>3170322055</v>
      </c>
      <c r="F287" s="5" t="s">
        <v>456</v>
      </c>
      <c r="G287" s="5" t="s">
        <v>461</v>
      </c>
      <c r="H287" s="6"/>
      <c r="I287" s="5" t="s">
        <v>399</v>
      </c>
      <c r="J287" s="6" t="e">
        <f t="shared" ca="1" si="0"/>
        <v>#NAME?</v>
      </c>
      <c r="K287" s="6" t="e">
        <f ca="1">VLOOKUP(J287,'Bảng Đơn vị'!$A$2:$B$10,2,1)</f>
        <v>#NAME?</v>
      </c>
      <c r="L287" s="7">
        <v>45952</v>
      </c>
      <c r="M287" s="8">
        <v>2025</v>
      </c>
      <c r="S287" s="9"/>
    </row>
    <row r="288" spans="1:19" ht="39.6" hidden="1">
      <c r="A288" s="5">
        <v>287</v>
      </c>
      <c r="B288" s="5" t="s">
        <v>462</v>
      </c>
      <c r="C288" s="6" t="str">
        <f t="shared" si="1"/>
        <v>Địa danh ở vùng đất Gò Nổi (thị xã Điện Bàn, tỉnh Quảng Nam)</v>
      </c>
      <c r="D288" s="5" t="s">
        <v>463</v>
      </c>
      <c r="E288" s="5">
        <v>3180721062</v>
      </c>
      <c r="F288" s="5" t="s">
        <v>464</v>
      </c>
      <c r="G288" s="5" t="s">
        <v>465</v>
      </c>
      <c r="H288" s="6"/>
      <c r="I288" s="5" t="s">
        <v>466</v>
      </c>
      <c r="J288" s="6" t="e">
        <f t="shared" ca="1" si="0"/>
        <v>#NAME?</v>
      </c>
      <c r="K288" s="6" t="e">
        <f ca="1">VLOOKUP(J288,'Bảng Đơn vị'!$A$2:$B$10,2,1)</f>
        <v>#NAME?</v>
      </c>
      <c r="L288" s="7">
        <v>45953</v>
      </c>
      <c r="M288" s="8">
        <v>2025</v>
      </c>
      <c r="S288" s="9"/>
    </row>
    <row r="289" spans="1:19" ht="39.6" hidden="1">
      <c r="A289" s="5">
        <v>288</v>
      </c>
      <c r="B289" s="6"/>
      <c r="C289" s="6" t="str">
        <f t="shared" si="1"/>
        <v>Địa danh ở vùng đất Gò Nổi (thị xã Điện Bàn, tỉnh Quảng Nam)</v>
      </c>
      <c r="D289" s="5" t="s">
        <v>467</v>
      </c>
      <c r="E289" s="5">
        <v>3180721097</v>
      </c>
      <c r="F289" s="5" t="s">
        <v>464</v>
      </c>
      <c r="G289" s="6"/>
      <c r="H289" s="6"/>
      <c r="I289" s="5" t="s">
        <v>466</v>
      </c>
      <c r="J289" s="6" t="e">
        <f t="shared" ca="1" si="0"/>
        <v>#NAME?</v>
      </c>
      <c r="K289" s="6" t="e">
        <f ca="1">VLOOKUP(J289,'Bảng Đơn vị'!$A$2:$B$10,2,1)</f>
        <v>#NAME?</v>
      </c>
      <c r="L289" s="7">
        <v>45954</v>
      </c>
      <c r="M289" s="8">
        <v>2025</v>
      </c>
      <c r="S289" s="9"/>
    </row>
    <row r="290" spans="1:19" ht="39.6" hidden="1">
      <c r="A290" s="5">
        <v>289</v>
      </c>
      <c r="B290" s="6"/>
      <c r="C290" s="6" t="str">
        <f t="shared" si="1"/>
        <v>Địa danh ở vùng đất Gò Nổi (thị xã Điện Bàn, tỉnh Quảng Nam)</v>
      </c>
      <c r="D290" s="5" t="s">
        <v>468</v>
      </c>
      <c r="E290" s="5">
        <v>3180722071</v>
      </c>
      <c r="F290" s="5" t="s">
        <v>469</v>
      </c>
      <c r="G290" s="6"/>
      <c r="H290" s="6"/>
      <c r="I290" s="5" t="s">
        <v>466</v>
      </c>
      <c r="J290" s="6" t="e">
        <f t="shared" ca="1" si="0"/>
        <v>#NAME?</v>
      </c>
      <c r="K290" s="6" t="e">
        <f ca="1">VLOOKUP(J290,'Bảng Đơn vị'!$A$2:$B$10,2,1)</f>
        <v>#NAME?</v>
      </c>
      <c r="L290" s="7">
        <v>45955</v>
      </c>
      <c r="M290" s="8">
        <v>2025</v>
      </c>
      <c r="S290" s="9"/>
    </row>
    <row r="291" spans="1:19" ht="39.6" hidden="1">
      <c r="A291" s="5">
        <v>290</v>
      </c>
      <c r="B291" s="6"/>
      <c r="C291" s="6" t="str">
        <f t="shared" si="1"/>
        <v>Địa danh ở vùng đất Gò Nổi (thị xã Điện Bàn, tỉnh Quảng Nam)</v>
      </c>
      <c r="D291" s="5" t="s">
        <v>470</v>
      </c>
      <c r="E291" s="5">
        <v>3180722031</v>
      </c>
      <c r="F291" s="5" t="s">
        <v>469</v>
      </c>
      <c r="G291" s="6"/>
      <c r="H291" s="6"/>
      <c r="I291" s="5" t="s">
        <v>466</v>
      </c>
      <c r="J291" s="6" t="e">
        <f t="shared" ca="1" si="0"/>
        <v>#NAME?</v>
      </c>
      <c r="K291" s="6" t="e">
        <f ca="1">VLOOKUP(J291,'Bảng Đơn vị'!$A$2:$B$10,2,1)</f>
        <v>#NAME?</v>
      </c>
      <c r="L291" s="7">
        <v>45956</v>
      </c>
      <c r="M291" s="8">
        <v>2025</v>
      </c>
      <c r="S291" s="9"/>
    </row>
    <row r="292" spans="1:19" ht="39.6" hidden="1">
      <c r="A292" s="5">
        <v>291</v>
      </c>
      <c r="B292" s="5" t="s">
        <v>471</v>
      </c>
      <c r="C292" s="6" t="str">
        <f t="shared" si="1"/>
        <v>Vai trò của Charlemagne đối với châu Âu sơ kỳ Trung Đại</v>
      </c>
      <c r="D292" s="5" t="s">
        <v>472</v>
      </c>
      <c r="E292" s="10">
        <v>3180122037</v>
      </c>
      <c r="F292" s="5" t="s">
        <v>473</v>
      </c>
      <c r="G292" s="5" t="s">
        <v>465</v>
      </c>
      <c r="H292" s="6"/>
      <c r="I292" s="5" t="s">
        <v>466</v>
      </c>
      <c r="J292" s="6" t="e">
        <f t="shared" ca="1" si="0"/>
        <v>#NAME?</v>
      </c>
      <c r="K292" s="6" t="e">
        <f ca="1">VLOOKUP(J292,'Bảng Đơn vị'!$A$2:$B$10,2,1)</f>
        <v>#NAME?</v>
      </c>
      <c r="L292" s="7">
        <v>45957</v>
      </c>
      <c r="M292" s="8">
        <v>2025</v>
      </c>
      <c r="S292" s="9"/>
    </row>
    <row r="293" spans="1:19" ht="39.6" hidden="1">
      <c r="A293" s="5">
        <v>292</v>
      </c>
      <c r="B293" s="5" t="s">
        <v>474</v>
      </c>
      <c r="C293" s="6" t="str">
        <f t="shared" si="1"/>
        <v>Việt Nam trong chính sách ngoại giao Cảnh sát biển của Nhật Bản (2012 - 2024)</v>
      </c>
      <c r="D293" s="5" t="s">
        <v>475</v>
      </c>
      <c r="E293" s="5">
        <v>3180522045</v>
      </c>
      <c r="F293" s="5" t="s">
        <v>476</v>
      </c>
      <c r="G293" s="5" t="s">
        <v>477</v>
      </c>
      <c r="H293" s="6"/>
      <c r="I293" s="5" t="s">
        <v>466</v>
      </c>
      <c r="J293" s="6" t="e">
        <f t="shared" ca="1" si="0"/>
        <v>#NAME?</v>
      </c>
      <c r="K293" s="6" t="e">
        <f ca="1">VLOOKUP(J293,'Bảng Đơn vị'!$A$2:$B$10,2,1)</f>
        <v>#NAME?</v>
      </c>
      <c r="L293" s="7">
        <v>45958</v>
      </c>
      <c r="M293" s="8">
        <v>2025</v>
      </c>
      <c r="S293" s="9"/>
    </row>
    <row r="294" spans="1:19" ht="39.6" hidden="1">
      <c r="A294" s="5">
        <v>293</v>
      </c>
      <c r="B294" s="6"/>
      <c r="C294" s="6" t="str">
        <f t="shared" si="1"/>
        <v>Việt Nam trong chính sách ngoại giao Cảnh sát biển của Nhật Bản (2012 - 2024)</v>
      </c>
      <c r="D294" s="5" t="s">
        <v>478</v>
      </c>
      <c r="E294" s="5">
        <v>3180522031</v>
      </c>
      <c r="F294" s="5" t="s">
        <v>476</v>
      </c>
      <c r="G294" s="6"/>
      <c r="H294" s="6"/>
      <c r="I294" s="5" t="s">
        <v>466</v>
      </c>
      <c r="J294" s="6" t="e">
        <f t="shared" ca="1" si="0"/>
        <v>#NAME?</v>
      </c>
      <c r="K294" s="6" t="e">
        <f ca="1">VLOOKUP(J294,'Bảng Đơn vị'!$A$2:$B$10,2,1)</f>
        <v>#NAME?</v>
      </c>
      <c r="L294" s="7">
        <v>45959</v>
      </c>
      <c r="M294" s="8">
        <v>2025</v>
      </c>
      <c r="S294" s="9"/>
    </row>
    <row r="295" spans="1:19" ht="39.6" hidden="1">
      <c r="A295" s="5">
        <v>294</v>
      </c>
      <c r="B295" s="6"/>
      <c r="C295" s="6" t="str">
        <f t="shared" si="1"/>
        <v>Việt Nam trong chính sách ngoại giao Cảnh sát biển của Nhật Bản (2012 - 2024)</v>
      </c>
      <c r="D295" s="5" t="s">
        <v>479</v>
      </c>
      <c r="E295" s="5">
        <v>3180522052</v>
      </c>
      <c r="F295" s="5" t="s">
        <v>476</v>
      </c>
      <c r="G295" s="6"/>
      <c r="H295" s="6"/>
      <c r="I295" s="5" t="s">
        <v>466</v>
      </c>
      <c r="J295" s="6" t="e">
        <f t="shared" ca="1" si="0"/>
        <v>#NAME?</v>
      </c>
      <c r="K295" s="6" t="e">
        <f ca="1">VLOOKUP(J295,'Bảng Đơn vị'!$A$2:$B$10,2,1)</f>
        <v>#NAME?</v>
      </c>
      <c r="L295" s="7">
        <v>45960</v>
      </c>
      <c r="M295" s="8">
        <v>2025</v>
      </c>
      <c r="S295" s="9"/>
    </row>
    <row r="296" spans="1:19" ht="39.6" hidden="1">
      <c r="A296" s="5">
        <v>295</v>
      </c>
      <c r="B296" s="6"/>
      <c r="C296" s="6" t="str">
        <f t="shared" si="1"/>
        <v>Việt Nam trong chính sách ngoại giao Cảnh sát biển của Nhật Bản (2012 - 2024)</v>
      </c>
      <c r="D296" s="5" t="s">
        <v>480</v>
      </c>
      <c r="E296" s="5">
        <v>3180122061</v>
      </c>
      <c r="F296" s="5" t="s">
        <v>473</v>
      </c>
      <c r="G296" s="6"/>
      <c r="H296" s="6"/>
      <c r="I296" s="5" t="s">
        <v>466</v>
      </c>
      <c r="J296" s="6" t="e">
        <f t="shared" ca="1" si="0"/>
        <v>#NAME?</v>
      </c>
      <c r="K296" s="6" t="e">
        <f ca="1">VLOOKUP(J296,'Bảng Đơn vị'!$A$2:$B$10,2,1)</f>
        <v>#NAME?</v>
      </c>
      <c r="L296" s="7">
        <v>45961</v>
      </c>
      <c r="M296" s="8">
        <v>2025</v>
      </c>
      <c r="S296" s="9"/>
    </row>
    <row r="297" spans="1:19" ht="52.8" hidden="1">
      <c r="A297" s="5">
        <v>296</v>
      </c>
      <c r="B297" s="5" t="s">
        <v>481</v>
      </c>
      <c r="C297" s="6" t="str">
        <f t="shared" si="1"/>
        <v>Hợp tác Việt Nam và Hoa Kỳ trong nâng cao năng lực chấp pháp và thực thi chủ quyền trên biển (2016 - 2024)</v>
      </c>
      <c r="D297" s="5" t="s">
        <v>482</v>
      </c>
      <c r="E297" s="5">
        <v>3180523012</v>
      </c>
      <c r="F297" s="5" t="s">
        <v>483</v>
      </c>
      <c r="G297" s="5" t="s">
        <v>477</v>
      </c>
      <c r="H297" s="6"/>
      <c r="I297" s="5" t="s">
        <v>466</v>
      </c>
      <c r="J297" s="6" t="e">
        <f t="shared" ca="1" si="0"/>
        <v>#NAME?</v>
      </c>
      <c r="K297" s="6" t="e">
        <f ca="1">VLOOKUP(J297,'Bảng Đơn vị'!$A$2:$B$10,2,1)</f>
        <v>#NAME?</v>
      </c>
      <c r="L297" s="7">
        <v>45962</v>
      </c>
      <c r="M297" s="8">
        <v>2025</v>
      </c>
      <c r="S297" s="9"/>
    </row>
    <row r="298" spans="1:19" ht="52.8" hidden="1">
      <c r="A298" s="5">
        <v>297</v>
      </c>
      <c r="B298" s="6"/>
      <c r="C298" s="6" t="str">
        <f t="shared" si="1"/>
        <v>Hợp tác Việt Nam và Hoa Kỳ trong nâng cao năng lực chấp pháp và thực thi chủ quyền trên biển (2016 - 2024)</v>
      </c>
      <c r="D298" s="5" t="s">
        <v>484</v>
      </c>
      <c r="E298" s="5">
        <v>3180523020</v>
      </c>
      <c r="F298" s="5" t="s">
        <v>483</v>
      </c>
      <c r="G298" s="6"/>
      <c r="H298" s="6"/>
      <c r="I298" s="5" t="s">
        <v>466</v>
      </c>
      <c r="J298" s="6" t="e">
        <f t="shared" ca="1" si="0"/>
        <v>#NAME?</v>
      </c>
      <c r="K298" s="6" t="e">
        <f ca="1">VLOOKUP(J298,'Bảng Đơn vị'!$A$2:$B$10,2,1)</f>
        <v>#NAME?</v>
      </c>
      <c r="L298" s="7">
        <v>45963</v>
      </c>
      <c r="M298" s="8">
        <v>2025</v>
      </c>
      <c r="S298" s="9"/>
    </row>
    <row r="299" spans="1:19" ht="52.8" hidden="1">
      <c r="A299" s="5">
        <v>298</v>
      </c>
      <c r="B299" s="6"/>
      <c r="C299" s="6" t="str">
        <f t="shared" si="1"/>
        <v>Hợp tác Việt Nam và Hoa Kỳ trong nâng cao năng lực chấp pháp và thực thi chủ quyền trên biển (2016 - 2024)</v>
      </c>
      <c r="D299" s="5" t="s">
        <v>485</v>
      </c>
      <c r="E299" s="5">
        <v>3180523065</v>
      </c>
      <c r="F299" s="5" t="s">
        <v>483</v>
      </c>
      <c r="G299" s="6"/>
      <c r="H299" s="6"/>
      <c r="I299" s="5" t="s">
        <v>466</v>
      </c>
      <c r="J299" s="6" t="e">
        <f t="shared" ca="1" si="0"/>
        <v>#NAME?</v>
      </c>
      <c r="K299" s="6" t="e">
        <f ca="1">VLOOKUP(J299,'Bảng Đơn vị'!$A$2:$B$10,2,1)</f>
        <v>#NAME?</v>
      </c>
      <c r="L299" s="7">
        <v>45964</v>
      </c>
      <c r="M299" s="8">
        <v>2025</v>
      </c>
      <c r="S299" s="9"/>
    </row>
    <row r="300" spans="1:19" ht="52.8" hidden="1">
      <c r="A300" s="5">
        <v>299</v>
      </c>
      <c r="B300" s="6"/>
      <c r="C300" s="6" t="str">
        <f t="shared" si="1"/>
        <v>Hợp tác Việt Nam và Hoa Kỳ trong nâng cao năng lực chấp pháp và thực thi chủ quyền trên biển (2016 - 2024)</v>
      </c>
      <c r="D300" s="5" t="s">
        <v>486</v>
      </c>
      <c r="E300" s="5">
        <v>3180122029</v>
      </c>
      <c r="F300" s="5" t="s">
        <v>473</v>
      </c>
      <c r="G300" s="6"/>
      <c r="H300" s="6"/>
      <c r="I300" s="5" t="s">
        <v>466</v>
      </c>
      <c r="J300" s="6" t="e">
        <f t="shared" ca="1" si="0"/>
        <v>#NAME?</v>
      </c>
      <c r="K300" s="6" t="e">
        <f ca="1">VLOOKUP(J300,'Bảng Đơn vị'!$A$2:$B$10,2,1)</f>
        <v>#NAME?</v>
      </c>
      <c r="L300" s="7">
        <v>45965</v>
      </c>
      <c r="M300" s="8">
        <v>2025</v>
      </c>
      <c r="S300" s="9"/>
    </row>
    <row r="301" spans="1:19" ht="39.6" hidden="1">
      <c r="A301" s="5">
        <v>300</v>
      </c>
      <c r="B301" s="5" t="s">
        <v>487</v>
      </c>
      <c r="C301" s="6" t="str">
        <f t="shared" si="1"/>
        <v>Chiến tranh tâm lý trong lịch sử Việt Nam cổ trung đại (thế kỷ X-XIX)</v>
      </c>
      <c r="D301" s="5" t="s">
        <v>488</v>
      </c>
      <c r="E301" s="5">
        <v>3180123001</v>
      </c>
      <c r="F301" s="5" t="s">
        <v>489</v>
      </c>
      <c r="G301" s="5" t="s">
        <v>490</v>
      </c>
      <c r="H301" s="6"/>
      <c r="I301" s="5" t="s">
        <v>466</v>
      </c>
      <c r="J301" s="6" t="e">
        <f t="shared" ca="1" si="0"/>
        <v>#NAME?</v>
      </c>
      <c r="K301" s="6" t="e">
        <f ca="1">VLOOKUP(J301,'Bảng Đơn vị'!$A$2:$B$10,2,1)</f>
        <v>#NAME?</v>
      </c>
      <c r="L301" s="7">
        <v>45966</v>
      </c>
      <c r="M301" s="8">
        <v>2025</v>
      </c>
      <c r="S301" s="9"/>
    </row>
    <row r="302" spans="1:19" ht="39.6" hidden="1">
      <c r="A302" s="5">
        <v>301</v>
      </c>
      <c r="B302" s="6"/>
      <c r="C302" s="6" t="str">
        <f t="shared" si="1"/>
        <v>Chiến tranh tâm lý trong lịch sử Việt Nam cổ trung đại (thế kỷ X-XIX)</v>
      </c>
      <c r="D302" s="5" t="s">
        <v>491</v>
      </c>
      <c r="E302" s="5">
        <v>3180123007</v>
      </c>
      <c r="F302" s="6"/>
      <c r="G302" s="6"/>
      <c r="H302" s="6"/>
      <c r="I302" s="5" t="s">
        <v>466</v>
      </c>
      <c r="J302" s="6" t="e">
        <f t="shared" ca="1" si="0"/>
        <v>#NAME?</v>
      </c>
      <c r="K302" s="6" t="e">
        <f ca="1">VLOOKUP(J302,'Bảng Đơn vị'!$A$2:$B$10,2,1)</f>
        <v>#NAME?</v>
      </c>
      <c r="L302" s="7">
        <v>45967</v>
      </c>
      <c r="M302" s="8">
        <v>2025</v>
      </c>
      <c r="S302" s="9"/>
    </row>
    <row r="303" spans="1:19" ht="39.6" hidden="1">
      <c r="A303" s="5">
        <v>302</v>
      </c>
      <c r="B303" s="6"/>
      <c r="C303" s="6" t="str">
        <f t="shared" si="1"/>
        <v>Chiến tranh tâm lý trong lịch sử Việt Nam cổ trung đại (thế kỷ X-XIX)</v>
      </c>
      <c r="D303" s="5" t="s">
        <v>492</v>
      </c>
      <c r="E303" s="5">
        <v>3180123017</v>
      </c>
      <c r="F303" s="6"/>
      <c r="G303" s="6"/>
      <c r="H303" s="6"/>
      <c r="I303" s="5" t="s">
        <v>466</v>
      </c>
      <c r="J303" s="6" t="e">
        <f t="shared" ca="1" si="0"/>
        <v>#NAME?</v>
      </c>
      <c r="K303" s="6" t="e">
        <f ca="1">VLOOKUP(J303,'Bảng Đơn vị'!$A$2:$B$10,2,1)</f>
        <v>#NAME?</v>
      </c>
      <c r="L303" s="7">
        <v>45968</v>
      </c>
      <c r="M303" s="8">
        <v>2025</v>
      </c>
      <c r="S303" s="9"/>
    </row>
    <row r="304" spans="1:19" ht="39.6" hidden="1">
      <c r="A304" s="5">
        <v>303</v>
      </c>
      <c r="B304" s="6"/>
      <c r="C304" s="6" t="str">
        <f t="shared" si="1"/>
        <v>Chiến tranh tâm lý trong lịch sử Việt Nam cổ trung đại (thế kỷ X-XIX)</v>
      </c>
      <c r="D304" s="5" t="s">
        <v>493</v>
      </c>
      <c r="E304" s="5">
        <v>3180123021</v>
      </c>
      <c r="F304" s="6"/>
      <c r="G304" s="6"/>
      <c r="H304" s="6"/>
      <c r="I304" s="5" t="s">
        <v>466</v>
      </c>
      <c r="J304" s="6" t="e">
        <f t="shared" ca="1" si="0"/>
        <v>#NAME?</v>
      </c>
      <c r="K304" s="6" t="e">
        <f ca="1">VLOOKUP(J304,'Bảng Đơn vị'!$A$2:$B$10,2,1)</f>
        <v>#NAME?</v>
      </c>
      <c r="L304" s="7">
        <v>45969</v>
      </c>
      <c r="M304" s="8">
        <v>2025</v>
      </c>
      <c r="S304" s="9"/>
    </row>
    <row r="305" spans="1:19" ht="52.8" hidden="1">
      <c r="A305" s="5">
        <v>304</v>
      </c>
      <c r="B305" s="5" t="s">
        <v>494</v>
      </c>
      <c r="C305" s="6" t="str">
        <f t="shared" si="1"/>
        <v>Nghiên cứu so sánh chính sách Phật giáo và Thiên Chúa giáo của chúa Nguyễn ở Đàng Trong thế kỉ XVI-XVIII</v>
      </c>
      <c r="D305" s="5" t="s">
        <v>495</v>
      </c>
      <c r="E305" s="5">
        <v>3180123008</v>
      </c>
      <c r="F305" s="5" t="s">
        <v>489</v>
      </c>
      <c r="G305" s="5" t="s">
        <v>490</v>
      </c>
      <c r="H305" s="6"/>
      <c r="I305" s="5" t="s">
        <v>466</v>
      </c>
      <c r="J305" s="6" t="e">
        <f t="shared" ca="1" si="0"/>
        <v>#NAME?</v>
      </c>
      <c r="K305" s="6" t="e">
        <f ca="1">VLOOKUP(J305,'Bảng Đơn vị'!$A$2:$B$10,2,1)</f>
        <v>#NAME?</v>
      </c>
      <c r="L305" s="7">
        <v>45970</v>
      </c>
      <c r="M305" s="8">
        <v>2025</v>
      </c>
      <c r="S305" s="9"/>
    </row>
    <row r="306" spans="1:19" ht="52.8" hidden="1">
      <c r="A306" s="5">
        <v>305</v>
      </c>
      <c r="B306" s="6"/>
      <c r="C306" s="6" t="str">
        <f t="shared" si="1"/>
        <v>Nghiên cứu so sánh chính sách Phật giáo và Thiên Chúa giáo của chúa Nguyễn ở Đàng Trong thế kỉ XVI-XVIII</v>
      </c>
      <c r="D306" s="5" t="s">
        <v>496</v>
      </c>
      <c r="E306" s="5">
        <v>3180123024</v>
      </c>
      <c r="F306" s="6"/>
      <c r="G306" s="6"/>
      <c r="H306" s="6"/>
      <c r="I306" s="5" t="s">
        <v>466</v>
      </c>
      <c r="J306" s="6" t="e">
        <f t="shared" ca="1" si="0"/>
        <v>#NAME?</v>
      </c>
      <c r="K306" s="6" t="e">
        <f ca="1">VLOOKUP(J306,'Bảng Đơn vị'!$A$2:$B$10,2,1)</f>
        <v>#NAME?</v>
      </c>
      <c r="L306" s="7">
        <v>45971</v>
      </c>
      <c r="M306" s="8">
        <v>2025</v>
      </c>
      <c r="S306" s="9"/>
    </row>
    <row r="307" spans="1:19" ht="52.8" hidden="1">
      <c r="A307" s="5">
        <v>306</v>
      </c>
      <c r="B307" s="6"/>
      <c r="C307" s="6" t="str">
        <f t="shared" si="1"/>
        <v>Nghiên cứu so sánh chính sách Phật giáo và Thiên Chúa giáo của chúa Nguyễn ở Đàng Trong thế kỉ XVI-XVIII</v>
      </c>
      <c r="D307" s="5" t="s">
        <v>497</v>
      </c>
      <c r="E307" s="5">
        <v>3180123005</v>
      </c>
      <c r="F307" s="6"/>
      <c r="G307" s="6"/>
      <c r="H307" s="6"/>
      <c r="I307" s="5" t="s">
        <v>466</v>
      </c>
      <c r="J307" s="6" t="e">
        <f t="shared" ca="1" si="0"/>
        <v>#NAME?</v>
      </c>
      <c r="K307" s="6" t="e">
        <f ca="1">VLOOKUP(J307,'Bảng Đơn vị'!$A$2:$B$10,2,1)</f>
        <v>#NAME?</v>
      </c>
      <c r="L307" s="7">
        <v>45972</v>
      </c>
      <c r="M307" s="8">
        <v>2025</v>
      </c>
      <c r="S307" s="9"/>
    </row>
    <row r="308" spans="1:19" ht="52.8" hidden="1">
      <c r="A308" s="5">
        <v>307</v>
      </c>
      <c r="B308" s="6"/>
      <c r="C308" s="6" t="str">
        <f t="shared" si="1"/>
        <v>Nghiên cứu so sánh chính sách Phật giáo và Thiên Chúa giáo của chúa Nguyễn ở Đàng Trong thế kỉ XVI-XVIII</v>
      </c>
      <c r="D308" s="5" t="s">
        <v>498</v>
      </c>
      <c r="E308" s="5">
        <v>3180123025</v>
      </c>
      <c r="F308" s="6"/>
      <c r="G308" s="6"/>
      <c r="H308" s="6"/>
      <c r="I308" s="5" t="s">
        <v>466</v>
      </c>
      <c r="J308" s="6" t="e">
        <f t="shared" ca="1" si="0"/>
        <v>#NAME?</v>
      </c>
      <c r="K308" s="6" t="e">
        <f ca="1">VLOOKUP(J308,'Bảng Đơn vị'!$A$2:$B$10,2,1)</f>
        <v>#NAME?</v>
      </c>
      <c r="L308" s="7">
        <v>45973</v>
      </c>
      <c r="M308" s="8">
        <v>2025</v>
      </c>
      <c r="S308" s="9"/>
    </row>
    <row r="309" spans="1:19" ht="52.8" hidden="1">
      <c r="A309" s="5">
        <v>308</v>
      </c>
      <c r="B309" s="6"/>
      <c r="C309" s="6" t="str">
        <f t="shared" si="1"/>
        <v>Nghiên cứu so sánh chính sách Phật giáo và Thiên Chúa giáo của chúa Nguyễn ở Đàng Trong thế kỉ XVI-XVIII</v>
      </c>
      <c r="D309" s="5" t="s">
        <v>499</v>
      </c>
      <c r="E309" s="5">
        <v>3180123011</v>
      </c>
      <c r="F309" s="6"/>
      <c r="G309" s="6"/>
      <c r="H309" s="6"/>
      <c r="I309" s="5" t="s">
        <v>466</v>
      </c>
      <c r="J309" s="6" t="e">
        <f t="shared" ca="1" si="0"/>
        <v>#NAME?</v>
      </c>
      <c r="K309" s="6" t="e">
        <f ca="1">VLOOKUP(J309,'Bảng Đơn vị'!$A$2:$B$10,2,1)</f>
        <v>#NAME?</v>
      </c>
      <c r="L309" s="7">
        <v>45974</v>
      </c>
      <c r="M309" s="8">
        <v>2025</v>
      </c>
      <c r="S309" s="9"/>
    </row>
    <row r="310" spans="1:19" ht="52.8" hidden="1">
      <c r="A310" s="5">
        <v>309</v>
      </c>
      <c r="B310" s="5" t="s">
        <v>500</v>
      </c>
      <c r="C310" s="6" t="str">
        <f t="shared" si="1"/>
        <v>Tác động từ chính sách thuộc địa kiểu mới của Mỹ đối với văn hóa- xã hội miền Nam Việt Nam giai đoạn 1954- 1975</v>
      </c>
      <c r="D310" s="5" t="s">
        <v>501</v>
      </c>
      <c r="E310" s="5">
        <v>3180723087</v>
      </c>
      <c r="F310" s="5" t="s">
        <v>502</v>
      </c>
      <c r="G310" s="5" t="s">
        <v>503</v>
      </c>
      <c r="H310" s="6"/>
      <c r="I310" s="5" t="s">
        <v>466</v>
      </c>
      <c r="J310" s="6" t="e">
        <f t="shared" ca="1" si="0"/>
        <v>#NAME?</v>
      </c>
      <c r="K310" s="6" t="e">
        <f ca="1">VLOOKUP(J310,'Bảng Đơn vị'!$A$2:$B$10,2,1)</f>
        <v>#NAME?</v>
      </c>
      <c r="L310" s="7">
        <v>45975</v>
      </c>
      <c r="M310" s="8">
        <v>2025</v>
      </c>
      <c r="S310" s="9"/>
    </row>
    <row r="311" spans="1:19" ht="52.8" hidden="1">
      <c r="A311" s="5">
        <v>310</v>
      </c>
      <c r="B311" s="6"/>
      <c r="C311" s="6" t="str">
        <f t="shared" si="1"/>
        <v>Tác động từ chính sách thuộc địa kiểu mới của Mỹ đối với văn hóa- xã hội miền Nam Việt Nam giai đoạn 1954- 1975</v>
      </c>
      <c r="D311" s="5" t="s">
        <v>504</v>
      </c>
      <c r="E311" s="5">
        <v>3180723074</v>
      </c>
      <c r="F311" s="6"/>
      <c r="G311" s="6"/>
      <c r="H311" s="6"/>
      <c r="I311" s="5" t="s">
        <v>466</v>
      </c>
      <c r="J311" s="6" t="e">
        <f t="shared" ca="1" si="0"/>
        <v>#NAME?</v>
      </c>
      <c r="K311" s="6" t="e">
        <f ca="1">VLOOKUP(J311,'Bảng Đơn vị'!$A$2:$B$10,2,1)</f>
        <v>#NAME?</v>
      </c>
      <c r="L311" s="7">
        <v>45976</v>
      </c>
      <c r="M311" s="8">
        <v>2025</v>
      </c>
      <c r="S311" s="9"/>
    </row>
    <row r="312" spans="1:19" ht="52.8" hidden="1">
      <c r="A312" s="5">
        <v>311</v>
      </c>
      <c r="B312" s="6"/>
      <c r="C312" s="6" t="str">
        <f t="shared" si="1"/>
        <v>Tác động từ chính sách thuộc địa kiểu mới của Mỹ đối với văn hóa- xã hội miền Nam Việt Nam giai đoạn 1954- 1975</v>
      </c>
      <c r="D312" s="5" t="s">
        <v>505</v>
      </c>
      <c r="E312" s="5">
        <v>3180723123</v>
      </c>
      <c r="F312" s="6"/>
      <c r="G312" s="6"/>
      <c r="H312" s="6"/>
      <c r="I312" s="5" t="s">
        <v>466</v>
      </c>
      <c r="J312" s="6" t="e">
        <f t="shared" ca="1" si="0"/>
        <v>#NAME?</v>
      </c>
      <c r="K312" s="6" t="e">
        <f ca="1">VLOOKUP(J312,'Bảng Đơn vị'!$A$2:$B$10,2,1)</f>
        <v>#NAME?</v>
      </c>
      <c r="L312" s="7">
        <v>45977</v>
      </c>
      <c r="M312" s="8">
        <v>2025</v>
      </c>
      <c r="S312" s="9"/>
    </row>
    <row r="313" spans="1:19" ht="52.8" hidden="1">
      <c r="A313" s="5">
        <v>312</v>
      </c>
      <c r="B313" s="5" t="s">
        <v>506</v>
      </c>
      <c r="C313" s="6" t="str">
        <f t="shared" si="1"/>
        <v>Yếu tố ảnh hưởng đến trải nghiệm của sinh viên trong du lịch học tập tại Bình Sơn, Quảng Ngãi</v>
      </c>
      <c r="D313" s="5" t="s">
        <v>507</v>
      </c>
      <c r="E313" s="5">
        <v>3180222112</v>
      </c>
      <c r="F313" s="5" t="s">
        <v>508</v>
      </c>
      <c r="G313" s="5" t="s">
        <v>509</v>
      </c>
      <c r="H313" s="6"/>
      <c r="I313" s="5" t="s">
        <v>466</v>
      </c>
      <c r="J313" s="6" t="e">
        <f t="shared" ca="1" si="0"/>
        <v>#NAME?</v>
      </c>
      <c r="K313" s="6" t="e">
        <f ca="1">VLOOKUP(J313,'Bảng Đơn vị'!$A$2:$B$10,2,1)</f>
        <v>#NAME?</v>
      </c>
      <c r="L313" s="7">
        <v>45978</v>
      </c>
      <c r="M313" s="8">
        <v>2025</v>
      </c>
      <c r="S313" s="9"/>
    </row>
    <row r="314" spans="1:19" ht="52.8" hidden="1">
      <c r="A314" s="5">
        <v>313</v>
      </c>
      <c r="B314" s="6"/>
      <c r="C314" s="6" t="str">
        <f t="shared" si="1"/>
        <v>Yếu tố ảnh hưởng đến trải nghiệm của sinh viên trong du lịch học tập tại Bình Sơn, Quảng Ngãi</v>
      </c>
      <c r="D314" s="5" t="s">
        <v>510</v>
      </c>
      <c r="E314" s="5">
        <v>3180223132</v>
      </c>
      <c r="F314" s="5" t="s">
        <v>511</v>
      </c>
      <c r="G314" s="6"/>
      <c r="H314" s="6"/>
      <c r="I314" s="5" t="s">
        <v>466</v>
      </c>
      <c r="J314" s="6" t="e">
        <f t="shared" ca="1" si="0"/>
        <v>#NAME?</v>
      </c>
      <c r="K314" s="6" t="e">
        <f ca="1">VLOOKUP(J314,'Bảng Đơn vị'!$A$2:$B$10,2,1)</f>
        <v>#NAME?</v>
      </c>
      <c r="L314" s="7">
        <v>45979</v>
      </c>
      <c r="M314" s="8">
        <v>2025</v>
      </c>
      <c r="S314" s="9"/>
    </row>
    <row r="315" spans="1:19" ht="52.8" hidden="1">
      <c r="A315" s="5">
        <v>314</v>
      </c>
      <c r="B315" s="6"/>
      <c r="C315" s="6" t="str">
        <f t="shared" si="1"/>
        <v>Yếu tố ảnh hưởng đến trải nghiệm của sinh viên trong du lịch học tập tại Bình Sơn, Quảng Ngãi</v>
      </c>
      <c r="D315" s="5" t="s">
        <v>512</v>
      </c>
      <c r="E315" s="5">
        <v>3180223027</v>
      </c>
      <c r="F315" s="5" t="s">
        <v>511</v>
      </c>
      <c r="G315" s="6"/>
      <c r="H315" s="6"/>
      <c r="I315" s="5" t="s">
        <v>466</v>
      </c>
      <c r="J315" s="6" t="e">
        <f t="shared" ca="1" si="0"/>
        <v>#NAME?</v>
      </c>
      <c r="K315" s="6" t="e">
        <f ca="1">VLOOKUP(J315,'Bảng Đơn vị'!$A$2:$B$10,2,1)</f>
        <v>#NAME?</v>
      </c>
      <c r="L315" s="7">
        <v>45980</v>
      </c>
      <c r="M315" s="8">
        <v>2025</v>
      </c>
      <c r="S315" s="9"/>
    </row>
    <row r="316" spans="1:19" ht="52.8" hidden="1">
      <c r="A316" s="5">
        <v>315</v>
      </c>
      <c r="B316" s="6"/>
      <c r="C316" s="6" t="str">
        <f t="shared" si="1"/>
        <v>Yếu tố ảnh hưởng đến trải nghiệm của sinh viên trong du lịch học tập tại Bình Sơn, Quảng Ngãi</v>
      </c>
      <c r="D316" s="5" t="s">
        <v>513</v>
      </c>
      <c r="E316" s="5">
        <v>3180622013</v>
      </c>
      <c r="F316" s="5" t="s">
        <v>508</v>
      </c>
      <c r="G316" s="6"/>
      <c r="H316" s="6"/>
      <c r="I316" s="5" t="s">
        <v>466</v>
      </c>
      <c r="J316" s="6" t="e">
        <f t="shared" ca="1" si="0"/>
        <v>#NAME?</v>
      </c>
      <c r="K316" s="6" t="e">
        <f ca="1">VLOOKUP(J316,'Bảng Đơn vị'!$A$2:$B$10,2,1)</f>
        <v>#NAME?</v>
      </c>
      <c r="L316" s="7">
        <v>45981</v>
      </c>
      <c r="M316" s="8">
        <v>2025</v>
      </c>
      <c r="S316" s="9"/>
    </row>
    <row r="317" spans="1:19" ht="52.8" hidden="1">
      <c r="A317" s="5">
        <v>316</v>
      </c>
      <c r="B317" s="6"/>
      <c r="C317" s="6" t="str">
        <f t="shared" si="1"/>
        <v>Yếu tố ảnh hưởng đến trải nghiệm của sinh viên trong du lịch học tập tại Bình Sơn, Quảng Ngãi</v>
      </c>
      <c r="D317" s="5" t="s">
        <v>514</v>
      </c>
      <c r="E317" s="5">
        <v>3180622012</v>
      </c>
      <c r="F317" s="5" t="s">
        <v>508</v>
      </c>
      <c r="G317" s="6"/>
      <c r="H317" s="6"/>
      <c r="I317" s="5" t="s">
        <v>466</v>
      </c>
      <c r="J317" s="6" t="e">
        <f t="shared" ca="1" si="0"/>
        <v>#NAME?</v>
      </c>
      <c r="K317" s="6" t="e">
        <f ca="1">VLOOKUP(J317,'Bảng Đơn vị'!$A$2:$B$10,2,1)</f>
        <v>#NAME?</v>
      </c>
      <c r="L317" s="7">
        <v>45982</v>
      </c>
      <c r="M317" s="8">
        <v>2025</v>
      </c>
      <c r="S317" s="9"/>
    </row>
    <row r="318" spans="1:19" ht="39.6" hidden="1">
      <c r="A318" s="5">
        <v>317</v>
      </c>
      <c r="B318" s="5" t="s">
        <v>515</v>
      </c>
      <c r="C318" s="6" t="str">
        <f t="shared" si="1"/>
        <v>Ứng dụng chuyển đổi số trong quảng bá du lịch quận Liên Chiểu, thành phố Đà Nẵng</v>
      </c>
      <c r="D318" s="5" t="s">
        <v>516</v>
      </c>
      <c r="E318" s="5">
        <v>3180223004</v>
      </c>
      <c r="F318" s="5" t="s">
        <v>511</v>
      </c>
      <c r="G318" s="5" t="s">
        <v>517</v>
      </c>
      <c r="H318" s="6"/>
      <c r="I318" s="5" t="s">
        <v>466</v>
      </c>
      <c r="J318" s="6" t="e">
        <f t="shared" ca="1" si="0"/>
        <v>#NAME?</v>
      </c>
      <c r="K318" s="6" t="e">
        <f ca="1">VLOOKUP(J318,'Bảng Đơn vị'!$A$2:$B$10,2,1)</f>
        <v>#NAME?</v>
      </c>
      <c r="L318" s="7">
        <v>45983</v>
      </c>
      <c r="M318" s="8">
        <v>2025</v>
      </c>
      <c r="S318" s="9"/>
    </row>
    <row r="319" spans="1:19" ht="39.6" hidden="1">
      <c r="A319" s="5">
        <v>318</v>
      </c>
      <c r="B319" s="6"/>
      <c r="C319" s="6" t="str">
        <f t="shared" si="1"/>
        <v>Ứng dụng chuyển đổi số trong quảng bá du lịch quận Liên Chiểu, thành phố Đà Nẵng</v>
      </c>
      <c r="D319" s="5" t="s">
        <v>518</v>
      </c>
      <c r="E319" s="5">
        <v>3180223126</v>
      </c>
      <c r="F319" s="5" t="s">
        <v>511</v>
      </c>
      <c r="G319" s="6"/>
      <c r="H319" s="6"/>
      <c r="I319" s="5" t="s">
        <v>466</v>
      </c>
      <c r="J319" s="6" t="e">
        <f t="shared" ca="1" si="0"/>
        <v>#NAME?</v>
      </c>
      <c r="K319" s="6" t="e">
        <f ca="1">VLOOKUP(J319,'Bảng Đơn vị'!$A$2:$B$10,2,1)</f>
        <v>#NAME?</v>
      </c>
      <c r="L319" s="7">
        <v>45984</v>
      </c>
      <c r="M319" s="8">
        <v>2025</v>
      </c>
      <c r="S319" s="9"/>
    </row>
    <row r="320" spans="1:19" ht="39.6" hidden="1">
      <c r="A320" s="5">
        <v>319</v>
      </c>
      <c r="B320" s="6"/>
      <c r="C320" s="6" t="str">
        <f t="shared" si="1"/>
        <v>Ứng dụng chuyển đổi số trong quảng bá du lịch quận Liên Chiểu, thành phố Đà Nẵng</v>
      </c>
      <c r="D320" s="5" t="s">
        <v>519</v>
      </c>
      <c r="E320" s="5">
        <v>3120221297</v>
      </c>
      <c r="F320" s="5" t="s">
        <v>520</v>
      </c>
      <c r="G320" s="6"/>
      <c r="H320" s="6"/>
      <c r="I320" s="5" t="s">
        <v>466</v>
      </c>
      <c r="J320" s="6" t="e">
        <f t="shared" ca="1" si="0"/>
        <v>#NAME?</v>
      </c>
      <c r="K320" s="6" t="e">
        <f ca="1">VLOOKUP(J320,'Bảng Đơn vị'!$A$2:$B$10,2,1)</f>
        <v>#NAME?</v>
      </c>
      <c r="L320" s="7">
        <v>45985</v>
      </c>
      <c r="M320" s="8">
        <v>2025</v>
      </c>
      <c r="S320" s="9"/>
    </row>
    <row r="321" spans="1:19" ht="79.2" hidden="1">
      <c r="A321" s="5">
        <v>320</v>
      </c>
      <c r="B321" s="5" t="s">
        <v>521</v>
      </c>
      <c r="C321" s="6" t="str">
        <f t="shared" si="1"/>
        <v>Thiết kế và sử dụng thẻ thông tin tích hợp để tổ chức dạy học nội dung Xã hội cổ (môn Lịch sử và Địa lí) ở các trường trung học cơ sở trên địa bàn thành phố Đà Nẵng.</v>
      </c>
      <c r="D321" s="5" t="s">
        <v>522</v>
      </c>
      <c r="E321" s="5">
        <v>3180722107</v>
      </c>
      <c r="F321" s="5" t="s">
        <v>469</v>
      </c>
      <c r="G321" s="5" t="s">
        <v>523</v>
      </c>
      <c r="H321" s="6"/>
      <c r="I321" s="5" t="s">
        <v>466</v>
      </c>
      <c r="J321" s="6" t="e">
        <f t="shared" ca="1" si="0"/>
        <v>#NAME?</v>
      </c>
      <c r="K321" s="6" t="e">
        <f ca="1">VLOOKUP(J321,'Bảng Đơn vị'!$A$2:$B$10,2,1)</f>
        <v>#NAME?</v>
      </c>
      <c r="L321" s="7">
        <v>45986</v>
      </c>
      <c r="M321" s="8">
        <v>2025</v>
      </c>
      <c r="S321" s="9"/>
    </row>
    <row r="322" spans="1:19" ht="79.2" hidden="1">
      <c r="A322" s="5">
        <v>321</v>
      </c>
      <c r="B322" s="6"/>
      <c r="C322" s="6" t="str">
        <f t="shared" si="1"/>
        <v>Thiết kế và sử dụng thẻ thông tin tích hợp để tổ chức dạy học nội dung Xã hội cổ (môn Lịch sử và Địa lí) ở các trường trung học cơ sở trên địa bàn thành phố Đà Nẵng.</v>
      </c>
      <c r="D322" s="5" t="s">
        <v>524</v>
      </c>
      <c r="E322" s="5">
        <v>3180722059</v>
      </c>
      <c r="F322" s="6"/>
      <c r="G322" s="6"/>
      <c r="H322" s="6"/>
      <c r="I322" s="5" t="s">
        <v>466</v>
      </c>
      <c r="J322" s="6" t="e">
        <f t="shared" ca="1" si="0"/>
        <v>#NAME?</v>
      </c>
      <c r="K322" s="6" t="e">
        <f ca="1">VLOOKUP(J322,'Bảng Đơn vị'!$A$2:$B$10,2,1)</f>
        <v>#NAME?</v>
      </c>
      <c r="L322" s="7">
        <v>45987</v>
      </c>
      <c r="M322" s="8">
        <v>2025</v>
      </c>
      <c r="S322" s="9"/>
    </row>
    <row r="323" spans="1:19" ht="39.6" hidden="1">
      <c r="A323" s="5">
        <v>322</v>
      </c>
      <c r="B323" s="5" t="s">
        <v>525</v>
      </c>
      <c r="C323" s="6" t="str">
        <f t="shared" si="1"/>
        <v>Phát triển du lịch có trách nhiệm tại Quần thể danh thắng Ngũ Hành Sơn, thành phố Đà Nẵng</v>
      </c>
      <c r="D323" s="5" t="s">
        <v>526</v>
      </c>
      <c r="E323" s="5">
        <v>3180222153</v>
      </c>
      <c r="F323" s="5" t="s">
        <v>527</v>
      </c>
      <c r="G323" s="5" t="s">
        <v>528</v>
      </c>
      <c r="H323" s="6"/>
      <c r="I323" s="5" t="s">
        <v>466</v>
      </c>
      <c r="J323" s="6" t="e">
        <f t="shared" ca="1" si="0"/>
        <v>#NAME?</v>
      </c>
      <c r="K323" s="6" t="e">
        <f ca="1">VLOOKUP(J323,'Bảng Đơn vị'!$A$2:$B$10,2,1)</f>
        <v>#NAME?</v>
      </c>
      <c r="L323" s="7">
        <v>45988</v>
      </c>
      <c r="M323" s="8">
        <v>2025</v>
      </c>
      <c r="S323" s="9"/>
    </row>
    <row r="324" spans="1:19" ht="39.6" hidden="1">
      <c r="A324" s="5">
        <v>323</v>
      </c>
      <c r="B324" s="6"/>
      <c r="C324" s="6" t="str">
        <f t="shared" si="1"/>
        <v>Phát triển du lịch có trách nhiệm tại Quần thể danh thắng Ngũ Hành Sơn, thành phố Đà Nẵng</v>
      </c>
      <c r="D324" s="5" t="s">
        <v>529</v>
      </c>
      <c r="E324" s="5">
        <v>3180222130</v>
      </c>
      <c r="F324" s="6"/>
      <c r="G324" s="6"/>
      <c r="H324" s="6"/>
      <c r="I324" s="5" t="s">
        <v>466</v>
      </c>
      <c r="J324" s="6" t="e">
        <f t="shared" ca="1" si="0"/>
        <v>#NAME?</v>
      </c>
      <c r="K324" s="6" t="e">
        <f ca="1">VLOOKUP(J324,'Bảng Đơn vị'!$A$2:$B$10,2,1)</f>
        <v>#NAME?</v>
      </c>
      <c r="L324" s="7">
        <v>45989</v>
      </c>
      <c r="M324" s="8">
        <v>2025</v>
      </c>
      <c r="S324" s="9"/>
    </row>
    <row r="325" spans="1:19" ht="52.8" hidden="1">
      <c r="A325" s="5">
        <v>324</v>
      </c>
      <c r="B325" s="5" t="s">
        <v>530</v>
      </c>
      <c r="C325" s="6" t="str">
        <f t="shared" si="1"/>
        <v>Văn hoá ứng xử trong du lịch Việt Nam (qua nguồn tư liệu báo mạng): Những tồn tại và giải pháp</v>
      </c>
      <c r="D325" s="5" t="s">
        <v>531</v>
      </c>
      <c r="E325" s="5">
        <v>3180222151</v>
      </c>
      <c r="F325" s="5" t="s">
        <v>527</v>
      </c>
      <c r="G325" s="5" t="s">
        <v>528</v>
      </c>
      <c r="H325" s="6"/>
      <c r="I325" s="5" t="s">
        <v>466</v>
      </c>
      <c r="J325" s="6" t="e">
        <f t="shared" ca="1" si="0"/>
        <v>#NAME?</v>
      </c>
      <c r="K325" s="6" t="e">
        <f ca="1">VLOOKUP(J325,'Bảng Đơn vị'!$A$2:$B$10,2,1)</f>
        <v>#NAME?</v>
      </c>
      <c r="L325" s="7">
        <v>45990</v>
      </c>
      <c r="M325" s="8">
        <v>2025</v>
      </c>
      <c r="S325" s="9"/>
    </row>
    <row r="326" spans="1:19" ht="39.6" hidden="1">
      <c r="A326" s="5">
        <v>325</v>
      </c>
      <c r="B326" s="6"/>
      <c r="C326" s="6" t="str">
        <f t="shared" si="1"/>
        <v>Văn hoá ứng xử trong du lịch Việt Nam (qua nguồn tư liệu báo mạng): Những tồn tại và giải pháp</v>
      </c>
      <c r="D326" s="5" t="s">
        <v>532</v>
      </c>
      <c r="E326" s="5">
        <v>3180222013</v>
      </c>
      <c r="F326" s="6"/>
      <c r="G326" s="6"/>
      <c r="H326" s="6"/>
      <c r="I326" s="5" t="s">
        <v>466</v>
      </c>
      <c r="J326" s="6" t="e">
        <f t="shared" ca="1" si="0"/>
        <v>#NAME?</v>
      </c>
      <c r="K326" s="6" t="e">
        <f ca="1">VLOOKUP(J326,'Bảng Đơn vị'!$A$2:$B$10,2,1)</f>
        <v>#NAME?</v>
      </c>
      <c r="L326" s="7">
        <v>45991</v>
      </c>
      <c r="M326" s="8">
        <v>2025</v>
      </c>
      <c r="S326" s="9"/>
    </row>
    <row r="327" spans="1:19" ht="39.6" hidden="1">
      <c r="A327" s="5">
        <v>326</v>
      </c>
      <c r="B327" s="6"/>
      <c r="C327" s="6" t="str">
        <f t="shared" si="1"/>
        <v>Văn hoá ứng xử trong du lịch Việt Nam (qua nguồn tư liệu báo mạng): Những tồn tại và giải pháp</v>
      </c>
      <c r="D327" s="5" t="s">
        <v>533</v>
      </c>
      <c r="E327" s="5">
        <v>3180222087</v>
      </c>
      <c r="F327" s="6"/>
      <c r="G327" s="6"/>
      <c r="H327" s="6"/>
      <c r="I327" s="5" t="s">
        <v>466</v>
      </c>
      <c r="J327" s="6" t="e">
        <f t="shared" ca="1" si="0"/>
        <v>#NAME?</v>
      </c>
      <c r="K327" s="6" t="e">
        <f ca="1">VLOOKUP(J327,'Bảng Đơn vị'!$A$2:$B$10,2,1)</f>
        <v>#NAME?</v>
      </c>
      <c r="L327" s="7">
        <v>45992</v>
      </c>
      <c r="M327" s="8">
        <v>2025</v>
      </c>
      <c r="S327" s="9"/>
    </row>
    <row r="328" spans="1:19" ht="39.6" hidden="1">
      <c r="A328" s="5">
        <v>327</v>
      </c>
      <c r="B328" s="6"/>
      <c r="C328" s="6" t="str">
        <f t="shared" si="1"/>
        <v>Văn hoá ứng xử trong du lịch Việt Nam (qua nguồn tư liệu báo mạng): Những tồn tại và giải pháp</v>
      </c>
      <c r="D328" s="5" t="s">
        <v>534</v>
      </c>
      <c r="E328" s="5">
        <v>3180022022</v>
      </c>
      <c r="F328" s="6"/>
      <c r="G328" s="6"/>
      <c r="H328" s="6"/>
      <c r="I328" s="5" t="s">
        <v>466</v>
      </c>
      <c r="J328" s="6" t="e">
        <f t="shared" ca="1" si="0"/>
        <v>#NAME?</v>
      </c>
      <c r="K328" s="6" t="e">
        <f ca="1">VLOOKUP(J328,'Bảng Đơn vị'!$A$2:$B$10,2,1)</f>
        <v>#NAME?</v>
      </c>
      <c r="L328" s="7">
        <v>45993</v>
      </c>
      <c r="M328" s="8">
        <v>2025</v>
      </c>
      <c r="S328" s="9"/>
    </row>
    <row r="329" spans="1:19" ht="39.6" hidden="1">
      <c r="A329" s="5">
        <v>328</v>
      </c>
      <c r="B329" s="6"/>
      <c r="C329" s="6" t="str">
        <f t="shared" si="1"/>
        <v>Văn hoá ứng xử trong du lịch Việt Nam (qua nguồn tư liệu báo mạng): Những tồn tại và giải pháp</v>
      </c>
      <c r="D329" s="5" t="s">
        <v>535</v>
      </c>
      <c r="E329" s="5">
        <v>3180222095</v>
      </c>
      <c r="F329" s="6"/>
      <c r="G329" s="6"/>
      <c r="H329" s="6"/>
      <c r="I329" s="5" t="s">
        <v>466</v>
      </c>
      <c r="J329" s="6" t="e">
        <f t="shared" ca="1" si="0"/>
        <v>#NAME?</v>
      </c>
      <c r="K329" s="6" t="e">
        <f ca="1">VLOOKUP(J329,'Bảng Đơn vị'!$A$2:$B$10,2,1)</f>
        <v>#NAME?</v>
      </c>
      <c r="L329" s="7">
        <v>45994</v>
      </c>
      <c r="M329" s="8">
        <v>2025</v>
      </c>
      <c r="S329" s="9"/>
    </row>
    <row r="330" spans="1:19" ht="52.8" hidden="1">
      <c r="A330" s="5">
        <v>329</v>
      </c>
      <c r="B330" s="5" t="s">
        <v>536</v>
      </c>
      <c r="C330" s="6" t="str">
        <f t="shared" si="1"/>
        <v>Ứng dụng mô hình HOLSAT đánh giá sự hài lòng của khách du lịch nội địa thế hệ gen Z tại điểm đến Hội An, Quảng Nam</v>
      </c>
      <c r="D330" s="5" t="s">
        <v>537</v>
      </c>
      <c r="E330" s="5">
        <v>3180222146</v>
      </c>
      <c r="F330" s="5" t="s">
        <v>508</v>
      </c>
      <c r="G330" s="5" t="s">
        <v>538</v>
      </c>
      <c r="H330" s="6"/>
      <c r="I330" s="5" t="s">
        <v>466</v>
      </c>
      <c r="J330" s="6" t="e">
        <f t="shared" ca="1" si="0"/>
        <v>#NAME?</v>
      </c>
      <c r="K330" s="6" t="e">
        <f ca="1">VLOOKUP(J330,'Bảng Đơn vị'!$A$2:$B$10,2,1)</f>
        <v>#NAME?</v>
      </c>
      <c r="L330" s="7">
        <v>45995</v>
      </c>
      <c r="M330" s="8">
        <v>2025</v>
      </c>
      <c r="S330" s="9"/>
    </row>
    <row r="331" spans="1:19" ht="52.8" hidden="1">
      <c r="A331" s="5">
        <v>330</v>
      </c>
      <c r="B331" s="6"/>
      <c r="C331" s="6" t="str">
        <f t="shared" si="1"/>
        <v>Ứng dụng mô hình HOLSAT đánh giá sự hài lòng của khách du lịch nội địa thế hệ gen Z tại điểm đến Hội An, Quảng Nam</v>
      </c>
      <c r="D331" s="5" t="s">
        <v>539</v>
      </c>
      <c r="E331" s="5">
        <v>3180222031</v>
      </c>
      <c r="F331" s="6"/>
      <c r="G331" s="6"/>
      <c r="H331" s="6"/>
      <c r="I331" s="5" t="s">
        <v>466</v>
      </c>
      <c r="J331" s="6" t="e">
        <f t="shared" ca="1" si="0"/>
        <v>#NAME?</v>
      </c>
      <c r="K331" s="6" t="e">
        <f ca="1">VLOOKUP(J331,'Bảng Đơn vị'!$A$2:$B$10,2,1)</f>
        <v>#NAME?</v>
      </c>
      <c r="L331" s="7">
        <v>45996</v>
      </c>
      <c r="M331" s="8">
        <v>2025</v>
      </c>
      <c r="S331" s="9"/>
    </row>
    <row r="332" spans="1:19" ht="52.8" hidden="1">
      <c r="A332" s="5">
        <v>331</v>
      </c>
      <c r="B332" s="6"/>
      <c r="C332" s="6" t="str">
        <f t="shared" si="1"/>
        <v>Ứng dụng mô hình HOLSAT đánh giá sự hài lòng của khách du lịch nội địa thế hệ gen Z tại điểm đến Hội An, Quảng Nam</v>
      </c>
      <c r="D332" s="5" t="s">
        <v>540</v>
      </c>
      <c r="E332" s="5">
        <v>3180222140</v>
      </c>
      <c r="F332" s="6"/>
      <c r="G332" s="6"/>
      <c r="H332" s="6"/>
      <c r="I332" s="5" t="s">
        <v>466</v>
      </c>
      <c r="J332" s="6" t="e">
        <f t="shared" ca="1" si="0"/>
        <v>#NAME?</v>
      </c>
      <c r="K332" s="6" t="e">
        <f ca="1">VLOOKUP(J332,'Bảng Đơn vị'!$A$2:$B$10,2,1)</f>
        <v>#NAME?</v>
      </c>
      <c r="L332" s="7">
        <v>45997</v>
      </c>
      <c r="M332" s="8">
        <v>2025</v>
      </c>
      <c r="S332" s="9"/>
    </row>
    <row r="333" spans="1:19" ht="52.8" hidden="1">
      <c r="A333" s="5">
        <v>332</v>
      </c>
      <c r="B333" s="6"/>
      <c r="C333" s="6" t="str">
        <f t="shared" si="1"/>
        <v>Ứng dụng mô hình HOLSAT đánh giá sự hài lòng của khách du lịch nội địa thế hệ gen Z tại điểm đến Hội An, Quảng Nam</v>
      </c>
      <c r="D333" s="5" t="s">
        <v>541</v>
      </c>
      <c r="E333" s="5">
        <v>3180222144</v>
      </c>
      <c r="F333" s="6"/>
      <c r="G333" s="6"/>
      <c r="H333" s="6"/>
      <c r="I333" s="5" t="s">
        <v>466</v>
      </c>
      <c r="J333" s="6" t="e">
        <f t="shared" ca="1" si="0"/>
        <v>#NAME?</v>
      </c>
      <c r="K333" s="6" t="e">
        <f ca="1">VLOOKUP(J333,'Bảng Đơn vị'!$A$2:$B$10,2,1)</f>
        <v>#NAME?</v>
      </c>
      <c r="L333" s="7">
        <v>45998</v>
      </c>
      <c r="M333" s="8">
        <v>2025</v>
      </c>
      <c r="S333" s="9"/>
    </row>
    <row r="334" spans="1:19" ht="52.8" hidden="1">
      <c r="A334" s="5">
        <v>333</v>
      </c>
      <c r="B334" s="6"/>
      <c r="C334" s="6" t="str">
        <f t="shared" si="1"/>
        <v>Ứng dụng mô hình HOLSAT đánh giá sự hài lòng của khách du lịch nội địa thế hệ gen Z tại điểm đến Hội An, Quảng Nam</v>
      </c>
      <c r="D334" s="5" t="s">
        <v>542</v>
      </c>
      <c r="E334" s="5">
        <v>3180222119</v>
      </c>
      <c r="F334" s="6"/>
      <c r="G334" s="6"/>
      <c r="H334" s="6"/>
      <c r="I334" s="5" t="s">
        <v>466</v>
      </c>
      <c r="J334" s="6" t="e">
        <f t="shared" ca="1" si="0"/>
        <v>#NAME?</v>
      </c>
      <c r="K334" s="6" t="e">
        <f ca="1">VLOOKUP(J334,'Bảng Đơn vị'!$A$2:$B$10,2,1)</f>
        <v>#NAME?</v>
      </c>
      <c r="L334" s="7">
        <v>45999</v>
      </c>
      <c r="M334" s="8">
        <v>2025</v>
      </c>
      <c r="S334" s="9"/>
    </row>
    <row r="335" spans="1:19" ht="52.8" hidden="1">
      <c r="A335" s="5">
        <v>334</v>
      </c>
      <c r="B335" s="5" t="s">
        <v>543</v>
      </c>
      <c r="C335" s="6" t="str">
        <f t="shared" si="1"/>
        <v>Bảo vệ quyền của người sinh ra từ kỹ thuật thụ tinh trong ống nghiệm và mang thai hộ theo pháp luật Việt Nam</v>
      </c>
      <c r="D335" s="5" t="s">
        <v>544</v>
      </c>
      <c r="E335" s="5">
        <v>3160523026</v>
      </c>
      <c r="F335" s="5" t="s">
        <v>545</v>
      </c>
      <c r="G335" s="5" t="s">
        <v>546</v>
      </c>
      <c r="H335" s="6"/>
      <c r="I335" s="5" t="s">
        <v>547</v>
      </c>
      <c r="J335" s="6" t="e">
        <f t="shared" ca="1" si="0"/>
        <v>#NAME?</v>
      </c>
      <c r="K335" s="6" t="e">
        <f ca="1">VLOOKUP(J335,'Bảng Đơn vị'!$A$2:$B$10,2,1)</f>
        <v>#NAME?</v>
      </c>
      <c r="L335" s="7">
        <v>46000</v>
      </c>
      <c r="M335" s="8">
        <v>2025</v>
      </c>
      <c r="S335" s="9"/>
    </row>
    <row r="336" spans="1:19" ht="52.8" hidden="1">
      <c r="A336" s="5">
        <v>335</v>
      </c>
      <c r="B336" s="6"/>
      <c r="C336" s="6" t="str">
        <f t="shared" si="1"/>
        <v>Bảo vệ quyền của người sinh ra từ kỹ thuật thụ tinh trong ống nghiệm và mang thai hộ theo pháp luật Việt Nam</v>
      </c>
      <c r="D336" s="5" t="s">
        <v>548</v>
      </c>
      <c r="E336" s="5">
        <v>3160523011</v>
      </c>
      <c r="F336" s="6"/>
      <c r="G336" s="6"/>
      <c r="H336" s="6"/>
      <c r="I336" s="5" t="s">
        <v>547</v>
      </c>
      <c r="J336" s="6" t="e">
        <f t="shared" ca="1" si="0"/>
        <v>#NAME?</v>
      </c>
      <c r="K336" s="6" t="e">
        <f ca="1">VLOOKUP(J336,'Bảng Đơn vị'!$A$2:$B$10,2,1)</f>
        <v>#NAME?</v>
      </c>
      <c r="L336" s="11">
        <v>45940</v>
      </c>
      <c r="M336" s="8">
        <v>2025</v>
      </c>
      <c r="S336" s="9"/>
    </row>
    <row r="337" spans="1:19" ht="52.8" hidden="1">
      <c r="A337" s="5">
        <v>336</v>
      </c>
      <c r="B337" s="5" t="s">
        <v>549</v>
      </c>
      <c r="C337" s="6" t="str">
        <f t="shared" si="1"/>
        <v>Giáo dục lòng yêu nước và ý thức trách nhiệm cộng đồng cho học sinh Trung học cơ sở trên địa bàn thành phố Đà nẵng</v>
      </c>
      <c r="D337" s="5" t="s">
        <v>550</v>
      </c>
      <c r="E337" s="5">
        <v>3160523048</v>
      </c>
      <c r="F337" s="5" t="s">
        <v>545</v>
      </c>
      <c r="G337" s="5" t="s">
        <v>551</v>
      </c>
      <c r="H337" s="6"/>
      <c r="I337" s="5" t="s">
        <v>547</v>
      </c>
      <c r="J337" s="6" t="e">
        <f t="shared" ca="1" si="0"/>
        <v>#NAME?</v>
      </c>
      <c r="K337" s="6" t="e">
        <f ca="1">VLOOKUP(J337,'Bảng Đơn vị'!$A$2:$B$10,2,1)</f>
        <v>#NAME?</v>
      </c>
      <c r="L337" s="11">
        <v>45941</v>
      </c>
      <c r="M337" s="8">
        <v>2025</v>
      </c>
      <c r="S337" s="9"/>
    </row>
    <row r="338" spans="1:19" ht="52.8" hidden="1">
      <c r="A338" s="5">
        <v>337</v>
      </c>
      <c r="B338" s="6"/>
      <c r="C338" s="6" t="str">
        <f t="shared" si="1"/>
        <v>Giáo dục lòng yêu nước và ý thức trách nhiệm cộng đồng cho học sinh Trung học cơ sở trên địa bàn thành phố Đà nẵng</v>
      </c>
      <c r="D338" s="5" t="s">
        <v>552</v>
      </c>
      <c r="E338" s="5">
        <v>3160523016</v>
      </c>
      <c r="F338" s="6"/>
      <c r="G338" s="6"/>
      <c r="H338" s="6"/>
      <c r="I338" s="5" t="s">
        <v>547</v>
      </c>
      <c r="J338" s="6" t="e">
        <f t="shared" ca="1" si="0"/>
        <v>#NAME?</v>
      </c>
      <c r="K338" s="6" t="e">
        <f ca="1">VLOOKUP(J338,'Bảng Đơn vị'!$A$2:$B$10,2,1)</f>
        <v>#NAME?</v>
      </c>
      <c r="L338" s="11">
        <v>45942</v>
      </c>
      <c r="M338" s="8">
        <v>2025</v>
      </c>
      <c r="S338" s="9"/>
    </row>
    <row r="339" spans="1:19" ht="52.8" hidden="1">
      <c r="A339" s="5">
        <v>338</v>
      </c>
      <c r="B339" s="6"/>
      <c r="C339" s="6" t="str">
        <f t="shared" si="1"/>
        <v>Giáo dục lòng yêu nước và ý thức trách nhiệm cộng đồng cho học sinh Trung học cơ sở trên địa bàn thành phố Đà nẵng</v>
      </c>
      <c r="D339" s="5" t="s">
        <v>553</v>
      </c>
      <c r="E339" s="5">
        <v>3160523002</v>
      </c>
      <c r="F339" s="6"/>
      <c r="G339" s="6"/>
      <c r="H339" s="6"/>
      <c r="I339" s="5" t="s">
        <v>547</v>
      </c>
      <c r="J339" s="6" t="e">
        <f t="shared" ca="1" si="0"/>
        <v>#NAME?</v>
      </c>
      <c r="K339" s="6" t="e">
        <f ca="1">VLOOKUP(J339,'Bảng Đơn vị'!$A$2:$B$10,2,1)</f>
        <v>#NAME?</v>
      </c>
      <c r="L339" s="11">
        <v>45943</v>
      </c>
      <c r="M339" s="8">
        <v>2025</v>
      </c>
      <c r="S339" s="9"/>
    </row>
    <row r="340" spans="1:19" ht="66" hidden="1">
      <c r="A340" s="5">
        <v>339</v>
      </c>
      <c r="B340" s="5" t="s">
        <v>554</v>
      </c>
      <c r="C340" s="6" t="str">
        <f t="shared" si="1"/>
        <v>Ảnh hưởng của việc sử dụng mạng xã hội Facebook đến học tập của học sinh Trung học Phổ thông trên địa bàn quận Liên Chiểu thành phố Đà Nẵng</v>
      </c>
      <c r="D340" s="5" t="s">
        <v>555</v>
      </c>
      <c r="E340" s="10">
        <v>3160523028</v>
      </c>
      <c r="F340" s="5" t="s">
        <v>545</v>
      </c>
      <c r="G340" s="5" t="s">
        <v>551</v>
      </c>
      <c r="H340" s="6"/>
      <c r="I340" s="5" t="s">
        <v>547</v>
      </c>
      <c r="J340" s="6" t="e">
        <f t="shared" ca="1" si="0"/>
        <v>#NAME?</v>
      </c>
      <c r="K340" s="6" t="e">
        <f ca="1">VLOOKUP(J340,'Bảng Đơn vị'!$A$2:$B$10,2,1)</f>
        <v>#NAME?</v>
      </c>
      <c r="L340" s="11">
        <v>45944</v>
      </c>
      <c r="M340" s="8">
        <v>2025</v>
      </c>
      <c r="S340" s="9"/>
    </row>
    <row r="341" spans="1:19" ht="52.8" hidden="1">
      <c r="A341" s="5">
        <v>340</v>
      </c>
      <c r="B341" s="5" t="s">
        <v>556</v>
      </c>
      <c r="C341" s="6" t="str">
        <f t="shared" si="1"/>
        <v>Phòng chống bạo hành trẻ em ở các trường THCS qua thực tiễn thực hiện tại quận Liên Chiểu, Đà Nẵng.</v>
      </c>
      <c r="D341" s="5" t="s">
        <v>557</v>
      </c>
      <c r="E341" s="5">
        <v>3160523047</v>
      </c>
      <c r="F341" s="5" t="s">
        <v>545</v>
      </c>
      <c r="G341" s="5" t="s">
        <v>558</v>
      </c>
      <c r="H341" s="6"/>
      <c r="I341" s="5" t="s">
        <v>547</v>
      </c>
      <c r="J341" s="6" t="e">
        <f t="shared" ca="1" si="0"/>
        <v>#NAME?</v>
      </c>
      <c r="K341" s="6" t="e">
        <f ca="1">VLOOKUP(J341,'Bảng Đơn vị'!$A$2:$B$10,2,1)</f>
        <v>#NAME?</v>
      </c>
      <c r="L341" s="11">
        <v>45945</v>
      </c>
      <c r="M341" s="8">
        <v>2025</v>
      </c>
      <c r="S341" s="9"/>
    </row>
    <row r="342" spans="1:19" ht="52.8" hidden="1">
      <c r="A342" s="5">
        <v>341</v>
      </c>
      <c r="B342" s="6"/>
      <c r="C342" s="6" t="str">
        <f t="shared" si="1"/>
        <v>Phòng chống bạo hành trẻ em ở các trường THCS qua thực tiễn thực hiện tại quận Liên Chiểu, Đà Nẵng.</v>
      </c>
      <c r="D342" s="5" t="s">
        <v>559</v>
      </c>
      <c r="E342" s="5">
        <v>3160523024</v>
      </c>
      <c r="F342" s="6"/>
      <c r="G342" s="6"/>
      <c r="H342" s="6"/>
      <c r="I342" s="5" t="s">
        <v>547</v>
      </c>
      <c r="J342" s="6" t="e">
        <f t="shared" ca="1" si="0"/>
        <v>#NAME?</v>
      </c>
      <c r="K342" s="6" t="e">
        <f ca="1">VLOOKUP(J342,'Bảng Đơn vị'!$A$2:$B$10,2,1)</f>
        <v>#NAME?</v>
      </c>
      <c r="L342" s="11">
        <v>45946</v>
      </c>
      <c r="M342" s="8">
        <v>2025</v>
      </c>
      <c r="S342" s="9"/>
    </row>
    <row r="343" spans="1:19" ht="52.8" hidden="1">
      <c r="A343" s="5">
        <v>342</v>
      </c>
      <c r="B343" s="6"/>
      <c r="C343" s="6" t="str">
        <f t="shared" si="1"/>
        <v>Phòng chống bạo hành trẻ em ở các trường THCS qua thực tiễn thực hiện tại quận Liên Chiểu, Đà Nẵng.</v>
      </c>
      <c r="D343" s="5" t="s">
        <v>560</v>
      </c>
      <c r="E343" s="5">
        <v>3160523017</v>
      </c>
      <c r="F343" s="6"/>
      <c r="G343" s="6"/>
      <c r="H343" s="6"/>
      <c r="I343" s="5" t="s">
        <v>547</v>
      </c>
      <c r="J343" s="6" t="e">
        <f t="shared" ca="1" si="0"/>
        <v>#NAME?</v>
      </c>
      <c r="K343" s="6" t="e">
        <f ca="1">VLOOKUP(J343,'Bảng Đơn vị'!$A$2:$B$10,2,1)</f>
        <v>#NAME?</v>
      </c>
      <c r="L343" s="11">
        <v>45947</v>
      </c>
      <c r="M343" s="8">
        <v>2025</v>
      </c>
      <c r="S343" s="9"/>
    </row>
    <row r="344" spans="1:19" ht="52.8" hidden="1">
      <c r="A344" s="5">
        <v>343</v>
      </c>
      <c r="B344" s="5" t="s">
        <v>561</v>
      </c>
      <c r="C344" s="6" t="str">
        <f t="shared" si="1"/>
        <v>Nâng cao ý thức trách nhiệm học sinh của học sinh trường THCS Ngô Thì Nhậm thông qua hoạt động Đội</v>
      </c>
      <c r="D344" s="5" t="s">
        <v>562</v>
      </c>
      <c r="E344" s="5">
        <v>3160123009</v>
      </c>
      <c r="F344" s="5" t="s">
        <v>563</v>
      </c>
      <c r="G344" s="5" t="s">
        <v>558</v>
      </c>
      <c r="H344" s="6"/>
      <c r="I344" s="5" t="s">
        <v>547</v>
      </c>
      <c r="J344" s="6" t="e">
        <f t="shared" ca="1" si="0"/>
        <v>#NAME?</v>
      </c>
      <c r="K344" s="6" t="e">
        <f ca="1">VLOOKUP(J344,'Bảng Đơn vị'!$A$2:$B$10,2,1)</f>
        <v>#NAME?</v>
      </c>
      <c r="L344" s="11">
        <v>45948</v>
      </c>
      <c r="M344" s="8">
        <v>2025</v>
      </c>
      <c r="S344" s="9"/>
    </row>
    <row r="345" spans="1:19" ht="52.8" hidden="1">
      <c r="A345" s="5">
        <v>344</v>
      </c>
      <c r="B345" s="6"/>
      <c r="C345" s="6" t="str">
        <f t="shared" si="1"/>
        <v>Nâng cao ý thức trách nhiệm học sinh của học sinh trường THCS Ngô Thì Nhậm thông qua hoạt động Đội</v>
      </c>
      <c r="D345" s="5" t="s">
        <v>564</v>
      </c>
      <c r="E345" s="5">
        <v>3160123021</v>
      </c>
      <c r="F345" s="6"/>
      <c r="G345" s="6"/>
      <c r="H345" s="6"/>
      <c r="I345" s="5" t="s">
        <v>547</v>
      </c>
      <c r="J345" s="6" t="e">
        <f t="shared" ca="1" si="0"/>
        <v>#NAME?</v>
      </c>
      <c r="K345" s="6" t="e">
        <f ca="1">VLOOKUP(J345,'Bảng Đơn vị'!$A$2:$B$10,2,1)</f>
        <v>#NAME?</v>
      </c>
      <c r="L345" s="11">
        <v>45949</v>
      </c>
      <c r="M345" s="8">
        <v>2025</v>
      </c>
      <c r="S345" s="9"/>
    </row>
    <row r="346" spans="1:19" ht="66" hidden="1">
      <c r="A346" s="5">
        <v>345</v>
      </c>
      <c r="B346" s="5" t="s">
        <v>565</v>
      </c>
      <c r="C346" s="6" t="str">
        <f t="shared" si="1"/>
        <v>Một Số Giải Pháp Nhằm Nâng Cao Văn Hóa Ứng Xử Cho Sinh Viên Khoa Gíao Dục Chính Trị-Trường Đh Sư Phạm- Đại Học Đà Nẵng.</v>
      </c>
      <c r="D346" s="5" t="s">
        <v>566</v>
      </c>
      <c r="E346" s="5">
        <v>3160123013</v>
      </c>
      <c r="F346" s="5" t="s">
        <v>563</v>
      </c>
      <c r="G346" s="5" t="s">
        <v>567</v>
      </c>
      <c r="H346" s="6"/>
      <c r="I346" s="5" t="s">
        <v>547</v>
      </c>
      <c r="J346" s="6" t="e">
        <f t="shared" ca="1" si="0"/>
        <v>#NAME?</v>
      </c>
      <c r="K346" s="6" t="e">
        <f ca="1">VLOOKUP(J346,'Bảng Đơn vị'!$A$2:$B$10,2,1)</f>
        <v>#NAME?</v>
      </c>
      <c r="L346" s="11">
        <v>45950</v>
      </c>
      <c r="M346" s="8">
        <v>2025</v>
      </c>
      <c r="S346" s="9"/>
    </row>
    <row r="347" spans="1:19" ht="66" hidden="1">
      <c r="A347" s="5">
        <v>346</v>
      </c>
      <c r="B347" s="6"/>
      <c r="C347" s="6" t="str">
        <f t="shared" si="1"/>
        <v>Một Số Giải Pháp Nhằm Nâng Cao Văn Hóa Ứng Xử Cho Sinh Viên Khoa Gíao Dục Chính Trị-Trường Đh Sư Phạm- Đại Học Đà Nẵng.</v>
      </c>
      <c r="D347" s="5" t="s">
        <v>568</v>
      </c>
      <c r="E347" s="5">
        <v>3160123023</v>
      </c>
      <c r="F347" s="6"/>
      <c r="G347" s="6"/>
      <c r="H347" s="6"/>
      <c r="I347" s="5" t="s">
        <v>547</v>
      </c>
      <c r="J347" s="6" t="e">
        <f t="shared" ca="1" si="0"/>
        <v>#NAME?</v>
      </c>
      <c r="K347" s="6" t="e">
        <f ca="1">VLOOKUP(J347,'Bảng Đơn vị'!$A$2:$B$10,2,1)</f>
        <v>#NAME?</v>
      </c>
      <c r="L347" s="11">
        <v>45951</v>
      </c>
      <c r="M347" s="8">
        <v>2025</v>
      </c>
      <c r="S347" s="9"/>
    </row>
    <row r="348" spans="1:19" ht="66" hidden="1">
      <c r="A348" s="5">
        <v>347</v>
      </c>
      <c r="B348" s="6"/>
      <c r="C348" s="6" t="str">
        <f t="shared" si="1"/>
        <v>Một Số Giải Pháp Nhằm Nâng Cao Văn Hóa Ứng Xử Cho Sinh Viên Khoa Gíao Dục Chính Trị-Trường Đh Sư Phạm- Đại Học Đà Nẵng.</v>
      </c>
      <c r="D348" s="5" t="s">
        <v>569</v>
      </c>
      <c r="E348" s="5">
        <v>3160123008</v>
      </c>
      <c r="F348" s="6"/>
      <c r="G348" s="6"/>
      <c r="H348" s="6"/>
      <c r="I348" s="5" t="s">
        <v>547</v>
      </c>
      <c r="J348" s="6" t="e">
        <f t="shared" ca="1" si="0"/>
        <v>#NAME?</v>
      </c>
      <c r="K348" s="6" t="e">
        <f ca="1">VLOOKUP(J348,'Bảng Đơn vị'!$A$2:$B$10,2,1)</f>
        <v>#NAME?</v>
      </c>
      <c r="L348" s="11">
        <v>45952</v>
      </c>
      <c r="M348" s="8">
        <v>2025</v>
      </c>
      <c r="S348" s="9"/>
    </row>
    <row r="349" spans="1:19" ht="66" hidden="1">
      <c r="A349" s="5">
        <v>348</v>
      </c>
      <c r="B349" s="6"/>
      <c r="C349" s="6" t="str">
        <f t="shared" si="1"/>
        <v>Một Số Giải Pháp Nhằm Nâng Cao Văn Hóa Ứng Xử Cho Sinh Viên Khoa Gíao Dục Chính Trị-Trường Đh Sư Phạm- Đại Học Đà Nẵng.</v>
      </c>
      <c r="D349" s="5" t="s">
        <v>570</v>
      </c>
      <c r="E349" s="5">
        <v>3160123002</v>
      </c>
      <c r="F349" s="6"/>
      <c r="G349" s="6"/>
      <c r="H349" s="6"/>
      <c r="I349" s="5" t="s">
        <v>547</v>
      </c>
      <c r="J349" s="6" t="e">
        <f t="shared" ca="1" si="0"/>
        <v>#NAME?</v>
      </c>
      <c r="K349" s="6" t="e">
        <f ca="1">VLOOKUP(J349,'Bảng Đơn vị'!$A$2:$B$10,2,1)</f>
        <v>#NAME?</v>
      </c>
      <c r="L349" s="11">
        <v>45953</v>
      </c>
      <c r="M349" s="8">
        <v>2025</v>
      </c>
      <c r="S349" s="9"/>
    </row>
    <row r="350" spans="1:19" ht="52.8" hidden="1">
      <c r="A350" s="5">
        <v>349</v>
      </c>
      <c r="B350" s="5" t="s">
        <v>571</v>
      </c>
      <c r="C350" s="6" t="str">
        <f t="shared" si="1"/>
        <v>Giáo dục ý thức bảo vệ chủ quyền biển đảo cho sinh viên Trường Đại Học sư phạm - Đại Học Đà Nẵng</v>
      </c>
      <c r="D350" s="5" t="s">
        <v>572</v>
      </c>
      <c r="E350" s="5">
        <v>3160523039</v>
      </c>
      <c r="F350" s="5" t="s">
        <v>545</v>
      </c>
      <c r="G350" s="5" t="s">
        <v>567</v>
      </c>
      <c r="H350" s="6"/>
      <c r="I350" s="5" t="s">
        <v>547</v>
      </c>
      <c r="J350" s="6" t="e">
        <f t="shared" ca="1" si="0"/>
        <v>#NAME?</v>
      </c>
      <c r="K350" s="6" t="e">
        <f ca="1">VLOOKUP(J350,'Bảng Đơn vị'!$A$2:$B$10,2,1)</f>
        <v>#NAME?</v>
      </c>
      <c r="L350" s="11">
        <v>45954</v>
      </c>
      <c r="M350" s="8">
        <v>2025</v>
      </c>
      <c r="S350" s="9"/>
    </row>
    <row r="351" spans="1:19" ht="52.8" hidden="1">
      <c r="A351" s="5">
        <v>350</v>
      </c>
      <c r="B351" s="6"/>
      <c r="C351" s="6" t="str">
        <f t="shared" si="1"/>
        <v>Giáo dục ý thức bảo vệ chủ quyền biển đảo cho sinh viên Trường Đại Học sư phạm - Đại Học Đà Nẵng</v>
      </c>
      <c r="D351" s="5" t="s">
        <v>573</v>
      </c>
      <c r="E351" s="5">
        <v>3160523043</v>
      </c>
      <c r="F351" s="6"/>
      <c r="G351" s="6"/>
      <c r="H351" s="6"/>
      <c r="I351" s="5" t="s">
        <v>547</v>
      </c>
      <c r="J351" s="6" t="e">
        <f t="shared" ca="1" si="0"/>
        <v>#NAME?</v>
      </c>
      <c r="K351" s="6" t="e">
        <f ca="1">VLOOKUP(J351,'Bảng Đơn vị'!$A$2:$B$10,2,1)</f>
        <v>#NAME?</v>
      </c>
      <c r="L351" s="11">
        <v>45955</v>
      </c>
      <c r="M351" s="8">
        <v>2025</v>
      </c>
      <c r="S351" s="9"/>
    </row>
    <row r="352" spans="1:19" ht="52.8" hidden="1">
      <c r="A352" s="5">
        <v>351</v>
      </c>
      <c r="B352" s="6"/>
      <c r="C352" s="6" t="str">
        <f t="shared" si="1"/>
        <v>Giáo dục ý thức bảo vệ chủ quyền biển đảo cho sinh viên Trường Đại Học sư phạm - Đại Học Đà Nẵng</v>
      </c>
      <c r="D352" s="5" t="s">
        <v>574</v>
      </c>
      <c r="E352" s="5">
        <v>3160523029</v>
      </c>
      <c r="F352" s="6"/>
      <c r="G352" s="6"/>
      <c r="H352" s="6"/>
      <c r="I352" s="5" t="s">
        <v>547</v>
      </c>
      <c r="J352" s="6" t="e">
        <f t="shared" ca="1" si="0"/>
        <v>#NAME?</v>
      </c>
      <c r="K352" s="6" t="e">
        <f ca="1">VLOOKUP(J352,'Bảng Đơn vị'!$A$2:$B$10,2,1)</f>
        <v>#NAME?</v>
      </c>
      <c r="L352" s="11">
        <v>45956</v>
      </c>
      <c r="M352" s="8">
        <v>2025</v>
      </c>
      <c r="S352" s="9"/>
    </row>
    <row r="353" spans="1:19" ht="52.8" hidden="1">
      <c r="A353" s="5">
        <v>352</v>
      </c>
      <c r="B353" s="6"/>
      <c r="C353" s="6" t="str">
        <f t="shared" si="1"/>
        <v>Giáo dục ý thức bảo vệ chủ quyền biển đảo cho sinh viên Trường Đại Học sư phạm - Đại Học Đà Nẵng</v>
      </c>
      <c r="D353" s="5" t="s">
        <v>575</v>
      </c>
      <c r="E353" s="5">
        <v>3160523052</v>
      </c>
      <c r="F353" s="6"/>
      <c r="G353" s="6"/>
      <c r="H353" s="6"/>
      <c r="I353" s="5" t="s">
        <v>547</v>
      </c>
      <c r="J353" s="6" t="e">
        <f t="shared" ca="1" si="0"/>
        <v>#NAME?</v>
      </c>
      <c r="K353" s="6" t="e">
        <f ca="1">VLOOKUP(J353,'Bảng Đơn vị'!$A$2:$B$10,2,1)</f>
        <v>#NAME?</v>
      </c>
      <c r="L353" s="11">
        <v>45957</v>
      </c>
      <c r="M353" s="8">
        <v>2025</v>
      </c>
      <c r="S353" s="9"/>
    </row>
    <row r="354" spans="1:19" ht="52.8" hidden="1">
      <c r="A354" s="5">
        <v>353</v>
      </c>
      <c r="B354" s="6"/>
      <c r="C354" s="6" t="str">
        <f t="shared" si="1"/>
        <v>Giáo dục ý thức bảo vệ chủ quyền biển đảo cho sinh viên Trường Đại Học sư phạm - Đại Học Đà Nẵng</v>
      </c>
      <c r="D354" s="5" t="s">
        <v>576</v>
      </c>
      <c r="E354" s="5">
        <v>3160523030</v>
      </c>
      <c r="F354" s="6"/>
      <c r="G354" s="6"/>
      <c r="H354" s="6"/>
      <c r="I354" s="5" t="s">
        <v>547</v>
      </c>
      <c r="J354" s="6" t="e">
        <f t="shared" ca="1" si="0"/>
        <v>#NAME?</v>
      </c>
      <c r="K354" s="6" t="e">
        <f ca="1">VLOOKUP(J354,'Bảng Đơn vị'!$A$2:$B$10,2,1)</f>
        <v>#NAME?</v>
      </c>
      <c r="L354" s="11">
        <v>45958</v>
      </c>
      <c r="M354" s="8">
        <v>2025</v>
      </c>
      <c r="S354" s="9"/>
    </row>
    <row r="355" spans="1:19" ht="52.8" hidden="1">
      <c r="A355" s="5">
        <v>354</v>
      </c>
      <c r="B355" s="5" t="s">
        <v>577</v>
      </c>
      <c r="C355" s="6" t="str">
        <f t="shared" si="1"/>
        <v>Pháp luật về đảm bảo quyền học tập của trẻ em ở Việt Nam</v>
      </c>
      <c r="D355" s="5" t="s">
        <v>578</v>
      </c>
      <c r="E355" s="5">
        <v>3160523038</v>
      </c>
      <c r="F355" s="5" t="s">
        <v>545</v>
      </c>
      <c r="G355" s="5" t="s">
        <v>579</v>
      </c>
      <c r="H355" s="6"/>
      <c r="I355" s="5" t="s">
        <v>547</v>
      </c>
      <c r="J355" s="6" t="e">
        <f t="shared" ca="1" si="0"/>
        <v>#NAME?</v>
      </c>
      <c r="K355" s="6" t="e">
        <f ca="1">VLOOKUP(J355,'Bảng Đơn vị'!$A$2:$B$10,2,1)</f>
        <v>#NAME?</v>
      </c>
      <c r="L355" s="11">
        <v>45959</v>
      </c>
      <c r="M355" s="8">
        <v>2025</v>
      </c>
      <c r="S355" s="9"/>
    </row>
    <row r="356" spans="1:19" ht="52.8" hidden="1">
      <c r="A356" s="5">
        <v>355</v>
      </c>
      <c r="B356" s="6"/>
      <c r="C356" s="6" t="str">
        <f t="shared" si="1"/>
        <v>Pháp luật về đảm bảo quyền học tập của trẻ em ở Việt Nam</v>
      </c>
      <c r="D356" s="5" t="s">
        <v>580</v>
      </c>
      <c r="E356" s="5">
        <v>3160523045</v>
      </c>
      <c r="F356" s="6"/>
      <c r="G356" s="6"/>
      <c r="H356" s="6"/>
      <c r="I356" s="5" t="s">
        <v>547</v>
      </c>
      <c r="J356" s="6" t="e">
        <f t="shared" ca="1" si="0"/>
        <v>#NAME?</v>
      </c>
      <c r="K356" s="6" t="e">
        <f ca="1">VLOOKUP(J356,'Bảng Đơn vị'!$A$2:$B$10,2,1)</f>
        <v>#NAME?</v>
      </c>
      <c r="L356" s="11">
        <v>45960</v>
      </c>
      <c r="M356" s="8">
        <v>2025</v>
      </c>
      <c r="S356" s="9"/>
    </row>
    <row r="357" spans="1:19" ht="52.8" hidden="1">
      <c r="A357" s="5">
        <v>356</v>
      </c>
      <c r="B357" s="6"/>
      <c r="C357" s="6" t="str">
        <f t="shared" si="1"/>
        <v>Pháp luật về đảm bảo quyền học tập của trẻ em ở Việt Nam</v>
      </c>
      <c r="D357" s="5" t="s">
        <v>581</v>
      </c>
      <c r="E357" s="5">
        <v>3160523014</v>
      </c>
      <c r="F357" s="6"/>
      <c r="G357" s="6"/>
      <c r="H357" s="6"/>
      <c r="I357" s="5" t="s">
        <v>547</v>
      </c>
      <c r="J357" s="6" t="e">
        <f t="shared" ca="1" si="0"/>
        <v>#NAME?</v>
      </c>
      <c r="K357" s="6" t="e">
        <f ca="1">VLOOKUP(J357,'Bảng Đơn vị'!$A$2:$B$10,2,1)</f>
        <v>#NAME?</v>
      </c>
      <c r="L357" s="11">
        <v>45961</v>
      </c>
      <c r="M357" s="8">
        <v>2025</v>
      </c>
      <c r="S357" s="9"/>
    </row>
    <row r="358" spans="1:19" ht="52.8" hidden="1">
      <c r="A358" s="5">
        <v>357</v>
      </c>
      <c r="B358" s="5" t="s">
        <v>582</v>
      </c>
      <c r="C358" s="6" t="str">
        <f t="shared" si="1"/>
        <v>Bảo tồn và gìn giữ nét đẹp văn hóa lễ hội Cồng Chiêng Tây Nguyên trong cộng đồng tỉnh Gia Lai</v>
      </c>
      <c r="D358" s="5" t="s">
        <v>583</v>
      </c>
      <c r="E358" s="5">
        <v>3160523009</v>
      </c>
      <c r="F358" s="5" t="s">
        <v>545</v>
      </c>
      <c r="G358" s="5" t="s">
        <v>584</v>
      </c>
      <c r="H358" s="6"/>
      <c r="I358" s="5" t="s">
        <v>547</v>
      </c>
      <c r="J358" s="6" t="e">
        <f t="shared" ca="1" si="0"/>
        <v>#NAME?</v>
      </c>
      <c r="K358" s="6" t="e">
        <f ca="1">VLOOKUP(J358,'Bảng Đơn vị'!$A$2:$B$10,2,1)</f>
        <v>#NAME?</v>
      </c>
      <c r="L358" s="11">
        <v>45962</v>
      </c>
      <c r="M358" s="8">
        <v>2025</v>
      </c>
      <c r="S358" s="9"/>
    </row>
    <row r="359" spans="1:19" ht="52.8" hidden="1">
      <c r="A359" s="5">
        <v>358</v>
      </c>
      <c r="B359" s="6"/>
      <c r="C359" s="6" t="str">
        <f t="shared" si="1"/>
        <v>Bảo tồn và gìn giữ nét đẹp văn hóa lễ hội Cồng Chiêng Tây Nguyên trong cộng đồng tỉnh Gia Lai</v>
      </c>
      <c r="D359" s="5" t="s">
        <v>585</v>
      </c>
      <c r="E359" s="5">
        <v>3160523049</v>
      </c>
      <c r="F359" s="6"/>
      <c r="G359" s="6"/>
      <c r="H359" s="6"/>
      <c r="I359" s="5" t="s">
        <v>547</v>
      </c>
      <c r="J359" s="6" t="e">
        <f t="shared" ca="1" si="0"/>
        <v>#NAME?</v>
      </c>
      <c r="K359" s="6" t="e">
        <f ca="1">VLOOKUP(J359,'Bảng Đơn vị'!$A$2:$B$10,2,1)</f>
        <v>#NAME?</v>
      </c>
      <c r="L359" s="11">
        <v>45963</v>
      </c>
      <c r="M359" s="8">
        <v>2025</v>
      </c>
      <c r="S359" s="9"/>
    </row>
    <row r="360" spans="1:19" ht="52.8" hidden="1">
      <c r="A360" s="5">
        <v>359</v>
      </c>
      <c r="B360" s="6"/>
      <c r="C360" s="6" t="str">
        <f t="shared" si="1"/>
        <v>Bảo tồn và gìn giữ nét đẹp văn hóa lễ hội Cồng Chiêng Tây Nguyên trong cộng đồng tỉnh Gia Lai</v>
      </c>
      <c r="D360" s="5" t="s">
        <v>586</v>
      </c>
      <c r="E360" s="5">
        <v>3160523021</v>
      </c>
      <c r="F360" s="6"/>
      <c r="G360" s="6"/>
      <c r="H360" s="6"/>
      <c r="I360" s="5" t="s">
        <v>547</v>
      </c>
      <c r="J360" s="6" t="e">
        <f t="shared" ca="1" si="0"/>
        <v>#NAME?</v>
      </c>
      <c r="K360" s="6" t="e">
        <f ca="1">VLOOKUP(J360,'Bảng Đơn vị'!$A$2:$B$10,2,1)</f>
        <v>#NAME?</v>
      </c>
      <c r="L360" s="11">
        <v>45964</v>
      </c>
      <c r="M360" s="8">
        <v>2025</v>
      </c>
      <c r="S360" s="9"/>
    </row>
    <row r="361" spans="1:19" ht="52.8" hidden="1">
      <c r="A361" s="5">
        <v>360</v>
      </c>
      <c r="B361" s="5" t="s">
        <v>587</v>
      </c>
      <c r="C361" s="6" t="str">
        <f t="shared" si="1"/>
        <v>Thiết kế các năng lực và phẩm chất trong dạy học môn Giáo dục công dân lớp 6.</v>
      </c>
      <c r="D361" s="5" t="s">
        <v>588</v>
      </c>
      <c r="E361" s="5">
        <v>3160522032</v>
      </c>
      <c r="F361" s="5" t="s">
        <v>589</v>
      </c>
      <c r="G361" s="5" t="s">
        <v>590</v>
      </c>
      <c r="H361" s="6"/>
      <c r="I361" s="5" t="s">
        <v>547</v>
      </c>
      <c r="J361" s="6" t="e">
        <f t="shared" ca="1" si="0"/>
        <v>#NAME?</v>
      </c>
      <c r="K361" s="6" t="e">
        <f ca="1">VLOOKUP(J361,'Bảng Đơn vị'!$A$2:$B$10,2,1)</f>
        <v>#NAME?</v>
      </c>
      <c r="L361" s="11">
        <v>45965</v>
      </c>
      <c r="M361" s="8">
        <v>2025</v>
      </c>
      <c r="S361" s="9"/>
    </row>
    <row r="362" spans="1:19" ht="52.8" hidden="1">
      <c r="A362" s="5">
        <v>361</v>
      </c>
      <c r="B362" s="6"/>
      <c r="C362" s="6" t="str">
        <f t="shared" si="1"/>
        <v>Thiết kế các năng lực và phẩm chất trong dạy học môn Giáo dục công dân lớp 6.</v>
      </c>
      <c r="D362" s="5" t="s">
        <v>591</v>
      </c>
      <c r="E362" s="5">
        <v>3160522024</v>
      </c>
      <c r="F362" s="6"/>
      <c r="G362" s="6"/>
      <c r="H362" s="6"/>
      <c r="I362" s="5" t="s">
        <v>547</v>
      </c>
      <c r="J362" s="6" t="e">
        <f t="shared" ca="1" si="0"/>
        <v>#NAME?</v>
      </c>
      <c r="K362" s="6" t="e">
        <f ca="1">VLOOKUP(J362,'Bảng Đơn vị'!$A$2:$B$10,2,1)</f>
        <v>#NAME?</v>
      </c>
      <c r="L362" s="11">
        <v>45966</v>
      </c>
      <c r="M362" s="8">
        <v>2025</v>
      </c>
      <c r="S362" s="9"/>
    </row>
    <row r="363" spans="1:19" ht="52.8" hidden="1">
      <c r="A363" s="5">
        <v>362</v>
      </c>
      <c r="B363" s="6"/>
      <c r="C363" s="6" t="str">
        <f t="shared" si="1"/>
        <v>Thiết kế các năng lực và phẩm chất trong dạy học môn Giáo dục công dân lớp 6.</v>
      </c>
      <c r="D363" s="5" t="s">
        <v>592</v>
      </c>
      <c r="E363" s="5">
        <v>3160522036</v>
      </c>
      <c r="F363" s="6"/>
      <c r="G363" s="6"/>
      <c r="H363" s="6"/>
      <c r="I363" s="5" t="s">
        <v>547</v>
      </c>
      <c r="J363" s="6" t="e">
        <f t="shared" ca="1" si="0"/>
        <v>#NAME?</v>
      </c>
      <c r="K363" s="6" t="e">
        <f ca="1">VLOOKUP(J363,'Bảng Đơn vị'!$A$2:$B$10,2,1)</f>
        <v>#NAME?</v>
      </c>
      <c r="L363" s="11">
        <v>45967</v>
      </c>
      <c r="M363" s="8">
        <v>2025</v>
      </c>
      <c r="S363" s="9"/>
    </row>
    <row r="364" spans="1:19" ht="92.4" hidden="1">
      <c r="A364" s="5">
        <v>363</v>
      </c>
      <c r="B364" s="5" t="s">
        <v>593</v>
      </c>
      <c r="C364" s="6" t="str">
        <f t="shared" si="1"/>
        <v>Vận dụng phương pháp dạy học tình huống nhằm giáo dục pháp luật cho học sinh qua dạy học giáo dục kinh tế và pháp luật lớp 11, ở Trường trung học phổ thông Ngũ Hành Sơn, tại thành phố Đà Nẵng.</v>
      </c>
      <c r="D364" s="5" t="s">
        <v>594</v>
      </c>
      <c r="E364" s="5">
        <v>3160522025</v>
      </c>
      <c r="F364" s="5" t="s">
        <v>589</v>
      </c>
      <c r="G364" s="5" t="s">
        <v>590</v>
      </c>
      <c r="H364" s="6"/>
      <c r="I364" s="5" t="s">
        <v>547</v>
      </c>
      <c r="J364" s="6" t="e">
        <f t="shared" ca="1" si="0"/>
        <v>#NAME?</v>
      </c>
      <c r="K364" s="6" t="e">
        <f ca="1">VLOOKUP(J364,'Bảng Đơn vị'!$A$2:$B$10,2,1)</f>
        <v>#NAME?</v>
      </c>
      <c r="L364" s="11">
        <v>45968</v>
      </c>
      <c r="M364" s="8">
        <v>2025</v>
      </c>
      <c r="S364" s="9"/>
    </row>
    <row r="365" spans="1:19" ht="92.4" hidden="1">
      <c r="A365" s="5">
        <v>364</v>
      </c>
      <c r="B365" s="6"/>
      <c r="C365" s="6" t="str">
        <f t="shared" si="1"/>
        <v>Vận dụng phương pháp dạy học tình huống nhằm giáo dục pháp luật cho học sinh qua dạy học giáo dục kinh tế và pháp luật lớp 11, ở Trường trung học phổ thông Ngũ Hành Sơn, tại thành phố Đà Nẵng.</v>
      </c>
      <c r="D365" s="5" t="s">
        <v>595</v>
      </c>
      <c r="E365" s="5">
        <v>3160522051</v>
      </c>
      <c r="F365" s="6"/>
      <c r="G365" s="6"/>
      <c r="H365" s="6"/>
      <c r="I365" s="5" t="s">
        <v>547</v>
      </c>
      <c r="J365" s="6" t="e">
        <f t="shared" ca="1" si="0"/>
        <v>#NAME?</v>
      </c>
      <c r="K365" s="6" t="e">
        <f ca="1">VLOOKUP(J365,'Bảng Đơn vị'!$A$2:$B$10,2,1)</f>
        <v>#NAME?</v>
      </c>
      <c r="L365" s="11">
        <v>45969</v>
      </c>
      <c r="M365" s="8">
        <v>2025</v>
      </c>
      <c r="S365" s="9"/>
    </row>
    <row r="366" spans="1:19" ht="92.4" hidden="1">
      <c r="A366" s="5">
        <v>365</v>
      </c>
      <c r="B366" s="6"/>
      <c r="C366" s="6" t="str">
        <f t="shared" si="1"/>
        <v>Vận dụng phương pháp dạy học tình huống nhằm giáo dục pháp luật cho học sinh qua dạy học giáo dục kinh tế và pháp luật lớp 11, ở Trường trung học phổ thông Ngũ Hành Sơn, tại thành phố Đà Nẵng.</v>
      </c>
      <c r="D366" s="5" t="s">
        <v>596</v>
      </c>
      <c r="E366" s="5">
        <v>3160522009</v>
      </c>
      <c r="F366" s="6"/>
      <c r="G366" s="6"/>
      <c r="H366" s="6"/>
      <c r="I366" s="5" t="s">
        <v>547</v>
      </c>
      <c r="J366" s="6" t="e">
        <f t="shared" ca="1" si="0"/>
        <v>#NAME?</v>
      </c>
      <c r="K366" s="6" t="e">
        <f ca="1">VLOOKUP(J366,'Bảng Đơn vị'!$A$2:$B$10,2,1)</f>
        <v>#NAME?</v>
      </c>
      <c r="L366" s="11">
        <v>45970</v>
      </c>
      <c r="M366" s="8">
        <v>2025</v>
      </c>
      <c r="S366" s="9"/>
    </row>
    <row r="367" spans="1:19" ht="92.4" hidden="1">
      <c r="A367" s="5">
        <v>366</v>
      </c>
      <c r="B367" s="6"/>
      <c r="C367" s="6" t="str">
        <f t="shared" si="1"/>
        <v>Vận dụng phương pháp dạy học tình huống nhằm giáo dục pháp luật cho học sinh qua dạy học giáo dục kinh tế và pháp luật lớp 11, ở Trường trung học phổ thông Ngũ Hành Sơn, tại thành phố Đà Nẵng.</v>
      </c>
      <c r="D367" s="5" t="s">
        <v>597</v>
      </c>
      <c r="E367" s="5">
        <v>3160521059</v>
      </c>
      <c r="F367" s="6"/>
      <c r="G367" s="6"/>
      <c r="H367" s="6"/>
      <c r="I367" s="5" t="s">
        <v>547</v>
      </c>
      <c r="J367" s="6" t="e">
        <f t="shared" ca="1" si="0"/>
        <v>#NAME?</v>
      </c>
      <c r="K367" s="6" t="e">
        <f ca="1">VLOOKUP(J367,'Bảng Đơn vị'!$A$2:$B$10,2,1)</f>
        <v>#NAME?</v>
      </c>
      <c r="L367" s="11">
        <v>45971</v>
      </c>
      <c r="M367" s="8">
        <v>2025</v>
      </c>
      <c r="S367" s="9"/>
    </row>
    <row r="368" spans="1:19" ht="52.8" hidden="1">
      <c r="A368" s="5">
        <v>367</v>
      </c>
      <c r="B368" s="5" t="s">
        <v>598</v>
      </c>
      <c r="C368" s="6" t="str">
        <f t="shared" si="1"/>
        <v xml:space="preserve">Phòng chống bạo lực gia đình đối với phụ nữ qua thực tiễn tại Thị xã Điện bàn, tỉnh Quảng Nam. </v>
      </c>
      <c r="D368" s="5" t="s">
        <v>599</v>
      </c>
      <c r="E368" s="5">
        <v>3160522061</v>
      </c>
      <c r="F368" s="5" t="s">
        <v>589</v>
      </c>
      <c r="G368" s="5" t="s">
        <v>600</v>
      </c>
      <c r="H368" s="6"/>
      <c r="I368" s="5" t="s">
        <v>547</v>
      </c>
      <c r="J368" s="6" t="e">
        <f t="shared" ca="1" si="0"/>
        <v>#NAME?</v>
      </c>
      <c r="K368" s="6" t="e">
        <f ca="1">VLOOKUP(J368,'Bảng Đơn vị'!$A$2:$B$10,2,1)</f>
        <v>#NAME?</v>
      </c>
      <c r="L368" s="11">
        <v>45972</v>
      </c>
      <c r="M368" s="8">
        <v>2025</v>
      </c>
      <c r="S368" s="9"/>
    </row>
    <row r="369" spans="1:19" ht="52.8" hidden="1">
      <c r="A369" s="5">
        <v>368</v>
      </c>
      <c r="B369" s="6"/>
      <c r="C369" s="6" t="str">
        <f t="shared" si="1"/>
        <v xml:space="preserve">Phòng chống bạo lực gia đình đối với phụ nữ qua thực tiễn tại Thị xã Điện bàn, tỉnh Quảng Nam. </v>
      </c>
      <c r="D369" s="5" t="s">
        <v>601</v>
      </c>
      <c r="E369" s="5">
        <v>3160522005</v>
      </c>
      <c r="F369" s="6"/>
      <c r="G369" s="6"/>
      <c r="H369" s="6"/>
      <c r="I369" s="5" t="s">
        <v>547</v>
      </c>
      <c r="J369" s="6" t="e">
        <f t="shared" ca="1" si="0"/>
        <v>#NAME?</v>
      </c>
      <c r="K369" s="6" t="e">
        <f ca="1">VLOOKUP(J369,'Bảng Đơn vị'!$A$2:$B$10,2,1)</f>
        <v>#NAME?</v>
      </c>
      <c r="L369" s="11">
        <v>45973</v>
      </c>
      <c r="M369" s="8">
        <v>2025</v>
      </c>
      <c r="S369" s="9"/>
    </row>
    <row r="370" spans="1:19" ht="52.8" hidden="1">
      <c r="A370" s="5">
        <v>369</v>
      </c>
      <c r="B370" s="6"/>
      <c r="C370" s="6" t="str">
        <f t="shared" si="1"/>
        <v xml:space="preserve">Phòng chống bạo lực gia đình đối với phụ nữ qua thực tiễn tại Thị xã Điện bàn, tỉnh Quảng Nam. </v>
      </c>
      <c r="D370" s="5" t="s">
        <v>602</v>
      </c>
      <c r="E370" s="5">
        <v>3160522040</v>
      </c>
      <c r="F370" s="6"/>
      <c r="G370" s="6"/>
      <c r="H370" s="6"/>
      <c r="I370" s="5" t="s">
        <v>547</v>
      </c>
      <c r="J370" s="6" t="e">
        <f t="shared" ca="1" si="0"/>
        <v>#NAME?</v>
      </c>
      <c r="K370" s="6" t="e">
        <f ca="1">VLOOKUP(J370,'Bảng Đơn vị'!$A$2:$B$10,2,1)</f>
        <v>#NAME?</v>
      </c>
      <c r="L370" s="11">
        <v>45974</v>
      </c>
      <c r="M370" s="8">
        <v>2025</v>
      </c>
      <c r="S370" s="9"/>
    </row>
    <row r="371" spans="1:19" ht="52.8" hidden="1">
      <c r="A371" s="5">
        <v>370</v>
      </c>
      <c r="B371" s="5" t="s">
        <v>603</v>
      </c>
      <c r="C371" s="6" t="str">
        <f t="shared" si="1"/>
        <v>Chia tài sản chung của vợ chồng khi ly hôn qua thực tiễn tại Tòa án nhân dân huyện Thăng Bình, tỉnh Quảng Nam</v>
      </c>
      <c r="D371" s="5" t="s">
        <v>604</v>
      </c>
      <c r="E371" s="5">
        <v>3160521122</v>
      </c>
      <c r="F371" s="5" t="s">
        <v>605</v>
      </c>
      <c r="G371" s="5" t="s">
        <v>600</v>
      </c>
      <c r="H371" s="6"/>
      <c r="I371" s="5" t="s">
        <v>547</v>
      </c>
      <c r="J371" s="6" t="e">
        <f t="shared" ca="1" si="0"/>
        <v>#NAME?</v>
      </c>
      <c r="K371" s="6" t="e">
        <f ca="1">VLOOKUP(J371,'Bảng Đơn vị'!$A$2:$B$10,2,1)</f>
        <v>#NAME?</v>
      </c>
      <c r="L371" s="11">
        <v>45975</v>
      </c>
      <c r="M371" s="8">
        <v>2025</v>
      </c>
      <c r="S371" s="9"/>
    </row>
    <row r="372" spans="1:19" ht="52.8" hidden="1">
      <c r="A372" s="5">
        <v>371</v>
      </c>
      <c r="B372" s="6"/>
      <c r="C372" s="6" t="str">
        <f t="shared" si="1"/>
        <v>Chia tài sản chung của vợ chồng khi ly hôn qua thực tiễn tại Tòa án nhân dân huyện Thăng Bình, tỉnh Quảng Nam</v>
      </c>
      <c r="D372" s="5" t="s">
        <v>606</v>
      </c>
      <c r="E372" s="5">
        <v>3160521013</v>
      </c>
      <c r="F372" s="6"/>
      <c r="G372" s="6"/>
      <c r="H372" s="6"/>
      <c r="I372" s="5" t="s">
        <v>547</v>
      </c>
      <c r="J372" s="6" t="e">
        <f t="shared" ca="1" si="0"/>
        <v>#NAME?</v>
      </c>
      <c r="K372" s="6" t="e">
        <f ca="1">VLOOKUP(J372,'Bảng Đơn vị'!$A$2:$B$10,2,1)</f>
        <v>#NAME?</v>
      </c>
      <c r="L372" s="11">
        <v>45976</v>
      </c>
      <c r="M372" s="8">
        <v>2025</v>
      </c>
      <c r="S372" s="9"/>
    </row>
    <row r="373" spans="1:19" ht="66" hidden="1">
      <c r="A373" s="5">
        <v>372</v>
      </c>
      <c r="B373" s="5" t="s">
        <v>607</v>
      </c>
      <c r="C373" s="6" t="str">
        <f t="shared" si="1"/>
        <v>Phòng ngừa các tội xâm phạm sở hữu có tính chất chiếm đoạt do người chưa thành niên thực hiện trên địa bàn quận Liên Chiểu, thành phố Đà Nẵng.</v>
      </c>
      <c r="D373" s="5" t="s">
        <v>608</v>
      </c>
      <c r="E373" s="5">
        <v>3160522031</v>
      </c>
      <c r="F373" s="5" t="s">
        <v>589</v>
      </c>
      <c r="G373" s="5" t="s">
        <v>609</v>
      </c>
      <c r="H373" s="6"/>
      <c r="I373" s="5" t="s">
        <v>547</v>
      </c>
      <c r="J373" s="6" t="e">
        <f t="shared" ca="1" si="0"/>
        <v>#NAME?</v>
      </c>
      <c r="K373" s="6" t="e">
        <f ca="1">VLOOKUP(J373,'Bảng Đơn vị'!$A$2:$B$10,2,1)</f>
        <v>#NAME?</v>
      </c>
      <c r="L373" s="11">
        <v>45977</v>
      </c>
      <c r="M373" s="8">
        <v>2025</v>
      </c>
      <c r="S373" s="9"/>
    </row>
    <row r="374" spans="1:19" ht="66" hidden="1">
      <c r="A374" s="5">
        <v>373</v>
      </c>
      <c r="B374" s="6"/>
      <c r="C374" s="6" t="str">
        <f t="shared" si="1"/>
        <v>Phòng ngừa các tội xâm phạm sở hữu có tính chất chiếm đoạt do người chưa thành niên thực hiện trên địa bàn quận Liên Chiểu, thành phố Đà Nẵng.</v>
      </c>
      <c r="D374" s="5" t="s">
        <v>610</v>
      </c>
      <c r="E374" s="5">
        <v>3160522020</v>
      </c>
      <c r="F374" s="6"/>
      <c r="G374" s="6"/>
      <c r="H374" s="6"/>
      <c r="I374" s="5" t="s">
        <v>547</v>
      </c>
      <c r="J374" s="6" t="e">
        <f t="shared" ca="1" si="0"/>
        <v>#NAME?</v>
      </c>
      <c r="K374" s="6" t="e">
        <f ca="1">VLOOKUP(J374,'Bảng Đơn vị'!$A$2:$B$10,2,1)</f>
        <v>#NAME?</v>
      </c>
      <c r="L374" s="11">
        <v>45978</v>
      </c>
      <c r="M374" s="8">
        <v>2025</v>
      </c>
      <c r="S374" s="9"/>
    </row>
    <row r="375" spans="1:19" ht="66" hidden="1">
      <c r="A375" s="5">
        <v>374</v>
      </c>
      <c r="B375" s="6"/>
      <c r="C375" s="6" t="str">
        <f t="shared" si="1"/>
        <v>Phòng ngừa các tội xâm phạm sở hữu có tính chất chiếm đoạt do người chưa thành niên thực hiện trên địa bàn quận Liên Chiểu, thành phố Đà Nẵng.</v>
      </c>
      <c r="D375" s="5" t="s">
        <v>611</v>
      </c>
      <c r="E375" s="5">
        <v>3160522022</v>
      </c>
      <c r="F375" s="6"/>
      <c r="G375" s="6"/>
      <c r="H375" s="6"/>
      <c r="I375" s="5" t="s">
        <v>547</v>
      </c>
      <c r="J375" s="6" t="e">
        <f t="shared" ca="1" si="0"/>
        <v>#NAME?</v>
      </c>
      <c r="K375" s="6" t="e">
        <f ca="1">VLOOKUP(J375,'Bảng Đơn vị'!$A$2:$B$10,2,1)</f>
        <v>#NAME?</v>
      </c>
      <c r="L375" s="11">
        <v>45979</v>
      </c>
      <c r="M375" s="8">
        <v>2025</v>
      </c>
      <c r="S375" s="9"/>
    </row>
    <row r="376" spans="1:19" ht="66" hidden="1">
      <c r="A376" s="5">
        <v>375</v>
      </c>
      <c r="B376" s="6"/>
      <c r="C376" s="6" t="str">
        <f t="shared" si="1"/>
        <v>Phòng ngừa các tội xâm phạm sở hữu có tính chất chiếm đoạt do người chưa thành niên thực hiện trên địa bàn quận Liên Chiểu, thành phố Đà Nẵng.</v>
      </c>
      <c r="D376" s="5" t="s">
        <v>612</v>
      </c>
      <c r="E376" s="5">
        <v>3160522017</v>
      </c>
      <c r="F376" s="6"/>
      <c r="G376" s="6"/>
      <c r="H376" s="6"/>
      <c r="I376" s="5" t="s">
        <v>547</v>
      </c>
      <c r="J376" s="6" t="e">
        <f t="shared" ca="1" si="0"/>
        <v>#NAME?</v>
      </c>
      <c r="K376" s="6" t="e">
        <f ca="1">VLOOKUP(J376,'Bảng Đơn vị'!$A$2:$B$10,2,1)</f>
        <v>#NAME?</v>
      </c>
      <c r="L376" s="11">
        <v>45980</v>
      </c>
      <c r="M376" s="8">
        <v>2025</v>
      </c>
      <c r="S376" s="9"/>
    </row>
    <row r="377" spans="1:19" ht="52.8" hidden="1">
      <c r="A377" s="5">
        <v>376</v>
      </c>
      <c r="B377" s="5" t="s">
        <v>613</v>
      </c>
      <c r="C377" s="6" t="str">
        <f t="shared" si="1"/>
        <v>Tác động của mạng xã hội đến tư tưởng chính trị của sinh viên Đại học Đà Nẵng.</v>
      </c>
      <c r="D377" s="5" t="s">
        <v>614</v>
      </c>
      <c r="E377" s="5">
        <v>3160123017</v>
      </c>
      <c r="F377" s="5" t="s">
        <v>563</v>
      </c>
      <c r="G377" s="5" t="s">
        <v>615</v>
      </c>
      <c r="H377" s="6"/>
      <c r="I377" s="5" t="s">
        <v>547</v>
      </c>
      <c r="J377" s="6" t="e">
        <f t="shared" ca="1" si="0"/>
        <v>#NAME?</v>
      </c>
      <c r="K377" s="6" t="e">
        <f ca="1">VLOOKUP(J377,'Bảng Đơn vị'!$A$2:$B$10,2,1)</f>
        <v>#NAME?</v>
      </c>
      <c r="L377" s="11">
        <v>45981</v>
      </c>
      <c r="M377" s="8">
        <v>2025</v>
      </c>
      <c r="S377" s="9"/>
    </row>
    <row r="378" spans="1:19" ht="52.8" hidden="1">
      <c r="A378" s="5">
        <v>377</v>
      </c>
      <c r="B378" s="6"/>
      <c r="C378" s="6" t="str">
        <f t="shared" si="1"/>
        <v>Tác động của mạng xã hội đến tư tưởng chính trị của sinh viên Đại học Đà Nẵng.</v>
      </c>
      <c r="D378" s="5" t="s">
        <v>616</v>
      </c>
      <c r="E378" s="5">
        <v>3160123012</v>
      </c>
      <c r="F378" s="6"/>
      <c r="G378" s="6"/>
      <c r="H378" s="6"/>
      <c r="I378" s="5" t="s">
        <v>547</v>
      </c>
      <c r="J378" s="6" t="e">
        <f t="shared" ca="1" si="0"/>
        <v>#NAME?</v>
      </c>
      <c r="K378" s="6" t="e">
        <f ca="1">VLOOKUP(J378,'Bảng Đơn vị'!$A$2:$B$10,2,1)</f>
        <v>#NAME?</v>
      </c>
      <c r="L378" s="11">
        <v>45982</v>
      </c>
      <c r="M378" s="8">
        <v>2025</v>
      </c>
      <c r="S378" s="9"/>
    </row>
    <row r="379" spans="1:19" ht="52.8" hidden="1">
      <c r="A379" s="5">
        <v>378</v>
      </c>
      <c r="B379" s="6"/>
      <c r="C379" s="6" t="str">
        <f t="shared" si="1"/>
        <v>Tác động của mạng xã hội đến tư tưởng chính trị của sinh viên Đại học Đà Nẵng.</v>
      </c>
      <c r="D379" s="5" t="s">
        <v>617</v>
      </c>
      <c r="E379" s="5">
        <v>3160123010</v>
      </c>
      <c r="F379" s="6"/>
      <c r="G379" s="6"/>
      <c r="H379" s="6"/>
      <c r="I379" s="5" t="s">
        <v>547</v>
      </c>
      <c r="J379" s="6" t="e">
        <f t="shared" ca="1" si="0"/>
        <v>#NAME?</v>
      </c>
      <c r="K379" s="6" t="e">
        <f ca="1">VLOOKUP(J379,'Bảng Đơn vị'!$A$2:$B$10,2,1)</f>
        <v>#NAME?</v>
      </c>
      <c r="L379" s="11">
        <v>45983</v>
      </c>
      <c r="M379" s="8">
        <v>2025</v>
      </c>
      <c r="S379" s="9"/>
    </row>
    <row r="380" spans="1:19" ht="52.8" hidden="1">
      <c r="A380" s="5">
        <v>379</v>
      </c>
      <c r="B380" s="6"/>
      <c r="C380" s="6" t="str">
        <f t="shared" si="1"/>
        <v>Tác động của mạng xã hội đến tư tưởng chính trị của sinh viên Đại học Đà Nẵng.</v>
      </c>
      <c r="D380" s="5" t="s">
        <v>618</v>
      </c>
      <c r="E380" s="5">
        <v>3160123014</v>
      </c>
      <c r="F380" s="6"/>
      <c r="G380" s="6"/>
      <c r="H380" s="6"/>
      <c r="I380" s="5" t="s">
        <v>547</v>
      </c>
      <c r="J380" s="6" t="e">
        <f t="shared" ca="1" si="0"/>
        <v>#NAME?</v>
      </c>
      <c r="K380" s="6" t="e">
        <f ca="1">VLOOKUP(J380,'Bảng Đơn vị'!$A$2:$B$10,2,1)</f>
        <v>#NAME?</v>
      </c>
      <c r="L380" s="11">
        <v>45984</v>
      </c>
      <c r="M380" s="8">
        <v>2025</v>
      </c>
      <c r="S380" s="9"/>
    </row>
    <row r="381" spans="1:19" ht="52.8" hidden="1">
      <c r="A381" s="5">
        <v>380</v>
      </c>
      <c r="B381" s="5" t="s">
        <v>619</v>
      </c>
      <c r="C381" s="6" t="str">
        <f t="shared" si="1"/>
        <v>Nhân tố ảnh hưởng đến lựa chọn nghề sư phạm của sinh viên các cơ sở đào tạo giáo viên khu vực duyên hải miền Trung.</v>
      </c>
      <c r="D381" s="5" t="s">
        <v>620</v>
      </c>
      <c r="E381" s="5">
        <v>3160523003</v>
      </c>
      <c r="F381" s="5" t="s">
        <v>545</v>
      </c>
      <c r="G381" s="5" t="s">
        <v>621</v>
      </c>
      <c r="H381" s="6"/>
      <c r="I381" s="5" t="s">
        <v>547</v>
      </c>
      <c r="J381" s="6" t="e">
        <f t="shared" ca="1" si="0"/>
        <v>#NAME?</v>
      </c>
      <c r="K381" s="6" t="e">
        <f ca="1">VLOOKUP(J381,'Bảng Đơn vị'!$A$2:$B$10,2,1)</f>
        <v>#NAME?</v>
      </c>
      <c r="L381" s="11">
        <v>45985</v>
      </c>
      <c r="M381" s="8">
        <v>2025</v>
      </c>
      <c r="S381" s="9"/>
    </row>
    <row r="382" spans="1:19" ht="52.8" hidden="1">
      <c r="A382" s="5">
        <v>381</v>
      </c>
      <c r="B382" s="6"/>
      <c r="C382" s="6" t="str">
        <f t="shared" si="1"/>
        <v>Nhân tố ảnh hưởng đến lựa chọn nghề sư phạm của sinh viên các cơ sở đào tạo giáo viên khu vực duyên hải miền Trung.</v>
      </c>
      <c r="D382" s="5" t="s">
        <v>622</v>
      </c>
      <c r="E382" s="5">
        <v>3160523054</v>
      </c>
      <c r="F382" s="6"/>
      <c r="G382" s="6"/>
      <c r="H382" s="6"/>
      <c r="I382" s="5" t="s">
        <v>547</v>
      </c>
      <c r="J382" s="6" t="e">
        <f t="shared" ca="1" si="0"/>
        <v>#NAME?</v>
      </c>
      <c r="K382" s="6" t="e">
        <f ca="1">VLOOKUP(J382,'Bảng Đơn vị'!$A$2:$B$10,2,1)</f>
        <v>#NAME?</v>
      </c>
      <c r="L382" s="11">
        <v>45986</v>
      </c>
      <c r="M382" s="8">
        <v>2025</v>
      </c>
      <c r="S382" s="9"/>
    </row>
    <row r="383" spans="1:19" ht="52.8" hidden="1">
      <c r="A383" s="5">
        <v>382</v>
      </c>
      <c r="B383" s="6"/>
      <c r="C383" s="6" t="str">
        <f t="shared" si="1"/>
        <v>Nhân tố ảnh hưởng đến lựa chọn nghề sư phạm của sinh viên các cơ sở đào tạo giáo viên khu vực duyên hải miền Trung.</v>
      </c>
      <c r="D383" s="5" t="s">
        <v>623</v>
      </c>
      <c r="E383" s="5">
        <v>3160523010</v>
      </c>
      <c r="F383" s="6"/>
      <c r="G383" s="6"/>
      <c r="H383" s="6"/>
      <c r="I383" s="5" t="s">
        <v>547</v>
      </c>
      <c r="J383" s="6" t="e">
        <f t="shared" ca="1" si="0"/>
        <v>#NAME?</v>
      </c>
      <c r="K383" s="6" t="e">
        <f ca="1">VLOOKUP(J383,'Bảng Đơn vị'!$A$2:$B$10,2,1)</f>
        <v>#NAME?</v>
      </c>
      <c r="L383" s="11">
        <v>45987</v>
      </c>
      <c r="M383" s="8">
        <v>2025</v>
      </c>
      <c r="S383" s="9"/>
    </row>
    <row r="384" spans="1:19" ht="52.8" hidden="1">
      <c r="A384" s="5">
        <v>383</v>
      </c>
      <c r="B384" s="6"/>
      <c r="C384" s="6" t="str">
        <f t="shared" si="1"/>
        <v>Nhân tố ảnh hưởng đến lựa chọn nghề sư phạm của sinh viên các cơ sở đào tạo giáo viên khu vực duyên hải miền Trung.</v>
      </c>
      <c r="D384" s="5" t="s">
        <v>624</v>
      </c>
      <c r="E384" s="5">
        <v>3160523033</v>
      </c>
      <c r="F384" s="6"/>
      <c r="G384" s="6"/>
      <c r="H384" s="6"/>
      <c r="I384" s="5" t="s">
        <v>547</v>
      </c>
      <c r="J384" s="6" t="e">
        <f t="shared" ca="1" si="0"/>
        <v>#NAME?</v>
      </c>
      <c r="K384" s="6" t="e">
        <f ca="1">VLOOKUP(J384,'Bảng Đơn vị'!$A$2:$B$10,2,1)</f>
        <v>#NAME?</v>
      </c>
      <c r="L384" s="11">
        <v>45988</v>
      </c>
      <c r="M384" s="8">
        <v>2025</v>
      </c>
      <c r="S384" s="9"/>
    </row>
    <row r="385" spans="1:19" ht="52.8" hidden="1">
      <c r="A385" s="5">
        <v>384</v>
      </c>
      <c r="B385" s="6"/>
      <c r="C385" s="6" t="str">
        <f t="shared" si="1"/>
        <v>Nhân tố ảnh hưởng đến lựa chọn nghề sư phạm của sinh viên các cơ sở đào tạo giáo viên khu vực duyên hải miền Trung.</v>
      </c>
      <c r="D385" s="5" t="s">
        <v>625</v>
      </c>
      <c r="E385" s="5">
        <v>3160523019</v>
      </c>
      <c r="F385" s="6"/>
      <c r="G385" s="6"/>
      <c r="H385" s="6"/>
      <c r="I385" s="5" t="s">
        <v>547</v>
      </c>
      <c r="J385" s="6" t="e">
        <f t="shared" ca="1" si="0"/>
        <v>#NAME?</v>
      </c>
      <c r="K385" s="6" t="e">
        <f ca="1">VLOOKUP(J385,'Bảng Đơn vị'!$A$2:$B$10,2,1)</f>
        <v>#NAME?</v>
      </c>
      <c r="L385" s="11">
        <v>45989</v>
      </c>
      <c r="M385" s="8">
        <v>2025</v>
      </c>
      <c r="S385" s="9"/>
    </row>
    <row r="386" spans="1:19" ht="52.8" hidden="1">
      <c r="A386" s="5">
        <v>385</v>
      </c>
      <c r="B386" s="5" t="s">
        <v>626</v>
      </c>
      <c r="C386" s="6" t="str">
        <f t="shared" si="1"/>
        <v>Tư tưởng khai phóng của Rousseau trong tác phẩm "Emile hay là về giáo dục và giá trị hiện thời của nó.</v>
      </c>
      <c r="D386" s="5" t="s">
        <v>627</v>
      </c>
      <c r="E386" s="5">
        <v>3160122020</v>
      </c>
      <c r="F386" s="5" t="s">
        <v>628</v>
      </c>
      <c r="G386" s="5" t="s">
        <v>629</v>
      </c>
      <c r="H386" s="6"/>
      <c r="I386" s="5" t="s">
        <v>547</v>
      </c>
      <c r="J386" s="6" t="e">
        <f t="shared" ca="1" si="0"/>
        <v>#NAME?</v>
      </c>
      <c r="K386" s="6" t="e">
        <f ca="1">VLOOKUP(J386,'Bảng Đơn vị'!$A$2:$B$10,2,1)</f>
        <v>#NAME?</v>
      </c>
      <c r="L386" s="11">
        <v>45990</v>
      </c>
      <c r="M386" s="8">
        <v>2025</v>
      </c>
      <c r="S386" s="9"/>
    </row>
    <row r="387" spans="1:19" ht="52.8" hidden="1">
      <c r="A387" s="5">
        <v>386</v>
      </c>
      <c r="B387" s="6"/>
      <c r="C387" s="6" t="str">
        <f t="shared" si="1"/>
        <v>Tư tưởng khai phóng của Rousseau trong tác phẩm "Emile hay là về giáo dục và giá trị hiện thời của nó.</v>
      </c>
      <c r="D387" s="5" t="s">
        <v>630</v>
      </c>
      <c r="E387" s="5">
        <v>3160122012</v>
      </c>
      <c r="F387" s="6"/>
      <c r="G387" s="6"/>
      <c r="H387" s="6"/>
      <c r="I387" s="5" t="s">
        <v>547</v>
      </c>
      <c r="J387" s="6" t="e">
        <f t="shared" ca="1" si="0"/>
        <v>#NAME?</v>
      </c>
      <c r="K387" s="6" t="e">
        <f ca="1">VLOOKUP(J387,'Bảng Đơn vị'!$A$2:$B$10,2,1)</f>
        <v>#NAME?</v>
      </c>
      <c r="L387" s="11">
        <v>45991</v>
      </c>
      <c r="M387" s="8">
        <v>2025</v>
      </c>
      <c r="S387" s="9"/>
    </row>
    <row r="388" spans="1:19" ht="52.8" hidden="1">
      <c r="A388" s="5">
        <v>387</v>
      </c>
      <c r="B388" s="6"/>
      <c r="C388" s="6" t="str">
        <f t="shared" si="1"/>
        <v>Tư tưởng khai phóng của Rousseau trong tác phẩm "Emile hay là về giáo dục và giá trị hiện thời của nó.</v>
      </c>
      <c r="D388" s="5" t="s">
        <v>631</v>
      </c>
      <c r="E388" s="5">
        <v>3160122003</v>
      </c>
      <c r="F388" s="6"/>
      <c r="G388" s="6"/>
      <c r="H388" s="6"/>
      <c r="I388" s="5" t="s">
        <v>547</v>
      </c>
      <c r="J388" s="6" t="e">
        <f t="shared" ca="1" si="0"/>
        <v>#NAME?</v>
      </c>
      <c r="K388" s="6" t="e">
        <f ca="1">VLOOKUP(J388,'Bảng Đơn vị'!$A$2:$B$10,2,1)</f>
        <v>#NAME?</v>
      </c>
      <c r="L388" s="11">
        <v>45992</v>
      </c>
      <c r="M388" s="8">
        <v>2025</v>
      </c>
      <c r="S388" s="9"/>
    </row>
    <row r="389" spans="1:19" ht="52.8" hidden="1">
      <c r="A389" s="5">
        <v>388</v>
      </c>
      <c r="B389" s="6"/>
      <c r="C389" s="6" t="str">
        <f t="shared" si="1"/>
        <v>Tư tưởng khai phóng của Rousseau trong tác phẩm "Emile hay là về giáo dục và giá trị hiện thời của nó.</v>
      </c>
      <c r="D389" s="5" t="s">
        <v>632</v>
      </c>
      <c r="E389" s="5">
        <v>3160122008</v>
      </c>
      <c r="F389" s="6"/>
      <c r="G389" s="6"/>
      <c r="H389" s="6"/>
      <c r="I389" s="5" t="s">
        <v>547</v>
      </c>
      <c r="J389" s="6" t="e">
        <f t="shared" ca="1" si="0"/>
        <v>#NAME?</v>
      </c>
      <c r="K389" s="6" t="e">
        <f ca="1">VLOOKUP(J389,'Bảng Đơn vị'!$A$2:$B$10,2,1)</f>
        <v>#NAME?</v>
      </c>
      <c r="L389" s="11">
        <v>45993</v>
      </c>
      <c r="M389" s="8">
        <v>2025</v>
      </c>
      <c r="S389" s="9"/>
    </row>
    <row r="390" spans="1:19" ht="52.8" hidden="1">
      <c r="A390" s="5">
        <v>389</v>
      </c>
      <c r="B390" s="12" t="s">
        <v>633</v>
      </c>
      <c r="C390" s="13" t="str">
        <f t="shared" si="1"/>
        <v>Ứng dụng trí tuệ nhân tạo trong dạy học toán nhằm phát triển năng lực giải quyết vấn đề toán học cho học sinh lớp 4</v>
      </c>
      <c r="D390" s="12" t="s">
        <v>634</v>
      </c>
      <c r="E390" s="12">
        <v>3220122084</v>
      </c>
      <c r="F390" s="12" t="s">
        <v>635</v>
      </c>
      <c r="G390" s="12" t="s">
        <v>636</v>
      </c>
      <c r="H390" s="14"/>
      <c r="I390" s="12" t="s">
        <v>637</v>
      </c>
      <c r="J390" s="14" t="e">
        <f t="shared" ca="1" si="0"/>
        <v>#NAME?</v>
      </c>
      <c r="K390" s="14" t="e">
        <f ca="1">VLOOKUP(J390,'Bảng Đơn vị'!$A$2:$B$10,2,1)</f>
        <v>#NAME?</v>
      </c>
      <c r="L390" s="15">
        <v>45716</v>
      </c>
      <c r="M390" s="16">
        <v>2025</v>
      </c>
      <c r="S390" s="9"/>
    </row>
    <row r="391" spans="1:19" ht="52.8" hidden="1">
      <c r="A391" s="5">
        <v>390</v>
      </c>
      <c r="B391" s="14"/>
      <c r="C391" s="13" t="str">
        <f t="shared" si="1"/>
        <v>Ứng dụng trí tuệ nhân tạo trong dạy học toán nhằm phát triển năng lực giải quyết vấn đề toán học cho học sinh lớp 4</v>
      </c>
      <c r="D391" s="12" t="s">
        <v>638</v>
      </c>
      <c r="E391" s="12">
        <v>3220122244</v>
      </c>
      <c r="F391" s="12" t="s">
        <v>635</v>
      </c>
      <c r="G391" s="14"/>
      <c r="H391" s="14"/>
      <c r="I391" s="12" t="s">
        <v>637</v>
      </c>
      <c r="J391" s="14" t="e">
        <f t="shared" ca="1" si="0"/>
        <v>#NAME?</v>
      </c>
      <c r="K391" s="14" t="e">
        <f ca="1">VLOOKUP(J391,'Bảng Đơn vị'!$A$2:$B$10,2,1)</f>
        <v>#NAME?</v>
      </c>
      <c r="L391" s="15">
        <v>45717</v>
      </c>
      <c r="M391" s="16">
        <v>2025</v>
      </c>
      <c r="S391" s="9"/>
    </row>
    <row r="392" spans="1:19" ht="52.8" hidden="1">
      <c r="A392" s="5">
        <v>391</v>
      </c>
      <c r="B392" s="14"/>
      <c r="C392" s="13" t="str">
        <f t="shared" si="1"/>
        <v>Ứng dụng trí tuệ nhân tạo trong dạy học toán nhằm phát triển năng lực giải quyết vấn đề toán học cho học sinh lớp 4</v>
      </c>
      <c r="D392" s="12" t="s">
        <v>639</v>
      </c>
      <c r="E392" s="12">
        <v>3220122233</v>
      </c>
      <c r="F392" s="12" t="s">
        <v>635</v>
      </c>
      <c r="G392" s="14"/>
      <c r="H392" s="14"/>
      <c r="I392" s="12" t="s">
        <v>637</v>
      </c>
      <c r="J392" s="14" t="e">
        <f t="shared" ca="1" si="0"/>
        <v>#NAME?</v>
      </c>
      <c r="K392" s="14" t="e">
        <f ca="1">VLOOKUP(J392,'Bảng Đơn vị'!$A$2:$B$10,2,1)</f>
        <v>#NAME?</v>
      </c>
      <c r="L392" s="15">
        <v>45718</v>
      </c>
      <c r="M392" s="16">
        <v>2025</v>
      </c>
      <c r="S392" s="9"/>
    </row>
    <row r="393" spans="1:19" ht="52.8" hidden="1">
      <c r="A393" s="5">
        <v>392</v>
      </c>
      <c r="B393" s="14"/>
      <c r="C393" s="13" t="str">
        <f t="shared" si="1"/>
        <v>Ứng dụng trí tuệ nhân tạo trong dạy học toán nhằm phát triển năng lực giải quyết vấn đề toán học cho học sinh lớp 4</v>
      </c>
      <c r="D393" s="12" t="s">
        <v>640</v>
      </c>
      <c r="E393" s="12">
        <v>3220122049</v>
      </c>
      <c r="F393" s="12" t="s">
        <v>641</v>
      </c>
      <c r="G393" s="14"/>
      <c r="H393" s="14"/>
      <c r="I393" s="12" t="s">
        <v>637</v>
      </c>
      <c r="J393" s="14" t="e">
        <f t="shared" ca="1" si="0"/>
        <v>#NAME?</v>
      </c>
      <c r="K393" s="14" t="e">
        <f ca="1">VLOOKUP(J393,'Bảng Đơn vị'!$A$2:$B$10,2,1)</f>
        <v>#NAME?</v>
      </c>
      <c r="L393" s="15">
        <v>45719</v>
      </c>
      <c r="M393" s="16">
        <v>2025</v>
      </c>
      <c r="S393" s="9"/>
    </row>
    <row r="394" spans="1:19" ht="52.8" hidden="1">
      <c r="A394" s="5">
        <v>393</v>
      </c>
      <c r="B394" s="14"/>
      <c r="C394" s="13" t="str">
        <f t="shared" si="1"/>
        <v>Ứng dụng trí tuệ nhân tạo trong dạy học toán nhằm phát triển năng lực giải quyết vấn đề toán học cho học sinh lớp 4</v>
      </c>
      <c r="D394" s="12" t="s">
        <v>642</v>
      </c>
      <c r="E394" s="12">
        <v>3220122107</v>
      </c>
      <c r="F394" s="12" t="s">
        <v>641</v>
      </c>
      <c r="G394" s="14"/>
      <c r="H394" s="14"/>
      <c r="I394" s="12" t="s">
        <v>637</v>
      </c>
      <c r="J394" s="14" t="e">
        <f t="shared" ca="1" si="0"/>
        <v>#NAME?</v>
      </c>
      <c r="K394" s="14" t="e">
        <f ca="1">VLOOKUP(J394,'Bảng Đơn vị'!$A$2:$B$10,2,1)</f>
        <v>#NAME?</v>
      </c>
      <c r="L394" s="15">
        <v>45720</v>
      </c>
      <c r="M394" s="16">
        <v>2025</v>
      </c>
      <c r="S394" s="9"/>
    </row>
    <row r="395" spans="1:19" ht="52.8" hidden="1">
      <c r="A395" s="5">
        <v>394</v>
      </c>
      <c r="B395" s="12" t="s">
        <v>643</v>
      </c>
      <c r="C395" s="13" t="str">
        <f t="shared" si="1"/>
        <v>Ứng dụng mô hình 3D kết hợp với công nghệ VR trong dạy học hình học lớp 4</v>
      </c>
      <c r="D395" s="12" t="s">
        <v>644</v>
      </c>
      <c r="E395" s="12">
        <v>3220122090</v>
      </c>
      <c r="F395" s="12" t="s">
        <v>641</v>
      </c>
      <c r="G395" s="12" t="s">
        <v>645</v>
      </c>
      <c r="H395" s="14"/>
      <c r="I395" s="12" t="s">
        <v>637</v>
      </c>
      <c r="J395" s="14" t="e">
        <f t="shared" ca="1" si="0"/>
        <v>#NAME?</v>
      </c>
      <c r="K395" s="14" t="e">
        <f ca="1">VLOOKUP(J395,'Bảng Đơn vị'!$A$2:$B$10,2,1)</f>
        <v>#NAME?</v>
      </c>
      <c r="L395" s="15">
        <v>45721</v>
      </c>
      <c r="M395" s="16">
        <v>2025</v>
      </c>
      <c r="S395" s="9"/>
    </row>
    <row r="396" spans="1:19" ht="52.8" hidden="1">
      <c r="A396" s="5">
        <v>395</v>
      </c>
      <c r="B396" s="14"/>
      <c r="C396" s="13" t="str">
        <f t="shared" si="1"/>
        <v>Ứng dụng mô hình 3D kết hợp với công nghệ VR trong dạy học hình học lớp 4</v>
      </c>
      <c r="D396" s="12" t="s">
        <v>646</v>
      </c>
      <c r="E396" s="12">
        <v>3220122193</v>
      </c>
      <c r="F396" s="14"/>
      <c r="G396" s="14"/>
      <c r="H396" s="14"/>
      <c r="I396" s="12" t="s">
        <v>637</v>
      </c>
      <c r="J396" s="14" t="e">
        <f t="shared" ca="1" si="0"/>
        <v>#NAME?</v>
      </c>
      <c r="K396" s="14" t="e">
        <f ca="1">VLOOKUP(J396,'Bảng Đơn vị'!$A$2:$B$10,2,1)</f>
        <v>#NAME?</v>
      </c>
      <c r="L396" s="15">
        <v>45722</v>
      </c>
      <c r="M396" s="16">
        <v>2025</v>
      </c>
      <c r="S396" s="9"/>
    </row>
    <row r="397" spans="1:19" ht="52.8" hidden="1">
      <c r="A397" s="5">
        <v>396</v>
      </c>
      <c r="B397" s="14"/>
      <c r="C397" s="13" t="str">
        <f t="shared" si="1"/>
        <v>Ứng dụng mô hình 3D kết hợp với công nghệ VR trong dạy học hình học lớp 4</v>
      </c>
      <c r="D397" s="12" t="s">
        <v>647</v>
      </c>
      <c r="E397" s="12">
        <v>3220122183</v>
      </c>
      <c r="F397" s="14"/>
      <c r="G397" s="14"/>
      <c r="H397" s="14"/>
      <c r="I397" s="12" t="s">
        <v>637</v>
      </c>
      <c r="J397" s="14" t="e">
        <f t="shared" ca="1" si="0"/>
        <v>#NAME?</v>
      </c>
      <c r="K397" s="14" t="e">
        <f ca="1">VLOOKUP(J397,'Bảng Đơn vị'!$A$2:$B$10,2,1)</f>
        <v>#NAME?</v>
      </c>
      <c r="L397" s="15">
        <v>45723</v>
      </c>
      <c r="M397" s="16">
        <v>2025</v>
      </c>
      <c r="S397" s="9"/>
    </row>
    <row r="398" spans="1:19" ht="52.8" hidden="1">
      <c r="A398" s="5">
        <v>397</v>
      </c>
      <c r="B398" s="14"/>
      <c r="C398" s="13" t="str">
        <f t="shared" si="1"/>
        <v>Ứng dụng mô hình 3D kết hợp với công nghệ VR trong dạy học hình học lớp 4</v>
      </c>
      <c r="D398" s="12" t="s">
        <v>648</v>
      </c>
      <c r="E398" s="12">
        <v>3220122131</v>
      </c>
      <c r="F398" s="14"/>
      <c r="G398" s="14"/>
      <c r="H398" s="14"/>
      <c r="I398" s="12" t="s">
        <v>637</v>
      </c>
      <c r="J398" s="14" t="e">
        <f t="shared" ca="1" si="0"/>
        <v>#NAME?</v>
      </c>
      <c r="K398" s="14" t="e">
        <f ca="1">VLOOKUP(J398,'Bảng Đơn vị'!$A$2:$B$10,2,1)</f>
        <v>#NAME?</v>
      </c>
      <c r="L398" s="15">
        <v>45724</v>
      </c>
      <c r="M398" s="16">
        <v>2025</v>
      </c>
      <c r="S398" s="9"/>
    </row>
    <row r="399" spans="1:19" ht="52.8" hidden="1">
      <c r="A399" s="5">
        <v>398</v>
      </c>
      <c r="B399" s="14"/>
      <c r="C399" s="13" t="str">
        <f t="shared" si="1"/>
        <v>Ứng dụng mô hình 3D kết hợp với công nghệ VR trong dạy học hình học lớp 4</v>
      </c>
      <c r="D399" s="12" t="s">
        <v>649</v>
      </c>
      <c r="E399" s="12">
        <v>3220122014</v>
      </c>
      <c r="F399" s="14"/>
      <c r="G399" s="14"/>
      <c r="H399" s="14"/>
      <c r="I399" s="12" t="s">
        <v>637</v>
      </c>
      <c r="J399" s="14" t="e">
        <f t="shared" ca="1" si="0"/>
        <v>#NAME?</v>
      </c>
      <c r="K399" s="14" t="e">
        <f ca="1">VLOOKUP(J399,'Bảng Đơn vị'!$A$2:$B$10,2,1)</f>
        <v>#NAME?</v>
      </c>
      <c r="L399" s="15">
        <v>45725</v>
      </c>
      <c r="M399" s="16">
        <v>2025</v>
      </c>
      <c r="S399" s="9"/>
    </row>
    <row r="400" spans="1:19" ht="52.8" hidden="1">
      <c r="A400" s="5">
        <v>399</v>
      </c>
      <c r="B400" s="12" t="s">
        <v>650</v>
      </c>
      <c r="C400" s="13" t="str">
        <f t="shared" si="1"/>
        <v>Vận dụng một số yếu tố tạo hình trong dạy học Hình học và Đo lường lớp 4</v>
      </c>
      <c r="D400" s="12" t="s">
        <v>651</v>
      </c>
      <c r="E400" s="12">
        <v>3220122327</v>
      </c>
      <c r="F400" s="12" t="s">
        <v>652</v>
      </c>
      <c r="G400" s="12" t="s">
        <v>645</v>
      </c>
      <c r="H400" s="14"/>
      <c r="I400" s="12" t="s">
        <v>637</v>
      </c>
      <c r="J400" s="14" t="e">
        <f t="shared" ca="1" si="0"/>
        <v>#NAME?</v>
      </c>
      <c r="K400" s="14" t="e">
        <f ca="1">VLOOKUP(J400,'Bảng Đơn vị'!$A$2:$B$10,2,1)</f>
        <v>#NAME?</v>
      </c>
      <c r="L400" s="15">
        <v>45726</v>
      </c>
      <c r="M400" s="16">
        <v>2025</v>
      </c>
      <c r="S400" s="9"/>
    </row>
    <row r="401" spans="1:19" ht="52.8" hidden="1">
      <c r="A401" s="5">
        <v>400</v>
      </c>
      <c r="B401" s="14"/>
      <c r="C401" s="13" t="str">
        <f t="shared" si="1"/>
        <v>Vận dụng một số yếu tố tạo hình trong dạy học Hình học và Đo lường lớp 4</v>
      </c>
      <c r="D401" s="12" t="s">
        <v>653</v>
      </c>
      <c r="E401" s="12">
        <v>3220122123</v>
      </c>
      <c r="F401" s="14"/>
      <c r="G401" s="14"/>
      <c r="H401" s="14"/>
      <c r="I401" s="12" t="s">
        <v>637</v>
      </c>
      <c r="J401" s="14" t="e">
        <f t="shared" ca="1" si="0"/>
        <v>#NAME?</v>
      </c>
      <c r="K401" s="14" t="e">
        <f ca="1">VLOOKUP(J401,'Bảng Đơn vị'!$A$2:$B$10,2,1)</f>
        <v>#NAME?</v>
      </c>
      <c r="L401" s="15">
        <v>45727</v>
      </c>
      <c r="M401" s="16">
        <v>2025</v>
      </c>
      <c r="S401" s="9"/>
    </row>
    <row r="402" spans="1:19" ht="52.8" hidden="1">
      <c r="A402" s="5">
        <v>401</v>
      </c>
      <c r="B402" s="14"/>
      <c r="C402" s="13" t="str">
        <f t="shared" si="1"/>
        <v>Vận dụng một số yếu tố tạo hình trong dạy học Hình học và Đo lường lớp 4</v>
      </c>
      <c r="D402" s="12" t="s">
        <v>654</v>
      </c>
      <c r="E402" s="12">
        <v>3220122077</v>
      </c>
      <c r="F402" s="14"/>
      <c r="G402" s="14"/>
      <c r="H402" s="14"/>
      <c r="I402" s="12" t="s">
        <v>637</v>
      </c>
      <c r="J402" s="14" t="e">
        <f t="shared" ca="1" si="0"/>
        <v>#NAME?</v>
      </c>
      <c r="K402" s="14" t="e">
        <f ca="1">VLOOKUP(J402,'Bảng Đơn vị'!$A$2:$B$10,2,1)</f>
        <v>#NAME?</v>
      </c>
      <c r="L402" s="15">
        <v>45728</v>
      </c>
      <c r="M402" s="16">
        <v>2025</v>
      </c>
      <c r="S402" s="9"/>
    </row>
    <row r="403" spans="1:19" ht="52.8" hidden="1">
      <c r="A403" s="5">
        <v>402</v>
      </c>
      <c r="B403" s="14"/>
      <c r="C403" s="13" t="str">
        <f t="shared" si="1"/>
        <v>Vận dụng một số yếu tố tạo hình trong dạy học Hình học và Đo lường lớp 4</v>
      </c>
      <c r="D403" s="12" t="s">
        <v>655</v>
      </c>
      <c r="E403" s="12">
        <v>3220122313</v>
      </c>
      <c r="F403" s="14"/>
      <c r="G403" s="14"/>
      <c r="H403" s="14"/>
      <c r="I403" s="12" t="s">
        <v>637</v>
      </c>
      <c r="J403" s="14" t="e">
        <f t="shared" ca="1" si="0"/>
        <v>#NAME?</v>
      </c>
      <c r="K403" s="14" t="e">
        <f ca="1">VLOOKUP(J403,'Bảng Đơn vị'!$A$2:$B$10,2,1)</f>
        <v>#NAME?</v>
      </c>
      <c r="L403" s="15">
        <v>45729</v>
      </c>
      <c r="M403" s="16">
        <v>2025</v>
      </c>
      <c r="S403" s="9"/>
    </row>
    <row r="404" spans="1:19" ht="52.8" hidden="1">
      <c r="A404" s="5">
        <v>403</v>
      </c>
      <c r="B404" s="14"/>
      <c r="C404" s="13" t="str">
        <f t="shared" si="1"/>
        <v>Vận dụng một số yếu tố tạo hình trong dạy học Hình học và Đo lường lớp 4</v>
      </c>
      <c r="D404" s="12" t="s">
        <v>656</v>
      </c>
      <c r="E404" s="12">
        <v>3220122318</v>
      </c>
      <c r="F404" s="14"/>
      <c r="G404" s="14"/>
      <c r="H404" s="14"/>
      <c r="I404" s="12" t="s">
        <v>637</v>
      </c>
      <c r="J404" s="14" t="e">
        <f t="shared" ca="1" si="0"/>
        <v>#NAME?</v>
      </c>
      <c r="K404" s="14" t="e">
        <f ca="1">VLOOKUP(J404,'Bảng Đơn vị'!$A$2:$B$10,2,1)</f>
        <v>#NAME?</v>
      </c>
      <c r="L404" s="15">
        <v>45730</v>
      </c>
      <c r="M404" s="16">
        <v>2025</v>
      </c>
      <c r="S404" s="9"/>
    </row>
    <row r="405" spans="1:19" ht="52.8" hidden="1">
      <c r="A405" s="5">
        <v>404</v>
      </c>
      <c r="B405" s="12" t="s">
        <v>657</v>
      </c>
      <c r="C405" s="13" t="str">
        <f t="shared" si="1"/>
        <v>Thiết kế sổ tay Khoa học cho học sinh lớp 5 nhằm phát triển năng lực tự học và sáng tạo</v>
      </c>
      <c r="D405" s="12" t="s">
        <v>658</v>
      </c>
      <c r="E405" s="12">
        <v>3220123392</v>
      </c>
      <c r="F405" s="12" t="s">
        <v>659</v>
      </c>
      <c r="G405" s="12" t="s">
        <v>660</v>
      </c>
      <c r="H405" s="14"/>
      <c r="I405" s="12" t="s">
        <v>637</v>
      </c>
      <c r="J405" s="14" t="e">
        <f t="shared" ca="1" si="0"/>
        <v>#NAME?</v>
      </c>
      <c r="K405" s="14" t="e">
        <f ca="1">VLOOKUP(J405,'Bảng Đơn vị'!$A$2:$B$10,2,1)</f>
        <v>#NAME?</v>
      </c>
      <c r="L405" s="15">
        <v>45731</v>
      </c>
      <c r="M405" s="16">
        <v>2025</v>
      </c>
      <c r="S405" s="9"/>
    </row>
    <row r="406" spans="1:19" ht="52.8" hidden="1">
      <c r="A406" s="5">
        <v>405</v>
      </c>
      <c r="B406" s="14"/>
      <c r="C406" s="13" t="str">
        <f t="shared" si="1"/>
        <v>Thiết kế sổ tay Khoa học cho học sinh lớp 5 nhằm phát triển năng lực tự học và sáng tạo</v>
      </c>
      <c r="D406" s="12" t="s">
        <v>661</v>
      </c>
      <c r="E406" s="12">
        <v>3220123427</v>
      </c>
      <c r="F406" s="12" t="s">
        <v>662</v>
      </c>
      <c r="G406" s="14"/>
      <c r="H406" s="14"/>
      <c r="I406" s="12" t="s">
        <v>637</v>
      </c>
      <c r="J406" s="14" t="e">
        <f t="shared" ca="1" si="0"/>
        <v>#NAME?</v>
      </c>
      <c r="K406" s="14" t="e">
        <f ca="1">VLOOKUP(J406,'Bảng Đơn vị'!$A$2:$B$10,2,1)</f>
        <v>#NAME?</v>
      </c>
      <c r="L406" s="15">
        <v>45732</v>
      </c>
      <c r="M406" s="16">
        <v>2025</v>
      </c>
      <c r="S406" s="9"/>
    </row>
    <row r="407" spans="1:19" ht="52.8" hidden="1">
      <c r="A407" s="5">
        <v>406</v>
      </c>
      <c r="B407" s="14"/>
      <c r="C407" s="13" t="str">
        <f t="shared" si="1"/>
        <v>Thiết kế sổ tay Khoa học cho học sinh lớp 5 nhằm phát triển năng lực tự học và sáng tạo</v>
      </c>
      <c r="D407" s="12" t="s">
        <v>663</v>
      </c>
      <c r="E407" s="12">
        <v>3220123418</v>
      </c>
      <c r="F407" s="12" t="s">
        <v>662</v>
      </c>
      <c r="G407" s="14"/>
      <c r="H407" s="14"/>
      <c r="I407" s="12" t="s">
        <v>637</v>
      </c>
      <c r="J407" s="14" t="e">
        <f t="shared" ca="1" si="0"/>
        <v>#NAME?</v>
      </c>
      <c r="K407" s="14" t="e">
        <f ca="1">VLOOKUP(J407,'Bảng Đơn vị'!$A$2:$B$10,2,1)</f>
        <v>#NAME?</v>
      </c>
      <c r="L407" s="15">
        <v>45733</v>
      </c>
      <c r="M407" s="16">
        <v>2025</v>
      </c>
      <c r="S407" s="9"/>
    </row>
    <row r="408" spans="1:19" ht="52.8" hidden="1">
      <c r="A408" s="5">
        <v>407</v>
      </c>
      <c r="B408" s="14"/>
      <c r="C408" s="13" t="str">
        <f t="shared" si="1"/>
        <v>Thiết kế sổ tay Khoa học cho học sinh lớp 5 nhằm phát triển năng lực tự học và sáng tạo</v>
      </c>
      <c r="D408" s="12" t="s">
        <v>664</v>
      </c>
      <c r="E408" s="12">
        <v>3220123340</v>
      </c>
      <c r="F408" s="12" t="s">
        <v>662</v>
      </c>
      <c r="G408" s="14"/>
      <c r="H408" s="14"/>
      <c r="I408" s="12" t="s">
        <v>637</v>
      </c>
      <c r="J408" s="14" t="e">
        <f t="shared" ca="1" si="0"/>
        <v>#NAME?</v>
      </c>
      <c r="K408" s="14" t="e">
        <f ca="1">VLOOKUP(J408,'Bảng Đơn vị'!$A$2:$B$10,2,1)</f>
        <v>#NAME?</v>
      </c>
      <c r="L408" s="15">
        <v>45734</v>
      </c>
      <c r="M408" s="16">
        <v>2025</v>
      </c>
      <c r="S408" s="9"/>
    </row>
    <row r="409" spans="1:19" ht="52.8" hidden="1">
      <c r="A409" s="5">
        <v>408</v>
      </c>
      <c r="B409" s="14"/>
      <c r="C409" s="13" t="str">
        <f t="shared" si="1"/>
        <v>Thiết kế sổ tay Khoa học cho học sinh lớp 5 nhằm phát triển năng lực tự học và sáng tạo</v>
      </c>
      <c r="D409" s="12" t="s">
        <v>665</v>
      </c>
      <c r="E409" s="12">
        <v>3220123397</v>
      </c>
      <c r="F409" s="12" t="s">
        <v>666</v>
      </c>
      <c r="G409" s="14"/>
      <c r="H409" s="14"/>
      <c r="I409" s="12" t="s">
        <v>637</v>
      </c>
      <c r="J409" s="14" t="e">
        <f t="shared" ca="1" si="0"/>
        <v>#NAME?</v>
      </c>
      <c r="K409" s="14" t="e">
        <f ca="1">VLOOKUP(J409,'Bảng Đơn vị'!$A$2:$B$10,2,1)</f>
        <v>#NAME?</v>
      </c>
      <c r="L409" s="15">
        <v>45735</v>
      </c>
      <c r="M409" s="16">
        <v>2025</v>
      </c>
      <c r="S409" s="9"/>
    </row>
    <row r="410" spans="1:19" ht="52.8" hidden="1">
      <c r="A410" s="5">
        <v>409</v>
      </c>
      <c r="B410" s="12" t="s">
        <v>667</v>
      </c>
      <c r="C410" s="13" t="str">
        <f t="shared" si="1"/>
        <v>Nghiên cứu ảnh hưởng các thiết bị điện tử đến khả năng tập trung của học sinh tiểu học</v>
      </c>
      <c r="D410" s="12" t="s">
        <v>668</v>
      </c>
      <c r="E410" s="12">
        <v>3220223022</v>
      </c>
      <c r="F410" s="12" t="s">
        <v>669</v>
      </c>
      <c r="G410" s="12" t="s">
        <v>660</v>
      </c>
      <c r="H410" s="14"/>
      <c r="I410" s="12" t="s">
        <v>637</v>
      </c>
      <c r="J410" s="14" t="e">
        <f t="shared" ca="1" si="0"/>
        <v>#NAME?</v>
      </c>
      <c r="K410" s="14" t="e">
        <f ca="1">VLOOKUP(J410,'Bảng Đơn vị'!$A$2:$B$10,2,1)</f>
        <v>#NAME?</v>
      </c>
      <c r="L410" s="15">
        <v>45736</v>
      </c>
      <c r="M410" s="16">
        <v>2025</v>
      </c>
      <c r="S410" s="9"/>
    </row>
    <row r="411" spans="1:19" ht="52.8" hidden="1">
      <c r="A411" s="5">
        <v>410</v>
      </c>
      <c r="B411" s="14"/>
      <c r="C411" s="13" t="str">
        <f t="shared" si="1"/>
        <v>Nghiên cứu ảnh hưởng các thiết bị điện tử đến khả năng tập trung của học sinh tiểu học</v>
      </c>
      <c r="D411" s="12" t="s">
        <v>670</v>
      </c>
      <c r="E411" s="12">
        <v>3220223058</v>
      </c>
      <c r="F411" s="14"/>
      <c r="G411" s="14"/>
      <c r="H411" s="14"/>
      <c r="I411" s="12" t="s">
        <v>637</v>
      </c>
      <c r="J411" s="14" t="e">
        <f t="shared" ca="1" si="0"/>
        <v>#NAME?</v>
      </c>
      <c r="K411" s="14" t="e">
        <f ca="1">VLOOKUP(J411,'Bảng Đơn vị'!$A$2:$B$10,2,1)</f>
        <v>#NAME?</v>
      </c>
      <c r="L411" s="15">
        <v>45737</v>
      </c>
      <c r="M411" s="16">
        <v>2025</v>
      </c>
      <c r="S411" s="9"/>
    </row>
    <row r="412" spans="1:19" ht="52.8" hidden="1">
      <c r="A412" s="5">
        <v>411</v>
      </c>
      <c r="B412" s="14"/>
      <c r="C412" s="13" t="str">
        <f t="shared" si="1"/>
        <v>Nghiên cứu ảnh hưởng các thiết bị điện tử đến khả năng tập trung của học sinh tiểu học</v>
      </c>
      <c r="D412" s="12" t="s">
        <v>671</v>
      </c>
      <c r="E412" s="12">
        <v>3220223042</v>
      </c>
      <c r="F412" s="14"/>
      <c r="G412" s="14"/>
      <c r="H412" s="14"/>
      <c r="I412" s="12" t="s">
        <v>637</v>
      </c>
      <c r="J412" s="14" t="e">
        <f t="shared" ca="1" si="0"/>
        <v>#NAME?</v>
      </c>
      <c r="K412" s="14" t="e">
        <f ca="1">VLOOKUP(J412,'Bảng Đơn vị'!$A$2:$B$10,2,1)</f>
        <v>#NAME?</v>
      </c>
      <c r="L412" s="15">
        <v>45738</v>
      </c>
      <c r="M412" s="16">
        <v>2025</v>
      </c>
      <c r="S412" s="9"/>
    </row>
    <row r="413" spans="1:19" ht="52.8" hidden="1">
      <c r="A413" s="5">
        <v>412</v>
      </c>
      <c r="B413" s="14"/>
      <c r="C413" s="13" t="str">
        <f t="shared" si="1"/>
        <v>Nghiên cứu ảnh hưởng các thiết bị điện tử đến khả năng tập trung của học sinh tiểu học</v>
      </c>
      <c r="D413" s="12" t="s">
        <v>672</v>
      </c>
      <c r="E413" s="12">
        <v>3220223035</v>
      </c>
      <c r="F413" s="14"/>
      <c r="G413" s="14"/>
      <c r="H413" s="14"/>
      <c r="I413" s="12" t="s">
        <v>637</v>
      </c>
      <c r="J413" s="14" t="e">
        <f t="shared" ca="1" si="0"/>
        <v>#NAME?</v>
      </c>
      <c r="K413" s="14" t="e">
        <f ca="1">VLOOKUP(J413,'Bảng Đơn vị'!$A$2:$B$10,2,1)</f>
        <v>#NAME?</v>
      </c>
      <c r="L413" s="15">
        <v>45739</v>
      </c>
      <c r="M413" s="16">
        <v>2025</v>
      </c>
      <c r="S413" s="9"/>
    </row>
    <row r="414" spans="1:19" ht="52.8" hidden="1">
      <c r="A414" s="5">
        <v>413</v>
      </c>
      <c r="B414" s="12" t="s">
        <v>673</v>
      </c>
      <c r="C414" s="13" t="str">
        <f t="shared" si="1"/>
        <v>Thiết kế trang web Voice Lift nhằm phát triển năng lực cảm thụ văn học cho học sinh lớp 4</v>
      </c>
      <c r="D414" s="12" t="s">
        <v>674</v>
      </c>
      <c r="E414" s="12">
        <v>3220122324</v>
      </c>
      <c r="F414" s="12" t="s">
        <v>675</v>
      </c>
      <c r="G414" s="12" t="s">
        <v>676</v>
      </c>
      <c r="H414" s="14"/>
      <c r="I414" s="12" t="s">
        <v>637</v>
      </c>
      <c r="J414" s="14" t="e">
        <f t="shared" ca="1" si="0"/>
        <v>#NAME?</v>
      </c>
      <c r="K414" s="14" t="e">
        <f ca="1">VLOOKUP(J414,'Bảng Đơn vị'!$A$2:$B$10,2,1)</f>
        <v>#NAME?</v>
      </c>
      <c r="L414" s="15">
        <v>45740</v>
      </c>
      <c r="M414" s="16">
        <v>2025</v>
      </c>
      <c r="S414" s="9"/>
    </row>
    <row r="415" spans="1:19" ht="52.8" hidden="1">
      <c r="A415" s="5">
        <v>414</v>
      </c>
      <c r="B415" s="14"/>
      <c r="C415" s="13" t="str">
        <f t="shared" si="1"/>
        <v>Thiết kế trang web Voice Lift nhằm phát triển năng lực cảm thụ văn học cho học sinh lớp 4</v>
      </c>
      <c r="D415" s="12" t="s">
        <v>677</v>
      </c>
      <c r="E415" s="12">
        <v>3220122314</v>
      </c>
      <c r="F415" s="14"/>
      <c r="G415" s="14"/>
      <c r="H415" s="14"/>
      <c r="I415" s="12" t="s">
        <v>637</v>
      </c>
      <c r="J415" s="14" t="e">
        <f t="shared" ca="1" si="0"/>
        <v>#NAME?</v>
      </c>
      <c r="K415" s="14" t="e">
        <f ca="1">VLOOKUP(J415,'Bảng Đơn vị'!$A$2:$B$10,2,1)</f>
        <v>#NAME?</v>
      </c>
      <c r="L415" s="15">
        <v>45741</v>
      </c>
      <c r="M415" s="16">
        <v>2025</v>
      </c>
      <c r="S415" s="9"/>
    </row>
    <row r="416" spans="1:19" ht="52.8" hidden="1">
      <c r="A416" s="5">
        <v>415</v>
      </c>
      <c r="B416" s="14"/>
      <c r="C416" s="13" t="str">
        <f t="shared" si="1"/>
        <v>Thiết kế trang web Voice Lift nhằm phát triển năng lực cảm thụ văn học cho học sinh lớp 4</v>
      </c>
      <c r="D416" s="12" t="s">
        <v>678</v>
      </c>
      <c r="E416" s="12">
        <v>3220122311</v>
      </c>
      <c r="F416" s="14"/>
      <c r="G416" s="14"/>
      <c r="H416" s="14"/>
      <c r="I416" s="12" t="s">
        <v>637</v>
      </c>
      <c r="J416" s="14" t="e">
        <f t="shared" ca="1" si="0"/>
        <v>#NAME?</v>
      </c>
      <c r="K416" s="14" t="e">
        <f ca="1">VLOOKUP(J416,'Bảng Đơn vị'!$A$2:$B$10,2,1)</f>
        <v>#NAME?</v>
      </c>
      <c r="L416" s="15">
        <v>45742</v>
      </c>
      <c r="M416" s="16">
        <v>2025</v>
      </c>
      <c r="S416" s="9"/>
    </row>
    <row r="417" spans="1:19" ht="52.8" hidden="1">
      <c r="A417" s="5">
        <v>416</v>
      </c>
      <c r="B417" s="14"/>
      <c r="C417" s="13" t="str">
        <f t="shared" si="1"/>
        <v>Thiết kế trang web Voice Lift nhằm phát triển năng lực cảm thụ văn học cho học sinh lớp 4</v>
      </c>
      <c r="D417" s="12" t="s">
        <v>679</v>
      </c>
      <c r="E417" s="12">
        <v>3220122248</v>
      </c>
      <c r="F417" s="14"/>
      <c r="G417" s="14"/>
      <c r="H417" s="14"/>
      <c r="I417" s="12" t="s">
        <v>637</v>
      </c>
      <c r="J417" s="14" t="e">
        <f t="shared" ca="1" si="0"/>
        <v>#NAME?</v>
      </c>
      <c r="K417" s="14" t="e">
        <f ca="1">VLOOKUP(J417,'Bảng Đơn vị'!$A$2:$B$10,2,1)</f>
        <v>#NAME?</v>
      </c>
      <c r="L417" s="15">
        <v>45743</v>
      </c>
      <c r="M417" s="16">
        <v>2025</v>
      </c>
      <c r="S417" s="9"/>
    </row>
    <row r="418" spans="1:19" ht="52.8" hidden="1">
      <c r="A418" s="5">
        <v>417</v>
      </c>
      <c r="B418" s="14"/>
      <c r="C418" s="13" t="str">
        <f t="shared" si="1"/>
        <v>Thiết kế trang web Voice Lift nhằm phát triển năng lực cảm thụ văn học cho học sinh lớp 4</v>
      </c>
      <c r="D418" s="12" t="s">
        <v>680</v>
      </c>
      <c r="E418" s="12">
        <v>3220122321</v>
      </c>
      <c r="F418" s="14"/>
      <c r="G418" s="14"/>
      <c r="H418" s="14"/>
      <c r="I418" s="12" t="s">
        <v>637</v>
      </c>
      <c r="J418" s="14" t="e">
        <f t="shared" ca="1" si="0"/>
        <v>#NAME?</v>
      </c>
      <c r="K418" s="14" t="e">
        <f ca="1">VLOOKUP(J418,'Bảng Đơn vị'!$A$2:$B$10,2,1)</f>
        <v>#NAME?</v>
      </c>
      <c r="L418" s="15">
        <v>45744</v>
      </c>
      <c r="M418" s="16">
        <v>2025</v>
      </c>
      <c r="S418" s="9"/>
    </row>
    <row r="419" spans="1:19" ht="52.8" hidden="1">
      <c r="A419" s="5">
        <v>418</v>
      </c>
      <c r="B419" s="12" t="s">
        <v>681</v>
      </c>
      <c r="C419" s="13" t="str">
        <f t="shared" si="1"/>
        <v>Xây dựng bộ tư liệu hình ảnh sử dụng trong hoạt động dạy học môn Khoa học tự nhiên và xã hội lớp 3</v>
      </c>
      <c r="D419" s="12" t="s">
        <v>682</v>
      </c>
      <c r="E419" s="12">
        <v>3220123212</v>
      </c>
      <c r="F419" s="12" t="s">
        <v>683</v>
      </c>
      <c r="G419" s="12" t="s">
        <v>684</v>
      </c>
      <c r="H419" s="14"/>
      <c r="I419" s="12" t="s">
        <v>637</v>
      </c>
      <c r="J419" s="14" t="e">
        <f t="shared" ca="1" si="0"/>
        <v>#NAME?</v>
      </c>
      <c r="K419" s="14" t="e">
        <f ca="1">VLOOKUP(J419,'Bảng Đơn vị'!$A$2:$B$10,2,1)</f>
        <v>#NAME?</v>
      </c>
      <c r="L419" s="15">
        <v>45745</v>
      </c>
      <c r="M419" s="16">
        <v>2025</v>
      </c>
      <c r="S419" s="9"/>
    </row>
    <row r="420" spans="1:19" ht="52.8" hidden="1">
      <c r="A420" s="5">
        <v>419</v>
      </c>
      <c r="B420" s="14"/>
      <c r="C420" s="13" t="str">
        <f t="shared" si="1"/>
        <v>Xây dựng bộ tư liệu hình ảnh sử dụng trong hoạt động dạy học môn Khoa học tự nhiên và xã hội lớp 3</v>
      </c>
      <c r="D420" s="12" t="s">
        <v>685</v>
      </c>
      <c r="E420" s="12">
        <v>3220123380</v>
      </c>
      <c r="F420" s="14"/>
      <c r="G420" s="14"/>
      <c r="H420" s="14"/>
      <c r="I420" s="12" t="s">
        <v>637</v>
      </c>
      <c r="J420" s="14" t="e">
        <f t="shared" ca="1" si="0"/>
        <v>#NAME?</v>
      </c>
      <c r="K420" s="14" t="e">
        <f ca="1">VLOOKUP(J420,'Bảng Đơn vị'!$A$2:$B$10,2,1)</f>
        <v>#NAME?</v>
      </c>
      <c r="L420" s="15">
        <v>45746</v>
      </c>
      <c r="M420" s="16">
        <v>2025</v>
      </c>
      <c r="S420" s="9"/>
    </row>
    <row r="421" spans="1:19" ht="52.8" hidden="1">
      <c r="A421" s="5">
        <v>420</v>
      </c>
      <c r="B421" s="14"/>
      <c r="C421" s="13" t="str">
        <f t="shared" si="1"/>
        <v>Xây dựng bộ tư liệu hình ảnh sử dụng trong hoạt động dạy học môn Khoa học tự nhiên và xã hội lớp 3</v>
      </c>
      <c r="D421" s="12" t="s">
        <v>686</v>
      </c>
      <c r="E421" s="12">
        <v>3220123039</v>
      </c>
      <c r="F421" s="14"/>
      <c r="G421" s="14"/>
      <c r="H421" s="14"/>
      <c r="I421" s="12" t="s">
        <v>637</v>
      </c>
      <c r="J421" s="14" t="e">
        <f t="shared" ca="1" si="0"/>
        <v>#NAME?</v>
      </c>
      <c r="K421" s="14" t="e">
        <f ca="1">VLOOKUP(J421,'Bảng Đơn vị'!$A$2:$B$10,2,1)</f>
        <v>#NAME?</v>
      </c>
      <c r="L421" s="15">
        <v>45747</v>
      </c>
      <c r="M421" s="16">
        <v>2025</v>
      </c>
      <c r="S421" s="9"/>
    </row>
    <row r="422" spans="1:19" ht="52.8" hidden="1">
      <c r="A422" s="5">
        <v>421</v>
      </c>
      <c r="B422" s="14"/>
      <c r="C422" s="13" t="str">
        <f t="shared" si="1"/>
        <v>Xây dựng bộ tư liệu hình ảnh sử dụng trong hoạt động dạy học môn Khoa học tự nhiên và xã hội lớp 3</v>
      </c>
      <c r="D422" s="12" t="s">
        <v>687</v>
      </c>
      <c r="E422" s="12">
        <v>3220123364</v>
      </c>
      <c r="F422" s="14"/>
      <c r="G422" s="14"/>
      <c r="H422" s="14"/>
      <c r="I422" s="12" t="s">
        <v>637</v>
      </c>
      <c r="J422" s="14" t="e">
        <f t="shared" ca="1" si="0"/>
        <v>#NAME?</v>
      </c>
      <c r="K422" s="14" t="e">
        <f ca="1">VLOOKUP(J422,'Bảng Đơn vị'!$A$2:$B$10,2,1)</f>
        <v>#NAME?</v>
      </c>
      <c r="L422" s="15">
        <v>45748</v>
      </c>
      <c r="M422" s="16">
        <v>2025</v>
      </c>
      <c r="S422" s="9"/>
    </row>
    <row r="423" spans="1:19" ht="52.8" hidden="1">
      <c r="A423" s="5">
        <v>422</v>
      </c>
      <c r="B423" s="14"/>
      <c r="C423" s="13" t="str">
        <f t="shared" si="1"/>
        <v>Xây dựng bộ tư liệu hình ảnh sử dụng trong hoạt động dạy học môn Khoa học tự nhiên và xã hội lớp 3</v>
      </c>
      <c r="D423" s="12" t="s">
        <v>688</v>
      </c>
      <c r="E423" s="12">
        <v>3220123424</v>
      </c>
      <c r="F423" s="14"/>
      <c r="G423" s="14"/>
      <c r="H423" s="14"/>
      <c r="I423" s="12" t="s">
        <v>637</v>
      </c>
      <c r="J423" s="14" t="e">
        <f t="shared" ca="1" si="0"/>
        <v>#NAME?</v>
      </c>
      <c r="K423" s="14" t="e">
        <f ca="1">VLOOKUP(J423,'Bảng Đơn vị'!$A$2:$B$10,2,1)</f>
        <v>#NAME?</v>
      </c>
      <c r="L423" s="15">
        <v>45749</v>
      </c>
      <c r="M423" s="16">
        <v>2025</v>
      </c>
      <c r="S423" s="9"/>
    </row>
    <row r="424" spans="1:19" ht="66" hidden="1">
      <c r="A424" s="5">
        <v>423</v>
      </c>
      <c r="B424" s="12" t="s">
        <v>689</v>
      </c>
      <c r="C424" s="13" t="str">
        <f t="shared" si="1"/>
        <v>So sánh năng lực cảm xúc xã hội thông qua việc tham gia hoạt động ngoại khóa của sinh viên sư phạm Trường đại học Sư phạm - Đại học Đà Nẵng</v>
      </c>
      <c r="D424" s="12" t="s">
        <v>690</v>
      </c>
      <c r="E424" s="17">
        <v>3220123055</v>
      </c>
      <c r="F424" s="12" t="s">
        <v>662</v>
      </c>
      <c r="G424" s="12" t="s">
        <v>691</v>
      </c>
      <c r="H424" s="14"/>
      <c r="I424" s="12" t="s">
        <v>637</v>
      </c>
      <c r="J424" s="14" t="e">
        <f t="shared" ca="1" si="0"/>
        <v>#NAME?</v>
      </c>
      <c r="K424" s="14" t="e">
        <f ca="1">VLOOKUP(J424,'Bảng Đơn vị'!$A$2:$B$10,2,1)</f>
        <v>#NAME?</v>
      </c>
      <c r="L424" s="15">
        <v>45750</v>
      </c>
      <c r="M424" s="16">
        <v>2025</v>
      </c>
      <c r="S424" s="9"/>
    </row>
    <row r="425" spans="1:19" ht="52.8" hidden="1">
      <c r="A425" s="5">
        <v>424</v>
      </c>
      <c r="B425" s="12" t="s">
        <v>692</v>
      </c>
      <c r="C425" s="13" t="str">
        <f t="shared" si="1"/>
        <v>Giáo dục bảo vệ môi trường thông qua trò chơi trong dạy học môn Tự nhiên - Xã hội lớp 3</v>
      </c>
      <c r="D425" s="12" t="s">
        <v>693</v>
      </c>
      <c r="E425" s="12">
        <v>3220223015</v>
      </c>
      <c r="F425" s="12" t="s">
        <v>669</v>
      </c>
      <c r="G425" s="12" t="s">
        <v>694</v>
      </c>
      <c r="H425" s="14"/>
      <c r="I425" s="12" t="s">
        <v>637</v>
      </c>
      <c r="J425" s="14" t="e">
        <f t="shared" ca="1" si="0"/>
        <v>#NAME?</v>
      </c>
      <c r="K425" s="14" t="e">
        <f ca="1">VLOOKUP(J425,'Bảng Đơn vị'!$A$2:$B$10,2,1)</f>
        <v>#NAME?</v>
      </c>
      <c r="L425" s="15">
        <v>45751</v>
      </c>
      <c r="M425" s="16">
        <v>2025</v>
      </c>
      <c r="S425" s="9"/>
    </row>
    <row r="426" spans="1:19" ht="52.8" hidden="1">
      <c r="A426" s="5">
        <v>425</v>
      </c>
      <c r="B426" s="14"/>
      <c r="C426" s="13" t="str">
        <f t="shared" si="1"/>
        <v>Giáo dục bảo vệ môi trường thông qua trò chơi trong dạy học môn Tự nhiên - Xã hội lớp 3</v>
      </c>
      <c r="D426" s="12" t="s">
        <v>695</v>
      </c>
      <c r="E426" s="12">
        <v>3220223018</v>
      </c>
      <c r="F426" s="14"/>
      <c r="G426" s="14"/>
      <c r="H426" s="14"/>
      <c r="I426" s="12" t="s">
        <v>637</v>
      </c>
      <c r="J426" s="14" t="e">
        <f t="shared" ca="1" si="0"/>
        <v>#NAME?</v>
      </c>
      <c r="K426" s="14" t="e">
        <f ca="1">VLOOKUP(J426,'Bảng Đơn vị'!$A$2:$B$10,2,1)</f>
        <v>#NAME?</v>
      </c>
      <c r="L426" s="15">
        <v>45752</v>
      </c>
      <c r="M426" s="16">
        <v>2025</v>
      </c>
      <c r="S426" s="9"/>
    </row>
    <row r="427" spans="1:19" ht="52.8" hidden="1">
      <c r="A427" s="5">
        <v>426</v>
      </c>
      <c r="B427" s="14"/>
      <c r="C427" s="13" t="str">
        <f t="shared" si="1"/>
        <v>Giáo dục bảo vệ môi trường thông qua trò chơi trong dạy học môn Tự nhiên - Xã hội lớp 3</v>
      </c>
      <c r="D427" s="12" t="s">
        <v>696</v>
      </c>
      <c r="E427" s="12">
        <v>3220223034</v>
      </c>
      <c r="F427" s="14"/>
      <c r="G427" s="14"/>
      <c r="H427" s="14"/>
      <c r="I427" s="12" t="s">
        <v>637</v>
      </c>
      <c r="J427" s="14" t="e">
        <f t="shared" ca="1" si="0"/>
        <v>#NAME?</v>
      </c>
      <c r="K427" s="14" t="e">
        <f ca="1">VLOOKUP(J427,'Bảng Đơn vị'!$A$2:$B$10,2,1)</f>
        <v>#NAME?</v>
      </c>
      <c r="L427" s="15">
        <v>45753</v>
      </c>
      <c r="M427" s="16">
        <v>2025</v>
      </c>
      <c r="S427" s="9"/>
    </row>
    <row r="428" spans="1:19" ht="52.8" hidden="1">
      <c r="A428" s="5">
        <v>427</v>
      </c>
      <c r="B428" s="14"/>
      <c r="C428" s="13" t="str">
        <f t="shared" si="1"/>
        <v>Giáo dục bảo vệ môi trường thông qua trò chơi trong dạy học môn Tự nhiên - Xã hội lớp 3</v>
      </c>
      <c r="D428" s="12" t="s">
        <v>697</v>
      </c>
      <c r="E428" s="12">
        <v>3220223061</v>
      </c>
      <c r="F428" s="14"/>
      <c r="G428" s="14"/>
      <c r="H428" s="14"/>
      <c r="I428" s="12" t="s">
        <v>637</v>
      </c>
      <c r="J428" s="14" t="e">
        <f t="shared" ca="1" si="0"/>
        <v>#NAME?</v>
      </c>
      <c r="K428" s="14" t="e">
        <f ca="1">VLOOKUP(J428,'Bảng Đơn vị'!$A$2:$B$10,2,1)</f>
        <v>#NAME?</v>
      </c>
      <c r="L428" s="15">
        <v>45754</v>
      </c>
      <c r="M428" s="16">
        <v>2025</v>
      </c>
      <c r="S428" s="9"/>
    </row>
    <row r="429" spans="1:19" ht="52.8" hidden="1">
      <c r="A429" s="5">
        <v>428</v>
      </c>
      <c r="B429" s="14"/>
      <c r="C429" s="13" t="str">
        <f t="shared" si="1"/>
        <v>Giáo dục bảo vệ môi trường thông qua trò chơi trong dạy học môn Tự nhiên - Xã hội lớp 3</v>
      </c>
      <c r="D429" s="12" t="s">
        <v>698</v>
      </c>
      <c r="E429" s="12">
        <v>3220223072</v>
      </c>
      <c r="F429" s="14"/>
      <c r="G429" s="14"/>
      <c r="H429" s="14"/>
      <c r="I429" s="12" t="s">
        <v>637</v>
      </c>
      <c r="J429" s="14" t="e">
        <f t="shared" ca="1" si="0"/>
        <v>#NAME?</v>
      </c>
      <c r="K429" s="14" t="e">
        <f ca="1">VLOOKUP(J429,'Bảng Đơn vị'!$A$2:$B$10,2,1)</f>
        <v>#NAME?</v>
      </c>
      <c r="L429" s="15">
        <v>45755</v>
      </c>
      <c r="M429" s="16">
        <v>2025</v>
      </c>
      <c r="S429" s="9"/>
    </row>
    <row r="430" spans="1:19" ht="66" hidden="1">
      <c r="A430" s="5">
        <v>429</v>
      </c>
      <c r="B430" s="12" t="s">
        <v>699</v>
      </c>
      <c r="C430" s="13" t="str">
        <f t="shared" si="1"/>
        <v>Xây dựng và phát triển chương trình giáo dục kĩ năng tương tác an toàn trên không gian mạng cho học sinh tiểu học thông qua ứng dụng công nghệ thông tin</v>
      </c>
      <c r="D430" s="12" t="s">
        <v>700</v>
      </c>
      <c r="E430" s="12">
        <v>3220123206</v>
      </c>
      <c r="F430" s="12" t="s">
        <v>701</v>
      </c>
      <c r="G430" s="12" t="s">
        <v>702</v>
      </c>
      <c r="H430" s="14"/>
      <c r="I430" s="12" t="s">
        <v>637</v>
      </c>
      <c r="J430" s="14" t="e">
        <f t="shared" ca="1" si="0"/>
        <v>#NAME?</v>
      </c>
      <c r="K430" s="14" t="e">
        <f ca="1">VLOOKUP(J430,'Bảng Đơn vị'!$A$2:$B$10,2,1)</f>
        <v>#NAME?</v>
      </c>
      <c r="L430" s="15">
        <v>45756</v>
      </c>
      <c r="M430" s="16">
        <v>2025</v>
      </c>
      <c r="S430" s="9"/>
    </row>
    <row r="431" spans="1:19" ht="52.8" hidden="1">
      <c r="A431" s="5">
        <v>430</v>
      </c>
      <c r="B431" s="14"/>
      <c r="C431" s="13" t="str">
        <f t="shared" si="1"/>
        <v>Xây dựng và phát triển chương trình giáo dục kĩ năng tương tác an toàn trên không gian mạng cho học sinh tiểu học thông qua ứng dụng công nghệ thông tin</v>
      </c>
      <c r="D431" s="12" t="s">
        <v>703</v>
      </c>
      <c r="E431" s="12">
        <v>3220123319</v>
      </c>
      <c r="F431" s="14"/>
      <c r="G431" s="14"/>
      <c r="H431" s="14"/>
      <c r="I431" s="12" t="s">
        <v>637</v>
      </c>
      <c r="J431" s="14" t="e">
        <f t="shared" ca="1" si="0"/>
        <v>#NAME?</v>
      </c>
      <c r="K431" s="14" t="e">
        <f ca="1">VLOOKUP(J431,'Bảng Đơn vị'!$A$2:$B$10,2,1)</f>
        <v>#NAME?</v>
      </c>
      <c r="L431" s="15">
        <v>45757</v>
      </c>
      <c r="M431" s="16">
        <v>2025</v>
      </c>
      <c r="S431" s="9"/>
    </row>
    <row r="432" spans="1:19" ht="52.8" hidden="1">
      <c r="A432" s="5">
        <v>431</v>
      </c>
      <c r="B432" s="14"/>
      <c r="C432" s="13" t="str">
        <f t="shared" si="1"/>
        <v>Xây dựng và phát triển chương trình giáo dục kĩ năng tương tác an toàn trên không gian mạng cho học sinh tiểu học thông qua ứng dụng công nghệ thông tin</v>
      </c>
      <c r="D432" s="12" t="s">
        <v>704</v>
      </c>
      <c r="E432" s="12">
        <v>3220123179</v>
      </c>
      <c r="F432" s="14"/>
      <c r="G432" s="14"/>
      <c r="H432" s="14"/>
      <c r="I432" s="12" t="s">
        <v>637</v>
      </c>
      <c r="J432" s="14" t="e">
        <f t="shared" ca="1" si="0"/>
        <v>#NAME?</v>
      </c>
      <c r="K432" s="14" t="e">
        <f ca="1">VLOOKUP(J432,'Bảng Đơn vị'!$A$2:$B$10,2,1)</f>
        <v>#NAME?</v>
      </c>
      <c r="L432" s="15">
        <v>45758</v>
      </c>
      <c r="M432" s="16">
        <v>2025</v>
      </c>
      <c r="S432" s="9"/>
    </row>
    <row r="433" spans="1:19" ht="52.8" hidden="1">
      <c r="A433" s="5">
        <v>432</v>
      </c>
      <c r="B433" s="14"/>
      <c r="C433" s="13" t="str">
        <f t="shared" si="1"/>
        <v>Xây dựng và phát triển chương trình giáo dục kĩ năng tương tác an toàn trên không gian mạng cho học sinh tiểu học thông qua ứng dụng công nghệ thông tin</v>
      </c>
      <c r="D433" s="12" t="s">
        <v>705</v>
      </c>
      <c r="E433" s="12">
        <v>3220123449</v>
      </c>
      <c r="F433" s="14"/>
      <c r="G433" s="14"/>
      <c r="H433" s="14"/>
      <c r="I433" s="12" t="s">
        <v>637</v>
      </c>
      <c r="J433" s="14" t="e">
        <f t="shared" ca="1" si="0"/>
        <v>#NAME?</v>
      </c>
      <c r="K433" s="14" t="e">
        <f ca="1">VLOOKUP(J433,'Bảng Đơn vị'!$A$2:$B$10,2,1)</f>
        <v>#NAME?</v>
      </c>
      <c r="L433" s="15">
        <v>45759</v>
      </c>
      <c r="M433" s="16">
        <v>2025</v>
      </c>
      <c r="S433" s="9"/>
    </row>
    <row r="434" spans="1:19" ht="52.8" hidden="1">
      <c r="A434" s="5">
        <v>433</v>
      </c>
      <c r="B434" s="14"/>
      <c r="C434" s="13" t="str">
        <f t="shared" si="1"/>
        <v>Xây dựng và phát triển chương trình giáo dục kĩ năng tương tác an toàn trên không gian mạng cho học sinh tiểu học thông qua ứng dụng công nghệ thông tin</v>
      </c>
      <c r="D434" s="12" t="s">
        <v>706</v>
      </c>
      <c r="E434" s="12">
        <v>3220123309</v>
      </c>
      <c r="F434" s="14"/>
      <c r="G434" s="14"/>
      <c r="H434" s="14"/>
      <c r="I434" s="12" t="s">
        <v>637</v>
      </c>
      <c r="J434" s="14" t="e">
        <f t="shared" ca="1" si="0"/>
        <v>#NAME?</v>
      </c>
      <c r="K434" s="14" t="e">
        <f ca="1">VLOOKUP(J434,'Bảng Đơn vị'!$A$2:$B$10,2,1)</f>
        <v>#NAME?</v>
      </c>
      <c r="L434" s="15">
        <v>45760</v>
      </c>
      <c r="M434" s="16">
        <v>2025</v>
      </c>
      <c r="S434" s="9"/>
    </row>
    <row r="435" spans="1:19" ht="52.8" hidden="1">
      <c r="A435" s="5">
        <v>434</v>
      </c>
      <c r="B435" s="12" t="s">
        <v>707</v>
      </c>
      <c r="C435" s="13" t="str">
        <f t="shared" si="1"/>
        <v>Thiết kế một số chủ đề dạy học tích hợp trong môn Toán lớp 2 nhằm phát triển năng lực mô hình hóa toán học cho học sinh</v>
      </c>
      <c r="D435" s="12" t="s">
        <v>708</v>
      </c>
      <c r="E435" s="12">
        <v>3220122106</v>
      </c>
      <c r="F435" s="12" t="s">
        <v>709</v>
      </c>
      <c r="G435" s="12" t="s">
        <v>710</v>
      </c>
      <c r="H435" s="14"/>
      <c r="I435" s="12" t="s">
        <v>637</v>
      </c>
      <c r="J435" s="14" t="e">
        <f t="shared" ca="1" si="0"/>
        <v>#NAME?</v>
      </c>
      <c r="K435" s="14" t="e">
        <f ca="1">VLOOKUP(J435,'Bảng Đơn vị'!$A$2:$B$10,2,1)</f>
        <v>#NAME?</v>
      </c>
      <c r="L435" s="15">
        <v>45761</v>
      </c>
      <c r="M435" s="16">
        <v>2025</v>
      </c>
      <c r="S435" s="9"/>
    </row>
    <row r="436" spans="1:19" ht="52.8" hidden="1">
      <c r="A436" s="5">
        <v>435</v>
      </c>
      <c r="B436" s="14"/>
      <c r="C436" s="13" t="str">
        <f t="shared" si="1"/>
        <v>Thiết kế một số chủ đề dạy học tích hợp trong môn Toán lớp 2 nhằm phát triển năng lực mô hình hóa toán học cho học sinh</v>
      </c>
      <c r="D436" s="12" t="s">
        <v>711</v>
      </c>
      <c r="E436" s="12">
        <v>3220122143</v>
      </c>
      <c r="F436" s="14"/>
      <c r="G436" s="14"/>
      <c r="H436" s="14"/>
      <c r="I436" s="12" t="s">
        <v>637</v>
      </c>
      <c r="J436" s="14" t="e">
        <f t="shared" ca="1" si="0"/>
        <v>#NAME?</v>
      </c>
      <c r="K436" s="14" t="e">
        <f ca="1">VLOOKUP(J436,'Bảng Đơn vị'!$A$2:$B$10,2,1)</f>
        <v>#NAME?</v>
      </c>
      <c r="L436" s="15">
        <v>45762</v>
      </c>
      <c r="M436" s="16">
        <v>2025</v>
      </c>
      <c r="S436" s="9"/>
    </row>
    <row r="437" spans="1:19" ht="52.8" hidden="1">
      <c r="A437" s="5">
        <v>436</v>
      </c>
      <c r="B437" s="14"/>
      <c r="C437" s="13" t="str">
        <f t="shared" si="1"/>
        <v>Thiết kế một số chủ đề dạy học tích hợp trong môn Toán lớp 2 nhằm phát triển năng lực mô hình hóa toán học cho học sinh</v>
      </c>
      <c r="D437" s="12" t="s">
        <v>712</v>
      </c>
      <c r="E437" s="12">
        <v>3220122037</v>
      </c>
      <c r="F437" s="14"/>
      <c r="G437" s="14"/>
      <c r="H437" s="14"/>
      <c r="I437" s="12" t="s">
        <v>637</v>
      </c>
      <c r="J437" s="14" t="e">
        <f t="shared" ca="1" si="0"/>
        <v>#NAME?</v>
      </c>
      <c r="K437" s="14" t="e">
        <f ca="1">VLOOKUP(J437,'Bảng Đơn vị'!$A$2:$B$10,2,1)</f>
        <v>#NAME?</v>
      </c>
      <c r="L437" s="15">
        <v>45763</v>
      </c>
      <c r="M437" s="16">
        <v>2025</v>
      </c>
      <c r="S437" s="9"/>
    </row>
    <row r="438" spans="1:19" ht="52.8" hidden="1">
      <c r="A438" s="5">
        <v>437</v>
      </c>
      <c r="B438" s="14"/>
      <c r="C438" s="13" t="str">
        <f t="shared" si="1"/>
        <v>Thiết kế một số chủ đề dạy học tích hợp trong môn Toán lớp 2 nhằm phát triển năng lực mô hình hóa toán học cho học sinh</v>
      </c>
      <c r="D438" s="12" t="s">
        <v>713</v>
      </c>
      <c r="E438" s="12">
        <v>3220122323</v>
      </c>
      <c r="F438" s="14"/>
      <c r="G438" s="14"/>
      <c r="H438" s="14"/>
      <c r="I438" s="12" t="s">
        <v>637</v>
      </c>
      <c r="J438" s="14" t="e">
        <f t="shared" ca="1" si="0"/>
        <v>#NAME?</v>
      </c>
      <c r="K438" s="14" t="e">
        <f ca="1">VLOOKUP(J438,'Bảng Đơn vị'!$A$2:$B$10,2,1)</f>
        <v>#NAME?</v>
      </c>
      <c r="L438" s="15">
        <v>45764</v>
      </c>
      <c r="M438" s="16">
        <v>2025</v>
      </c>
      <c r="S438" s="9"/>
    </row>
    <row r="439" spans="1:19" ht="52.8" hidden="1">
      <c r="A439" s="5">
        <v>438</v>
      </c>
      <c r="B439" s="14"/>
      <c r="C439" s="13" t="str">
        <f t="shared" si="1"/>
        <v>Thiết kế một số chủ đề dạy học tích hợp trong môn Toán lớp 2 nhằm phát triển năng lực mô hình hóa toán học cho học sinh</v>
      </c>
      <c r="D439" s="12" t="s">
        <v>714</v>
      </c>
      <c r="E439" s="12">
        <v>3220122213</v>
      </c>
      <c r="F439" s="14"/>
      <c r="G439" s="14"/>
      <c r="H439" s="14"/>
      <c r="I439" s="12" t="s">
        <v>637</v>
      </c>
      <c r="J439" s="14" t="e">
        <f t="shared" ca="1" si="0"/>
        <v>#NAME?</v>
      </c>
      <c r="K439" s="14" t="e">
        <f ca="1">VLOOKUP(J439,'Bảng Đơn vị'!$A$2:$B$10,2,1)</f>
        <v>#NAME?</v>
      </c>
      <c r="L439" s="15">
        <v>45765</v>
      </c>
      <c r="M439" s="16">
        <v>2025</v>
      </c>
      <c r="S439" s="9"/>
    </row>
    <row r="440" spans="1:19" ht="52.8" hidden="1">
      <c r="A440" s="5">
        <v>439</v>
      </c>
      <c r="B440" s="12" t="s">
        <v>715</v>
      </c>
      <c r="C440" s="13" t="str">
        <f t="shared" si="1"/>
        <v>Thiết kế trò chơi học tập tích hợp giáo dục tài chính trong dạy học môn Toán lớp 4</v>
      </c>
      <c r="D440" s="12" t="s">
        <v>716</v>
      </c>
      <c r="E440" s="12">
        <v>3220122201</v>
      </c>
      <c r="F440" s="12" t="s">
        <v>641</v>
      </c>
      <c r="G440" s="12" t="s">
        <v>717</v>
      </c>
      <c r="H440" s="14"/>
      <c r="I440" s="12" t="s">
        <v>637</v>
      </c>
      <c r="J440" s="14" t="e">
        <f t="shared" ca="1" si="0"/>
        <v>#NAME?</v>
      </c>
      <c r="K440" s="14" t="e">
        <f ca="1">VLOOKUP(J440,'Bảng Đơn vị'!$A$2:$B$10,2,1)</f>
        <v>#NAME?</v>
      </c>
      <c r="L440" s="15">
        <v>45766</v>
      </c>
      <c r="M440" s="16">
        <v>2025</v>
      </c>
      <c r="S440" s="9"/>
    </row>
    <row r="441" spans="1:19" ht="52.8" hidden="1">
      <c r="A441" s="5">
        <v>440</v>
      </c>
      <c r="B441" s="14"/>
      <c r="C441" s="13" t="str">
        <f t="shared" si="1"/>
        <v>Thiết kế trò chơi học tập tích hợp giáo dục tài chính trong dạy học môn Toán lớp 4</v>
      </c>
      <c r="D441" s="12" t="s">
        <v>718</v>
      </c>
      <c r="E441" s="12">
        <v>3220122045</v>
      </c>
      <c r="F441" s="12" t="s">
        <v>641</v>
      </c>
      <c r="G441" s="14"/>
      <c r="H441" s="14"/>
      <c r="I441" s="12" t="s">
        <v>637</v>
      </c>
      <c r="J441" s="14" t="e">
        <f t="shared" ca="1" si="0"/>
        <v>#NAME?</v>
      </c>
      <c r="K441" s="14" t="e">
        <f ca="1">VLOOKUP(J441,'Bảng Đơn vị'!$A$2:$B$10,2,1)</f>
        <v>#NAME?</v>
      </c>
      <c r="L441" s="15">
        <v>45767</v>
      </c>
      <c r="M441" s="16">
        <v>2025</v>
      </c>
      <c r="S441" s="9"/>
    </row>
    <row r="442" spans="1:19" ht="52.8" hidden="1">
      <c r="A442" s="5">
        <v>441</v>
      </c>
      <c r="B442" s="14"/>
      <c r="C442" s="13" t="str">
        <f t="shared" si="1"/>
        <v>Thiết kế trò chơi học tập tích hợp giáo dục tài chính trong dạy học môn Toán lớp 4</v>
      </c>
      <c r="D442" s="12" t="s">
        <v>719</v>
      </c>
      <c r="E442" s="12">
        <v>3220122163</v>
      </c>
      <c r="F442" s="12" t="s">
        <v>641</v>
      </c>
      <c r="G442" s="14"/>
      <c r="H442" s="14"/>
      <c r="I442" s="12" t="s">
        <v>637</v>
      </c>
      <c r="J442" s="14" t="e">
        <f t="shared" ca="1" si="0"/>
        <v>#NAME?</v>
      </c>
      <c r="K442" s="14" t="e">
        <f ca="1">VLOOKUP(J442,'Bảng Đơn vị'!$A$2:$B$10,2,1)</f>
        <v>#NAME?</v>
      </c>
      <c r="L442" s="15">
        <v>45768</v>
      </c>
      <c r="M442" s="16">
        <v>2025</v>
      </c>
      <c r="S442" s="9"/>
    </row>
    <row r="443" spans="1:19" ht="52.8" hidden="1">
      <c r="A443" s="5">
        <v>442</v>
      </c>
      <c r="B443" s="14"/>
      <c r="C443" s="13" t="str">
        <f t="shared" si="1"/>
        <v>Thiết kế trò chơi học tập tích hợp giáo dục tài chính trong dạy học môn Toán lớp 4</v>
      </c>
      <c r="D443" s="12" t="s">
        <v>720</v>
      </c>
      <c r="E443" s="12">
        <v>3220122235</v>
      </c>
      <c r="F443" s="12" t="s">
        <v>652</v>
      </c>
      <c r="G443" s="14"/>
      <c r="H443" s="14"/>
      <c r="I443" s="12" t="s">
        <v>637</v>
      </c>
      <c r="J443" s="14" t="e">
        <f t="shared" ca="1" si="0"/>
        <v>#NAME?</v>
      </c>
      <c r="K443" s="14" t="e">
        <f ca="1">VLOOKUP(J443,'Bảng Đơn vị'!$A$2:$B$10,2,1)</f>
        <v>#NAME?</v>
      </c>
      <c r="L443" s="15">
        <v>45769</v>
      </c>
      <c r="M443" s="16">
        <v>2025</v>
      </c>
      <c r="S443" s="9"/>
    </row>
    <row r="444" spans="1:19" ht="66" hidden="1">
      <c r="A444" s="5">
        <v>443</v>
      </c>
      <c r="B444" s="12" t="s">
        <v>721</v>
      </c>
      <c r="C444" s="13" t="str">
        <f t="shared" si="1"/>
        <v>Giáo dục tình yêu thiên nhiên cho học sinh tiểu học trong chương trình Tiếng Việt lớp 4,5 từ quan điểm ngôn ngữ học sinh thái</v>
      </c>
      <c r="D444" s="12" t="s">
        <v>594</v>
      </c>
      <c r="E444" s="12">
        <v>3220123224</v>
      </c>
      <c r="F444" s="12" t="s">
        <v>701</v>
      </c>
      <c r="G444" s="12" t="s">
        <v>722</v>
      </c>
      <c r="H444" s="14"/>
      <c r="I444" s="12" t="s">
        <v>637</v>
      </c>
      <c r="J444" s="14" t="e">
        <f t="shared" ca="1" si="0"/>
        <v>#NAME?</v>
      </c>
      <c r="K444" s="14" t="e">
        <f ca="1">VLOOKUP(J444,'Bảng Đơn vị'!$A$2:$B$10,2,1)</f>
        <v>#NAME?</v>
      </c>
      <c r="L444" s="15">
        <v>45770</v>
      </c>
      <c r="M444" s="16">
        <v>2025</v>
      </c>
      <c r="S444" s="9"/>
    </row>
    <row r="445" spans="1:19" ht="52.8" hidden="1">
      <c r="A445" s="5">
        <v>444</v>
      </c>
      <c r="B445" s="14"/>
      <c r="C445" s="13" t="str">
        <f t="shared" si="1"/>
        <v>Giáo dục tình yêu thiên nhiên cho học sinh tiểu học trong chương trình Tiếng Việt lớp 4,5 từ quan điểm ngôn ngữ học sinh thái</v>
      </c>
      <c r="D445" s="12" t="s">
        <v>723</v>
      </c>
      <c r="E445" s="12">
        <v>3220123170</v>
      </c>
      <c r="F445" s="14"/>
      <c r="G445" s="14"/>
      <c r="H445" s="14"/>
      <c r="I445" s="12" t="s">
        <v>637</v>
      </c>
      <c r="J445" s="14" t="e">
        <f t="shared" ca="1" si="0"/>
        <v>#NAME?</v>
      </c>
      <c r="K445" s="14" t="e">
        <f ca="1">VLOOKUP(J445,'Bảng Đơn vị'!$A$2:$B$10,2,1)</f>
        <v>#NAME?</v>
      </c>
      <c r="L445" s="15">
        <v>45771</v>
      </c>
      <c r="M445" s="16">
        <v>2025</v>
      </c>
      <c r="S445" s="9"/>
    </row>
    <row r="446" spans="1:19" ht="52.8" hidden="1">
      <c r="A446" s="5">
        <v>445</v>
      </c>
      <c r="B446" s="14"/>
      <c r="C446" s="13" t="str">
        <f t="shared" si="1"/>
        <v>Giáo dục tình yêu thiên nhiên cho học sinh tiểu học trong chương trình Tiếng Việt lớp 4,5 từ quan điểm ngôn ngữ học sinh thái</v>
      </c>
      <c r="D446" s="12" t="s">
        <v>724</v>
      </c>
      <c r="E446" s="12">
        <v>3220123267</v>
      </c>
      <c r="F446" s="14"/>
      <c r="G446" s="14"/>
      <c r="H446" s="14"/>
      <c r="I446" s="12" t="s">
        <v>637</v>
      </c>
      <c r="J446" s="14" t="e">
        <f t="shared" ca="1" si="0"/>
        <v>#NAME?</v>
      </c>
      <c r="K446" s="14" t="e">
        <f ca="1">VLOOKUP(J446,'Bảng Đơn vị'!$A$2:$B$10,2,1)</f>
        <v>#NAME?</v>
      </c>
      <c r="L446" s="15">
        <v>45772</v>
      </c>
      <c r="M446" s="16">
        <v>2025</v>
      </c>
      <c r="S446" s="9"/>
    </row>
    <row r="447" spans="1:19" ht="52.8" hidden="1">
      <c r="A447" s="5">
        <v>446</v>
      </c>
      <c r="B447" s="14"/>
      <c r="C447" s="13" t="str">
        <f t="shared" si="1"/>
        <v>Giáo dục tình yêu thiên nhiên cho học sinh tiểu học trong chương trình Tiếng Việt lớp 4,5 từ quan điểm ngôn ngữ học sinh thái</v>
      </c>
      <c r="D447" s="12" t="s">
        <v>725</v>
      </c>
      <c r="E447" s="12">
        <v>3220123190</v>
      </c>
      <c r="F447" s="14"/>
      <c r="G447" s="14"/>
      <c r="H447" s="14"/>
      <c r="I447" s="12" t="s">
        <v>637</v>
      </c>
      <c r="J447" s="14" t="e">
        <f t="shared" ca="1" si="0"/>
        <v>#NAME?</v>
      </c>
      <c r="K447" s="14" t="e">
        <f ca="1">VLOOKUP(J447,'Bảng Đơn vị'!$A$2:$B$10,2,1)</f>
        <v>#NAME?</v>
      </c>
      <c r="L447" s="15">
        <v>45773</v>
      </c>
      <c r="M447" s="16">
        <v>2025</v>
      </c>
      <c r="S447" s="9"/>
    </row>
    <row r="448" spans="1:19" ht="52.8" hidden="1">
      <c r="A448" s="5">
        <v>447</v>
      </c>
      <c r="B448" s="14"/>
      <c r="C448" s="13" t="str">
        <f t="shared" si="1"/>
        <v>Giáo dục tình yêu thiên nhiên cho học sinh tiểu học trong chương trình Tiếng Việt lớp 4,5 từ quan điểm ngôn ngữ học sinh thái</v>
      </c>
      <c r="D448" s="12" t="s">
        <v>726</v>
      </c>
      <c r="E448" s="12">
        <v>3220123016</v>
      </c>
      <c r="F448" s="14"/>
      <c r="G448" s="14"/>
      <c r="H448" s="14"/>
      <c r="I448" s="12" t="s">
        <v>637</v>
      </c>
      <c r="J448" s="14" t="e">
        <f t="shared" ca="1" si="0"/>
        <v>#NAME?</v>
      </c>
      <c r="K448" s="14" t="e">
        <f ca="1">VLOOKUP(J448,'Bảng Đơn vị'!$A$2:$B$10,2,1)</f>
        <v>#NAME?</v>
      </c>
      <c r="L448" s="15">
        <v>45774</v>
      </c>
      <c r="M448" s="16">
        <v>2025</v>
      </c>
      <c r="S448" s="9"/>
    </row>
    <row r="449" spans="1:19" ht="52.8" hidden="1">
      <c r="A449" s="5">
        <v>448</v>
      </c>
      <c r="B449" s="12" t="s">
        <v>727</v>
      </c>
      <c r="C449" s="13" t="str">
        <f t="shared" si="1"/>
        <v>Xây dựng công cụ đánh giá năng lực khoa học cho học sinh lớp 3 trong dạy học chủ đề "Con người và sức khỏe"</v>
      </c>
      <c r="D449" s="12" t="s">
        <v>728</v>
      </c>
      <c r="E449" s="12">
        <v>3220122334</v>
      </c>
      <c r="F449" s="12" t="s">
        <v>652</v>
      </c>
      <c r="G449" s="12" t="s">
        <v>729</v>
      </c>
      <c r="H449" s="14"/>
      <c r="I449" s="12" t="s">
        <v>637</v>
      </c>
      <c r="J449" s="14" t="e">
        <f t="shared" ca="1" si="0"/>
        <v>#NAME?</v>
      </c>
      <c r="K449" s="14" t="e">
        <f ca="1">VLOOKUP(J449,'Bảng Đơn vị'!$A$2:$B$10,2,1)</f>
        <v>#NAME?</v>
      </c>
      <c r="L449" s="15">
        <v>45775</v>
      </c>
      <c r="M449" s="16">
        <v>2025</v>
      </c>
      <c r="S449" s="9"/>
    </row>
    <row r="450" spans="1:19" ht="52.8" hidden="1">
      <c r="A450" s="5">
        <v>449</v>
      </c>
      <c r="B450" s="14"/>
      <c r="C450" s="13" t="str">
        <f t="shared" si="1"/>
        <v>Xây dựng công cụ đánh giá năng lực khoa học cho học sinh lớp 3 trong dạy học chủ đề "Con người và sức khỏe"</v>
      </c>
      <c r="D450" s="12" t="s">
        <v>730</v>
      </c>
      <c r="E450" s="12">
        <v>3220122082</v>
      </c>
      <c r="F450" s="14"/>
      <c r="G450" s="14"/>
      <c r="H450" s="14"/>
      <c r="I450" s="12" t="s">
        <v>637</v>
      </c>
      <c r="J450" s="14" t="e">
        <f t="shared" ca="1" si="0"/>
        <v>#NAME?</v>
      </c>
      <c r="K450" s="14" t="e">
        <f ca="1">VLOOKUP(J450,'Bảng Đơn vị'!$A$2:$B$10,2,1)</f>
        <v>#NAME?</v>
      </c>
      <c r="L450" s="15">
        <v>45776</v>
      </c>
      <c r="M450" s="16">
        <v>2025</v>
      </c>
      <c r="S450" s="9"/>
    </row>
    <row r="451" spans="1:19" ht="52.8" hidden="1">
      <c r="A451" s="5">
        <v>450</v>
      </c>
      <c r="B451" s="14"/>
      <c r="C451" s="13" t="str">
        <f t="shared" si="1"/>
        <v>Xây dựng công cụ đánh giá năng lực khoa học cho học sinh lớp 3 trong dạy học chủ đề "Con người và sức khỏe"</v>
      </c>
      <c r="D451" s="12" t="s">
        <v>731</v>
      </c>
      <c r="E451" s="12">
        <v>3220122118</v>
      </c>
      <c r="F451" s="14"/>
      <c r="G451" s="14"/>
      <c r="H451" s="14"/>
      <c r="I451" s="12" t="s">
        <v>637</v>
      </c>
      <c r="J451" s="14" t="e">
        <f t="shared" ca="1" si="0"/>
        <v>#NAME?</v>
      </c>
      <c r="K451" s="14" t="e">
        <f ca="1">VLOOKUP(J451,'Bảng Đơn vị'!$A$2:$B$10,2,1)</f>
        <v>#NAME?</v>
      </c>
      <c r="L451" s="15">
        <v>45777</v>
      </c>
      <c r="M451" s="16">
        <v>2025</v>
      </c>
      <c r="S451" s="9"/>
    </row>
    <row r="452" spans="1:19" ht="52.8" hidden="1">
      <c r="A452" s="5">
        <v>451</v>
      </c>
      <c r="B452" s="12" t="s">
        <v>732</v>
      </c>
      <c r="C452" s="13" t="str">
        <f t="shared" si="1"/>
        <v>Giáo dục kỹ năng ứng phó tình huống nguy hiểm cho học sinh tiểu học thông qua xây dựng hệ thống AI mô phỏng</v>
      </c>
      <c r="D452" s="12" t="s">
        <v>733</v>
      </c>
      <c r="E452" s="12">
        <v>3220123185</v>
      </c>
      <c r="F452" s="12" t="s">
        <v>734</v>
      </c>
      <c r="G452" s="12" t="s">
        <v>735</v>
      </c>
      <c r="H452" s="14"/>
      <c r="I452" s="12" t="s">
        <v>637</v>
      </c>
      <c r="J452" s="14" t="e">
        <f t="shared" ca="1" si="0"/>
        <v>#NAME?</v>
      </c>
      <c r="K452" s="14" t="e">
        <f ca="1">VLOOKUP(J452,'Bảng Đơn vị'!$A$2:$B$10,2,1)</f>
        <v>#NAME?</v>
      </c>
      <c r="L452" s="15">
        <v>45778</v>
      </c>
      <c r="M452" s="16">
        <v>2025</v>
      </c>
      <c r="S452" s="9"/>
    </row>
    <row r="453" spans="1:19" ht="52.8" hidden="1">
      <c r="A453" s="5">
        <v>452</v>
      </c>
      <c r="B453" s="14"/>
      <c r="C453" s="13" t="str">
        <f t="shared" si="1"/>
        <v>Giáo dục kỹ năng ứng phó tình huống nguy hiểm cho học sinh tiểu học thông qua xây dựng hệ thống AI mô phỏng</v>
      </c>
      <c r="D453" s="12" t="s">
        <v>736</v>
      </c>
      <c r="E453" s="12">
        <v>3220123091</v>
      </c>
      <c r="F453" s="14"/>
      <c r="G453" s="14"/>
      <c r="H453" s="14"/>
      <c r="I453" s="12" t="s">
        <v>637</v>
      </c>
      <c r="J453" s="14" t="e">
        <f t="shared" ca="1" si="0"/>
        <v>#NAME?</v>
      </c>
      <c r="K453" s="14" t="e">
        <f ca="1">VLOOKUP(J453,'Bảng Đơn vị'!$A$2:$B$10,2,1)</f>
        <v>#NAME?</v>
      </c>
      <c r="L453" s="15">
        <v>45779</v>
      </c>
      <c r="M453" s="16">
        <v>2025</v>
      </c>
      <c r="S453" s="9"/>
    </row>
    <row r="454" spans="1:19" ht="52.8" hidden="1">
      <c r="A454" s="5">
        <v>453</v>
      </c>
      <c r="B454" s="14"/>
      <c r="C454" s="13" t="str">
        <f t="shared" si="1"/>
        <v>Giáo dục kỹ năng ứng phó tình huống nguy hiểm cho học sinh tiểu học thông qua xây dựng hệ thống AI mô phỏng</v>
      </c>
      <c r="D454" s="12" t="s">
        <v>737</v>
      </c>
      <c r="E454" s="12">
        <v>3220123132</v>
      </c>
      <c r="F454" s="14"/>
      <c r="G454" s="14"/>
      <c r="H454" s="14"/>
      <c r="I454" s="12" t="s">
        <v>637</v>
      </c>
      <c r="J454" s="14" t="e">
        <f t="shared" ca="1" si="0"/>
        <v>#NAME?</v>
      </c>
      <c r="K454" s="14" t="e">
        <f ca="1">VLOOKUP(J454,'Bảng Đơn vị'!$A$2:$B$10,2,1)</f>
        <v>#NAME?</v>
      </c>
      <c r="L454" s="15">
        <v>45780</v>
      </c>
      <c r="M454" s="16">
        <v>2025</v>
      </c>
      <c r="S454" s="9"/>
    </row>
    <row r="455" spans="1:19" ht="52.8" hidden="1">
      <c r="A455" s="5">
        <v>454</v>
      </c>
      <c r="B455" s="14"/>
      <c r="C455" s="13" t="str">
        <f t="shared" si="1"/>
        <v>Giáo dục kỹ năng ứng phó tình huống nguy hiểm cho học sinh tiểu học thông qua xây dựng hệ thống AI mô phỏng</v>
      </c>
      <c r="D455" s="12" t="s">
        <v>738</v>
      </c>
      <c r="E455" s="12">
        <v>3220123373</v>
      </c>
      <c r="F455" s="14"/>
      <c r="G455" s="14"/>
      <c r="H455" s="14"/>
      <c r="I455" s="12" t="s">
        <v>637</v>
      </c>
      <c r="J455" s="14" t="e">
        <f t="shared" ca="1" si="0"/>
        <v>#NAME?</v>
      </c>
      <c r="K455" s="14" t="e">
        <f ca="1">VLOOKUP(J455,'Bảng Đơn vị'!$A$2:$B$10,2,1)</f>
        <v>#NAME?</v>
      </c>
      <c r="L455" s="15">
        <v>45781</v>
      </c>
      <c r="M455" s="16">
        <v>2025</v>
      </c>
      <c r="S455" s="9"/>
    </row>
    <row r="456" spans="1:19" ht="52.8" hidden="1">
      <c r="A456" s="5">
        <v>455</v>
      </c>
      <c r="B456" s="14"/>
      <c r="C456" s="13" t="str">
        <f t="shared" si="1"/>
        <v>Giáo dục kỹ năng ứng phó tình huống nguy hiểm cho học sinh tiểu học thông qua xây dựng hệ thống AI mô phỏng</v>
      </c>
      <c r="D456" s="12" t="s">
        <v>739</v>
      </c>
      <c r="E456" s="12">
        <v>3220123327</v>
      </c>
      <c r="F456" s="14"/>
      <c r="G456" s="14"/>
      <c r="H456" s="14"/>
      <c r="I456" s="12" t="s">
        <v>637</v>
      </c>
      <c r="J456" s="14" t="e">
        <f t="shared" ca="1" si="0"/>
        <v>#NAME?</v>
      </c>
      <c r="K456" s="14" t="e">
        <f ca="1">VLOOKUP(J456,'Bảng Đơn vị'!$A$2:$B$10,2,1)</f>
        <v>#NAME?</v>
      </c>
      <c r="L456" s="15">
        <v>45782</v>
      </c>
      <c r="M456" s="16">
        <v>2025</v>
      </c>
      <c r="S456" s="9"/>
    </row>
    <row r="457" spans="1:19" ht="52.8" hidden="1">
      <c r="A457" s="5">
        <v>456</v>
      </c>
      <c r="B457" s="12" t="s">
        <v>740</v>
      </c>
      <c r="C457" s="13" t="str">
        <f t="shared" si="1"/>
        <v>Rèn luyện kĩ năng viết bài văn kể chuyện cho học sinh lớp 4 thông qua sơ đồ tư duy</v>
      </c>
      <c r="D457" s="12" t="s">
        <v>741</v>
      </c>
      <c r="E457" s="12">
        <v>3220123109</v>
      </c>
      <c r="F457" s="12" t="s">
        <v>742</v>
      </c>
      <c r="G457" s="12" t="s">
        <v>743</v>
      </c>
      <c r="H457" s="14"/>
      <c r="I457" s="12" t="s">
        <v>637</v>
      </c>
      <c r="J457" s="14" t="e">
        <f t="shared" ca="1" si="0"/>
        <v>#NAME?</v>
      </c>
      <c r="K457" s="14" t="e">
        <f ca="1">VLOOKUP(J457,'Bảng Đơn vị'!$A$2:$B$10,2,1)</f>
        <v>#NAME?</v>
      </c>
      <c r="L457" s="15">
        <v>45783</v>
      </c>
      <c r="M457" s="16">
        <v>2025</v>
      </c>
      <c r="S457" s="9"/>
    </row>
    <row r="458" spans="1:19" ht="52.8" hidden="1">
      <c r="A458" s="5">
        <v>457</v>
      </c>
      <c r="B458" s="14"/>
      <c r="C458" s="13" t="str">
        <f t="shared" si="1"/>
        <v>Rèn luyện kĩ năng viết bài văn kể chuyện cho học sinh lớp 4 thông qua sơ đồ tư duy</v>
      </c>
      <c r="D458" s="12" t="s">
        <v>350</v>
      </c>
      <c r="E458" s="12">
        <v>3220123353</v>
      </c>
      <c r="F458" s="14"/>
      <c r="G458" s="14"/>
      <c r="H458" s="14"/>
      <c r="I458" s="12" t="s">
        <v>637</v>
      </c>
      <c r="J458" s="14" t="e">
        <f t="shared" ca="1" si="0"/>
        <v>#NAME?</v>
      </c>
      <c r="K458" s="14" t="e">
        <f ca="1">VLOOKUP(J458,'Bảng Đơn vị'!$A$2:$B$10,2,1)</f>
        <v>#NAME?</v>
      </c>
      <c r="L458" s="15">
        <v>45784</v>
      </c>
      <c r="M458" s="16">
        <v>2025</v>
      </c>
      <c r="S458" s="9"/>
    </row>
    <row r="459" spans="1:19" ht="52.8" hidden="1">
      <c r="A459" s="5">
        <v>458</v>
      </c>
      <c r="B459" s="14"/>
      <c r="C459" s="13" t="str">
        <f t="shared" si="1"/>
        <v>Rèn luyện kĩ năng viết bài văn kể chuyện cho học sinh lớp 4 thông qua sơ đồ tư duy</v>
      </c>
      <c r="D459" s="12" t="s">
        <v>744</v>
      </c>
      <c r="E459" s="12">
        <v>3220123347</v>
      </c>
      <c r="F459" s="14"/>
      <c r="G459" s="14"/>
      <c r="H459" s="14"/>
      <c r="I459" s="12" t="s">
        <v>637</v>
      </c>
      <c r="J459" s="14" t="e">
        <f t="shared" ca="1" si="0"/>
        <v>#NAME?</v>
      </c>
      <c r="K459" s="14" t="e">
        <f ca="1">VLOOKUP(J459,'Bảng Đơn vị'!$A$2:$B$10,2,1)</f>
        <v>#NAME?</v>
      </c>
      <c r="L459" s="15">
        <v>45785</v>
      </c>
      <c r="M459" s="16">
        <v>2025</v>
      </c>
      <c r="S459" s="9"/>
    </row>
    <row r="460" spans="1:19" ht="52.8" hidden="1">
      <c r="A460" s="5">
        <v>459</v>
      </c>
      <c r="B460" s="14"/>
      <c r="C460" s="13" t="str">
        <f t="shared" si="1"/>
        <v>Rèn luyện kĩ năng viết bài văn kể chuyện cho học sinh lớp 4 thông qua sơ đồ tư duy</v>
      </c>
      <c r="D460" s="12" t="s">
        <v>745</v>
      </c>
      <c r="E460" s="12">
        <v>3220123085</v>
      </c>
      <c r="F460" s="14"/>
      <c r="G460" s="14"/>
      <c r="H460" s="14"/>
      <c r="I460" s="12" t="s">
        <v>637</v>
      </c>
      <c r="J460" s="14" t="e">
        <f t="shared" ca="1" si="0"/>
        <v>#NAME?</v>
      </c>
      <c r="K460" s="14" t="e">
        <f ca="1">VLOOKUP(J460,'Bảng Đơn vị'!$A$2:$B$10,2,1)</f>
        <v>#NAME?</v>
      </c>
      <c r="L460" s="15">
        <v>45786</v>
      </c>
      <c r="M460" s="16">
        <v>2025</v>
      </c>
      <c r="S460" s="9"/>
    </row>
    <row r="461" spans="1:19" ht="52.8" hidden="1">
      <c r="A461" s="5">
        <v>460</v>
      </c>
      <c r="B461" s="12" t="s">
        <v>746</v>
      </c>
      <c r="C461" s="13" t="str">
        <f t="shared" si="1"/>
        <v>Ứng dụng AI thiết kế video phục vụ dạy học văn bản thơ cho học sinh lớp 3 (Theo bộ sách Kết nối tri thức với cuộc sống)</v>
      </c>
      <c r="D461" s="12" t="s">
        <v>747</v>
      </c>
      <c r="E461" s="12">
        <v>3220122270</v>
      </c>
      <c r="F461" s="12" t="s">
        <v>748</v>
      </c>
      <c r="G461" s="12" t="s">
        <v>743</v>
      </c>
      <c r="H461" s="14"/>
      <c r="I461" s="12" t="s">
        <v>637</v>
      </c>
      <c r="J461" s="14" t="e">
        <f t="shared" ca="1" si="0"/>
        <v>#NAME?</v>
      </c>
      <c r="K461" s="14" t="e">
        <f ca="1">VLOOKUP(J461,'Bảng Đơn vị'!$A$2:$B$10,2,1)</f>
        <v>#NAME?</v>
      </c>
      <c r="L461" s="15">
        <v>45787</v>
      </c>
      <c r="M461" s="16">
        <v>2025</v>
      </c>
      <c r="S461" s="9"/>
    </row>
    <row r="462" spans="1:19" ht="52.8" hidden="1">
      <c r="A462" s="5">
        <v>461</v>
      </c>
      <c r="B462" s="14"/>
      <c r="C462" s="13" t="str">
        <f t="shared" si="1"/>
        <v>Ứng dụng AI thiết kế video phục vụ dạy học văn bản thơ cho học sinh lớp 3 (Theo bộ sách Kết nối tri thức với cuộc sống)</v>
      </c>
      <c r="D462" s="12" t="s">
        <v>749</v>
      </c>
      <c r="E462" s="12">
        <v>3220122188</v>
      </c>
      <c r="F462" s="12" t="s">
        <v>748</v>
      </c>
      <c r="G462" s="14"/>
      <c r="H462" s="14"/>
      <c r="I462" s="12" t="s">
        <v>637</v>
      </c>
      <c r="J462" s="14" t="e">
        <f t="shared" ca="1" si="0"/>
        <v>#NAME?</v>
      </c>
      <c r="K462" s="14" t="e">
        <f ca="1">VLOOKUP(J462,'Bảng Đơn vị'!$A$2:$B$10,2,1)</f>
        <v>#NAME?</v>
      </c>
      <c r="L462" s="15">
        <v>45788</v>
      </c>
      <c r="M462" s="16">
        <v>2025</v>
      </c>
      <c r="S462" s="9"/>
    </row>
    <row r="463" spans="1:19" ht="52.8" hidden="1">
      <c r="A463" s="5">
        <v>462</v>
      </c>
      <c r="B463" s="14"/>
      <c r="C463" s="13" t="str">
        <f t="shared" si="1"/>
        <v>Ứng dụng AI thiết kế video phục vụ dạy học văn bản thơ cho học sinh lớp 3 (Theo bộ sách Kết nối tri thức với cuộc sống)</v>
      </c>
      <c r="D463" s="12" t="s">
        <v>750</v>
      </c>
      <c r="E463" s="12">
        <v>3220122157</v>
      </c>
      <c r="F463" s="12" t="s">
        <v>748</v>
      </c>
      <c r="G463" s="14"/>
      <c r="H463" s="14"/>
      <c r="I463" s="12" t="s">
        <v>637</v>
      </c>
      <c r="J463" s="14" t="e">
        <f t="shared" ca="1" si="0"/>
        <v>#NAME?</v>
      </c>
      <c r="K463" s="14" t="e">
        <f ca="1">VLOOKUP(J463,'Bảng Đơn vị'!$A$2:$B$10,2,1)</f>
        <v>#NAME?</v>
      </c>
      <c r="L463" s="15">
        <v>45789</v>
      </c>
      <c r="M463" s="16">
        <v>2025</v>
      </c>
      <c r="S463" s="9"/>
    </row>
    <row r="464" spans="1:19" ht="52.8" hidden="1">
      <c r="A464" s="5">
        <v>463</v>
      </c>
      <c r="B464" s="14"/>
      <c r="C464" s="13" t="str">
        <f t="shared" si="1"/>
        <v>Ứng dụng AI thiết kế video phục vụ dạy học văn bản thơ cho học sinh lớp 3 (Theo bộ sách Kết nối tri thức với cuộc sống)</v>
      </c>
      <c r="D464" s="12" t="s">
        <v>751</v>
      </c>
      <c r="E464" s="12">
        <v>3220122085</v>
      </c>
      <c r="F464" s="12" t="s">
        <v>675</v>
      </c>
      <c r="G464" s="14"/>
      <c r="H464" s="14"/>
      <c r="I464" s="12" t="s">
        <v>637</v>
      </c>
      <c r="J464" s="14" t="e">
        <f t="shared" ca="1" si="0"/>
        <v>#NAME?</v>
      </c>
      <c r="K464" s="14" t="e">
        <f ca="1">VLOOKUP(J464,'Bảng Đơn vị'!$A$2:$B$10,2,1)</f>
        <v>#NAME?</v>
      </c>
      <c r="L464" s="15">
        <v>45790</v>
      </c>
      <c r="M464" s="16">
        <v>2025</v>
      </c>
      <c r="S464" s="9"/>
    </row>
    <row r="465" spans="1:19" ht="52.8" hidden="1">
      <c r="A465" s="5">
        <v>464</v>
      </c>
      <c r="B465" s="14"/>
      <c r="C465" s="13" t="str">
        <f t="shared" si="1"/>
        <v>Ứng dụng AI thiết kế video phục vụ dạy học văn bản thơ cho học sinh lớp 3 (Theo bộ sách Kết nối tri thức với cuộc sống)</v>
      </c>
      <c r="D465" s="12" t="s">
        <v>752</v>
      </c>
      <c r="E465" s="12">
        <v>3220122298</v>
      </c>
      <c r="F465" s="12" t="s">
        <v>748</v>
      </c>
      <c r="G465" s="14"/>
      <c r="H465" s="14"/>
      <c r="I465" s="12" t="s">
        <v>637</v>
      </c>
      <c r="J465" s="14" t="e">
        <f t="shared" ca="1" si="0"/>
        <v>#NAME?</v>
      </c>
      <c r="K465" s="14" t="e">
        <f ca="1">VLOOKUP(J465,'Bảng Đơn vị'!$A$2:$B$10,2,1)</f>
        <v>#NAME?</v>
      </c>
      <c r="L465" s="15">
        <v>45791</v>
      </c>
      <c r="M465" s="16">
        <v>2025</v>
      </c>
      <c r="S465" s="9"/>
    </row>
    <row r="466" spans="1:19" ht="66" hidden="1">
      <c r="A466" s="5">
        <v>465</v>
      </c>
      <c r="B466" s="12" t="s">
        <v>753</v>
      </c>
      <c r="C466" s="13" t="str">
        <f t="shared" si="1"/>
        <v>Phát triển năng lực giải quyết vấn đề và sáng tạo cho học sinh tiểu học thông qua giáo dục STEAM trong chủ đề "Năng lương" thuộc môn khoa học lớp 4</v>
      </c>
      <c r="D466" s="12" t="s">
        <v>754</v>
      </c>
      <c r="E466" s="12">
        <v>3220122092</v>
      </c>
      <c r="F466" s="12" t="s">
        <v>709</v>
      </c>
      <c r="G466" s="12" t="s">
        <v>755</v>
      </c>
      <c r="H466" s="14"/>
      <c r="I466" s="12" t="s">
        <v>637</v>
      </c>
      <c r="J466" s="14" t="e">
        <f t="shared" ca="1" si="0"/>
        <v>#NAME?</v>
      </c>
      <c r="K466" s="14" t="e">
        <f ca="1">VLOOKUP(J466,'Bảng Đơn vị'!$A$2:$B$10,2,1)</f>
        <v>#NAME?</v>
      </c>
      <c r="L466" s="15">
        <v>45792</v>
      </c>
      <c r="M466" s="16">
        <v>2025</v>
      </c>
      <c r="S466" s="9"/>
    </row>
    <row r="467" spans="1:19" ht="52.8" hidden="1">
      <c r="A467" s="5">
        <v>466</v>
      </c>
      <c r="B467" s="14"/>
      <c r="C467" s="13" t="str">
        <f t="shared" si="1"/>
        <v>Phát triển năng lực giải quyết vấn đề và sáng tạo cho học sinh tiểu học thông qua giáo dục STEAM trong chủ đề "Năng lương" thuộc môn khoa học lớp 4</v>
      </c>
      <c r="D467" s="12" t="s">
        <v>756</v>
      </c>
      <c r="E467" s="12">
        <v>3220122147</v>
      </c>
      <c r="F467" s="14"/>
      <c r="G467" s="14"/>
      <c r="H467" s="14"/>
      <c r="I467" s="12" t="s">
        <v>637</v>
      </c>
      <c r="J467" s="14" t="e">
        <f t="shared" ca="1" si="0"/>
        <v>#NAME?</v>
      </c>
      <c r="K467" s="14" t="e">
        <f ca="1">VLOOKUP(J467,'Bảng Đơn vị'!$A$2:$B$10,2,1)</f>
        <v>#NAME?</v>
      </c>
      <c r="L467" s="15">
        <v>45793</v>
      </c>
      <c r="M467" s="16">
        <v>2025</v>
      </c>
      <c r="S467" s="9"/>
    </row>
    <row r="468" spans="1:19" ht="52.8" hidden="1">
      <c r="A468" s="5">
        <v>467</v>
      </c>
      <c r="B468" s="14"/>
      <c r="C468" s="13" t="str">
        <f t="shared" si="1"/>
        <v>Phát triển năng lực giải quyết vấn đề và sáng tạo cho học sinh tiểu học thông qua giáo dục STEAM trong chủ đề "Năng lương" thuộc môn khoa học lớp 4</v>
      </c>
      <c r="D468" s="12" t="s">
        <v>757</v>
      </c>
      <c r="E468" s="12">
        <v>3220122130</v>
      </c>
      <c r="F468" s="14"/>
      <c r="G468" s="14"/>
      <c r="H468" s="14"/>
      <c r="I468" s="12" t="s">
        <v>637</v>
      </c>
      <c r="J468" s="14" t="e">
        <f t="shared" ca="1" si="0"/>
        <v>#NAME?</v>
      </c>
      <c r="K468" s="14" t="e">
        <f ca="1">VLOOKUP(J468,'Bảng Đơn vị'!$A$2:$B$10,2,1)</f>
        <v>#NAME?</v>
      </c>
      <c r="L468" s="15">
        <v>45794</v>
      </c>
      <c r="M468" s="16">
        <v>2025</v>
      </c>
      <c r="S468" s="9"/>
    </row>
    <row r="469" spans="1:19" ht="52.8" hidden="1">
      <c r="A469" s="5">
        <v>468</v>
      </c>
      <c r="B469" s="14"/>
      <c r="C469" s="13" t="str">
        <f t="shared" si="1"/>
        <v>Phát triển năng lực giải quyết vấn đề và sáng tạo cho học sinh tiểu học thông qua giáo dục STEAM trong chủ đề "Năng lương" thuộc môn khoa học lớp 4</v>
      </c>
      <c r="D469" s="12" t="s">
        <v>758</v>
      </c>
      <c r="E469" s="12">
        <v>3220122015</v>
      </c>
      <c r="F469" s="14"/>
      <c r="G469" s="14"/>
      <c r="H469" s="14"/>
      <c r="I469" s="12" t="s">
        <v>637</v>
      </c>
      <c r="J469" s="14" t="e">
        <f t="shared" ca="1" si="0"/>
        <v>#NAME?</v>
      </c>
      <c r="K469" s="14" t="e">
        <f ca="1">VLOOKUP(J469,'Bảng Đơn vị'!$A$2:$B$10,2,1)</f>
        <v>#NAME?</v>
      </c>
      <c r="L469" s="15">
        <v>45795</v>
      </c>
      <c r="M469" s="16">
        <v>2025</v>
      </c>
      <c r="S469" s="9"/>
    </row>
    <row r="470" spans="1:19" ht="52.8" hidden="1">
      <c r="A470" s="5">
        <v>469</v>
      </c>
      <c r="B470" s="14"/>
      <c r="C470" s="13" t="str">
        <f t="shared" si="1"/>
        <v>Phát triển năng lực giải quyết vấn đề và sáng tạo cho học sinh tiểu học thông qua giáo dục STEAM trong chủ đề "Năng lương" thuộc môn khoa học lớp 4</v>
      </c>
      <c r="D470" s="12" t="s">
        <v>759</v>
      </c>
      <c r="E470" s="12">
        <v>3220122317</v>
      </c>
      <c r="F470" s="14"/>
      <c r="G470" s="14"/>
      <c r="H470" s="14"/>
      <c r="I470" s="12" t="s">
        <v>637</v>
      </c>
      <c r="J470" s="14" t="e">
        <f t="shared" ca="1" si="0"/>
        <v>#NAME?</v>
      </c>
      <c r="K470" s="14" t="e">
        <f ca="1">VLOOKUP(J470,'Bảng Đơn vị'!$A$2:$B$10,2,1)</f>
        <v>#NAME?</v>
      </c>
      <c r="L470" s="15">
        <v>45796</v>
      </c>
      <c r="M470" s="16">
        <v>2025</v>
      </c>
      <c r="S470" s="9"/>
    </row>
    <row r="471" spans="1:19" ht="52.8" hidden="1">
      <c r="A471" s="5">
        <v>470</v>
      </c>
      <c r="B471" s="12" t="s">
        <v>760</v>
      </c>
      <c r="C471" s="13" t="str">
        <f t="shared" si="1"/>
        <v>Ứng dụng công cụ hoạt hình để dạy kể chuyện sáng tạo trong môn tiếng Việt lớp 3</v>
      </c>
      <c r="D471" s="12" t="s">
        <v>761</v>
      </c>
      <c r="E471" s="12">
        <v>3220122250</v>
      </c>
      <c r="F471" s="12" t="s">
        <v>748</v>
      </c>
      <c r="G471" s="12" t="s">
        <v>762</v>
      </c>
      <c r="H471" s="14"/>
      <c r="I471" s="12" t="s">
        <v>637</v>
      </c>
      <c r="J471" s="14" t="e">
        <f t="shared" ca="1" si="0"/>
        <v>#NAME?</v>
      </c>
      <c r="K471" s="14" t="e">
        <f ca="1">VLOOKUP(J471,'Bảng Đơn vị'!$A$2:$B$10,2,1)</f>
        <v>#NAME?</v>
      </c>
      <c r="L471" s="15">
        <v>45797</v>
      </c>
      <c r="M471" s="16">
        <v>2025</v>
      </c>
      <c r="S471" s="9"/>
    </row>
    <row r="472" spans="1:19" ht="52.8" hidden="1">
      <c r="A472" s="5">
        <v>471</v>
      </c>
      <c r="B472" s="14"/>
      <c r="C472" s="13" t="str">
        <f t="shared" si="1"/>
        <v>Ứng dụng công cụ hoạt hình để dạy kể chuyện sáng tạo trong môn tiếng Việt lớp 3</v>
      </c>
      <c r="D472" s="12" t="s">
        <v>763</v>
      </c>
      <c r="E472" s="12">
        <v>3220122202</v>
      </c>
      <c r="F472" s="14"/>
      <c r="G472" s="14"/>
      <c r="H472" s="14"/>
      <c r="I472" s="12" t="s">
        <v>637</v>
      </c>
      <c r="J472" s="14" t="e">
        <f t="shared" ca="1" si="0"/>
        <v>#NAME?</v>
      </c>
      <c r="K472" s="14" t="e">
        <f ca="1">VLOOKUP(J472,'Bảng Đơn vị'!$A$2:$B$10,2,1)</f>
        <v>#NAME?</v>
      </c>
      <c r="L472" s="15">
        <v>45798</v>
      </c>
      <c r="M472" s="16">
        <v>2025</v>
      </c>
      <c r="S472" s="9"/>
    </row>
    <row r="473" spans="1:19" ht="52.8" hidden="1">
      <c r="A473" s="5">
        <v>472</v>
      </c>
      <c r="B473" s="14"/>
      <c r="C473" s="13" t="str">
        <f t="shared" si="1"/>
        <v>Ứng dụng công cụ hoạt hình để dạy kể chuyện sáng tạo trong môn tiếng Việt lớp 3</v>
      </c>
      <c r="D473" s="12" t="s">
        <v>764</v>
      </c>
      <c r="E473" s="12">
        <v>3220122057</v>
      </c>
      <c r="F473" s="14"/>
      <c r="G473" s="14"/>
      <c r="H473" s="14"/>
      <c r="I473" s="12" t="s">
        <v>637</v>
      </c>
      <c r="J473" s="14" t="e">
        <f t="shared" ca="1" si="0"/>
        <v>#NAME?</v>
      </c>
      <c r="K473" s="14" t="e">
        <f ca="1">VLOOKUP(J473,'Bảng Đơn vị'!$A$2:$B$10,2,1)</f>
        <v>#NAME?</v>
      </c>
      <c r="L473" s="15">
        <v>45799</v>
      </c>
      <c r="M473" s="16">
        <v>2025</v>
      </c>
      <c r="S473" s="9"/>
    </row>
    <row r="474" spans="1:19" ht="66.599999999999994" thickBot="1">
      <c r="A474" s="5">
        <v>473</v>
      </c>
      <c r="B474" s="5" t="s">
        <v>765</v>
      </c>
      <c r="C474" s="6" t="str">
        <f t="shared" si="1"/>
        <v xml:space="preserve"> Nghiên cứu tiềm năng ứng dụng phương pháp lai đa bào tử đơn trong cải tiến các giống Đông trùng hạ thảo (Cordyceps militaris).</v>
      </c>
      <c r="D474" s="5" t="s">
        <v>766</v>
      </c>
      <c r="E474" s="10">
        <v>3150422011</v>
      </c>
      <c r="F474" s="5" t="s">
        <v>767</v>
      </c>
      <c r="G474" s="5" t="s">
        <v>768</v>
      </c>
      <c r="H474" s="6"/>
      <c r="I474" s="5" t="s">
        <v>769</v>
      </c>
      <c r="J474" s="210" t="s">
        <v>2158</v>
      </c>
      <c r="K474" s="210" t="s">
        <v>4900</v>
      </c>
      <c r="L474" s="15">
        <v>45800</v>
      </c>
      <c r="M474" s="8">
        <v>2025</v>
      </c>
      <c r="S474" s="9"/>
    </row>
    <row r="475" spans="1:19" ht="53.4" thickBot="1">
      <c r="A475" s="5">
        <v>474</v>
      </c>
      <c r="B475" s="5" t="s">
        <v>770</v>
      </c>
      <c r="C475" s="6" t="str">
        <f t="shared" si="1"/>
        <v>Nghiên cứu nâng cao tỉ lệ nảy mầm của hạt Nghĩa Sâm bằng phương pháp nhân giống in vitro</v>
      </c>
      <c r="D475" s="5" t="s">
        <v>771</v>
      </c>
      <c r="E475" s="10">
        <v>3150422022</v>
      </c>
      <c r="F475" s="5" t="s">
        <v>767</v>
      </c>
      <c r="G475" s="5" t="s">
        <v>768</v>
      </c>
      <c r="H475" s="6"/>
      <c r="I475" s="5" t="s">
        <v>769</v>
      </c>
      <c r="J475" s="210" t="s">
        <v>2158</v>
      </c>
      <c r="K475" s="210" t="s">
        <v>4900</v>
      </c>
      <c r="L475" s="15">
        <v>45801</v>
      </c>
      <c r="M475" s="8">
        <v>2025</v>
      </c>
      <c r="S475" s="9"/>
    </row>
    <row r="476" spans="1:19" ht="53.4" thickBot="1">
      <c r="A476" s="5">
        <v>475</v>
      </c>
      <c r="B476" s="5" t="s">
        <v>772</v>
      </c>
      <c r="C476" s="6" t="str">
        <f t="shared" si="1"/>
        <v xml:space="preserve">Nghiên cứu quy trình chiết xuất va chế biến rượu từ cao chiết củ Nghĩa Sâm </v>
      </c>
      <c r="D476" s="5" t="s">
        <v>773</v>
      </c>
      <c r="E476" s="5">
        <v>3150422030</v>
      </c>
      <c r="F476" s="5" t="s">
        <v>767</v>
      </c>
      <c r="G476" s="5" t="s">
        <v>774</v>
      </c>
      <c r="H476" s="6"/>
      <c r="I476" s="5" t="s">
        <v>769</v>
      </c>
      <c r="J476" s="210" t="s">
        <v>2158</v>
      </c>
      <c r="K476" s="210" t="s">
        <v>4900</v>
      </c>
      <c r="L476" s="15">
        <v>45802</v>
      </c>
      <c r="M476" s="8">
        <v>2025</v>
      </c>
      <c r="S476" s="9"/>
    </row>
    <row r="477" spans="1:19" ht="53.4" thickBot="1">
      <c r="A477" s="5">
        <v>476</v>
      </c>
      <c r="B477" s="6"/>
      <c r="C477" s="6" t="str">
        <f t="shared" si="1"/>
        <v xml:space="preserve">Nghiên cứu quy trình chiết xuất va chế biến rượu từ cao chiết củ Nghĩa Sâm </v>
      </c>
      <c r="D477" s="5" t="s">
        <v>775</v>
      </c>
      <c r="E477" s="5">
        <v>3150422017</v>
      </c>
      <c r="F477" s="5" t="s">
        <v>767</v>
      </c>
      <c r="G477" s="6"/>
      <c r="H477" s="6"/>
      <c r="I477" s="5" t="s">
        <v>769</v>
      </c>
      <c r="J477" s="210" t="s">
        <v>2158</v>
      </c>
      <c r="K477" s="210" t="s">
        <v>4900</v>
      </c>
      <c r="L477" s="15">
        <v>45803</v>
      </c>
      <c r="M477" s="8">
        <v>2025</v>
      </c>
      <c r="S477" s="9"/>
    </row>
    <row r="478" spans="1:19" ht="53.4" thickBot="1">
      <c r="A478" s="5">
        <v>477</v>
      </c>
      <c r="B478" s="6"/>
      <c r="C478" s="6" t="str">
        <f t="shared" si="1"/>
        <v xml:space="preserve">Nghiên cứu quy trình chiết xuất va chế biến rượu từ cao chiết củ Nghĩa Sâm </v>
      </c>
      <c r="D478" s="5" t="s">
        <v>776</v>
      </c>
      <c r="E478" s="5">
        <v>3150422013</v>
      </c>
      <c r="F478" s="5" t="s">
        <v>767</v>
      </c>
      <c r="G478" s="6"/>
      <c r="H478" s="6"/>
      <c r="I478" s="5" t="s">
        <v>769</v>
      </c>
      <c r="J478" s="210" t="s">
        <v>2158</v>
      </c>
      <c r="K478" s="210" t="s">
        <v>4900</v>
      </c>
      <c r="L478" s="15">
        <v>45804</v>
      </c>
      <c r="M478" s="8">
        <v>2025</v>
      </c>
      <c r="S478" s="9"/>
    </row>
    <row r="479" spans="1:19" ht="53.4" thickBot="1">
      <c r="A479" s="5">
        <v>478</v>
      </c>
      <c r="B479" s="6"/>
      <c r="C479" s="6" t="str">
        <f t="shared" si="1"/>
        <v xml:space="preserve">Nghiên cứu quy trình chiết xuất va chế biến rượu từ cao chiết củ Nghĩa Sâm </v>
      </c>
      <c r="D479" s="5" t="s">
        <v>777</v>
      </c>
      <c r="E479" s="5">
        <v>3150422023</v>
      </c>
      <c r="F479" s="5" t="s">
        <v>767</v>
      </c>
      <c r="G479" s="6"/>
      <c r="H479" s="6"/>
      <c r="I479" s="5" t="s">
        <v>769</v>
      </c>
      <c r="J479" s="210" t="s">
        <v>2158</v>
      </c>
      <c r="K479" s="210" t="s">
        <v>4900</v>
      </c>
      <c r="L479" s="15">
        <v>45805</v>
      </c>
      <c r="M479" s="8">
        <v>2025</v>
      </c>
      <c r="S479" s="9"/>
    </row>
    <row r="480" spans="1:19" ht="53.4" thickBot="1">
      <c r="A480" s="5">
        <v>479</v>
      </c>
      <c r="B480" s="6"/>
      <c r="C480" s="6" t="str">
        <f t="shared" si="1"/>
        <v xml:space="preserve">Nghiên cứu quy trình chiết xuất va chế biến rượu từ cao chiết củ Nghĩa Sâm </v>
      </c>
      <c r="D480" s="5" t="s">
        <v>778</v>
      </c>
      <c r="E480" s="5">
        <v>3150422037</v>
      </c>
      <c r="F480" s="5" t="s">
        <v>767</v>
      </c>
      <c r="G480" s="6"/>
      <c r="H480" s="6"/>
      <c r="I480" s="5" t="s">
        <v>769</v>
      </c>
      <c r="J480" s="210" t="s">
        <v>2158</v>
      </c>
      <c r="K480" s="210" t="s">
        <v>4900</v>
      </c>
      <c r="L480" s="15">
        <v>45806</v>
      </c>
      <c r="M480" s="8">
        <v>2025</v>
      </c>
      <c r="S480" s="9"/>
    </row>
    <row r="481" spans="1:19" ht="53.4" thickBot="1">
      <c r="A481" s="5">
        <v>480</v>
      </c>
      <c r="B481" s="5" t="s">
        <v>779</v>
      </c>
      <c r="C481" s="6" t="str">
        <f t="shared" si="1"/>
        <v>Tuyển chọn các chủng vi sinh vật chịu mặn có khả năng xử lý bã mắm tại làng nghề nước mắm Nam Ô, thành phố Đà Nẵng</v>
      </c>
      <c r="D481" s="5" t="s">
        <v>780</v>
      </c>
      <c r="E481" s="5">
        <v>3150121050</v>
      </c>
      <c r="F481" s="5" t="s">
        <v>781</v>
      </c>
      <c r="G481" s="5" t="s">
        <v>774</v>
      </c>
      <c r="H481" s="6"/>
      <c r="I481" s="5" t="s">
        <v>769</v>
      </c>
      <c r="J481" s="210" t="s">
        <v>2158</v>
      </c>
      <c r="K481" s="210" t="s">
        <v>4900</v>
      </c>
      <c r="L481" s="15">
        <v>45807</v>
      </c>
      <c r="M481" s="8">
        <v>2025</v>
      </c>
      <c r="S481" s="9"/>
    </row>
    <row r="482" spans="1:19" ht="53.4" thickBot="1">
      <c r="A482" s="5">
        <v>481</v>
      </c>
      <c r="B482" s="6"/>
      <c r="C482" s="6" t="str">
        <f t="shared" si="1"/>
        <v>Tuyển chọn các chủng vi sinh vật chịu mặn có khả năng xử lý bã mắm tại làng nghề nước mắm Nam Ô, thành phố Đà Nẵng</v>
      </c>
      <c r="D482" s="5" t="s">
        <v>782</v>
      </c>
      <c r="E482" s="5">
        <v>3150421002</v>
      </c>
      <c r="F482" s="5" t="s">
        <v>783</v>
      </c>
      <c r="G482" s="6"/>
      <c r="H482" s="6"/>
      <c r="I482" s="5" t="s">
        <v>769</v>
      </c>
      <c r="J482" s="210" t="s">
        <v>2158</v>
      </c>
      <c r="K482" s="210" t="s">
        <v>4900</v>
      </c>
      <c r="L482" s="15">
        <v>45808</v>
      </c>
      <c r="M482" s="8">
        <v>2025</v>
      </c>
      <c r="S482" s="9"/>
    </row>
    <row r="483" spans="1:19" ht="53.4" thickBot="1">
      <c r="A483" s="5">
        <v>482</v>
      </c>
      <c r="B483" s="6"/>
      <c r="C483" s="6" t="str">
        <f t="shared" si="1"/>
        <v>Tuyển chọn các chủng vi sinh vật chịu mặn có khả năng xử lý bã mắm tại làng nghề nước mắm Nam Ô, thành phố Đà Nẵng</v>
      </c>
      <c r="D483" s="5" t="s">
        <v>784</v>
      </c>
      <c r="E483" s="5">
        <v>3150123030</v>
      </c>
      <c r="F483" s="5" t="s">
        <v>785</v>
      </c>
      <c r="G483" s="6"/>
      <c r="H483" s="6"/>
      <c r="I483" s="5" t="s">
        <v>769</v>
      </c>
      <c r="J483" s="210" t="s">
        <v>2158</v>
      </c>
      <c r="K483" s="210" t="s">
        <v>4900</v>
      </c>
      <c r="L483" s="15">
        <v>45809</v>
      </c>
      <c r="M483" s="8">
        <v>2025</v>
      </c>
      <c r="S483" s="9"/>
    </row>
    <row r="484" spans="1:19" ht="53.4" thickBot="1">
      <c r="A484" s="5">
        <v>483</v>
      </c>
      <c r="B484" s="6"/>
      <c r="C484" s="6" t="str">
        <f t="shared" si="1"/>
        <v>Tuyển chọn các chủng vi sinh vật chịu mặn có khả năng xử lý bã mắm tại làng nghề nước mắm Nam Ô, thành phố Đà Nẵng</v>
      </c>
      <c r="D484" s="5" t="s">
        <v>786</v>
      </c>
      <c r="E484" s="5">
        <v>3150123004</v>
      </c>
      <c r="F484" s="5" t="s">
        <v>785</v>
      </c>
      <c r="G484" s="6"/>
      <c r="H484" s="6"/>
      <c r="I484" s="5" t="s">
        <v>769</v>
      </c>
      <c r="J484" s="210" t="s">
        <v>2158</v>
      </c>
      <c r="K484" s="210" t="s">
        <v>4900</v>
      </c>
      <c r="L484" s="15">
        <v>45810</v>
      </c>
      <c r="M484" s="8">
        <v>2025</v>
      </c>
      <c r="S484" s="9"/>
    </row>
    <row r="485" spans="1:19" ht="53.4" thickBot="1">
      <c r="A485" s="5">
        <v>484</v>
      </c>
      <c r="B485" s="6"/>
      <c r="C485" s="6" t="str">
        <f t="shared" si="1"/>
        <v>Tuyển chọn các chủng vi sinh vật chịu mặn có khả năng xử lý bã mắm tại làng nghề nước mắm Nam Ô, thành phố Đà Nẵng</v>
      </c>
      <c r="D485" s="5" t="s">
        <v>787</v>
      </c>
      <c r="E485" s="5">
        <v>3150123024</v>
      </c>
      <c r="F485" s="5" t="s">
        <v>785</v>
      </c>
      <c r="G485" s="6"/>
      <c r="H485" s="6"/>
      <c r="I485" s="5" t="s">
        <v>769</v>
      </c>
      <c r="J485" s="210" t="s">
        <v>2158</v>
      </c>
      <c r="K485" s="210" t="s">
        <v>4900</v>
      </c>
      <c r="L485" s="15">
        <v>45811</v>
      </c>
      <c r="M485" s="8">
        <v>2025</v>
      </c>
      <c r="S485" s="9"/>
    </row>
    <row r="486" spans="1:19" ht="66.599999999999994" thickBot="1">
      <c r="A486" s="5">
        <v>485</v>
      </c>
      <c r="B486" s="5" t="s">
        <v>788</v>
      </c>
      <c r="C486" s="6" t="str">
        <f t="shared" si="1"/>
        <v xml:space="preserve">Khảo sát hoạt tính kháng oxy hoá, kháng khuẩn và gây độc tế bào ung thư của cây Lấu Đỏ (Psychotria rubra (Lour.) Poir.) </v>
      </c>
      <c r="D486" s="5" t="s">
        <v>789</v>
      </c>
      <c r="E486" s="5" t="s">
        <v>790</v>
      </c>
      <c r="F486" s="5" t="s">
        <v>791</v>
      </c>
      <c r="G486" s="5" t="s">
        <v>792</v>
      </c>
      <c r="H486" s="6"/>
      <c r="I486" s="5" t="s">
        <v>769</v>
      </c>
      <c r="J486" s="210" t="s">
        <v>2158</v>
      </c>
      <c r="K486" s="210" t="s">
        <v>4900</v>
      </c>
      <c r="L486" s="15">
        <v>45812</v>
      </c>
      <c r="M486" s="8">
        <v>2025</v>
      </c>
      <c r="S486" s="9"/>
    </row>
    <row r="487" spans="1:19" ht="53.4" thickBot="1">
      <c r="A487" s="5">
        <v>486</v>
      </c>
      <c r="B487" s="6"/>
      <c r="C487" s="6" t="str">
        <f t="shared" si="1"/>
        <v xml:space="preserve">Khảo sát hoạt tính kháng oxy hoá, kháng khuẩn và gây độc tế bào ung thư của cây Lấu Đỏ (Psychotria rubra (Lour.) Poir.) </v>
      </c>
      <c r="D487" s="5" t="s">
        <v>793</v>
      </c>
      <c r="E487" s="6"/>
      <c r="F487" s="6"/>
      <c r="G487" s="6"/>
      <c r="H487" s="6"/>
      <c r="I487" s="5" t="s">
        <v>769</v>
      </c>
      <c r="J487" s="210" t="s">
        <v>2158</v>
      </c>
      <c r="K487" s="210" t="s">
        <v>4900</v>
      </c>
      <c r="L487" s="15">
        <v>45813</v>
      </c>
      <c r="M487" s="8">
        <v>2025</v>
      </c>
      <c r="S487" s="9"/>
    </row>
    <row r="488" spans="1:19" ht="53.4" thickBot="1">
      <c r="A488" s="5">
        <v>487</v>
      </c>
      <c r="B488" s="6"/>
      <c r="C488" s="6" t="str">
        <f t="shared" si="1"/>
        <v xml:space="preserve">Khảo sát hoạt tính kháng oxy hoá, kháng khuẩn và gây độc tế bào ung thư của cây Lấu Đỏ (Psychotria rubra (Lour.) Poir.) </v>
      </c>
      <c r="D488" s="5" t="s">
        <v>794</v>
      </c>
      <c r="E488" s="6"/>
      <c r="F488" s="6"/>
      <c r="G488" s="6"/>
      <c r="H488" s="6"/>
      <c r="I488" s="5" t="s">
        <v>769</v>
      </c>
      <c r="J488" s="210" t="s">
        <v>2158</v>
      </c>
      <c r="K488" s="210" t="s">
        <v>4900</v>
      </c>
      <c r="L488" s="15">
        <v>45814</v>
      </c>
      <c r="M488" s="8">
        <v>2025</v>
      </c>
      <c r="S488" s="9"/>
    </row>
    <row r="489" spans="1:19" ht="53.4" thickBot="1">
      <c r="A489" s="5">
        <v>488</v>
      </c>
      <c r="B489" s="6"/>
      <c r="C489" s="6" t="str">
        <f t="shared" si="1"/>
        <v xml:space="preserve">Khảo sát hoạt tính kháng oxy hoá, kháng khuẩn và gây độc tế bào ung thư của cây Lấu Đỏ (Psychotria rubra (Lour.) Poir.) </v>
      </c>
      <c r="D489" s="5" t="s">
        <v>795</v>
      </c>
      <c r="E489" s="6"/>
      <c r="F489" s="6"/>
      <c r="G489" s="6"/>
      <c r="H489" s="6"/>
      <c r="I489" s="5" t="s">
        <v>769</v>
      </c>
      <c r="J489" s="210" t="s">
        <v>2158</v>
      </c>
      <c r="K489" s="210" t="s">
        <v>4900</v>
      </c>
      <c r="L489" s="15">
        <v>45815</v>
      </c>
      <c r="M489" s="8">
        <v>2025</v>
      </c>
      <c r="S489" s="9"/>
    </row>
    <row r="490" spans="1:19" ht="53.4" thickBot="1">
      <c r="A490" s="5">
        <v>489</v>
      </c>
      <c r="B490" s="6"/>
      <c r="C490" s="6" t="str">
        <f t="shared" si="1"/>
        <v xml:space="preserve">Khảo sát hoạt tính kháng oxy hoá, kháng khuẩn và gây độc tế bào ung thư của cây Lấu Đỏ (Psychotria rubra (Lour.) Poir.) </v>
      </c>
      <c r="D490" s="5" t="s">
        <v>796</v>
      </c>
      <c r="E490" s="6"/>
      <c r="F490" s="6"/>
      <c r="G490" s="6"/>
      <c r="H490" s="6"/>
      <c r="I490" s="5" t="s">
        <v>769</v>
      </c>
      <c r="J490" s="210" t="s">
        <v>2158</v>
      </c>
      <c r="K490" s="210" t="s">
        <v>4900</v>
      </c>
      <c r="L490" s="15">
        <v>45816</v>
      </c>
      <c r="M490" s="8">
        <v>2025</v>
      </c>
      <c r="S490" s="9"/>
    </row>
    <row r="491" spans="1:19" ht="53.4" thickBot="1">
      <c r="A491" s="5">
        <v>490</v>
      </c>
      <c r="B491" s="5" t="s">
        <v>797</v>
      </c>
      <c r="C491" s="6" t="str">
        <f t="shared" si="1"/>
        <v xml:space="preserve">Tác động của cao ethanol thuốc Thượng lên hình thái và biểu hiện gen của chủng đa kháng Staphylococcus aureus 
</v>
      </c>
      <c r="D491" s="5" t="s">
        <v>798</v>
      </c>
      <c r="E491" s="10">
        <v>3150122024</v>
      </c>
      <c r="F491" s="5" t="s">
        <v>799</v>
      </c>
      <c r="G491" s="5" t="s">
        <v>792</v>
      </c>
      <c r="H491" s="6"/>
      <c r="I491" s="5" t="s">
        <v>769</v>
      </c>
      <c r="J491" s="210" t="s">
        <v>2158</v>
      </c>
      <c r="K491" s="210" t="s">
        <v>4900</v>
      </c>
      <c r="L491" s="15">
        <v>45817</v>
      </c>
      <c r="M491" s="8">
        <v>2025</v>
      </c>
      <c r="S491" s="9"/>
    </row>
    <row r="492" spans="1:19" ht="66.599999999999994" thickBot="1">
      <c r="A492" s="5">
        <v>491</v>
      </c>
      <c r="B492" s="5" t="s">
        <v>800</v>
      </c>
      <c r="C492" s="6" t="str">
        <f t="shared" si="1"/>
        <v xml:space="preserve">Khai thác tiềm năng trang web "Thiên nhiên thành phố Đà Nẵng" trong dạy học phần "Sinh thái môi trường" - Sinh học 12
</v>
      </c>
      <c r="D492" s="5" t="s">
        <v>801</v>
      </c>
      <c r="E492" s="5">
        <v>3150122016</v>
      </c>
      <c r="F492" s="5" t="s">
        <v>799</v>
      </c>
      <c r="G492" s="5" t="s">
        <v>802</v>
      </c>
      <c r="H492" s="6"/>
      <c r="I492" s="5" t="s">
        <v>769</v>
      </c>
      <c r="J492" s="210" t="s">
        <v>2158</v>
      </c>
      <c r="K492" s="210" t="s">
        <v>4900</v>
      </c>
      <c r="L492" s="15">
        <v>45818</v>
      </c>
      <c r="M492" s="8">
        <v>2025</v>
      </c>
      <c r="S492" s="9"/>
    </row>
    <row r="493" spans="1:19" ht="52.8" customHeight="1" thickBot="1">
      <c r="A493" s="5">
        <v>492</v>
      </c>
      <c r="B493" s="6"/>
      <c r="C493" s="6" t="str">
        <f t="shared" si="1"/>
        <v xml:space="preserve">Khai thác tiềm năng trang web "Thiên nhiên thành phố Đà Nẵng" trong dạy học phần "Sinh thái môi trường" - Sinh học 12
</v>
      </c>
      <c r="D493" s="5" t="s">
        <v>803</v>
      </c>
      <c r="E493" s="5">
        <v>3150122017</v>
      </c>
      <c r="F493" s="5" t="s">
        <v>799</v>
      </c>
      <c r="G493" s="6"/>
      <c r="H493" s="6"/>
      <c r="I493" s="5" t="s">
        <v>769</v>
      </c>
      <c r="J493" s="210" t="s">
        <v>2158</v>
      </c>
      <c r="K493" s="210" t="s">
        <v>4900</v>
      </c>
      <c r="L493" s="15">
        <v>45819</v>
      </c>
      <c r="M493" s="8">
        <v>2025</v>
      </c>
      <c r="S493" s="9"/>
    </row>
    <row r="494" spans="1:19" ht="52.8" customHeight="1" thickBot="1">
      <c r="A494" s="5">
        <v>493</v>
      </c>
      <c r="B494" s="6"/>
      <c r="C494" s="6" t="str">
        <f t="shared" si="1"/>
        <v xml:space="preserve">Khai thác tiềm năng trang web "Thiên nhiên thành phố Đà Nẵng" trong dạy học phần "Sinh thái môi trường" - Sinh học 12
</v>
      </c>
      <c r="D494" s="5" t="s">
        <v>804</v>
      </c>
      <c r="E494" s="5">
        <v>3150122022</v>
      </c>
      <c r="F494" s="5" t="s">
        <v>799</v>
      </c>
      <c r="G494" s="6"/>
      <c r="H494" s="6"/>
      <c r="I494" s="5" t="s">
        <v>769</v>
      </c>
      <c r="J494" s="210" t="s">
        <v>2158</v>
      </c>
      <c r="K494" s="210" t="s">
        <v>4900</v>
      </c>
      <c r="L494" s="15">
        <v>45820</v>
      </c>
      <c r="M494" s="8">
        <v>2025</v>
      </c>
      <c r="S494" s="9"/>
    </row>
    <row r="495" spans="1:19" ht="52.8" customHeight="1" thickBot="1">
      <c r="A495" s="5">
        <v>494</v>
      </c>
      <c r="B495" s="6"/>
      <c r="C495" s="6" t="str">
        <f t="shared" si="1"/>
        <v xml:space="preserve">Khai thác tiềm năng trang web "Thiên nhiên thành phố Đà Nẵng" trong dạy học phần "Sinh thái môi trường" - Sinh học 12
</v>
      </c>
      <c r="D495" s="5" t="s">
        <v>805</v>
      </c>
      <c r="E495" s="5">
        <v>3150123021</v>
      </c>
      <c r="F495" s="5" t="s">
        <v>785</v>
      </c>
      <c r="G495" s="6"/>
      <c r="H495" s="6"/>
      <c r="I495" s="5" t="s">
        <v>769</v>
      </c>
      <c r="J495" s="210" t="s">
        <v>2158</v>
      </c>
      <c r="K495" s="210" t="s">
        <v>4900</v>
      </c>
      <c r="L495" s="15">
        <v>45821</v>
      </c>
      <c r="M495" s="8">
        <v>2025</v>
      </c>
      <c r="S495" s="9"/>
    </row>
    <row r="496" spans="1:19" ht="52.8" customHeight="1" thickBot="1">
      <c r="A496" s="5">
        <v>495</v>
      </c>
      <c r="B496" s="6"/>
      <c r="C496" s="6" t="str">
        <f t="shared" si="1"/>
        <v xml:space="preserve">Khai thác tiềm năng trang web "Thiên nhiên thành phố Đà Nẵng" trong dạy học phần "Sinh thái môi trường" - Sinh học 12
</v>
      </c>
      <c r="D496" s="5" t="s">
        <v>806</v>
      </c>
      <c r="E496" s="5">
        <v>3150123003</v>
      </c>
      <c r="F496" s="5" t="s">
        <v>785</v>
      </c>
      <c r="G496" s="6"/>
      <c r="H496" s="6"/>
      <c r="I496" s="5" t="s">
        <v>769</v>
      </c>
      <c r="J496" s="210" t="s">
        <v>2158</v>
      </c>
      <c r="K496" s="210" t="s">
        <v>4900</v>
      </c>
      <c r="L496" s="15">
        <v>45822</v>
      </c>
      <c r="M496" s="8">
        <v>2025</v>
      </c>
      <c r="S496" s="9"/>
    </row>
    <row r="497" spans="1:19" ht="66.599999999999994" thickBot="1">
      <c r="A497" s="5">
        <v>496</v>
      </c>
      <c r="B497" s="5" t="s">
        <v>807</v>
      </c>
      <c r="C497" s="6" t="str">
        <f t="shared" si="1"/>
        <v>“Phát triển năng lực vận dụng cho học sinh trong dạy học chủ đề “Con người và sức khỏe” - môn KHTN lớp 8 theo hình thức tuyên truyền”.</v>
      </c>
      <c r="D497" s="5" t="s">
        <v>808</v>
      </c>
      <c r="E497" s="5">
        <v>3140722104</v>
      </c>
      <c r="F497" s="5" t="s">
        <v>132</v>
      </c>
      <c r="G497" s="5" t="s">
        <v>802</v>
      </c>
      <c r="H497" s="6"/>
      <c r="I497" s="5" t="s">
        <v>769</v>
      </c>
      <c r="J497" s="210" t="s">
        <v>2158</v>
      </c>
      <c r="K497" s="210" t="s">
        <v>4900</v>
      </c>
      <c r="L497" s="15">
        <v>45823</v>
      </c>
      <c r="M497" s="8">
        <v>2025</v>
      </c>
      <c r="S497" s="9"/>
    </row>
    <row r="498" spans="1:19" ht="66.599999999999994" thickBot="1">
      <c r="A498" s="5">
        <v>497</v>
      </c>
      <c r="B498" s="6"/>
      <c r="C498" s="6" t="str">
        <f t="shared" si="1"/>
        <v>“Phát triển năng lực vận dụng cho học sinh trong dạy học chủ đề “Con người và sức khỏe” - môn KHTN lớp 8 theo hình thức tuyên truyền”.</v>
      </c>
      <c r="D498" s="5" t="s">
        <v>809</v>
      </c>
      <c r="E498" s="5">
        <v>3140722067</v>
      </c>
      <c r="F498" s="6"/>
      <c r="G498" s="6"/>
      <c r="H498" s="6"/>
      <c r="I498" s="5" t="s">
        <v>769</v>
      </c>
      <c r="J498" s="210" t="s">
        <v>2158</v>
      </c>
      <c r="K498" s="210" t="s">
        <v>4900</v>
      </c>
      <c r="L498" s="15">
        <v>45824</v>
      </c>
      <c r="M498" s="8">
        <v>2025</v>
      </c>
      <c r="S498" s="9"/>
    </row>
    <row r="499" spans="1:19" ht="66.599999999999994" thickBot="1">
      <c r="A499" s="5">
        <v>498</v>
      </c>
      <c r="B499" s="6"/>
      <c r="C499" s="6" t="str">
        <f t="shared" si="1"/>
        <v>“Phát triển năng lực vận dụng cho học sinh trong dạy học chủ đề “Con người và sức khỏe” - môn KHTN lớp 8 theo hình thức tuyên truyền”.</v>
      </c>
      <c r="D499" s="5" t="s">
        <v>810</v>
      </c>
      <c r="E499" s="5">
        <v>3140722080</v>
      </c>
      <c r="F499" s="6"/>
      <c r="G499" s="6"/>
      <c r="H499" s="6"/>
      <c r="I499" s="5" t="s">
        <v>769</v>
      </c>
      <c r="J499" s="210" t="s">
        <v>2158</v>
      </c>
      <c r="K499" s="210" t="s">
        <v>4900</v>
      </c>
      <c r="L499" s="15">
        <v>45825</v>
      </c>
      <c r="M499" s="8">
        <v>2025</v>
      </c>
      <c r="S499" s="9"/>
    </row>
    <row r="500" spans="1:19" ht="66.599999999999994" thickBot="1">
      <c r="A500" s="5">
        <v>499</v>
      </c>
      <c r="B500" s="6"/>
      <c r="C500" s="6" t="str">
        <f t="shared" si="1"/>
        <v>“Phát triển năng lực vận dụng cho học sinh trong dạy học chủ đề “Con người và sức khỏe” - môn KHTN lớp 8 theo hình thức tuyên truyền”.</v>
      </c>
      <c r="D500" s="5" t="s">
        <v>811</v>
      </c>
      <c r="E500" s="5">
        <v>3140722102</v>
      </c>
      <c r="F500" s="6"/>
      <c r="G500" s="6"/>
      <c r="H500" s="6"/>
      <c r="I500" s="5" t="s">
        <v>769</v>
      </c>
      <c r="J500" s="210" t="s">
        <v>2158</v>
      </c>
      <c r="K500" s="210" t="s">
        <v>4900</v>
      </c>
      <c r="L500" s="15">
        <v>45826</v>
      </c>
      <c r="M500" s="8">
        <v>2025</v>
      </c>
      <c r="S500" s="9"/>
    </row>
    <row r="501" spans="1:19" ht="66.599999999999994" thickBot="1">
      <c r="A501" s="5">
        <v>500</v>
      </c>
      <c r="B501" s="6"/>
      <c r="C501" s="6" t="str">
        <f t="shared" si="1"/>
        <v>“Phát triển năng lực vận dụng cho học sinh trong dạy học chủ đề “Con người và sức khỏe” - môn KHTN lớp 8 theo hình thức tuyên truyền”.</v>
      </c>
      <c r="D501" s="5" t="s">
        <v>812</v>
      </c>
      <c r="E501" s="5">
        <v>3140722119</v>
      </c>
      <c r="F501" s="6"/>
      <c r="G501" s="6"/>
      <c r="H501" s="6"/>
      <c r="I501" s="5" t="s">
        <v>769</v>
      </c>
      <c r="J501" s="210" t="s">
        <v>2158</v>
      </c>
      <c r="K501" s="210" t="s">
        <v>4900</v>
      </c>
      <c r="L501" s="15">
        <v>45827</v>
      </c>
      <c r="M501" s="8">
        <v>2025</v>
      </c>
      <c r="S501" s="9"/>
    </row>
    <row r="502" spans="1:19" ht="66.599999999999994" thickBot="1">
      <c r="A502" s="5">
        <v>501</v>
      </c>
      <c r="B502" s="5" t="s">
        <v>813</v>
      </c>
      <c r="C502" s="6" t="str">
        <f t="shared" si="1"/>
        <v>Khảo sát ảnh hưởng của muối NaCl đến giá trị chất lượng và cảm quan của cây giọt băng (Mesembryanthemum crystallinum L.) trồng ở Việt Nam.</v>
      </c>
      <c r="D502" s="5" t="s">
        <v>814</v>
      </c>
      <c r="E502" s="5">
        <v>3140723065</v>
      </c>
      <c r="F502" s="5" t="s">
        <v>815</v>
      </c>
      <c r="G502" s="5" t="s">
        <v>816</v>
      </c>
      <c r="H502" s="6"/>
      <c r="I502" s="5" t="s">
        <v>769</v>
      </c>
      <c r="J502" s="210" t="s">
        <v>2158</v>
      </c>
      <c r="K502" s="210" t="s">
        <v>4900</v>
      </c>
      <c r="L502" s="15">
        <v>45828</v>
      </c>
      <c r="M502" s="8">
        <v>2025</v>
      </c>
      <c r="S502" s="9"/>
    </row>
    <row r="503" spans="1:19" ht="66.599999999999994" thickBot="1">
      <c r="A503" s="5">
        <v>502</v>
      </c>
      <c r="B503" s="6"/>
      <c r="C503" s="6" t="str">
        <f t="shared" si="1"/>
        <v>Khảo sát ảnh hưởng của muối NaCl đến giá trị chất lượng và cảm quan của cây giọt băng (Mesembryanthemum crystallinum L.) trồng ở Việt Nam.</v>
      </c>
      <c r="D503" s="5" t="s">
        <v>817</v>
      </c>
      <c r="E503" s="5">
        <v>3150421040</v>
      </c>
      <c r="F503" s="5" t="s">
        <v>783</v>
      </c>
      <c r="G503" s="6"/>
      <c r="H503" s="6"/>
      <c r="I503" s="5" t="s">
        <v>769</v>
      </c>
      <c r="J503" s="210" t="s">
        <v>2158</v>
      </c>
      <c r="K503" s="210" t="s">
        <v>4900</v>
      </c>
      <c r="L503" s="15">
        <v>45829</v>
      </c>
      <c r="M503" s="8">
        <v>2025</v>
      </c>
      <c r="S503" s="9"/>
    </row>
    <row r="504" spans="1:19" ht="66.599999999999994" thickBot="1">
      <c r="A504" s="5">
        <v>503</v>
      </c>
      <c r="B504" s="6"/>
      <c r="C504" s="6" t="str">
        <f t="shared" si="1"/>
        <v>Khảo sát ảnh hưởng của muối NaCl đến giá trị chất lượng và cảm quan của cây giọt băng (Mesembryanthemum crystallinum L.) trồng ở Việt Nam.</v>
      </c>
      <c r="D504" s="5" t="s">
        <v>818</v>
      </c>
      <c r="E504" s="5">
        <v>3150421036</v>
      </c>
      <c r="F504" s="5" t="s">
        <v>783</v>
      </c>
      <c r="G504" s="6"/>
      <c r="H504" s="6"/>
      <c r="I504" s="5" t="s">
        <v>769</v>
      </c>
      <c r="J504" s="210" t="s">
        <v>2158</v>
      </c>
      <c r="K504" s="210" t="s">
        <v>4900</v>
      </c>
      <c r="L504" s="15">
        <v>45830</v>
      </c>
      <c r="M504" s="8">
        <v>2025</v>
      </c>
      <c r="S504" s="9"/>
    </row>
    <row r="505" spans="1:19" ht="53.4" thickBot="1">
      <c r="A505" s="5">
        <v>504</v>
      </c>
      <c r="B505" s="5" t="s">
        <v>819</v>
      </c>
      <c r="C505" s="6" t="str">
        <f t="shared" si="1"/>
        <v>Nghiên cứu sự phát sinh hình thái của mẫu lá cây hoa súng (Nymphaea sp.) nuôi cấy in vitro</v>
      </c>
      <c r="D505" s="5" t="s">
        <v>820</v>
      </c>
      <c r="E505" s="5">
        <v>3150422009</v>
      </c>
      <c r="F505" s="5" t="s">
        <v>767</v>
      </c>
      <c r="G505" s="5" t="s">
        <v>816</v>
      </c>
      <c r="H505" s="6"/>
      <c r="I505" s="5" t="s">
        <v>769</v>
      </c>
      <c r="J505" s="210" t="s">
        <v>2158</v>
      </c>
      <c r="K505" s="210" t="s">
        <v>4900</v>
      </c>
      <c r="L505" s="15">
        <v>45831</v>
      </c>
      <c r="M505" s="8">
        <v>2025</v>
      </c>
      <c r="S505" s="9"/>
    </row>
    <row r="506" spans="1:19" ht="53.4" thickBot="1">
      <c r="A506" s="5">
        <v>505</v>
      </c>
      <c r="B506" s="6"/>
      <c r="C506" s="6" t="str">
        <f t="shared" si="1"/>
        <v>Nghiên cứu sự phát sinh hình thái của mẫu lá cây hoa súng (Nymphaea sp.) nuôi cấy in vitro</v>
      </c>
      <c r="D506" s="5" t="s">
        <v>821</v>
      </c>
      <c r="E506" s="5">
        <v>3140723116</v>
      </c>
      <c r="F506" s="5" t="s">
        <v>822</v>
      </c>
      <c r="G506" s="6"/>
      <c r="H506" s="6"/>
      <c r="I506" s="5" t="s">
        <v>769</v>
      </c>
      <c r="J506" s="210" t="s">
        <v>2158</v>
      </c>
      <c r="K506" s="210" t="s">
        <v>4900</v>
      </c>
      <c r="L506" s="15">
        <v>45832</v>
      </c>
      <c r="M506" s="8">
        <v>2025</v>
      </c>
      <c r="S506" s="9"/>
    </row>
    <row r="507" spans="1:19" ht="53.4" thickBot="1">
      <c r="A507" s="5">
        <v>506</v>
      </c>
      <c r="B507" s="6"/>
      <c r="C507" s="6" t="str">
        <f t="shared" si="1"/>
        <v>Nghiên cứu sự phát sinh hình thái của mẫu lá cây hoa súng (Nymphaea sp.) nuôi cấy in vitro</v>
      </c>
      <c r="D507" s="5" t="s">
        <v>823</v>
      </c>
      <c r="E507" s="5">
        <v>3140724013</v>
      </c>
      <c r="F507" s="5" t="s">
        <v>824</v>
      </c>
      <c r="G507" s="6"/>
      <c r="H507" s="6"/>
      <c r="I507" s="5" t="s">
        <v>769</v>
      </c>
      <c r="J507" s="210" t="s">
        <v>2158</v>
      </c>
      <c r="K507" s="210" t="s">
        <v>4900</v>
      </c>
      <c r="L507" s="15">
        <v>45833</v>
      </c>
      <c r="M507" s="8">
        <v>2025</v>
      </c>
      <c r="S507" s="9"/>
    </row>
    <row r="508" spans="1:19" ht="53.4" thickBot="1">
      <c r="A508" s="5">
        <v>507</v>
      </c>
      <c r="B508" s="5" t="s">
        <v>825</v>
      </c>
      <c r="C508" s="6" t="str">
        <f t="shared" si="1"/>
        <v>Tuyển chọn các chủng vi khuẩn Acetobacter sp. có khả năng lên men acid acetic</v>
      </c>
      <c r="D508" s="5" t="s">
        <v>826</v>
      </c>
      <c r="E508" s="5">
        <v>3140722122</v>
      </c>
      <c r="F508" s="5" t="s">
        <v>132</v>
      </c>
      <c r="G508" s="5" t="s">
        <v>827</v>
      </c>
      <c r="H508" s="6"/>
      <c r="I508" s="5" t="s">
        <v>769</v>
      </c>
      <c r="J508" s="210" t="s">
        <v>2158</v>
      </c>
      <c r="K508" s="210" t="s">
        <v>4900</v>
      </c>
      <c r="L508" s="15">
        <v>45834</v>
      </c>
      <c r="M508" s="8">
        <v>2025</v>
      </c>
      <c r="S508" s="9"/>
    </row>
    <row r="509" spans="1:19" ht="53.4" thickBot="1">
      <c r="A509" s="5">
        <v>508</v>
      </c>
      <c r="B509" s="6"/>
      <c r="C509" s="6" t="str">
        <f t="shared" si="1"/>
        <v>Tuyển chọn các chủng vi khuẩn Acetobacter sp. có khả năng lên men acid acetic</v>
      </c>
      <c r="D509" s="5" t="s">
        <v>828</v>
      </c>
      <c r="E509" s="5">
        <v>3140722014</v>
      </c>
      <c r="F509" s="6"/>
      <c r="G509" s="6"/>
      <c r="H509" s="6"/>
      <c r="I509" s="5" t="s">
        <v>769</v>
      </c>
      <c r="J509" s="210" t="s">
        <v>2158</v>
      </c>
      <c r="K509" s="210" t="s">
        <v>4900</v>
      </c>
      <c r="L509" s="15">
        <v>45835</v>
      </c>
      <c r="M509" s="8">
        <v>2025</v>
      </c>
      <c r="S509" s="9"/>
    </row>
    <row r="510" spans="1:19" ht="53.4" thickBot="1">
      <c r="A510" s="5">
        <v>509</v>
      </c>
      <c r="B510" s="6"/>
      <c r="C510" s="6" t="str">
        <f t="shared" si="1"/>
        <v>Tuyển chọn các chủng vi khuẩn Acetobacter sp. có khả năng lên men acid acetic</v>
      </c>
      <c r="D510" s="5" t="s">
        <v>829</v>
      </c>
      <c r="E510" s="5">
        <v>3140722047</v>
      </c>
      <c r="F510" s="6"/>
      <c r="G510" s="6"/>
      <c r="H510" s="6"/>
      <c r="I510" s="5" t="s">
        <v>769</v>
      </c>
      <c r="J510" s="210" t="s">
        <v>2158</v>
      </c>
      <c r="K510" s="210" t="s">
        <v>4900</v>
      </c>
      <c r="L510" s="15">
        <v>45836</v>
      </c>
      <c r="M510" s="8">
        <v>2025</v>
      </c>
      <c r="S510" s="9"/>
    </row>
    <row r="511" spans="1:19" ht="53.4" thickBot="1">
      <c r="A511" s="5">
        <v>510</v>
      </c>
      <c r="B511" s="6"/>
      <c r="C511" s="6" t="str">
        <f t="shared" si="1"/>
        <v>Tuyển chọn các chủng vi khuẩn Acetobacter sp. có khả năng lên men acid acetic</v>
      </c>
      <c r="D511" s="5" t="s">
        <v>830</v>
      </c>
      <c r="E511" s="5">
        <v>3140722070</v>
      </c>
      <c r="F511" s="6"/>
      <c r="G511" s="6"/>
      <c r="H511" s="6"/>
      <c r="I511" s="5" t="s">
        <v>769</v>
      </c>
      <c r="J511" s="210" t="s">
        <v>2158</v>
      </c>
      <c r="K511" s="210" t="s">
        <v>4900</v>
      </c>
      <c r="L511" s="15">
        <v>45837</v>
      </c>
      <c r="M511" s="8">
        <v>2025</v>
      </c>
      <c r="S511" s="9"/>
    </row>
    <row r="512" spans="1:19" ht="53.4" thickBot="1">
      <c r="A512" s="5">
        <v>511</v>
      </c>
      <c r="B512" s="6"/>
      <c r="C512" s="6" t="str">
        <f t="shared" si="1"/>
        <v>Tuyển chọn các chủng vi khuẩn Acetobacter sp. có khả năng lên men acid acetic</v>
      </c>
      <c r="D512" s="5" t="s">
        <v>831</v>
      </c>
      <c r="E512" s="5">
        <v>3140722066</v>
      </c>
      <c r="F512" s="6"/>
      <c r="G512" s="6"/>
      <c r="H512" s="6"/>
      <c r="I512" s="5" t="s">
        <v>769</v>
      </c>
      <c r="J512" s="210" t="s">
        <v>2158</v>
      </c>
      <c r="K512" s="210" t="s">
        <v>4900</v>
      </c>
      <c r="L512" s="15">
        <v>45838</v>
      </c>
      <c r="M512" s="8">
        <v>2025</v>
      </c>
      <c r="S512" s="9"/>
    </row>
    <row r="513" spans="1:19" ht="66.599999999999994" thickBot="1">
      <c r="A513" s="5">
        <v>512</v>
      </c>
      <c r="B513" s="5" t="s">
        <v>832</v>
      </c>
      <c r="C513" s="6" t="str">
        <f t="shared" si="1"/>
        <v xml:space="preserve">Nghiên cứu sử dụng enzyme cellulase chiết xuất Nghĩa sâm (Abelmoschus sagittifolius) ứng dụng trong chế biến thực phẩm hỗ trợ sức khỏe </v>
      </c>
      <c r="D513" s="5" t="s">
        <v>833</v>
      </c>
      <c r="E513" s="5">
        <v>3140722049</v>
      </c>
      <c r="F513" s="5" t="s">
        <v>141</v>
      </c>
      <c r="G513" s="5" t="s">
        <v>834</v>
      </c>
      <c r="H513" s="6"/>
      <c r="I513" s="5" t="s">
        <v>769</v>
      </c>
      <c r="J513" s="210" t="s">
        <v>2158</v>
      </c>
      <c r="K513" s="210" t="s">
        <v>4900</v>
      </c>
      <c r="L513" s="15">
        <v>45839</v>
      </c>
      <c r="M513" s="8">
        <v>2025</v>
      </c>
      <c r="S513" s="9"/>
    </row>
    <row r="514" spans="1:19" ht="66.599999999999994" thickBot="1">
      <c r="A514" s="5">
        <v>513</v>
      </c>
      <c r="B514" s="6"/>
      <c r="C514" s="6" t="str">
        <f t="shared" si="1"/>
        <v xml:space="preserve">Nghiên cứu sử dụng enzyme cellulase chiết xuất Nghĩa sâm (Abelmoschus sagittifolius) ứng dụng trong chế biến thực phẩm hỗ trợ sức khỏe </v>
      </c>
      <c r="D514" s="5" t="s">
        <v>835</v>
      </c>
      <c r="E514" s="5">
        <v>3140721096</v>
      </c>
      <c r="F514" s="5" t="s">
        <v>273</v>
      </c>
      <c r="G514" s="6"/>
      <c r="H514" s="6"/>
      <c r="I514" s="5" t="s">
        <v>769</v>
      </c>
      <c r="J514" s="210" t="s">
        <v>2158</v>
      </c>
      <c r="K514" s="210" t="s">
        <v>4900</v>
      </c>
      <c r="L514" s="15">
        <v>45840</v>
      </c>
      <c r="M514" s="8">
        <v>2025</v>
      </c>
      <c r="S514" s="9"/>
    </row>
    <row r="515" spans="1:19" ht="66.599999999999994" thickBot="1">
      <c r="A515" s="5">
        <v>514</v>
      </c>
      <c r="B515" s="6"/>
      <c r="C515" s="6" t="str">
        <f t="shared" si="1"/>
        <v xml:space="preserve">Nghiên cứu sử dụng enzyme cellulase chiết xuất Nghĩa sâm (Abelmoschus sagittifolius) ứng dụng trong chế biến thực phẩm hỗ trợ sức khỏe </v>
      </c>
      <c r="D515" s="5" t="s">
        <v>836</v>
      </c>
      <c r="E515" s="5">
        <v>3150421046</v>
      </c>
      <c r="F515" s="5" t="s">
        <v>783</v>
      </c>
      <c r="G515" s="6"/>
      <c r="H515" s="6"/>
      <c r="I515" s="5" t="s">
        <v>769</v>
      </c>
      <c r="J515" s="210" t="s">
        <v>2158</v>
      </c>
      <c r="K515" s="210" t="s">
        <v>4900</v>
      </c>
      <c r="L515" s="15">
        <v>45841</v>
      </c>
      <c r="M515" s="8">
        <v>2025</v>
      </c>
      <c r="S515" s="9"/>
    </row>
    <row r="516" spans="1:19" ht="66.599999999999994" thickBot="1">
      <c r="A516" s="5">
        <v>515</v>
      </c>
      <c r="B516" s="6"/>
      <c r="C516" s="6" t="str">
        <f t="shared" si="1"/>
        <v xml:space="preserve">Nghiên cứu sử dụng enzyme cellulase chiết xuất Nghĩa sâm (Abelmoschus sagittifolius) ứng dụng trong chế biến thực phẩm hỗ trợ sức khỏe </v>
      </c>
      <c r="D516" s="5" t="s">
        <v>837</v>
      </c>
      <c r="E516" s="5">
        <v>3150422021</v>
      </c>
      <c r="F516" s="5" t="s">
        <v>767</v>
      </c>
      <c r="G516" s="6"/>
      <c r="H516" s="6"/>
      <c r="I516" s="5" t="s">
        <v>769</v>
      </c>
      <c r="J516" s="210" t="s">
        <v>2158</v>
      </c>
      <c r="K516" s="210" t="s">
        <v>4900</v>
      </c>
      <c r="L516" s="15">
        <v>45842</v>
      </c>
      <c r="M516" s="8">
        <v>2025</v>
      </c>
      <c r="S516" s="9"/>
    </row>
    <row r="517" spans="1:19" ht="66.599999999999994" thickBot="1">
      <c r="A517" s="5">
        <v>516</v>
      </c>
      <c r="B517" s="5" t="s">
        <v>838</v>
      </c>
      <c r="C517" s="6" t="str">
        <f t="shared" si="1"/>
        <v>Đánh giá hoạt tính prebiotic và kháng oxi hoá của các chiết xuất polysaccharide sợi nấm Vân chi (Trametes visicolor) nuôi cấy dịch thể.</v>
      </c>
      <c r="D517" s="5" t="s">
        <v>839</v>
      </c>
      <c r="E517" s="5">
        <v>3150422016</v>
      </c>
      <c r="F517" s="5" t="s">
        <v>767</v>
      </c>
      <c r="G517" s="5" t="s">
        <v>834</v>
      </c>
      <c r="H517" s="6"/>
      <c r="I517" s="5" t="s">
        <v>769</v>
      </c>
      <c r="J517" s="210" t="s">
        <v>2158</v>
      </c>
      <c r="K517" s="210" t="s">
        <v>4900</v>
      </c>
      <c r="L517" s="15">
        <v>45843</v>
      </c>
      <c r="M517" s="8">
        <v>2025</v>
      </c>
      <c r="S517" s="9"/>
    </row>
    <row r="518" spans="1:19" ht="66.599999999999994" thickBot="1">
      <c r="A518" s="5">
        <v>517</v>
      </c>
      <c r="B518" s="6"/>
      <c r="C518" s="6" t="str">
        <f t="shared" si="1"/>
        <v>Đánh giá hoạt tính prebiotic và kháng oxi hoá của các chiết xuất polysaccharide sợi nấm Vân chi (Trametes visicolor) nuôi cấy dịch thể.</v>
      </c>
      <c r="D518" s="5" t="s">
        <v>840</v>
      </c>
      <c r="E518" s="5">
        <v>3150421075</v>
      </c>
      <c r="F518" s="5" t="s">
        <v>783</v>
      </c>
      <c r="G518" s="6"/>
      <c r="H518" s="6"/>
      <c r="I518" s="5" t="s">
        <v>769</v>
      </c>
      <c r="J518" s="210" t="s">
        <v>2158</v>
      </c>
      <c r="K518" s="210" t="s">
        <v>4900</v>
      </c>
      <c r="L518" s="15">
        <v>45844</v>
      </c>
      <c r="M518" s="8">
        <v>2025</v>
      </c>
      <c r="S518" s="9"/>
    </row>
    <row r="519" spans="1:19" ht="66.599999999999994" thickBot="1">
      <c r="A519" s="5">
        <v>518</v>
      </c>
      <c r="B519" s="6"/>
      <c r="C519" s="6" t="str">
        <f t="shared" si="1"/>
        <v>Đánh giá hoạt tính prebiotic và kháng oxi hoá của các chiết xuất polysaccharide sợi nấm Vân chi (Trametes visicolor) nuôi cấy dịch thể.</v>
      </c>
      <c r="D519" s="5" t="s">
        <v>841</v>
      </c>
      <c r="E519" s="5">
        <v>3150123022</v>
      </c>
      <c r="F519" s="5" t="s">
        <v>785</v>
      </c>
      <c r="G519" s="6"/>
      <c r="H519" s="6"/>
      <c r="I519" s="5" t="s">
        <v>769</v>
      </c>
      <c r="J519" s="210" t="s">
        <v>2158</v>
      </c>
      <c r="K519" s="210" t="s">
        <v>4900</v>
      </c>
      <c r="L519" s="15">
        <v>45845</v>
      </c>
      <c r="M519" s="8">
        <v>2025</v>
      </c>
      <c r="S519" s="9"/>
    </row>
    <row r="520" spans="1:19" ht="66.599999999999994" thickBot="1">
      <c r="A520" s="5">
        <v>519</v>
      </c>
      <c r="B520" s="6"/>
      <c r="C520" s="6" t="str">
        <f t="shared" si="1"/>
        <v>Đánh giá hoạt tính prebiotic và kháng oxi hoá của các chiết xuất polysaccharide sợi nấm Vân chi (Trametes visicolor) nuôi cấy dịch thể.</v>
      </c>
      <c r="D520" s="5" t="s">
        <v>842</v>
      </c>
      <c r="E520" s="5">
        <v>3150123033</v>
      </c>
      <c r="F520" s="5" t="s">
        <v>785</v>
      </c>
      <c r="G520" s="6"/>
      <c r="H520" s="6"/>
      <c r="I520" s="5" t="s">
        <v>769</v>
      </c>
      <c r="J520" s="210" t="s">
        <v>2158</v>
      </c>
      <c r="K520" s="210" t="s">
        <v>4900</v>
      </c>
      <c r="L520" s="15">
        <v>45846</v>
      </c>
      <c r="M520" s="8">
        <v>2025</v>
      </c>
      <c r="S520" s="9"/>
    </row>
    <row r="521" spans="1:19" ht="66.599999999999994" thickBot="1">
      <c r="A521" s="5">
        <v>520</v>
      </c>
      <c r="B521" s="5" t="s">
        <v>843</v>
      </c>
      <c r="C521" s="6" t="str">
        <f t="shared" si="1"/>
        <v xml:space="preserve">Khảo sát hiện trạng phát thải và đề xuất giải pháp giảm thiểu khí nhà kính tại một số nhà máy thuộc lĩnh vực vật liệu xây dựng ở khu vực miền Trung, Việt Nam. </v>
      </c>
      <c r="D521" s="5" t="s">
        <v>844</v>
      </c>
      <c r="E521" s="5">
        <v>3150322011</v>
      </c>
      <c r="F521" s="5" t="s">
        <v>845</v>
      </c>
      <c r="G521" s="5" t="s">
        <v>846</v>
      </c>
      <c r="H521" s="6"/>
      <c r="I521" s="5" t="s">
        <v>769</v>
      </c>
      <c r="J521" s="210" t="s">
        <v>2158</v>
      </c>
      <c r="K521" s="210" t="s">
        <v>4900</v>
      </c>
      <c r="L521" s="15">
        <v>45847</v>
      </c>
      <c r="M521" s="8">
        <v>2025</v>
      </c>
      <c r="S521" s="9"/>
    </row>
    <row r="522" spans="1:19" ht="66.599999999999994" thickBot="1">
      <c r="A522" s="5">
        <v>521</v>
      </c>
      <c r="B522" s="6"/>
      <c r="C522" s="6" t="str">
        <f t="shared" si="1"/>
        <v xml:space="preserve">Khảo sát hiện trạng phát thải và đề xuất giải pháp giảm thiểu khí nhà kính tại một số nhà máy thuộc lĩnh vực vật liệu xây dựng ở khu vực miền Trung, Việt Nam. </v>
      </c>
      <c r="D522" s="5" t="s">
        <v>847</v>
      </c>
      <c r="E522" s="5">
        <v>3150321024</v>
      </c>
      <c r="F522" s="5" t="s">
        <v>848</v>
      </c>
      <c r="G522" s="6"/>
      <c r="H522" s="6"/>
      <c r="I522" s="5" t="s">
        <v>769</v>
      </c>
      <c r="J522" s="210" t="s">
        <v>2158</v>
      </c>
      <c r="K522" s="210" t="s">
        <v>4900</v>
      </c>
      <c r="L522" s="15">
        <v>45848</v>
      </c>
      <c r="M522" s="8">
        <v>2025</v>
      </c>
      <c r="S522" s="9"/>
    </row>
    <row r="523" spans="1:19" ht="66.599999999999994" thickBot="1">
      <c r="A523" s="5">
        <v>522</v>
      </c>
      <c r="B523" s="6"/>
      <c r="C523" s="6" t="str">
        <f t="shared" si="1"/>
        <v xml:space="preserve">Khảo sát hiện trạng phát thải và đề xuất giải pháp giảm thiểu khí nhà kính tại một số nhà máy thuộc lĩnh vực vật liệu xây dựng ở khu vực miền Trung, Việt Nam. </v>
      </c>
      <c r="D523" s="5" t="s">
        <v>849</v>
      </c>
      <c r="E523" s="5">
        <v>3150321009</v>
      </c>
      <c r="F523" s="5" t="s">
        <v>848</v>
      </c>
      <c r="G523" s="6"/>
      <c r="H523" s="6"/>
      <c r="I523" s="5" t="s">
        <v>769</v>
      </c>
      <c r="J523" s="210" t="s">
        <v>2158</v>
      </c>
      <c r="K523" s="210" t="s">
        <v>4900</v>
      </c>
      <c r="L523" s="15">
        <v>45849</v>
      </c>
      <c r="M523" s="8">
        <v>2025</v>
      </c>
      <c r="S523" s="9"/>
    </row>
    <row r="524" spans="1:19" ht="79.8" thickBot="1">
      <c r="A524" s="5">
        <v>523</v>
      </c>
      <c r="B524" s="5" t="s">
        <v>850</v>
      </c>
      <c r="C524" s="6" t="str">
        <f t="shared" si="1"/>
        <v>Ảnh hưởng các yếu tố môi trường đến sự sinh trưởng của quần thể Schizopera sindoenis (Harpacticoida) được phân lập tại Đầm Cầu Hai, tỉnh Thừa Thiên Huế</v>
      </c>
      <c r="D524" s="5" t="s">
        <v>851</v>
      </c>
      <c r="E524" s="5">
        <v>3150422036</v>
      </c>
      <c r="F524" s="5" t="s">
        <v>783</v>
      </c>
      <c r="G524" s="5" t="s">
        <v>846</v>
      </c>
      <c r="H524" s="6"/>
      <c r="I524" s="5" t="s">
        <v>769</v>
      </c>
      <c r="J524" s="210" t="s">
        <v>2158</v>
      </c>
      <c r="K524" s="210" t="s">
        <v>4900</v>
      </c>
      <c r="L524" s="15">
        <v>45850</v>
      </c>
      <c r="M524" s="8">
        <v>2025</v>
      </c>
      <c r="S524" s="9"/>
    </row>
    <row r="525" spans="1:19" ht="79.8" thickBot="1">
      <c r="A525" s="5">
        <v>524</v>
      </c>
      <c r="B525" s="6"/>
      <c r="C525" s="6" t="str">
        <f t="shared" si="1"/>
        <v>Ảnh hưởng các yếu tố môi trường đến sự sinh trưởng của quần thể Schizopera sindoenis (Harpacticoida) được phân lập tại Đầm Cầu Hai, tỉnh Thừa Thiên Huế</v>
      </c>
      <c r="D525" s="5" t="s">
        <v>852</v>
      </c>
      <c r="E525" s="5">
        <v>3150322006</v>
      </c>
      <c r="F525" s="5" t="s">
        <v>767</v>
      </c>
      <c r="G525" s="6"/>
      <c r="H525" s="6"/>
      <c r="I525" s="5" t="s">
        <v>769</v>
      </c>
      <c r="J525" s="210" t="s">
        <v>2158</v>
      </c>
      <c r="K525" s="210" t="s">
        <v>4900</v>
      </c>
      <c r="L525" s="15">
        <v>45851</v>
      </c>
      <c r="M525" s="8">
        <v>2025</v>
      </c>
      <c r="S525" s="9"/>
    </row>
    <row r="526" spans="1:19" ht="79.8" thickBot="1">
      <c r="A526" s="5">
        <v>525</v>
      </c>
      <c r="B526" s="6"/>
      <c r="C526" s="6" t="str">
        <f t="shared" si="1"/>
        <v>Ảnh hưởng các yếu tố môi trường đến sự sinh trưởng của quần thể Schizopera sindoenis (Harpacticoida) được phân lập tại Đầm Cầu Hai, tỉnh Thừa Thiên Huế</v>
      </c>
      <c r="D526" s="5" t="s">
        <v>853</v>
      </c>
      <c r="E526" s="5">
        <v>3150421077</v>
      </c>
      <c r="F526" s="5" t="s">
        <v>845</v>
      </c>
      <c r="G526" s="6"/>
      <c r="H526" s="6"/>
      <c r="I526" s="5" t="s">
        <v>769</v>
      </c>
      <c r="J526" s="210" t="s">
        <v>2158</v>
      </c>
      <c r="K526" s="210" t="s">
        <v>4900</v>
      </c>
      <c r="L526" s="15">
        <v>45852</v>
      </c>
      <c r="M526" s="8">
        <v>2025</v>
      </c>
      <c r="S526" s="9"/>
    </row>
    <row r="527" spans="1:19" ht="53.4" thickBot="1">
      <c r="A527" s="5">
        <v>526</v>
      </c>
      <c r="B527" s="5" t="s">
        <v>854</v>
      </c>
      <c r="C527" s="6" t="str">
        <f t="shared" si="1"/>
        <v xml:space="preserve">Nghiên cứu tiềm năng chuyển đổi giá trị phụ phẩm nông nghiệp bằng sợi nấm bào ngư trắng (Pleurotus pulmonarius) </v>
      </c>
      <c r="D527" s="5" t="s">
        <v>855</v>
      </c>
      <c r="E527" s="5">
        <v>3150422025</v>
      </c>
      <c r="F527" s="5" t="s">
        <v>767</v>
      </c>
      <c r="G527" s="5" t="s">
        <v>856</v>
      </c>
      <c r="H527" s="6"/>
      <c r="I527" s="5" t="s">
        <v>769</v>
      </c>
      <c r="J527" s="210" t="s">
        <v>2158</v>
      </c>
      <c r="K527" s="210" t="s">
        <v>4900</v>
      </c>
      <c r="L527" s="15">
        <v>45853</v>
      </c>
      <c r="M527" s="8">
        <v>2025</v>
      </c>
      <c r="S527" s="9"/>
    </row>
    <row r="528" spans="1:19" ht="53.4" thickBot="1">
      <c r="A528" s="5">
        <v>527</v>
      </c>
      <c r="B528" s="6"/>
      <c r="C528" s="6" t="str">
        <f t="shared" si="1"/>
        <v xml:space="preserve">Nghiên cứu tiềm năng chuyển đổi giá trị phụ phẩm nông nghiệp bằng sợi nấm bào ngư trắng (Pleurotus pulmonarius) </v>
      </c>
      <c r="D528" s="5" t="s">
        <v>857</v>
      </c>
      <c r="E528" s="5">
        <v>3140721010</v>
      </c>
      <c r="F528" s="5" t="s">
        <v>273</v>
      </c>
      <c r="G528" s="6"/>
      <c r="H528" s="6"/>
      <c r="I528" s="5" t="s">
        <v>769</v>
      </c>
      <c r="J528" s="210" t="s">
        <v>2158</v>
      </c>
      <c r="K528" s="210" t="s">
        <v>4900</v>
      </c>
      <c r="L528" s="15">
        <v>45854</v>
      </c>
      <c r="M528" s="8">
        <v>2025</v>
      </c>
      <c r="S528" s="9"/>
    </row>
    <row r="529" spans="1:19" ht="53.4" thickBot="1">
      <c r="A529" s="5">
        <v>528</v>
      </c>
      <c r="B529" s="6"/>
      <c r="C529" s="6" t="str">
        <f t="shared" si="1"/>
        <v xml:space="preserve">Nghiên cứu tiềm năng chuyển đổi giá trị phụ phẩm nông nghiệp bằng sợi nấm bào ngư trắng (Pleurotus pulmonarius) </v>
      </c>
      <c r="D529" s="5" t="s">
        <v>858</v>
      </c>
      <c r="E529" s="5">
        <v>3140721017</v>
      </c>
      <c r="F529" s="5" t="s">
        <v>269</v>
      </c>
      <c r="G529" s="6"/>
      <c r="H529" s="6"/>
      <c r="I529" s="5" t="s">
        <v>769</v>
      </c>
      <c r="J529" s="210" t="s">
        <v>2158</v>
      </c>
      <c r="K529" s="210" t="s">
        <v>4900</v>
      </c>
      <c r="L529" s="15">
        <v>45855</v>
      </c>
      <c r="M529" s="8">
        <v>2025</v>
      </c>
      <c r="S529" s="9"/>
    </row>
    <row r="530" spans="1:19" ht="53.4" thickBot="1">
      <c r="A530" s="5">
        <v>529</v>
      </c>
      <c r="B530" s="6"/>
      <c r="C530" s="6" t="str">
        <f t="shared" si="1"/>
        <v xml:space="preserve">Nghiên cứu tiềm năng chuyển đổi giá trị phụ phẩm nông nghiệp bằng sợi nấm bào ngư trắng (Pleurotus pulmonarius) </v>
      </c>
      <c r="D530" s="5" t="s">
        <v>859</v>
      </c>
      <c r="E530" s="5">
        <v>3140722001</v>
      </c>
      <c r="F530" s="5" t="s">
        <v>132</v>
      </c>
      <c r="G530" s="6"/>
      <c r="H530" s="6"/>
      <c r="I530" s="5" t="s">
        <v>769</v>
      </c>
      <c r="J530" s="210" t="s">
        <v>2158</v>
      </c>
      <c r="K530" s="210" t="s">
        <v>4900</v>
      </c>
      <c r="L530" s="15">
        <v>45856</v>
      </c>
      <c r="M530" s="8">
        <v>2025</v>
      </c>
      <c r="S530" s="9"/>
    </row>
    <row r="531" spans="1:19" ht="53.4" thickBot="1">
      <c r="A531" s="5">
        <v>530</v>
      </c>
      <c r="B531" s="6"/>
      <c r="C531" s="6" t="str">
        <f t="shared" si="1"/>
        <v xml:space="preserve">Nghiên cứu tiềm năng chuyển đổi giá trị phụ phẩm nông nghiệp bằng sợi nấm bào ngư trắng (Pleurotus pulmonarius) </v>
      </c>
      <c r="D531" s="5" t="s">
        <v>860</v>
      </c>
      <c r="E531" s="5">
        <v>3140722010</v>
      </c>
      <c r="F531" s="5" t="s">
        <v>132</v>
      </c>
      <c r="G531" s="6"/>
      <c r="H531" s="6"/>
      <c r="I531" s="5" t="s">
        <v>769</v>
      </c>
      <c r="J531" s="210" t="s">
        <v>2158</v>
      </c>
      <c r="K531" s="210" t="s">
        <v>4900</v>
      </c>
      <c r="L531" s="15">
        <v>45857</v>
      </c>
      <c r="M531" s="8">
        <v>2025</v>
      </c>
      <c r="S531" s="9"/>
    </row>
    <row r="532" spans="1:19" ht="53.4" thickBot="1">
      <c r="A532" s="5">
        <v>531</v>
      </c>
      <c r="B532" s="5" t="s">
        <v>861</v>
      </c>
      <c r="C532" s="6" t="str">
        <f t="shared" si="1"/>
        <v xml:space="preserve">Nghiên cứu ảnh hưởng của biên độ dao động nhiệt đến tính độc của  thuốc trừ sâu sinh học đối với loài Moina macrocopa </v>
      </c>
      <c r="D532" s="5" t="s">
        <v>862</v>
      </c>
      <c r="E532" s="5">
        <v>3150323014</v>
      </c>
      <c r="F532" s="5" t="s">
        <v>863</v>
      </c>
      <c r="G532" s="5" t="s">
        <v>864</v>
      </c>
      <c r="H532" s="6"/>
      <c r="I532" s="5" t="s">
        <v>769</v>
      </c>
      <c r="J532" s="210" t="s">
        <v>2158</v>
      </c>
      <c r="K532" s="210" t="s">
        <v>4900</v>
      </c>
      <c r="L532" s="15">
        <v>45858</v>
      </c>
      <c r="M532" s="8">
        <v>2025</v>
      </c>
      <c r="S532" s="9"/>
    </row>
    <row r="533" spans="1:19" ht="53.4" thickBot="1">
      <c r="A533" s="5">
        <v>532</v>
      </c>
      <c r="B533" s="6"/>
      <c r="C533" s="6" t="str">
        <f t="shared" si="1"/>
        <v xml:space="preserve">Nghiên cứu ảnh hưởng của biên độ dao động nhiệt đến tính độc của  thuốc trừ sâu sinh học đối với loài Moina macrocopa </v>
      </c>
      <c r="D533" s="5" t="s">
        <v>865</v>
      </c>
      <c r="E533" s="5">
        <v>3140722069</v>
      </c>
      <c r="F533" s="5" t="s">
        <v>132</v>
      </c>
      <c r="G533" s="6"/>
      <c r="H533" s="6"/>
      <c r="I533" s="5" t="s">
        <v>769</v>
      </c>
      <c r="J533" s="210" t="s">
        <v>2158</v>
      </c>
      <c r="K533" s="210" t="s">
        <v>4900</v>
      </c>
      <c r="L533" s="15">
        <v>45859</v>
      </c>
      <c r="M533" s="8">
        <v>2025</v>
      </c>
      <c r="S533" s="9"/>
    </row>
    <row r="534" spans="1:19" ht="53.4" thickBot="1">
      <c r="A534" s="5">
        <v>533</v>
      </c>
      <c r="B534" s="6"/>
      <c r="C534" s="6" t="str">
        <f t="shared" si="1"/>
        <v xml:space="preserve">Nghiên cứu ảnh hưởng của biên độ dao động nhiệt đến tính độc của  thuốc trừ sâu sinh học đối với loài Moina macrocopa </v>
      </c>
      <c r="D534" s="5" t="s">
        <v>866</v>
      </c>
      <c r="E534" s="5">
        <v>3140722078</v>
      </c>
      <c r="F534" s="5" t="s">
        <v>132</v>
      </c>
      <c r="G534" s="6"/>
      <c r="H534" s="6"/>
      <c r="I534" s="5" t="s">
        <v>769</v>
      </c>
      <c r="J534" s="210" t="s">
        <v>2158</v>
      </c>
      <c r="K534" s="210" t="s">
        <v>4900</v>
      </c>
      <c r="L534" s="15">
        <v>45860</v>
      </c>
      <c r="M534" s="8">
        <v>2025</v>
      </c>
      <c r="S534" s="9"/>
    </row>
    <row r="535" spans="1:19" ht="53.4" thickBot="1">
      <c r="A535" s="5">
        <v>534</v>
      </c>
      <c r="B535" s="5" t="s">
        <v>867</v>
      </c>
      <c r="C535" s="6" t="str">
        <f t="shared" si="1"/>
        <v>Nghiên cứu tác động của phụ gia nhựa - Bisphenol A đến đặc điểm sinh học loài Moina macrocopa (Straus, 1820).</v>
      </c>
      <c r="D535" s="5" t="s">
        <v>868</v>
      </c>
      <c r="E535" s="5">
        <v>3150323001</v>
      </c>
      <c r="F535" s="5" t="s">
        <v>863</v>
      </c>
      <c r="G535" s="5" t="s">
        <v>864</v>
      </c>
      <c r="H535" s="6"/>
      <c r="I535" s="5" t="s">
        <v>769</v>
      </c>
      <c r="J535" s="210" t="s">
        <v>2158</v>
      </c>
      <c r="K535" s="210" t="s">
        <v>4900</v>
      </c>
      <c r="L535" s="15">
        <v>45861</v>
      </c>
      <c r="M535" s="8">
        <v>2025</v>
      </c>
      <c r="S535" s="9"/>
    </row>
    <row r="536" spans="1:19" ht="53.4" thickBot="1">
      <c r="A536" s="5">
        <v>535</v>
      </c>
      <c r="B536" s="6"/>
      <c r="C536" s="6" t="str">
        <f t="shared" si="1"/>
        <v>Nghiên cứu tác động của phụ gia nhựa - Bisphenol A đến đặc điểm sinh học loài Moina macrocopa (Straus, 1820).</v>
      </c>
      <c r="D536" s="5" t="s">
        <v>869</v>
      </c>
      <c r="E536" s="5">
        <v>3140723105</v>
      </c>
      <c r="F536" s="5" t="s">
        <v>822</v>
      </c>
      <c r="G536" s="6"/>
      <c r="H536" s="6"/>
      <c r="I536" s="5" t="s">
        <v>769</v>
      </c>
      <c r="J536" s="210" t="s">
        <v>2158</v>
      </c>
      <c r="K536" s="210" t="s">
        <v>4900</v>
      </c>
      <c r="L536" s="15">
        <v>45862</v>
      </c>
      <c r="M536" s="8">
        <v>2025</v>
      </c>
      <c r="S536" s="9"/>
    </row>
    <row r="537" spans="1:19" ht="53.4" thickBot="1">
      <c r="A537" s="5">
        <v>536</v>
      </c>
      <c r="B537" s="6"/>
      <c r="C537" s="6" t="str">
        <f t="shared" si="1"/>
        <v>Nghiên cứu tác động của phụ gia nhựa - Bisphenol A đến đặc điểm sinh học loài Moina macrocopa (Straus, 1820).</v>
      </c>
      <c r="D537" s="5" t="s">
        <v>870</v>
      </c>
      <c r="E537" s="5">
        <v>3140722036</v>
      </c>
      <c r="F537" s="5" t="s">
        <v>132</v>
      </c>
      <c r="G537" s="6"/>
      <c r="H537" s="6"/>
      <c r="I537" s="5" t="s">
        <v>769</v>
      </c>
      <c r="J537" s="210" t="s">
        <v>2158</v>
      </c>
      <c r="K537" s="210" t="s">
        <v>4900</v>
      </c>
      <c r="L537" s="15">
        <v>45863</v>
      </c>
      <c r="M537" s="8">
        <v>2025</v>
      </c>
      <c r="S537" s="9"/>
    </row>
    <row r="538" spans="1:19" ht="66.599999999999994" thickBot="1">
      <c r="A538" s="5">
        <v>537</v>
      </c>
      <c r="B538" s="5" t="s">
        <v>871</v>
      </c>
      <c r="C538" s="6" t="str">
        <f t="shared" si="1"/>
        <v>Khảo sát ảnh hưởng của một số yếu tố gây đột biến lên khả năng tạo chủng giống  Haematococcus lacustris chịu nhiệt</v>
      </c>
      <c r="D538" s="5" t="s">
        <v>872</v>
      </c>
      <c r="E538" s="5">
        <v>3140722016</v>
      </c>
      <c r="F538" s="5" t="s">
        <v>873</v>
      </c>
      <c r="G538" s="5" t="s">
        <v>874</v>
      </c>
      <c r="H538" s="6"/>
      <c r="I538" s="5" t="s">
        <v>769</v>
      </c>
      <c r="J538" s="210" t="s">
        <v>2158</v>
      </c>
      <c r="K538" s="210" t="s">
        <v>4900</v>
      </c>
      <c r="L538" s="15">
        <v>45864</v>
      </c>
      <c r="M538" s="8">
        <v>2025</v>
      </c>
      <c r="S538" s="9"/>
    </row>
    <row r="539" spans="1:19" ht="66.599999999999994" thickBot="1">
      <c r="A539" s="5">
        <v>538</v>
      </c>
      <c r="B539" s="6"/>
      <c r="C539" s="6" t="str">
        <f t="shared" si="1"/>
        <v>Khảo sát ảnh hưởng của một số yếu tố gây đột biến lên khả năng tạo chủng giống  Haematococcus lacustris chịu nhiệt</v>
      </c>
      <c r="D539" s="5" t="s">
        <v>875</v>
      </c>
      <c r="E539" s="5">
        <v>3150421071</v>
      </c>
      <c r="F539" s="5" t="s">
        <v>783</v>
      </c>
      <c r="G539" s="6"/>
      <c r="H539" s="6"/>
      <c r="I539" s="5" t="s">
        <v>769</v>
      </c>
      <c r="J539" s="210" t="s">
        <v>2158</v>
      </c>
      <c r="K539" s="210" t="s">
        <v>4900</v>
      </c>
      <c r="L539" s="15">
        <v>45865</v>
      </c>
      <c r="M539" s="8">
        <v>2025</v>
      </c>
      <c r="S539" s="9"/>
    </row>
    <row r="540" spans="1:19" ht="66.599999999999994" thickBot="1">
      <c r="A540" s="5">
        <v>539</v>
      </c>
      <c r="B540" s="6"/>
      <c r="C540" s="6" t="str">
        <f t="shared" si="1"/>
        <v>Khảo sát ảnh hưởng của một số yếu tố gây đột biến lên khả năng tạo chủng giống  Haematococcus lacustris chịu nhiệt</v>
      </c>
      <c r="D540" s="5" t="s">
        <v>876</v>
      </c>
      <c r="E540" s="5">
        <v>3150123035</v>
      </c>
      <c r="F540" s="5" t="s">
        <v>785</v>
      </c>
      <c r="G540" s="6"/>
      <c r="H540" s="6"/>
      <c r="I540" s="5" t="s">
        <v>769</v>
      </c>
      <c r="J540" s="210" t="s">
        <v>2158</v>
      </c>
      <c r="K540" s="210" t="s">
        <v>4900</v>
      </c>
      <c r="L540" s="15">
        <v>45866</v>
      </c>
      <c r="M540" s="8">
        <v>2025</v>
      </c>
      <c r="S540" s="9"/>
    </row>
    <row r="541" spans="1:19" ht="66.599999999999994" thickBot="1">
      <c r="A541" s="5">
        <v>540</v>
      </c>
      <c r="B541" s="6"/>
      <c r="C541" s="6" t="str">
        <f t="shared" si="1"/>
        <v>Khảo sát ảnh hưởng của một số yếu tố gây đột biến lên khả năng tạo chủng giống  Haematococcus lacustris chịu nhiệt</v>
      </c>
      <c r="D541" s="5" t="s">
        <v>877</v>
      </c>
      <c r="E541" s="5">
        <v>3150123034</v>
      </c>
      <c r="F541" s="5" t="s">
        <v>785</v>
      </c>
      <c r="G541" s="6"/>
      <c r="H541" s="6"/>
      <c r="I541" s="5" t="s">
        <v>769</v>
      </c>
      <c r="J541" s="210" t="s">
        <v>2158</v>
      </c>
      <c r="K541" s="210" t="s">
        <v>4900</v>
      </c>
      <c r="L541" s="15">
        <v>45867</v>
      </c>
      <c r="M541" s="8">
        <v>2025</v>
      </c>
      <c r="S541" s="9"/>
    </row>
    <row r="542" spans="1:19" ht="66.599999999999994" thickBot="1">
      <c r="A542" s="5">
        <v>541</v>
      </c>
      <c r="B542" s="5" t="s">
        <v>878</v>
      </c>
      <c r="C542" s="6" t="str">
        <f t="shared" si="1"/>
        <v xml:space="preserve">Nghiên cứu ảnh hưởng của NaCl và glucose đến khả năng tích lũy paramylon của vi tảo Euglena gracilis.
</v>
      </c>
      <c r="D542" s="5" t="s">
        <v>879</v>
      </c>
      <c r="E542" s="5">
        <v>3150422004</v>
      </c>
      <c r="F542" s="5" t="s">
        <v>767</v>
      </c>
      <c r="G542" s="5" t="s">
        <v>874</v>
      </c>
      <c r="H542" s="6"/>
      <c r="I542" s="5" t="s">
        <v>769</v>
      </c>
      <c r="J542" s="210" t="s">
        <v>2158</v>
      </c>
      <c r="K542" s="210" t="s">
        <v>4900</v>
      </c>
      <c r="L542" s="15">
        <v>45868</v>
      </c>
      <c r="M542" s="8">
        <v>2025</v>
      </c>
      <c r="S542" s="9"/>
    </row>
    <row r="543" spans="1:19" ht="52.8" customHeight="1" thickBot="1">
      <c r="A543" s="5">
        <v>542</v>
      </c>
      <c r="B543" s="6"/>
      <c r="C543" s="6" t="str">
        <f t="shared" si="1"/>
        <v xml:space="preserve">Nghiên cứu ảnh hưởng của NaCl và glucose đến khả năng tích lũy paramylon của vi tảo Euglena gracilis.
</v>
      </c>
      <c r="D543" s="5" t="s">
        <v>880</v>
      </c>
      <c r="E543" s="5">
        <v>3150422035</v>
      </c>
      <c r="F543" s="5" t="s">
        <v>767</v>
      </c>
      <c r="G543" s="6"/>
      <c r="H543" s="6"/>
      <c r="I543" s="5" t="s">
        <v>769</v>
      </c>
      <c r="J543" s="210" t="s">
        <v>2158</v>
      </c>
      <c r="K543" s="210" t="s">
        <v>4900</v>
      </c>
      <c r="L543" s="15">
        <v>45869</v>
      </c>
      <c r="M543" s="8">
        <v>2025</v>
      </c>
      <c r="S543" s="9"/>
    </row>
    <row r="544" spans="1:19" ht="52.8" customHeight="1" thickBot="1">
      <c r="A544" s="5">
        <v>543</v>
      </c>
      <c r="B544" s="6"/>
      <c r="C544" s="6" t="str">
        <f t="shared" si="1"/>
        <v xml:space="preserve">Nghiên cứu ảnh hưởng của NaCl và glucose đến khả năng tích lũy paramylon của vi tảo Euglena gracilis.
</v>
      </c>
      <c r="D544" s="5" t="s">
        <v>881</v>
      </c>
      <c r="E544" s="5">
        <v>3150123039</v>
      </c>
      <c r="F544" s="5" t="s">
        <v>799</v>
      </c>
      <c r="G544" s="6"/>
      <c r="H544" s="6"/>
      <c r="I544" s="5" t="s">
        <v>769</v>
      </c>
      <c r="J544" s="210" t="s">
        <v>2158</v>
      </c>
      <c r="K544" s="210" t="s">
        <v>4900</v>
      </c>
      <c r="L544" s="15">
        <v>45870</v>
      </c>
      <c r="M544" s="8">
        <v>2025</v>
      </c>
      <c r="S544" s="9"/>
    </row>
    <row r="545" spans="1:19" ht="52.8" customHeight="1" thickBot="1">
      <c r="A545" s="5">
        <v>544</v>
      </c>
      <c r="B545" s="6"/>
      <c r="C545" s="6" t="str">
        <f t="shared" si="1"/>
        <v xml:space="preserve">Nghiên cứu ảnh hưởng của NaCl và glucose đến khả năng tích lũy paramylon của vi tảo Euglena gracilis.
</v>
      </c>
      <c r="D545" s="5" t="s">
        <v>882</v>
      </c>
      <c r="E545" s="5">
        <v>3150123026</v>
      </c>
      <c r="F545" s="5" t="s">
        <v>799</v>
      </c>
      <c r="G545" s="6"/>
      <c r="H545" s="6"/>
      <c r="I545" s="5" t="s">
        <v>769</v>
      </c>
      <c r="J545" s="210" t="s">
        <v>2158</v>
      </c>
      <c r="K545" s="210" t="s">
        <v>4900</v>
      </c>
      <c r="L545" s="15">
        <v>45871</v>
      </c>
      <c r="M545" s="8">
        <v>2025</v>
      </c>
      <c r="S545" s="9"/>
    </row>
    <row r="546" spans="1:19" ht="66.599999999999994" thickBot="1">
      <c r="A546" s="5">
        <v>545</v>
      </c>
      <c r="B546" s="5" t="s">
        <v>883</v>
      </c>
      <c r="C546" s="6" t="str">
        <f t="shared" si="1"/>
        <v xml:space="preserve">Nghiên cứu sự tích lũy vi nhựa trong loài hàu (Crassostrea rivularis (Gould, 1861)) phân bố ở đầm Lập An, tỉnh Thừa Thiên Huế </v>
      </c>
      <c r="D546" s="5" t="s">
        <v>884</v>
      </c>
      <c r="E546" s="5">
        <v>3140722020</v>
      </c>
      <c r="F546" s="5" t="s">
        <v>141</v>
      </c>
      <c r="G546" s="5" t="s">
        <v>885</v>
      </c>
      <c r="H546" s="6"/>
      <c r="I546" s="5" t="s">
        <v>769</v>
      </c>
      <c r="J546" s="210" t="s">
        <v>2158</v>
      </c>
      <c r="K546" s="210" t="s">
        <v>4900</v>
      </c>
      <c r="L546" s="15">
        <v>45872</v>
      </c>
      <c r="M546" s="8">
        <v>2025</v>
      </c>
      <c r="S546" s="9"/>
    </row>
    <row r="547" spans="1:19" ht="66.599999999999994" thickBot="1">
      <c r="A547" s="5">
        <v>546</v>
      </c>
      <c r="B547" s="6"/>
      <c r="C547" s="6" t="str">
        <f t="shared" si="1"/>
        <v xml:space="preserve">Nghiên cứu sự tích lũy vi nhựa trong loài hàu (Crassostrea rivularis (Gould, 1861)) phân bố ở đầm Lập An, tỉnh Thừa Thiên Huế </v>
      </c>
      <c r="D547" s="5" t="s">
        <v>886</v>
      </c>
      <c r="E547" s="5">
        <v>3140722003</v>
      </c>
      <c r="F547" s="5" t="s">
        <v>141</v>
      </c>
      <c r="G547" s="6"/>
      <c r="H547" s="6"/>
      <c r="I547" s="5" t="s">
        <v>769</v>
      </c>
      <c r="J547" s="210" t="s">
        <v>2158</v>
      </c>
      <c r="K547" s="210" t="s">
        <v>4900</v>
      </c>
      <c r="L547" s="15">
        <v>45873</v>
      </c>
      <c r="M547" s="8">
        <v>2025</v>
      </c>
      <c r="S547" s="9"/>
    </row>
    <row r="548" spans="1:19" ht="66.599999999999994" thickBot="1">
      <c r="A548" s="5">
        <v>547</v>
      </c>
      <c r="B548" s="6"/>
      <c r="C548" s="6" t="str">
        <f t="shared" si="1"/>
        <v xml:space="preserve">Nghiên cứu sự tích lũy vi nhựa trong loài hàu (Crassostrea rivularis (Gould, 1861)) phân bố ở đầm Lập An, tỉnh Thừa Thiên Huế </v>
      </c>
      <c r="D548" s="5" t="s">
        <v>887</v>
      </c>
      <c r="E548" s="5">
        <v>3150323011</v>
      </c>
      <c r="F548" s="5" t="s">
        <v>863</v>
      </c>
      <c r="G548" s="6"/>
      <c r="H548" s="6"/>
      <c r="I548" s="5" t="s">
        <v>769</v>
      </c>
      <c r="J548" s="210" t="s">
        <v>2158</v>
      </c>
      <c r="K548" s="210" t="s">
        <v>4900</v>
      </c>
      <c r="L548" s="15">
        <v>45874</v>
      </c>
      <c r="M548" s="8">
        <v>2025</v>
      </c>
      <c r="S548" s="9"/>
    </row>
    <row r="549" spans="1:19" ht="53.4" thickBot="1">
      <c r="A549" s="5">
        <v>548</v>
      </c>
      <c r="B549" s="5" t="s">
        <v>888</v>
      </c>
      <c r="C549" s="6" t="str">
        <f t="shared" si="1"/>
        <v xml:space="preserve">Đánh giá khả  năng hấp thụ CO2 của một số loài  rong nâu phân bố tại biển Đà Nẵng </v>
      </c>
      <c r="D549" s="5" t="s">
        <v>889</v>
      </c>
      <c r="E549" s="5">
        <v>3150123027</v>
      </c>
      <c r="F549" s="5" t="s">
        <v>785</v>
      </c>
      <c r="G549" s="5" t="s">
        <v>885</v>
      </c>
      <c r="H549" s="6"/>
      <c r="I549" s="5" t="s">
        <v>769</v>
      </c>
      <c r="J549" s="210" t="s">
        <v>2158</v>
      </c>
      <c r="K549" s="210" t="s">
        <v>4900</v>
      </c>
      <c r="L549" s="15">
        <v>45875</v>
      </c>
      <c r="M549" s="8">
        <v>2025</v>
      </c>
      <c r="S549" s="9"/>
    </row>
    <row r="550" spans="1:19" ht="53.4" thickBot="1">
      <c r="A550" s="5">
        <v>549</v>
      </c>
      <c r="B550" s="6"/>
      <c r="C550" s="6" t="str">
        <f t="shared" si="1"/>
        <v xml:space="preserve">Đánh giá khả  năng hấp thụ CO2 của một số loài  rong nâu phân bố tại biển Đà Nẵng </v>
      </c>
      <c r="D550" s="5" t="s">
        <v>890</v>
      </c>
      <c r="E550" s="5">
        <v>3150323013</v>
      </c>
      <c r="F550" s="5" t="s">
        <v>863</v>
      </c>
      <c r="G550" s="6"/>
      <c r="H550" s="6"/>
      <c r="I550" s="5" t="s">
        <v>769</v>
      </c>
      <c r="J550" s="210" t="s">
        <v>2158</v>
      </c>
      <c r="K550" s="210" t="s">
        <v>4900</v>
      </c>
      <c r="L550" s="15">
        <v>45876</v>
      </c>
      <c r="M550" s="8">
        <v>2025</v>
      </c>
      <c r="S550" s="9"/>
    </row>
    <row r="551" spans="1:19" ht="66.599999999999994" thickBot="1">
      <c r="A551" s="5">
        <v>550</v>
      </c>
      <c r="B551" s="5" t="s">
        <v>891</v>
      </c>
      <c r="C551" s="6" t="str">
        <f t="shared" si="1"/>
        <v>Nghiên cứu  đặc điểm phân bố của cá Úc trắng (Arius sciurus) và cá Mòi (Sardinella tawilis) ở hạ lưu sông Vu Gia thuộc địa bàn thành phố Đà Nẵng.</v>
      </c>
      <c r="D551" s="5" t="s">
        <v>892</v>
      </c>
      <c r="E551" s="5">
        <v>3150122003</v>
      </c>
      <c r="F551" s="5" t="s">
        <v>799</v>
      </c>
      <c r="G551" s="5" t="s">
        <v>893</v>
      </c>
      <c r="H551" s="6"/>
      <c r="I551" s="5" t="s">
        <v>769</v>
      </c>
      <c r="J551" s="210" t="s">
        <v>2158</v>
      </c>
      <c r="K551" s="210" t="s">
        <v>4900</v>
      </c>
      <c r="L551" s="15">
        <v>45877</v>
      </c>
      <c r="M551" s="8">
        <v>2025</v>
      </c>
      <c r="S551" s="9"/>
    </row>
    <row r="552" spans="1:19" ht="66.599999999999994" thickBot="1">
      <c r="A552" s="5">
        <v>551</v>
      </c>
      <c r="B552" s="6"/>
      <c r="C552" s="6" t="str">
        <f t="shared" si="1"/>
        <v>Nghiên cứu  đặc điểm phân bố của cá Úc trắng (Arius sciurus) và cá Mòi (Sardinella tawilis) ở hạ lưu sông Vu Gia thuộc địa bàn thành phố Đà Nẵng.</v>
      </c>
      <c r="D552" s="5" t="s">
        <v>894</v>
      </c>
      <c r="E552" s="5">
        <v>3150122007</v>
      </c>
      <c r="F552" s="5" t="s">
        <v>799</v>
      </c>
      <c r="G552" s="6"/>
      <c r="H552" s="6"/>
      <c r="I552" s="5" t="s">
        <v>769</v>
      </c>
      <c r="J552" s="210" t="s">
        <v>2158</v>
      </c>
      <c r="K552" s="210" t="s">
        <v>4900</v>
      </c>
      <c r="L552" s="15">
        <v>45878</v>
      </c>
      <c r="M552" s="8">
        <v>2025</v>
      </c>
      <c r="S552" s="9"/>
    </row>
    <row r="553" spans="1:19" ht="66.599999999999994" thickBot="1">
      <c r="A553" s="5">
        <v>552</v>
      </c>
      <c r="B553" s="6"/>
      <c r="C553" s="6" t="str">
        <f t="shared" si="1"/>
        <v>Nghiên cứu  đặc điểm phân bố của cá Úc trắng (Arius sciurus) và cá Mòi (Sardinella tawilis) ở hạ lưu sông Vu Gia thuộc địa bàn thành phố Đà Nẵng.</v>
      </c>
      <c r="D553" s="5" t="s">
        <v>460</v>
      </c>
      <c r="E553" s="5">
        <v>3150122029</v>
      </c>
      <c r="F553" s="5" t="s">
        <v>799</v>
      </c>
      <c r="G553" s="6"/>
      <c r="H553" s="6"/>
      <c r="I553" s="5" t="s">
        <v>769</v>
      </c>
      <c r="J553" s="210" t="s">
        <v>2158</v>
      </c>
      <c r="K553" s="210" t="s">
        <v>4900</v>
      </c>
      <c r="L553" s="15">
        <v>45879</v>
      </c>
      <c r="M553" s="8">
        <v>2025</v>
      </c>
      <c r="S553" s="9"/>
    </row>
    <row r="554" spans="1:19" ht="66.599999999999994" thickBot="1">
      <c r="A554" s="5">
        <v>553</v>
      </c>
      <c r="B554" s="6"/>
      <c r="C554" s="6" t="str">
        <f t="shared" si="1"/>
        <v>Nghiên cứu  đặc điểm phân bố của cá Úc trắng (Arius sciurus) và cá Mòi (Sardinella tawilis) ở hạ lưu sông Vu Gia thuộc địa bàn thành phố Đà Nẵng.</v>
      </c>
      <c r="D554" s="5" t="s">
        <v>895</v>
      </c>
      <c r="E554" s="5">
        <v>3150122012</v>
      </c>
      <c r="F554" s="5" t="s">
        <v>799</v>
      </c>
      <c r="G554" s="6"/>
      <c r="H554" s="6"/>
      <c r="I554" s="5" t="s">
        <v>769</v>
      </c>
      <c r="J554" s="210" t="s">
        <v>2158</v>
      </c>
      <c r="K554" s="210" t="s">
        <v>4900</v>
      </c>
      <c r="L554" s="15">
        <v>45880</v>
      </c>
      <c r="M554" s="8">
        <v>2025</v>
      </c>
      <c r="S554" s="9"/>
    </row>
    <row r="555" spans="1:19" ht="66.599999999999994" thickBot="1">
      <c r="A555" s="5">
        <v>554</v>
      </c>
      <c r="B555" s="5" t="s">
        <v>896</v>
      </c>
      <c r="C555" s="6" t="str">
        <f t="shared" si="1"/>
        <v>Đặc điểm phân bố và dinh dưỡng của loài khỉ vàng (Macca Mulatta) ở Khu Bảo tồn Thiên Nhiên Sơn Trà, Thành Phố Đà Nẵng</v>
      </c>
      <c r="D555" s="5" t="s">
        <v>897</v>
      </c>
      <c r="E555" s="5">
        <v>3140722061</v>
      </c>
      <c r="F555" s="5" t="s">
        <v>132</v>
      </c>
      <c r="G555" s="5" t="s">
        <v>898</v>
      </c>
      <c r="H555" s="6"/>
      <c r="I555" s="5" t="s">
        <v>769</v>
      </c>
      <c r="J555" s="210" t="s">
        <v>2158</v>
      </c>
      <c r="K555" s="210" t="s">
        <v>4900</v>
      </c>
      <c r="L555" s="15">
        <v>45700</v>
      </c>
      <c r="M555" s="8">
        <v>2025</v>
      </c>
      <c r="S555" s="9"/>
    </row>
    <row r="556" spans="1:19" ht="66.599999999999994" thickBot="1">
      <c r="A556" s="5">
        <v>555</v>
      </c>
      <c r="B556" s="6"/>
      <c r="C556" s="6" t="str">
        <f t="shared" si="1"/>
        <v>Đặc điểm phân bố và dinh dưỡng của loài khỉ vàng (Macca Mulatta) ở Khu Bảo tồn Thiên Nhiên Sơn Trà, Thành Phố Đà Nẵng</v>
      </c>
      <c r="D556" s="5" t="s">
        <v>899</v>
      </c>
      <c r="E556" s="5">
        <v>3140722099</v>
      </c>
      <c r="F556" s="5" t="s">
        <v>141</v>
      </c>
      <c r="G556" s="6"/>
      <c r="H556" s="6"/>
      <c r="I556" s="5" t="s">
        <v>769</v>
      </c>
      <c r="J556" s="210" t="s">
        <v>2158</v>
      </c>
      <c r="K556" s="210" t="s">
        <v>4900</v>
      </c>
      <c r="L556" s="15">
        <v>45701</v>
      </c>
      <c r="M556" s="8">
        <v>2025</v>
      </c>
      <c r="S556" s="9"/>
    </row>
    <row r="557" spans="1:19" ht="66.599999999999994" thickBot="1">
      <c r="A557" s="5">
        <v>556</v>
      </c>
      <c r="B557" s="6"/>
      <c r="C557" s="6" t="str">
        <f t="shared" si="1"/>
        <v>Đặc điểm phân bố và dinh dưỡng của loài khỉ vàng (Macca Mulatta) ở Khu Bảo tồn Thiên Nhiên Sơn Trà, Thành Phố Đà Nẵng</v>
      </c>
      <c r="D557" s="5" t="s">
        <v>900</v>
      </c>
      <c r="E557" s="5">
        <v>3140722091</v>
      </c>
      <c r="F557" s="5" t="s">
        <v>141</v>
      </c>
      <c r="G557" s="6"/>
      <c r="H557" s="6"/>
      <c r="I557" s="5" t="s">
        <v>769</v>
      </c>
      <c r="J557" s="210" t="s">
        <v>2158</v>
      </c>
      <c r="K557" s="210" t="s">
        <v>4900</v>
      </c>
      <c r="L557" s="15">
        <v>45702</v>
      </c>
      <c r="M557" s="8">
        <v>2025</v>
      </c>
      <c r="S557" s="9"/>
    </row>
    <row r="558" spans="1:19" ht="52.8" hidden="1" customHeight="1">
      <c r="A558" s="5">
        <v>557</v>
      </c>
      <c r="B558" s="5" t="s">
        <v>901</v>
      </c>
      <c r="C558" s="6" t="str">
        <f t="shared" si="1"/>
        <v>Nghiên cứu mối quan hệ giữa thành tích thi đấu với tố chất thể lực của VĐV chạy cự ly Trung bình lứa tuổi 16 - 18</v>
      </c>
      <c r="D558" s="5" t="s">
        <v>902</v>
      </c>
      <c r="E558" s="5">
        <v>3160621008</v>
      </c>
      <c r="F558" s="5" t="s">
        <v>903</v>
      </c>
      <c r="G558" s="5" t="s">
        <v>904</v>
      </c>
      <c r="H558" s="6"/>
      <c r="I558" s="5" t="s">
        <v>905</v>
      </c>
      <c r="J558" s="211" t="s">
        <v>2158</v>
      </c>
      <c r="K558" s="211" t="s">
        <v>1393</v>
      </c>
      <c r="L558" s="15">
        <v>45703</v>
      </c>
      <c r="M558" s="8">
        <v>2025</v>
      </c>
      <c r="S558" s="9"/>
    </row>
    <row r="559" spans="1:19" ht="52.8" hidden="1" customHeight="1">
      <c r="A559" s="5">
        <v>558</v>
      </c>
      <c r="B559" s="6"/>
      <c r="C559" s="6" t="str">
        <f t="shared" si="1"/>
        <v>Nghiên cứu mối quan hệ giữa thành tích thi đấu với tố chất thể lực của VĐV chạy cự ly Trung bình lứa tuổi 16 - 18</v>
      </c>
      <c r="D559" s="5" t="s">
        <v>906</v>
      </c>
      <c r="E559" s="5">
        <v>3160621017</v>
      </c>
      <c r="F559" s="6"/>
      <c r="G559" s="6"/>
      <c r="H559" s="6"/>
      <c r="I559" s="5" t="s">
        <v>905</v>
      </c>
      <c r="J559" s="211" t="s">
        <v>2158</v>
      </c>
      <c r="K559" s="211" t="s">
        <v>1395</v>
      </c>
      <c r="L559" s="15">
        <v>45704</v>
      </c>
      <c r="M559" s="8">
        <v>2025</v>
      </c>
      <c r="S559" s="9"/>
    </row>
    <row r="560" spans="1:19" ht="52.8" hidden="1" customHeight="1">
      <c r="A560" s="5">
        <v>559</v>
      </c>
      <c r="B560" s="6"/>
      <c r="C560" s="6" t="str">
        <f t="shared" si="1"/>
        <v>Nghiên cứu mối quan hệ giữa thành tích thi đấu với tố chất thể lực của VĐV chạy cự ly Trung bình lứa tuổi 16 - 18</v>
      </c>
      <c r="D560" s="5" t="s">
        <v>907</v>
      </c>
      <c r="E560" s="5">
        <v>3160621024</v>
      </c>
      <c r="F560" s="6"/>
      <c r="G560" s="6"/>
      <c r="H560" s="6"/>
      <c r="I560" s="5" t="s">
        <v>905</v>
      </c>
      <c r="J560" s="211" t="s">
        <v>2158</v>
      </c>
      <c r="K560" s="211" t="s">
        <v>1397</v>
      </c>
      <c r="L560" s="15">
        <v>45705</v>
      </c>
      <c r="M560" s="8">
        <v>2025</v>
      </c>
      <c r="S560" s="9"/>
    </row>
    <row r="561" spans="1:19" ht="52.8" hidden="1" customHeight="1">
      <c r="A561" s="5">
        <v>560</v>
      </c>
      <c r="B561" s="5" t="s">
        <v>908</v>
      </c>
      <c r="C561" s="6" t="str">
        <f t="shared" si="1"/>
        <v>Nghiên cứu ứng dụng hệ thống bài tập phát triển sức nhanh cho vận động viên bóng đá nam Lứa tuổi 14 - 15</v>
      </c>
      <c r="D561" s="5" t="s">
        <v>909</v>
      </c>
      <c r="E561" s="10">
        <v>3160621030</v>
      </c>
      <c r="F561" s="5" t="s">
        <v>903</v>
      </c>
      <c r="G561" s="5" t="s">
        <v>904</v>
      </c>
      <c r="H561" s="6"/>
      <c r="I561" s="5" t="s">
        <v>905</v>
      </c>
      <c r="J561" s="211" t="s">
        <v>2158</v>
      </c>
      <c r="K561" s="211" t="s">
        <v>1400</v>
      </c>
      <c r="L561" s="15">
        <v>45706</v>
      </c>
      <c r="M561" s="8">
        <v>2025</v>
      </c>
      <c r="S561" s="9"/>
    </row>
    <row r="562" spans="1:19" ht="66" hidden="1" customHeight="1">
      <c r="A562" s="5">
        <v>561</v>
      </c>
      <c r="B562" s="5" t="s">
        <v>910</v>
      </c>
      <c r="C562" s="6" t="str">
        <f t="shared" si="1"/>
        <v>Nghiên cứu sự biến đổi về thể lực của nam võ sinh Vovinam lứa tuổi 14 - 15 dưới tác động của hệ thống bài tập sức bền chuyên môn sau 1 năm tập luyện</v>
      </c>
      <c r="D562" s="5" t="s">
        <v>911</v>
      </c>
      <c r="E562" s="5">
        <v>3160621019</v>
      </c>
      <c r="F562" s="5" t="s">
        <v>903</v>
      </c>
      <c r="G562" s="5" t="s">
        <v>912</v>
      </c>
      <c r="H562" s="6"/>
      <c r="I562" s="5" t="s">
        <v>905</v>
      </c>
      <c r="J562" s="211" t="s">
        <v>2158</v>
      </c>
      <c r="K562" s="211" t="s">
        <v>1403</v>
      </c>
      <c r="L562" s="15">
        <v>45707</v>
      </c>
      <c r="M562" s="8">
        <v>2025</v>
      </c>
      <c r="S562" s="9"/>
    </row>
    <row r="563" spans="1:19" ht="66" hidden="1" customHeight="1">
      <c r="A563" s="5">
        <v>562</v>
      </c>
      <c r="B563" s="6"/>
      <c r="C563" s="6" t="str">
        <f t="shared" si="1"/>
        <v>Nghiên cứu sự biến đổi về thể lực của nam võ sinh Vovinam lứa tuổi 14 - 15 dưới tác động của hệ thống bài tập sức bền chuyên môn sau 1 năm tập luyện</v>
      </c>
      <c r="D563" s="5" t="s">
        <v>913</v>
      </c>
      <c r="E563" s="5">
        <v>3160621005</v>
      </c>
      <c r="F563" s="6"/>
      <c r="G563" s="6"/>
      <c r="H563" s="6"/>
      <c r="I563" s="5" t="s">
        <v>905</v>
      </c>
      <c r="J563" s="211" t="s">
        <v>2158</v>
      </c>
      <c r="K563" s="211" t="s">
        <v>1405</v>
      </c>
      <c r="L563" s="15">
        <v>45708</v>
      </c>
      <c r="M563" s="8">
        <v>2025</v>
      </c>
      <c r="S563" s="9"/>
    </row>
    <row r="564" spans="1:19" ht="66" hidden="1" customHeight="1">
      <c r="A564" s="5">
        <v>563</v>
      </c>
      <c r="B564" s="6"/>
      <c r="C564" s="6" t="str">
        <f t="shared" si="1"/>
        <v>Nghiên cứu sự biến đổi về thể lực của nam võ sinh Vovinam lứa tuổi 14 - 15 dưới tác động của hệ thống bài tập sức bền chuyên môn sau 1 năm tập luyện</v>
      </c>
      <c r="D564" s="5" t="s">
        <v>914</v>
      </c>
      <c r="E564" s="5">
        <v>3160621022</v>
      </c>
      <c r="F564" s="6"/>
      <c r="G564" s="6"/>
      <c r="H564" s="6"/>
      <c r="I564" s="5" t="s">
        <v>905</v>
      </c>
      <c r="J564" s="211" t="s">
        <v>2158</v>
      </c>
      <c r="K564" s="211" t="s">
        <v>1407</v>
      </c>
      <c r="L564" s="15">
        <v>45709</v>
      </c>
      <c r="M564" s="8">
        <v>2025</v>
      </c>
      <c r="S564" s="9"/>
    </row>
    <row r="565" spans="1:19" ht="52.8" hidden="1" customHeight="1">
      <c r="A565" s="5">
        <v>564</v>
      </c>
      <c r="B565" s="5" t="s">
        <v>915</v>
      </c>
      <c r="C565" s="6" t="str">
        <f t="shared" si="1"/>
        <v>Nghiên cứu mối quan hệ giữa thành tích thi đấu với chức năng sinh lý của VĐV chạy cự ly Trung bình lứa tuổi 16 - 18</v>
      </c>
      <c r="D565" s="5" t="s">
        <v>916</v>
      </c>
      <c r="E565" s="5">
        <v>3160621029</v>
      </c>
      <c r="F565" s="5" t="s">
        <v>903</v>
      </c>
      <c r="G565" s="5" t="s">
        <v>917</v>
      </c>
      <c r="H565" s="6"/>
      <c r="I565" s="5" t="s">
        <v>905</v>
      </c>
      <c r="J565" s="211" t="s">
        <v>2158</v>
      </c>
      <c r="K565" s="211" t="s">
        <v>1409</v>
      </c>
      <c r="L565" s="15">
        <v>45710</v>
      </c>
      <c r="M565" s="8">
        <v>2025</v>
      </c>
      <c r="S565" s="9"/>
    </row>
    <row r="566" spans="1:19" ht="52.8" hidden="1" customHeight="1">
      <c r="A566" s="5">
        <v>565</v>
      </c>
      <c r="B566" s="6"/>
      <c r="C566" s="6" t="str">
        <f t="shared" si="1"/>
        <v>Nghiên cứu mối quan hệ giữa thành tích thi đấu với chức năng sinh lý của VĐV chạy cự ly Trung bình lứa tuổi 16 - 18</v>
      </c>
      <c r="D566" s="5" t="s">
        <v>918</v>
      </c>
      <c r="E566" s="5">
        <v>3160621003</v>
      </c>
      <c r="F566" s="6"/>
      <c r="G566" s="6"/>
      <c r="H566" s="6"/>
      <c r="I566" s="5" t="s">
        <v>905</v>
      </c>
      <c r="J566" s="211" t="s">
        <v>2158</v>
      </c>
      <c r="K566" s="211" t="s">
        <v>1412</v>
      </c>
      <c r="L566" s="15">
        <v>45711</v>
      </c>
      <c r="M566" s="8">
        <v>2025</v>
      </c>
      <c r="S566" s="9"/>
    </row>
    <row r="567" spans="1:19" ht="52.8" hidden="1" customHeight="1">
      <c r="A567" s="5">
        <v>566</v>
      </c>
      <c r="B567" s="6"/>
      <c r="C567" s="6" t="str">
        <f t="shared" si="1"/>
        <v>Nghiên cứu mối quan hệ giữa thành tích thi đấu với chức năng sinh lý của VĐV chạy cự ly Trung bình lứa tuổi 16 - 18</v>
      </c>
      <c r="D567" s="5" t="s">
        <v>919</v>
      </c>
      <c r="E567" s="5">
        <v>3160621012</v>
      </c>
      <c r="F567" s="6"/>
      <c r="G567" s="6"/>
      <c r="H567" s="6"/>
      <c r="I567" s="5" t="s">
        <v>905</v>
      </c>
      <c r="J567" s="211" t="s">
        <v>2158</v>
      </c>
      <c r="K567" s="211" t="s">
        <v>1415</v>
      </c>
      <c r="L567" s="15">
        <v>45712</v>
      </c>
      <c r="M567" s="8">
        <v>2025</v>
      </c>
      <c r="S567" s="9"/>
    </row>
    <row r="568" spans="1:19" ht="66" hidden="1" customHeight="1">
      <c r="A568" s="5">
        <v>567</v>
      </c>
      <c r="B568" s="5" t="s">
        <v>920</v>
      </c>
      <c r="C568" s="6" t="str">
        <f t="shared" si="1"/>
        <v>Nghiên cứu một số trò chơi vận động để phát triển kỹ năng sống cho nam học sinh lớp 10 trường THPT Nguyễn Hiền - Hải Châu - Thành Phố Đà Nẵng.”</v>
      </c>
      <c r="D568" s="5" t="s">
        <v>921</v>
      </c>
      <c r="E568" s="10">
        <v>3160621013</v>
      </c>
      <c r="F568" s="5" t="s">
        <v>903</v>
      </c>
      <c r="G568" s="5" t="s">
        <v>917</v>
      </c>
      <c r="H568" s="6"/>
      <c r="I568" s="5" t="s">
        <v>905</v>
      </c>
      <c r="J568" s="211" t="s">
        <v>2158</v>
      </c>
      <c r="K568" s="211" t="s">
        <v>1417</v>
      </c>
      <c r="L568" s="15">
        <v>45713</v>
      </c>
      <c r="M568" s="8">
        <v>2025</v>
      </c>
      <c r="S568" s="9"/>
    </row>
    <row r="569" spans="1:19" ht="66" hidden="1" customHeight="1">
      <c r="A569" s="5">
        <v>568</v>
      </c>
      <c r="B569" s="5" t="s">
        <v>922</v>
      </c>
      <c r="C569" s="6" t="str">
        <f t="shared" si="1"/>
        <v>Nghiên cứu bài tập phát triển khả năng khéo léo cho nam sinh viên chuyên ngành bóng đá năm thứ nhất trường Đại học sư phạm - ĐHĐN</v>
      </c>
      <c r="D569" s="5" t="s">
        <v>923</v>
      </c>
      <c r="E569" s="5">
        <v>3106621001</v>
      </c>
      <c r="F569" s="5" t="s">
        <v>903</v>
      </c>
      <c r="G569" s="5" t="s">
        <v>924</v>
      </c>
      <c r="H569" s="6"/>
      <c r="I569" s="5" t="s">
        <v>905</v>
      </c>
      <c r="J569" s="211" t="s">
        <v>2158</v>
      </c>
      <c r="K569" s="211" t="s">
        <v>1419</v>
      </c>
      <c r="L569" s="15">
        <v>45714</v>
      </c>
      <c r="M569" s="8">
        <v>2025</v>
      </c>
      <c r="S569" s="9"/>
    </row>
    <row r="570" spans="1:19" ht="66" hidden="1" customHeight="1">
      <c r="A570" s="5">
        <v>569</v>
      </c>
      <c r="B570" s="6"/>
      <c r="C570" s="6" t="str">
        <f t="shared" si="1"/>
        <v>Nghiên cứu bài tập phát triển khả năng khéo léo cho nam sinh viên chuyên ngành bóng đá năm thứ nhất trường Đại học sư phạm - ĐHĐN</v>
      </c>
      <c r="D570" s="5" t="s">
        <v>925</v>
      </c>
      <c r="E570" s="5">
        <v>3106621028</v>
      </c>
      <c r="F570" s="6"/>
      <c r="G570" s="6"/>
      <c r="H570" s="6"/>
      <c r="I570" s="5" t="s">
        <v>905</v>
      </c>
      <c r="J570" s="211" t="s">
        <v>2158</v>
      </c>
      <c r="K570" s="211" t="s">
        <v>1421</v>
      </c>
      <c r="L570" s="15">
        <v>45715</v>
      </c>
      <c r="M570" s="8">
        <v>2025</v>
      </c>
      <c r="S570" s="9"/>
    </row>
    <row r="571" spans="1:19" ht="66" hidden="1" customHeight="1">
      <c r="A571" s="5">
        <v>570</v>
      </c>
      <c r="B571" s="6"/>
      <c r="C571" s="6" t="str">
        <f t="shared" si="1"/>
        <v>Nghiên cứu bài tập phát triển khả năng khéo léo cho nam sinh viên chuyên ngành bóng đá năm thứ nhất trường Đại học sư phạm - ĐHĐN</v>
      </c>
      <c r="D571" s="5" t="s">
        <v>926</v>
      </c>
      <c r="E571" s="5">
        <v>3106621018</v>
      </c>
      <c r="F571" s="6"/>
      <c r="G571" s="6"/>
      <c r="H571" s="6"/>
      <c r="I571" s="5" t="s">
        <v>905</v>
      </c>
      <c r="J571" s="211" t="s">
        <v>2158</v>
      </c>
      <c r="K571" s="211" t="s">
        <v>1424</v>
      </c>
      <c r="L571" s="15">
        <v>45716</v>
      </c>
      <c r="M571" s="8">
        <v>2025</v>
      </c>
      <c r="S571" s="9"/>
    </row>
    <row r="572" spans="1:19" ht="52.8" hidden="1" customHeight="1">
      <c r="A572" s="5">
        <v>571</v>
      </c>
      <c r="B572" s="5" t="s">
        <v>927</v>
      </c>
      <c r="C572" s="6" t="str">
        <f t="shared" si="1"/>
        <v>Nghiên cứu bài phát triển sức mạnh tốc độ thực hiện kỹ thuật nem rổ từ xa cho Nữ vận động viên đội tuyển Đại học Đà Nẵng</v>
      </c>
      <c r="D572" s="5" t="s">
        <v>928</v>
      </c>
      <c r="E572" s="5">
        <v>3160622020</v>
      </c>
      <c r="F572" s="5" t="s">
        <v>929</v>
      </c>
      <c r="G572" s="5" t="s">
        <v>930</v>
      </c>
      <c r="H572" s="6"/>
      <c r="I572" s="5" t="s">
        <v>905</v>
      </c>
      <c r="J572" s="211" t="s">
        <v>2158</v>
      </c>
      <c r="K572" s="211" t="s">
        <v>1427</v>
      </c>
      <c r="L572" s="15">
        <v>45717</v>
      </c>
      <c r="M572" s="8">
        <v>2025</v>
      </c>
      <c r="S572" s="9"/>
    </row>
    <row r="573" spans="1:19" ht="52.8" hidden="1" customHeight="1">
      <c r="A573" s="5">
        <v>572</v>
      </c>
      <c r="B573" s="6"/>
      <c r="C573" s="6" t="str">
        <f t="shared" si="1"/>
        <v>Nghiên cứu bài phát triển sức mạnh tốc độ thực hiện kỹ thuật nem rổ từ xa cho Nữ vận động viên đội tuyển Đại học Đà Nẵng</v>
      </c>
      <c r="D573" s="5" t="s">
        <v>931</v>
      </c>
      <c r="E573" s="5">
        <v>3160622012</v>
      </c>
      <c r="F573" s="6"/>
      <c r="G573" s="6"/>
      <c r="H573" s="6"/>
      <c r="I573" s="5" t="s">
        <v>905</v>
      </c>
      <c r="J573" s="211" t="s">
        <v>2158</v>
      </c>
      <c r="K573" s="211" t="s">
        <v>1428</v>
      </c>
      <c r="L573" s="15">
        <v>45718</v>
      </c>
      <c r="M573" s="8">
        <v>2025</v>
      </c>
      <c r="S573" s="9"/>
    </row>
    <row r="574" spans="1:19" ht="52.8" hidden="1" customHeight="1">
      <c r="A574" s="5">
        <v>573</v>
      </c>
      <c r="B574" s="6"/>
      <c r="C574" s="6" t="str">
        <f t="shared" si="1"/>
        <v>Nghiên cứu bài phát triển sức mạnh tốc độ thực hiện kỹ thuật nem rổ từ xa cho Nữ vận động viên đội tuyển Đại học Đà Nẵng</v>
      </c>
      <c r="D574" s="5" t="s">
        <v>932</v>
      </c>
      <c r="E574" s="5">
        <v>3160622027</v>
      </c>
      <c r="F574" s="6"/>
      <c r="G574" s="6"/>
      <c r="H574" s="6"/>
      <c r="I574" s="5" t="s">
        <v>905</v>
      </c>
      <c r="J574" s="211" t="s">
        <v>2158</v>
      </c>
      <c r="K574" s="211" t="s">
        <v>1430</v>
      </c>
      <c r="L574" s="15">
        <v>45719</v>
      </c>
      <c r="M574" s="8">
        <v>2025</v>
      </c>
      <c r="S574" s="9"/>
    </row>
    <row r="575" spans="1:19" ht="52.8" hidden="1" customHeight="1">
      <c r="A575" s="5">
        <v>574</v>
      </c>
      <c r="B575" s="6"/>
      <c r="C575" s="6" t="str">
        <f t="shared" si="1"/>
        <v>Nghiên cứu bài phát triển sức mạnh tốc độ thực hiện kỹ thuật nem rổ từ xa cho Nữ vận động viên đội tuyển Đại học Đà Nẵng</v>
      </c>
      <c r="D575" s="5" t="s">
        <v>933</v>
      </c>
      <c r="E575" s="5">
        <v>3160622009</v>
      </c>
      <c r="F575" s="6"/>
      <c r="G575" s="6"/>
      <c r="H575" s="6"/>
      <c r="I575" s="5" t="s">
        <v>905</v>
      </c>
      <c r="J575" s="211" t="s">
        <v>2158</v>
      </c>
      <c r="K575" s="211" t="s">
        <v>1433</v>
      </c>
      <c r="L575" s="15">
        <v>45720</v>
      </c>
      <c r="M575" s="8">
        <v>2025</v>
      </c>
      <c r="S575" s="9"/>
    </row>
    <row r="576" spans="1:19" ht="52.8" hidden="1" customHeight="1">
      <c r="A576" s="5">
        <v>575</v>
      </c>
      <c r="B576" s="6"/>
      <c r="C576" s="6" t="str">
        <f t="shared" si="1"/>
        <v>Nghiên cứu bài phát triển sức mạnh tốc độ thực hiện kỹ thuật nem rổ từ xa cho Nữ vận động viên đội tuyển Đại học Đà Nẵng</v>
      </c>
      <c r="D576" s="5" t="s">
        <v>934</v>
      </c>
      <c r="E576" s="5">
        <v>3160622028</v>
      </c>
      <c r="F576" s="6"/>
      <c r="G576" s="6"/>
      <c r="H576" s="6"/>
      <c r="I576" s="5" t="s">
        <v>905</v>
      </c>
      <c r="J576" s="211" t="s">
        <v>2158</v>
      </c>
      <c r="K576" s="211" t="s">
        <v>1434</v>
      </c>
      <c r="L576" s="15">
        <v>45721</v>
      </c>
      <c r="M576" s="8">
        <v>2025</v>
      </c>
      <c r="S576" s="9"/>
    </row>
    <row r="577" spans="1:19" ht="66" hidden="1" customHeight="1">
      <c r="A577" s="5">
        <v>576</v>
      </c>
      <c r="B577" s="5" t="s">
        <v>935</v>
      </c>
      <c r="C577" s="6" t="str">
        <f t="shared" si="1"/>
        <v xml:space="preserve">Nghiên cứu ứng dụng phương pháp tập luyện vòng tròn trong huấn luyện sức bền tốc độ cho nam VĐV bóng đá lứa tuổi 15 - 16 </v>
      </c>
      <c r="D577" s="5" t="s">
        <v>936</v>
      </c>
      <c r="E577" s="10">
        <v>316062202</v>
      </c>
      <c r="F577" s="5" t="s">
        <v>929</v>
      </c>
      <c r="G577" s="5" t="s">
        <v>937</v>
      </c>
      <c r="H577" s="6"/>
      <c r="I577" s="5" t="s">
        <v>905</v>
      </c>
      <c r="J577" s="211" t="s">
        <v>2158</v>
      </c>
      <c r="K577" s="211" t="s">
        <v>1434</v>
      </c>
      <c r="L577" s="15">
        <v>45722</v>
      </c>
      <c r="M577" s="8">
        <v>2025</v>
      </c>
      <c r="S577" s="9"/>
    </row>
    <row r="578" spans="1:19" ht="52.8" hidden="1" customHeight="1">
      <c r="A578" s="5">
        <v>577</v>
      </c>
      <c r="B578" s="5" t="s">
        <v>927</v>
      </c>
      <c r="C578" s="6" t="str">
        <f t="shared" si="1"/>
        <v>Nghiên cứu bài phát triển sức mạnh tốc độ thực hiện kỹ thuật nem rổ từ xa cho Nữ vận động viên đội tuyển Đại học Đà Nẵng</v>
      </c>
      <c r="D578" s="5" t="s">
        <v>938</v>
      </c>
      <c r="E578" s="5">
        <v>3160622029</v>
      </c>
      <c r="F578" s="5" t="s">
        <v>929</v>
      </c>
      <c r="G578" s="5" t="s">
        <v>939</v>
      </c>
      <c r="H578" s="6"/>
      <c r="I578" s="5" t="s">
        <v>905</v>
      </c>
      <c r="J578" s="211" t="s">
        <v>2158</v>
      </c>
      <c r="K578" s="211" t="s">
        <v>1434</v>
      </c>
      <c r="L578" s="15">
        <v>45723</v>
      </c>
      <c r="M578" s="8">
        <v>2025</v>
      </c>
      <c r="S578" s="9"/>
    </row>
    <row r="579" spans="1:19" ht="52.8" hidden="1" customHeight="1">
      <c r="A579" s="5">
        <v>578</v>
      </c>
      <c r="B579" s="6"/>
      <c r="C579" s="6" t="str">
        <f t="shared" si="1"/>
        <v>Nghiên cứu bài phát triển sức mạnh tốc độ thực hiện kỹ thuật nem rổ từ xa cho Nữ vận động viên đội tuyển Đại học Đà Nẵng</v>
      </c>
      <c r="D579" s="5" t="s">
        <v>940</v>
      </c>
      <c r="E579" s="5">
        <v>3160622010</v>
      </c>
      <c r="F579" s="6"/>
      <c r="G579" s="6"/>
      <c r="H579" s="6"/>
      <c r="I579" s="5" t="s">
        <v>905</v>
      </c>
      <c r="J579" s="211" t="s">
        <v>2158</v>
      </c>
      <c r="K579" s="211" t="s">
        <v>1434</v>
      </c>
      <c r="L579" s="15">
        <v>45724</v>
      </c>
      <c r="M579" s="8">
        <v>2025</v>
      </c>
      <c r="S579" s="9"/>
    </row>
    <row r="580" spans="1:19" ht="52.8" hidden="1" customHeight="1">
      <c r="A580" s="5">
        <v>579</v>
      </c>
      <c r="B580" s="6"/>
      <c r="C580" s="6" t="str">
        <f t="shared" si="1"/>
        <v>Nghiên cứu bài phát triển sức mạnh tốc độ thực hiện kỹ thuật nem rổ từ xa cho Nữ vận động viên đội tuyển Đại học Đà Nẵng</v>
      </c>
      <c r="D580" s="5" t="s">
        <v>941</v>
      </c>
      <c r="E580" s="5">
        <v>3160622021</v>
      </c>
      <c r="F580" s="6"/>
      <c r="G580" s="6"/>
      <c r="H580" s="6"/>
      <c r="I580" s="5" t="s">
        <v>905</v>
      </c>
      <c r="J580" s="211" t="s">
        <v>2158</v>
      </c>
      <c r="K580" s="211" t="s">
        <v>1434</v>
      </c>
      <c r="L580" s="15">
        <v>45725</v>
      </c>
      <c r="M580" s="8">
        <v>2025</v>
      </c>
      <c r="S580" s="9"/>
    </row>
    <row r="581" spans="1:19" ht="52.8" hidden="1" customHeight="1">
      <c r="A581" s="5">
        <v>580</v>
      </c>
      <c r="B581" s="6"/>
      <c r="C581" s="6" t="str">
        <f t="shared" si="1"/>
        <v>Nghiên cứu bài phát triển sức mạnh tốc độ thực hiện kỹ thuật nem rổ từ xa cho Nữ vận động viên đội tuyển Đại học Đà Nẵng</v>
      </c>
      <c r="D581" s="5" t="s">
        <v>942</v>
      </c>
      <c r="E581" s="5">
        <v>3160622006</v>
      </c>
      <c r="F581" s="6"/>
      <c r="G581" s="6"/>
      <c r="H581" s="6"/>
      <c r="I581" s="5" t="s">
        <v>905</v>
      </c>
      <c r="J581" s="211" t="s">
        <v>2158</v>
      </c>
      <c r="K581" s="211" t="s">
        <v>1434</v>
      </c>
      <c r="L581" s="15">
        <v>45726</v>
      </c>
      <c r="M581" s="8">
        <v>2025</v>
      </c>
      <c r="S581" s="9"/>
    </row>
    <row r="582" spans="1:19" ht="52.8" hidden="1" customHeight="1">
      <c r="A582" s="5">
        <v>581</v>
      </c>
      <c r="B582" s="5" t="s">
        <v>943</v>
      </c>
      <c r="C582" s="6" t="str">
        <f t="shared" si="1"/>
        <v>Nghiên cứu bài tập phát triển sức mạnh tốc độ cho sinh viên lớp Bóng rổ nâng cao trường Đại học Sư phạm - ĐHĐN</v>
      </c>
      <c r="D582" s="5" t="s">
        <v>944</v>
      </c>
      <c r="E582" s="5">
        <v>3160622001</v>
      </c>
      <c r="F582" s="5" t="s">
        <v>929</v>
      </c>
      <c r="G582" s="5" t="s">
        <v>945</v>
      </c>
      <c r="H582" s="6"/>
      <c r="I582" s="5" t="s">
        <v>905</v>
      </c>
      <c r="J582" s="211" t="s">
        <v>2158</v>
      </c>
      <c r="K582" s="211" t="s">
        <v>1434</v>
      </c>
      <c r="L582" s="15">
        <v>45727</v>
      </c>
      <c r="M582" s="8">
        <v>2025</v>
      </c>
      <c r="S582" s="9"/>
    </row>
    <row r="583" spans="1:19" ht="52.8" hidden="1" customHeight="1">
      <c r="A583" s="5">
        <v>582</v>
      </c>
      <c r="B583" s="6"/>
      <c r="C583" s="6" t="str">
        <f t="shared" si="1"/>
        <v>Nghiên cứu bài tập phát triển sức mạnh tốc độ cho sinh viên lớp Bóng rổ nâng cao trường Đại học Sư phạm - ĐHĐN</v>
      </c>
      <c r="D583" s="5" t="s">
        <v>946</v>
      </c>
      <c r="E583" s="5">
        <v>3160622008</v>
      </c>
      <c r="F583" s="6"/>
      <c r="G583" s="6"/>
      <c r="H583" s="6"/>
      <c r="I583" s="5" t="s">
        <v>905</v>
      </c>
      <c r="J583" s="211" t="s">
        <v>2158</v>
      </c>
      <c r="K583" s="211" t="s">
        <v>1434</v>
      </c>
      <c r="L583" s="15">
        <v>45728</v>
      </c>
      <c r="M583" s="8">
        <v>2025</v>
      </c>
      <c r="S583" s="9"/>
    </row>
    <row r="584" spans="1:19" ht="52.8" hidden="1" customHeight="1">
      <c r="A584" s="5">
        <v>583</v>
      </c>
      <c r="B584" s="6"/>
      <c r="C584" s="6" t="str">
        <f t="shared" si="1"/>
        <v>Nghiên cứu bài tập phát triển sức mạnh tốc độ cho sinh viên lớp Bóng rổ nâng cao trường Đại học Sư phạm - ĐHĐN</v>
      </c>
      <c r="D584" s="5" t="s">
        <v>947</v>
      </c>
      <c r="E584" s="5">
        <v>3160622003</v>
      </c>
      <c r="F584" s="6"/>
      <c r="G584" s="6"/>
      <c r="H584" s="6"/>
      <c r="I584" s="5" t="s">
        <v>905</v>
      </c>
      <c r="J584" s="211" t="s">
        <v>2158</v>
      </c>
      <c r="K584" s="211" t="s">
        <v>1434</v>
      </c>
      <c r="L584" s="15">
        <v>45729</v>
      </c>
      <c r="M584" s="8">
        <v>2025</v>
      </c>
      <c r="S584" s="9"/>
    </row>
    <row r="585" spans="1:19" ht="52.8" hidden="1" customHeight="1">
      <c r="A585" s="5">
        <v>584</v>
      </c>
      <c r="B585" s="6"/>
      <c r="C585" s="6" t="str">
        <f t="shared" si="1"/>
        <v>Nghiên cứu bài tập phát triển sức mạnh tốc độ cho sinh viên lớp Bóng rổ nâng cao trường Đại học Sư phạm - ĐHĐN</v>
      </c>
      <c r="D585" s="5" t="s">
        <v>948</v>
      </c>
      <c r="E585" s="5">
        <v>3160622014</v>
      </c>
      <c r="F585" s="6"/>
      <c r="G585" s="6"/>
      <c r="H585" s="6"/>
      <c r="I585" s="5" t="s">
        <v>905</v>
      </c>
      <c r="J585" s="211" t="s">
        <v>2158</v>
      </c>
      <c r="K585" s="211" t="s">
        <v>1434</v>
      </c>
      <c r="L585" s="15">
        <v>45730</v>
      </c>
      <c r="M585" s="8">
        <v>2025</v>
      </c>
      <c r="S585" s="9"/>
    </row>
    <row r="586" spans="1:19" ht="52.8" hidden="1" customHeight="1">
      <c r="A586" s="5">
        <v>585</v>
      </c>
      <c r="B586" s="6"/>
      <c r="C586" s="6" t="str">
        <f t="shared" si="1"/>
        <v>Nghiên cứu bài tập phát triển sức mạnh tốc độ cho sinh viên lớp Bóng rổ nâng cao trường Đại học Sư phạm - ĐHĐN</v>
      </c>
      <c r="D586" s="5" t="s">
        <v>949</v>
      </c>
      <c r="E586" s="5">
        <v>3160622007</v>
      </c>
      <c r="F586" s="6"/>
      <c r="G586" s="6"/>
      <c r="H586" s="6"/>
      <c r="I586" s="5" t="s">
        <v>905</v>
      </c>
      <c r="J586" s="211" t="s">
        <v>2158</v>
      </c>
      <c r="K586" s="211" t="s">
        <v>1434</v>
      </c>
      <c r="L586" s="15">
        <v>45731</v>
      </c>
      <c r="M586" s="8">
        <v>2025</v>
      </c>
      <c r="S586" s="9"/>
    </row>
    <row r="587" spans="1:19" ht="52.8" hidden="1" customHeight="1">
      <c r="A587" s="5">
        <v>586</v>
      </c>
      <c r="B587" s="5" t="s">
        <v>950</v>
      </c>
      <c r="C587" s="6" t="str">
        <f t="shared" si="1"/>
        <v>Nghiên cứu lựa chọn hệ thống bài tập phát triển thể chất cho nữ sinh viên trường Đại học Sư phạm - ĐHĐN</v>
      </c>
      <c r="D587" s="5" t="s">
        <v>951</v>
      </c>
      <c r="E587" s="5">
        <v>3160622004</v>
      </c>
      <c r="F587" s="5" t="s">
        <v>929</v>
      </c>
      <c r="G587" s="5" t="s">
        <v>952</v>
      </c>
      <c r="H587" s="6"/>
      <c r="I587" s="5" t="s">
        <v>905</v>
      </c>
      <c r="J587" s="211" t="s">
        <v>2158</v>
      </c>
      <c r="K587" s="211" t="s">
        <v>1434</v>
      </c>
      <c r="L587" s="15">
        <v>45732</v>
      </c>
      <c r="M587" s="8">
        <v>2025</v>
      </c>
      <c r="S587" s="9"/>
    </row>
    <row r="588" spans="1:19" ht="52.8" hidden="1" customHeight="1">
      <c r="A588" s="5">
        <v>587</v>
      </c>
      <c r="B588" s="6"/>
      <c r="C588" s="6" t="str">
        <f t="shared" si="1"/>
        <v>Nghiên cứu lựa chọn hệ thống bài tập phát triển thể chất cho nữ sinh viên trường Đại học Sư phạm - ĐHĐN</v>
      </c>
      <c r="D588" s="5" t="s">
        <v>953</v>
      </c>
      <c r="E588" s="5">
        <v>3160622015</v>
      </c>
      <c r="F588" s="6"/>
      <c r="G588" s="6"/>
      <c r="H588" s="6"/>
      <c r="I588" s="5" t="s">
        <v>905</v>
      </c>
      <c r="J588" s="211" t="s">
        <v>2158</v>
      </c>
      <c r="K588" s="211" t="s">
        <v>1434</v>
      </c>
      <c r="L588" s="15">
        <v>45733</v>
      </c>
      <c r="M588" s="8">
        <v>2025</v>
      </c>
      <c r="S588" s="9"/>
    </row>
    <row r="589" spans="1:19" ht="52.8" hidden="1" customHeight="1">
      <c r="A589" s="5">
        <v>588</v>
      </c>
      <c r="B589" s="6"/>
      <c r="C589" s="6" t="str">
        <f t="shared" si="1"/>
        <v>Nghiên cứu lựa chọn hệ thống bài tập phát triển thể chất cho nữ sinh viên trường Đại học Sư phạm - ĐHĐN</v>
      </c>
      <c r="D589" s="5" t="s">
        <v>954</v>
      </c>
      <c r="E589" s="5">
        <v>3160622024</v>
      </c>
      <c r="F589" s="6"/>
      <c r="G589" s="6"/>
      <c r="H589" s="6"/>
      <c r="I589" s="5" t="s">
        <v>905</v>
      </c>
      <c r="J589" s="211" t="s">
        <v>2158</v>
      </c>
      <c r="K589" s="211" t="s">
        <v>1434</v>
      </c>
      <c r="L589" s="15">
        <v>45734</v>
      </c>
      <c r="M589" s="8">
        <v>2025</v>
      </c>
      <c r="S589" s="9"/>
    </row>
    <row r="590" spans="1:19" ht="52.8" hidden="1" customHeight="1">
      <c r="A590" s="5">
        <v>589</v>
      </c>
      <c r="B590" s="5" t="s">
        <v>955</v>
      </c>
      <c r="C590" s="6" t="str">
        <f t="shared" si="1"/>
        <v>Nghiên cứu hệ thống bài tập nâng cao kỹ năng tính toán trong cờ vua cho sinh viên trường Đại học sư phạm - ĐHĐN</v>
      </c>
      <c r="D590" s="5" t="s">
        <v>956</v>
      </c>
      <c r="E590" s="5">
        <v>3240623007</v>
      </c>
      <c r="F590" s="5" t="s">
        <v>957</v>
      </c>
      <c r="G590" s="5" t="s">
        <v>958</v>
      </c>
      <c r="H590" s="6"/>
      <c r="I590" s="5" t="s">
        <v>905</v>
      </c>
      <c r="J590" s="211" t="s">
        <v>2158</v>
      </c>
      <c r="K590" s="211" t="s">
        <v>1434</v>
      </c>
      <c r="L590" s="15">
        <v>45735</v>
      </c>
      <c r="M590" s="8">
        <v>2025</v>
      </c>
      <c r="S590" s="9"/>
    </row>
    <row r="591" spans="1:19" ht="52.8" hidden="1" customHeight="1">
      <c r="A591" s="5">
        <v>590</v>
      </c>
      <c r="B591" s="6"/>
      <c r="C591" s="6" t="str">
        <f t="shared" si="1"/>
        <v>Nghiên cứu hệ thống bài tập nâng cao kỹ năng tính toán trong cờ vua cho sinh viên trường Đại học sư phạm - ĐHĐN</v>
      </c>
      <c r="D591" s="5" t="s">
        <v>959</v>
      </c>
      <c r="E591" s="5">
        <v>3240623032</v>
      </c>
      <c r="F591" s="6"/>
      <c r="G591" s="6"/>
      <c r="H591" s="6"/>
      <c r="I591" s="5" t="s">
        <v>905</v>
      </c>
      <c r="J591" s="211" t="s">
        <v>2158</v>
      </c>
      <c r="K591" s="211" t="s">
        <v>1434</v>
      </c>
      <c r="L591" s="15">
        <v>45736</v>
      </c>
      <c r="M591" s="8">
        <v>2025</v>
      </c>
      <c r="S591" s="9"/>
    </row>
    <row r="592" spans="1:19" ht="52.8" hidden="1" customHeight="1">
      <c r="A592" s="5">
        <v>591</v>
      </c>
      <c r="B592" s="6"/>
      <c r="C592" s="6" t="str">
        <f t="shared" si="1"/>
        <v>Nghiên cứu hệ thống bài tập nâng cao kỹ năng tính toán trong cờ vua cho sinh viên trường Đại học sư phạm - ĐHĐN</v>
      </c>
      <c r="D592" s="5" t="s">
        <v>960</v>
      </c>
      <c r="E592" s="5">
        <v>3240623005</v>
      </c>
      <c r="F592" s="6"/>
      <c r="G592" s="6"/>
      <c r="H592" s="6"/>
      <c r="I592" s="5" t="s">
        <v>905</v>
      </c>
      <c r="J592" s="211" t="s">
        <v>2158</v>
      </c>
      <c r="K592" s="211" t="s">
        <v>1434</v>
      </c>
      <c r="L592" s="15">
        <v>45737</v>
      </c>
      <c r="M592" s="8">
        <v>2025</v>
      </c>
      <c r="S592" s="9"/>
    </row>
    <row r="593" spans="1:19" ht="52.8" hidden="1" customHeight="1">
      <c r="A593" s="5">
        <v>592</v>
      </c>
      <c r="B593" s="6"/>
      <c r="C593" s="6" t="str">
        <f t="shared" si="1"/>
        <v>Nghiên cứu hệ thống bài tập nâng cao kỹ năng tính toán trong cờ vua cho sinh viên trường Đại học sư phạm - ĐHĐN</v>
      </c>
      <c r="D593" s="5" t="s">
        <v>961</v>
      </c>
      <c r="E593" s="5">
        <v>3240623027</v>
      </c>
      <c r="F593" s="6"/>
      <c r="G593" s="6"/>
      <c r="H593" s="6"/>
      <c r="I593" s="5" t="s">
        <v>905</v>
      </c>
      <c r="J593" s="211" t="s">
        <v>2158</v>
      </c>
      <c r="K593" s="211" t="s">
        <v>1434</v>
      </c>
      <c r="L593" s="15">
        <v>45738</v>
      </c>
      <c r="M593" s="8">
        <v>2025</v>
      </c>
      <c r="S593" s="9"/>
    </row>
    <row r="594" spans="1:19" ht="52.8" hidden="1" customHeight="1">
      <c r="A594" s="5">
        <v>593</v>
      </c>
      <c r="B594" s="6"/>
      <c r="C594" s="6" t="str">
        <f t="shared" si="1"/>
        <v>Nghiên cứu hệ thống bài tập nâng cao kỹ năng tính toán trong cờ vua cho sinh viên trường Đại học sư phạm - ĐHĐN</v>
      </c>
      <c r="D594" s="5" t="s">
        <v>962</v>
      </c>
      <c r="E594" s="5">
        <v>3240623011</v>
      </c>
      <c r="F594" s="6"/>
      <c r="G594" s="6"/>
      <c r="H594" s="6"/>
      <c r="I594" s="5" t="s">
        <v>905</v>
      </c>
      <c r="J594" s="211" t="s">
        <v>2158</v>
      </c>
      <c r="K594" s="211" t="s">
        <v>1434</v>
      </c>
      <c r="L594" s="15">
        <v>45739</v>
      </c>
      <c r="M594" s="8">
        <v>2025</v>
      </c>
      <c r="S594" s="9"/>
    </row>
    <row r="595" spans="1:19" ht="52.8" hidden="1" customHeight="1">
      <c r="A595" s="5">
        <v>594</v>
      </c>
      <c r="B595" s="5" t="s">
        <v>963</v>
      </c>
      <c r="C595" s="6" t="str">
        <f t="shared" si="1"/>
        <v>Nghiên cứu lựa chọn một số bài tập phát triển thể lực chung cho nữ sinh viên Đại học Đà Nẵng</v>
      </c>
      <c r="D595" s="5" t="s">
        <v>964</v>
      </c>
      <c r="E595" s="5">
        <v>3240623053</v>
      </c>
      <c r="F595" s="5" t="s">
        <v>957</v>
      </c>
      <c r="G595" s="5" t="s">
        <v>965</v>
      </c>
      <c r="H595" s="6"/>
      <c r="I595" s="5" t="s">
        <v>905</v>
      </c>
      <c r="J595" s="211" t="s">
        <v>2158</v>
      </c>
      <c r="K595" s="211" t="s">
        <v>1434</v>
      </c>
      <c r="L595" s="15">
        <v>45740</v>
      </c>
      <c r="M595" s="8">
        <v>2025</v>
      </c>
      <c r="S595" s="9"/>
    </row>
    <row r="596" spans="1:19" ht="52.8" hidden="1" customHeight="1">
      <c r="A596" s="5">
        <v>595</v>
      </c>
      <c r="B596" s="6"/>
      <c r="C596" s="6" t="str">
        <f t="shared" si="1"/>
        <v>Nghiên cứu lựa chọn một số bài tập phát triển thể lực chung cho nữ sinh viên Đại học Đà Nẵng</v>
      </c>
      <c r="D596" s="5" t="s">
        <v>966</v>
      </c>
      <c r="E596" s="5">
        <v>3240623026</v>
      </c>
      <c r="F596" s="6"/>
      <c r="G596" s="6"/>
      <c r="H596" s="6"/>
      <c r="I596" s="5" t="s">
        <v>905</v>
      </c>
      <c r="J596" s="211" t="s">
        <v>2158</v>
      </c>
      <c r="K596" s="211" t="s">
        <v>1434</v>
      </c>
      <c r="L596" s="15">
        <v>45741</v>
      </c>
      <c r="M596" s="8">
        <v>2025</v>
      </c>
      <c r="S596" s="9"/>
    </row>
    <row r="597" spans="1:19" ht="52.8" hidden="1" customHeight="1">
      <c r="A597" s="5">
        <v>596</v>
      </c>
      <c r="B597" s="6"/>
      <c r="C597" s="6" t="str">
        <f t="shared" si="1"/>
        <v>Nghiên cứu lựa chọn một số bài tập phát triển thể lực chung cho nữ sinh viên Đại học Đà Nẵng</v>
      </c>
      <c r="D597" s="5" t="s">
        <v>967</v>
      </c>
      <c r="E597" s="5">
        <v>3240623054</v>
      </c>
      <c r="F597" s="6"/>
      <c r="G597" s="6"/>
      <c r="H597" s="6"/>
      <c r="I597" s="5" t="s">
        <v>905</v>
      </c>
      <c r="J597" s="211" t="s">
        <v>2158</v>
      </c>
      <c r="K597" s="211" t="s">
        <v>1434</v>
      </c>
      <c r="L597" s="15">
        <v>45742</v>
      </c>
      <c r="M597" s="8">
        <v>2025</v>
      </c>
      <c r="S597" s="9"/>
    </row>
    <row r="598" spans="1:19" ht="52.8" hidden="1" customHeight="1">
      <c r="A598" s="5">
        <v>597</v>
      </c>
      <c r="B598" s="6"/>
      <c r="C598" s="6" t="str">
        <f t="shared" si="1"/>
        <v>Nghiên cứu lựa chọn một số bài tập phát triển thể lực chung cho nữ sinh viên Đại học Đà Nẵng</v>
      </c>
      <c r="D598" s="5" t="s">
        <v>968</v>
      </c>
      <c r="E598" s="5">
        <v>3240623033</v>
      </c>
      <c r="F598" s="6"/>
      <c r="G598" s="6"/>
      <c r="H598" s="6"/>
      <c r="I598" s="5" t="s">
        <v>905</v>
      </c>
      <c r="J598" s="211" t="s">
        <v>2158</v>
      </c>
      <c r="K598" s="211" t="s">
        <v>1434</v>
      </c>
      <c r="L598" s="15">
        <v>45743</v>
      </c>
      <c r="M598" s="8">
        <v>2025</v>
      </c>
      <c r="S598" s="9"/>
    </row>
    <row r="599" spans="1:19" ht="52.8" hidden="1" customHeight="1">
      <c r="A599" s="5">
        <v>598</v>
      </c>
      <c r="B599" s="6"/>
      <c r="C599" s="6" t="str">
        <f t="shared" si="1"/>
        <v>Nghiên cứu lựa chọn một số bài tập phát triển thể lực chung cho nữ sinh viên Đại học Đà Nẵng</v>
      </c>
      <c r="D599" s="5" t="s">
        <v>969</v>
      </c>
      <c r="E599" s="5">
        <v>3240623030</v>
      </c>
      <c r="F599" s="6"/>
      <c r="G599" s="6"/>
      <c r="H599" s="6"/>
      <c r="I599" s="5" t="s">
        <v>905</v>
      </c>
      <c r="J599" s="211" t="s">
        <v>2158</v>
      </c>
      <c r="K599" s="211" t="s">
        <v>1434</v>
      </c>
      <c r="L599" s="15">
        <v>45744</v>
      </c>
      <c r="M599" s="8">
        <v>2025</v>
      </c>
      <c r="S599" s="9"/>
    </row>
    <row r="600" spans="1:19" ht="52.8" hidden="1" customHeight="1">
      <c r="A600" s="5">
        <v>599</v>
      </c>
      <c r="B600" s="5" t="s">
        <v>970</v>
      </c>
      <c r="C600" s="6" t="str">
        <f t="shared" si="1"/>
        <v>Nghiên cứu một số bài tập phát triển sức mạnh tốc độ cho nữ sinh viên chuyên ngành Cầu lông trường ĐHSP - ĐHĐN</v>
      </c>
      <c r="D600" s="5" t="s">
        <v>971</v>
      </c>
      <c r="E600" s="5">
        <v>3240623017</v>
      </c>
      <c r="F600" s="5" t="s">
        <v>957</v>
      </c>
      <c r="G600" s="5" t="s">
        <v>972</v>
      </c>
      <c r="H600" s="6"/>
      <c r="I600" s="5" t="s">
        <v>905</v>
      </c>
      <c r="J600" s="211" t="s">
        <v>2158</v>
      </c>
      <c r="K600" s="211" t="s">
        <v>1434</v>
      </c>
      <c r="L600" s="15">
        <v>45745</v>
      </c>
      <c r="M600" s="8">
        <v>2025</v>
      </c>
      <c r="S600" s="9"/>
    </row>
    <row r="601" spans="1:19" ht="52.8" hidden="1" customHeight="1">
      <c r="A601" s="5">
        <v>600</v>
      </c>
      <c r="B601" s="6"/>
      <c r="C601" s="6" t="str">
        <f t="shared" si="1"/>
        <v>Nghiên cứu một số bài tập phát triển sức mạnh tốc độ cho nữ sinh viên chuyên ngành Cầu lông trường ĐHSP - ĐHĐN</v>
      </c>
      <c r="D601" s="5" t="s">
        <v>973</v>
      </c>
      <c r="E601" s="5">
        <v>3240623048</v>
      </c>
      <c r="F601" s="6"/>
      <c r="G601" s="6"/>
      <c r="H601" s="6"/>
      <c r="I601" s="5" t="s">
        <v>905</v>
      </c>
      <c r="J601" s="211" t="s">
        <v>2158</v>
      </c>
      <c r="K601" s="211" t="s">
        <v>1434</v>
      </c>
      <c r="L601" s="15">
        <v>45746</v>
      </c>
      <c r="M601" s="8">
        <v>2025</v>
      </c>
      <c r="S601" s="9"/>
    </row>
    <row r="602" spans="1:19" ht="52.8" hidden="1" customHeight="1">
      <c r="A602" s="5">
        <v>601</v>
      </c>
      <c r="B602" s="6"/>
      <c r="C602" s="6" t="str">
        <f t="shared" si="1"/>
        <v>Nghiên cứu một số bài tập phát triển sức mạnh tốc độ cho nữ sinh viên chuyên ngành Cầu lông trường ĐHSP - ĐHĐN</v>
      </c>
      <c r="D602" s="5" t="s">
        <v>974</v>
      </c>
      <c r="E602" s="5">
        <v>3240623042</v>
      </c>
      <c r="F602" s="6"/>
      <c r="G602" s="6"/>
      <c r="H602" s="6"/>
      <c r="I602" s="5" t="s">
        <v>905</v>
      </c>
      <c r="J602" s="211" t="s">
        <v>2158</v>
      </c>
      <c r="K602" s="211" t="s">
        <v>1434</v>
      </c>
      <c r="L602" s="15">
        <v>45747</v>
      </c>
      <c r="M602" s="8">
        <v>2025</v>
      </c>
      <c r="S602" s="9"/>
    </row>
    <row r="603" spans="1:19" ht="52.8" hidden="1" customHeight="1">
      <c r="A603" s="5">
        <v>602</v>
      </c>
      <c r="B603" s="6"/>
      <c r="C603" s="6" t="str">
        <f t="shared" si="1"/>
        <v>Nghiên cứu một số bài tập phát triển sức mạnh tốc độ cho nữ sinh viên chuyên ngành Cầu lông trường ĐHSP - ĐHĐN</v>
      </c>
      <c r="D603" s="5" t="s">
        <v>975</v>
      </c>
      <c r="E603" s="5">
        <v>3240623051</v>
      </c>
      <c r="F603" s="6"/>
      <c r="G603" s="6"/>
      <c r="H603" s="6"/>
      <c r="I603" s="5" t="s">
        <v>905</v>
      </c>
      <c r="J603" s="211" t="s">
        <v>2158</v>
      </c>
      <c r="K603" s="211" t="s">
        <v>1434</v>
      </c>
      <c r="L603" s="15">
        <v>45748</v>
      </c>
      <c r="M603" s="8">
        <v>2025</v>
      </c>
      <c r="S603" s="9"/>
    </row>
    <row r="604" spans="1:19" ht="52.8" hidden="1" customHeight="1">
      <c r="A604" s="5">
        <v>603</v>
      </c>
      <c r="B604" s="6"/>
      <c r="C604" s="6" t="str">
        <f t="shared" si="1"/>
        <v>Nghiên cứu một số bài tập phát triển sức mạnh tốc độ cho nữ sinh viên chuyên ngành Cầu lông trường ĐHSP - ĐHĐN</v>
      </c>
      <c r="D604" s="5" t="s">
        <v>976</v>
      </c>
      <c r="E604" s="5">
        <v>3240623057</v>
      </c>
      <c r="F604" s="6"/>
      <c r="G604" s="6"/>
      <c r="H604" s="6"/>
      <c r="I604" s="5" t="s">
        <v>905</v>
      </c>
      <c r="J604" s="211" t="s">
        <v>2158</v>
      </c>
      <c r="K604" s="211" t="s">
        <v>1434</v>
      </c>
      <c r="L604" s="15">
        <v>45749</v>
      </c>
      <c r="M604" s="8">
        <v>2025</v>
      </c>
      <c r="S604" s="9"/>
    </row>
    <row r="605" spans="1:19" ht="52.8" hidden="1" customHeight="1">
      <c r="A605" s="5">
        <v>604</v>
      </c>
      <c r="B605" s="5" t="s">
        <v>977</v>
      </c>
      <c r="C605" s="6" t="str">
        <f t="shared" si="1"/>
        <v>Ứng dụng Khiêu vũ thể thao nhằm nâng cao thể lực cho nữ sinh viên Trường Đại học Sư phạm - ĐHĐN</v>
      </c>
      <c r="D605" s="5" t="s">
        <v>978</v>
      </c>
      <c r="E605" s="5">
        <v>3240623045</v>
      </c>
      <c r="F605" s="5" t="s">
        <v>957</v>
      </c>
      <c r="G605" s="5" t="s">
        <v>965</v>
      </c>
      <c r="H605" s="6"/>
      <c r="I605" s="5" t="s">
        <v>905</v>
      </c>
      <c r="J605" s="211" t="s">
        <v>2158</v>
      </c>
      <c r="K605" s="211" t="s">
        <v>1434</v>
      </c>
      <c r="L605" s="15">
        <v>45750</v>
      </c>
      <c r="M605" s="8">
        <v>2025</v>
      </c>
      <c r="S605" s="9"/>
    </row>
    <row r="606" spans="1:19" ht="52.8" hidden="1" customHeight="1">
      <c r="A606" s="5">
        <v>605</v>
      </c>
      <c r="B606" s="6"/>
      <c r="C606" s="6" t="str">
        <f t="shared" si="1"/>
        <v>Ứng dụng Khiêu vũ thể thao nhằm nâng cao thể lực cho nữ sinh viên Trường Đại học Sư phạm - ĐHĐN</v>
      </c>
      <c r="D606" s="5" t="s">
        <v>979</v>
      </c>
      <c r="E606" s="5">
        <v>3240623047</v>
      </c>
      <c r="F606" s="6"/>
      <c r="G606" s="6"/>
      <c r="H606" s="6"/>
      <c r="I606" s="5" t="s">
        <v>905</v>
      </c>
      <c r="J606" s="211" t="s">
        <v>2158</v>
      </c>
      <c r="K606" s="211" t="s">
        <v>1434</v>
      </c>
      <c r="L606" s="15">
        <v>45751</v>
      </c>
      <c r="M606" s="8">
        <v>2025</v>
      </c>
      <c r="S606" s="9"/>
    </row>
    <row r="607" spans="1:19" ht="52.8" hidden="1" customHeight="1">
      <c r="A607" s="5">
        <v>606</v>
      </c>
      <c r="B607" s="6"/>
      <c r="C607" s="6" t="str">
        <f t="shared" si="1"/>
        <v>Ứng dụng Khiêu vũ thể thao nhằm nâng cao thể lực cho nữ sinh viên Trường Đại học Sư phạm - ĐHĐN</v>
      </c>
      <c r="D607" s="5" t="s">
        <v>980</v>
      </c>
      <c r="E607" s="5">
        <v>3240623003</v>
      </c>
      <c r="F607" s="6"/>
      <c r="G607" s="6"/>
      <c r="H607" s="6"/>
      <c r="I607" s="5" t="s">
        <v>905</v>
      </c>
      <c r="J607" s="211" t="s">
        <v>2158</v>
      </c>
      <c r="K607" s="211" t="s">
        <v>1434</v>
      </c>
      <c r="L607" s="15">
        <v>45752</v>
      </c>
      <c r="M607" s="8">
        <v>2025</v>
      </c>
      <c r="S607" s="9"/>
    </row>
    <row r="608" spans="1:19" ht="52.8" hidden="1" customHeight="1">
      <c r="A608" s="5">
        <v>607</v>
      </c>
      <c r="B608" s="6"/>
      <c r="C608" s="6" t="str">
        <f t="shared" si="1"/>
        <v>Ứng dụng Khiêu vũ thể thao nhằm nâng cao thể lực cho nữ sinh viên Trường Đại học Sư phạm - ĐHĐN</v>
      </c>
      <c r="D608" s="5" t="s">
        <v>981</v>
      </c>
      <c r="E608" s="5">
        <v>3240623036</v>
      </c>
      <c r="F608" s="6"/>
      <c r="G608" s="6"/>
      <c r="H608" s="6"/>
      <c r="I608" s="5" t="s">
        <v>905</v>
      </c>
      <c r="J608" s="211" t="s">
        <v>2158</v>
      </c>
      <c r="K608" s="211" t="s">
        <v>1434</v>
      </c>
      <c r="L608" s="15">
        <v>45753</v>
      </c>
      <c r="M608" s="8">
        <v>2025</v>
      </c>
      <c r="S608" s="9"/>
    </row>
    <row r="609" spans="1:19" ht="52.8" hidden="1" customHeight="1">
      <c r="A609" s="5">
        <v>608</v>
      </c>
      <c r="B609" s="6"/>
      <c r="C609" s="6" t="str">
        <f t="shared" si="1"/>
        <v>Ứng dụng Khiêu vũ thể thao nhằm nâng cao thể lực cho nữ sinh viên Trường Đại học Sư phạm - ĐHĐN</v>
      </c>
      <c r="D609" s="5" t="s">
        <v>982</v>
      </c>
      <c r="E609" s="5">
        <v>3240623044</v>
      </c>
      <c r="F609" s="6"/>
      <c r="G609" s="6"/>
      <c r="H609" s="6"/>
      <c r="I609" s="5" t="s">
        <v>905</v>
      </c>
      <c r="J609" s="211" t="s">
        <v>2158</v>
      </c>
      <c r="K609" s="211" t="s">
        <v>1434</v>
      </c>
      <c r="L609" s="15">
        <v>45754</v>
      </c>
      <c r="M609" s="8">
        <v>2025</v>
      </c>
      <c r="S609" s="9"/>
    </row>
    <row r="610" spans="1:19" ht="66" hidden="1" customHeight="1">
      <c r="A610" s="5">
        <v>609</v>
      </c>
      <c r="B610" s="5" t="s">
        <v>983</v>
      </c>
      <c r="C610" s="6" t="str">
        <f t="shared" si="1"/>
        <v>Nghiên cứu diễn biến phát triển về hình thái, chức năng và thể lực sau một năm tập luyện Bóng chuyền của sinh viên Ngành GDTC Trường ĐHSP - ĐHĐN</v>
      </c>
      <c r="D610" s="5" t="s">
        <v>984</v>
      </c>
      <c r="E610" s="5">
        <v>3240623012</v>
      </c>
      <c r="F610" s="5" t="s">
        <v>957</v>
      </c>
      <c r="G610" s="5" t="s">
        <v>985</v>
      </c>
      <c r="H610" s="6"/>
      <c r="I610" s="5" t="s">
        <v>905</v>
      </c>
      <c r="J610" s="211" t="s">
        <v>2158</v>
      </c>
      <c r="K610" s="211" t="s">
        <v>1434</v>
      </c>
      <c r="L610" s="15">
        <v>45755</v>
      </c>
      <c r="M610" s="8">
        <v>2025</v>
      </c>
      <c r="S610" s="9"/>
    </row>
    <row r="611" spans="1:19" ht="66" hidden="1" customHeight="1">
      <c r="A611" s="5">
        <v>610</v>
      </c>
      <c r="B611" s="6"/>
      <c r="C611" s="6" t="str">
        <f t="shared" si="1"/>
        <v>Nghiên cứu diễn biến phát triển về hình thái, chức năng và thể lực sau một năm tập luyện Bóng chuyền của sinh viên Ngành GDTC Trường ĐHSP - ĐHĐN</v>
      </c>
      <c r="D611" s="5" t="s">
        <v>986</v>
      </c>
      <c r="E611" s="5">
        <v>3240623041</v>
      </c>
      <c r="F611" s="6"/>
      <c r="G611" s="6"/>
      <c r="H611" s="6"/>
      <c r="I611" s="5" t="s">
        <v>905</v>
      </c>
      <c r="J611" s="211" t="s">
        <v>2158</v>
      </c>
      <c r="K611" s="211" t="s">
        <v>1434</v>
      </c>
      <c r="L611" s="15">
        <v>45756</v>
      </c>
      <c r="M611" s="8">
        <v>2025</v>
      </c>
      <c r="S611" s="9"/>
    </row>
    <row r="612" spans="1:19" ht="66" hidden="1" customHeight="1">
      <c r="A612" s="5">
        <v>611</v>
      </c>
      <c r="B612" s="6"/>
      <c r="C612" s="6" t="str">
        <f t="shared" si="1"/>
        <v>Nghiên cứu diễn biến phát triển về hình thái, chức năng và thể lực sau một năm tập luyện Bóng chuyền của sinh viên Ngành GDTC Trường ĐHSP - ĐHĐN</v>
      </c>
      <c r="D612" s="5" t="s">
        <v>987</v>
      </c>
      <c r="E612" s="5">
        <v>3240623052</v>
      </c>
      <c r="F612" s="6"/>
      <c r="G612" s="6"/>
      <c r="H612" s="6"/>
      <c r="I612" s="5" t="s">
        <v>905</v>
      </c>
      <c r="J612" s="211" t="s">
        <v>2158</v>
      </c>
      <c r="K612" s="211" t="s">
        <v>1434</v>
      </c>
      <c r="L612" s="15">
        <v>45757</v>
      </c>
      <c r="M612" s="8">
        <v>2025</v>
      </c>
      <c r="S612" s="9"/>
    </row>
    <row r="613" spans="1:19" ht="66" hidden="1" customHeight="1">
      <c r="A613" s="5">
        <v>612</v>
      </c>
      <c r="B613" s="6"/>
      <c r="C613" s="6" t="str">
        <f t="shared" si="1"/>
        <v>Nghiên cứu diễn biến phát triển về hình thái, chức năng và thể lực sau một năm tập luyện Bóng chuyền của sinh viên Ngành GDTC Trường ĐHSP - ĐHĐN</v>
      </c>
      <c r="D613" s="5" t="s">
        <v>988</v>
      </c>
      <c r="E613" s="5">
        <v>3240623022</v>
      </c>
      <c r="F613" s="6"/>
      <c r="G613" s="6"/>
      <c r="H613" s="6"/>
      <c r="I613" s="5" t="s">
        <v>905</v>
      </c>
      <c r="J613" s="211" t="s">
        <v>2158</v>
      </c>
      <c r="K613" s="211" t="s">
        <v>1434</v>
      </c>
      <c r="L613" s="15">
        <v>45758</v>
      </c>
      <c r="M613" s="8">
        <v>2025</v>
      </c>
      <c r="S613" s="9"/>
    </row>
    <row r="614" spans="1:19" ht="66" hidden="1" customHeight="1">
      <c r="A614" s="5">
        <v>613</v>
      </c>
      <c r="B614" s="6"/>
      <c r="C614" s="6" t="str">
        <f t="shared" si="1"/>
        <v>Nghiên cứu diễn biến phát triển về hình thái, chức năng và thể lực sau một năm tập luyện Bóng chuyền của sinh viên Ngành GDTC Trường ĐHSP - ĐHĐN</v>
      </c>
      <c r="D614" s="5" t="s">
        <v>989</v>
      </c>
      <c r="E614" s="5">
        <v>3240623021</v>
      </c>
      <c r="F614" s="6"/>
      <c r="G614" s="6"/>
      <c r="H614" s="6"/>
      <c r="I614" s="5" t="s">
        <v>905</v>
      </c>
      <c r="J614" s="211" t="s">
        <v>2158</v>
      </c>
      <c r="K614" s="211" t="s">
        <v>1434</v>
      </c>
      <c r="L614" s="15">
        <v>45759</v>
      </c>
      <c r="M614" s="8">
        <v>2025</v>
      </c>
      <c r="S614" s="9"/>
    </row>
    <row r="615" spans="1:19" ht="52.8" hidden="1" customHeight="1">
      <c r="A615" s="5">
        <v>614</v>
      </c>
      <c r="B615" s="5" t="s">
        <v>990</v>
      </c>
      <c r="C615" s="6" t="str">
        <f t="shared" si="1"/>
        <v>Phân tích cảm xúc qua tác động của âm nhạc tại khối lớp 5 trường Tiểu Học Nguyễn Đức Cảnh</v>
      </c>
      <c r="D615" s="5" t="s">
        <v>991</v>
      </c>
      <c r="E615" s="5">
        <v>3160422001</v>
      </c>
      <c r="F615" s="5" t="s">
        <v>992</v>
      </c>
      <c r="G615" s="5" t="s">
        <v>993</v>
      </c>
      <c r="H615" s="6"/>
      <c r="I615" s="5" t="s">
        <v>905</v>
      </c>
      <c r="J615" s="211" t="s">
        <v>2158</v>
      </c>
      <c r="K615" s="211" t="s">
        <v>1434</v>
      </c>
      <c r="L615" s="15">
        <v>45760</v>
      </c>
      <c r="M615" s="8">
        <v>2025</v>
      </c>
      <c r="S615" s="9"/>
    </row>
    <row r="616" spans="1:19" ht="52.8" hidden="1" customHeight="1">
      <c r="A616" s="5">
        <v>615</v>
      </c>
      <c r="B616" s="6"/>
      <c r="C616" s="6" t="str">
        <f t="shared" si="1"/>
        <v>Phân tích cảm xúc qua tác động của âm nhạc tại khối lớp 5 trường Tiểu Học Nguyễn Đức Cảnh</v>
      </c>
      <c r="D616" s="5" t="s">
        <v>63</v>
      </c>
      <c r="E616" s="5">
        <v>3160422039</v>
      </c>
      <c r="F616" s="6"/>
      <c r="G616" s="6"/>
      <c r="H616" s="6"/>
      <c r="I616" s="5" t="s">
        <v>905</v>
      </c>
      <c r="J616" s="211" t="s">
        <v>2158</v>
      </c>
      <c r="K616" s="211" t="s">
        <v>1434</v>
      </c>
      <c r="L616" s="15">
        <v>45761</v>
      </c>
      <c r="M616" s="8">
        <v>2025</v>
      </c>
      <c r="S616" s="9"/>
    </row>
    <row r="617" spans="1:19" ht="52.8" hidden="1" customHeight="1">
      <c r="A617" s="5">
        <v>616</v>
      </c>
      <c r="B617" s="5" t="s">
        <v>994</v>
      </c>
      <c r="C617" s="6" t="str">
        <f t="shared" si="1"/>
        <v>Sự hiện hữu của làng điệu Dân ca Bắc Bộ trong thời kì mới,  Bảo tồn nguyên bản hay phát triển biến tấu</v>
      </c>
      <c r="D617" s="5" t="s">
        <v>995</v>
      </c>
      <c r="E617" s="10">
        <v>3160422025</v>
      </c>
      <c r="F617" s="5" t="s">
        <v>992</v>
      </c>
      <c r="G617" s="5" t="s">
        <v>993</v>
      </c>
      <c r="H617" s="6"/>
      <c r="I617" s="5" t="s">
        <v>905</v>
      </c>
      <c r="J617" s="211" t="s">
        <v>2158</v>
      </c>
      <c r="K617" s="211" t="s">
        <v>1434</v>
      </c>
      <c r="L617" s="15">
        <v>45762</v>
      </c>
      <c r="M617" s="8">
        <v>2025</v>
      </c>
      <c r="S617" s="9"/>
    </row>
    <row r="618" spans="1:19" ht="52.8" hidden="1" customHeight="1">
      <c r="A618" s="5">
        <v>617</v>
      </c>
      <c r="B618" s="5" t="s">
        <v>996</v>
      </c>
      <c r="C618" s="6" t="str">
        <f t="shared" si="1"/>
        <v>Giải pháp sử dụng hiệu quả học liệu điện tử trong dạy học Âm nhạc lớp 6</v>
      </c>
      <c r="D618" s="5" t="s">
        <v>997</v>
      </c>
      <c r="E618" s="5">
        <v>3160422057</v>
      </c>
      <c r="F618" s="5" t="s">
        <v>992</v>
      </c>
      <c r="G618" s="5" t="s">
        <v>998</v>
      </c>
      <c r="H618" s="6"/>
      <c r="I618" s="5" t="s">
        <v>905</v>
      </c>
      <c r="J618" s="211" t="s">
        <v>2158</v>
      </c>
      <c r="K618" s="211" t="s">
        <v>1434</v>
      </c>
      <c r="L618" s="15">
        <v>45763</v>
      </c>
      <c r="M618" s="8">
        <v>2025</v>
      </c>
      <c r="S618" s="9"/>
    </row>
    <row r="619" spans="1:19" ht="52.8" hidden="1" customHeight="1">
      <c r="A619" s="5">
        <v>618</v>
      </c>
      <c r="B619" s="6"/>
      <c r="C619" s="6" t="str">
        <f t="shared" si="1"/>
        <v>Giải pháp sử dụng hiệu quả học liệu điện tử trong dạy học Âm nhạc lớp 6</v>
      </c>
      <c r="D619" s="5" t="s">
        <v>999</v>
      </c>
      <c r="E619" s="5">
        <v>3160422066</v>
      </c>
      <c r="F619" s="6"/>
      <c r="G619" s="6"/>
      <c r="H619" s="6"/>
      <c r="I619" s="5" t="s">
        <v>905</v>
      </c>
      <c r="J619" s="211" t="s">
        <v>2158</v>
      </c>
      <c r="K619" s="211" t="s">
        <v>1434</v>
      </c>
      <c r="L619" s="15">
        <v>45764</v>
      </c>
      <c r="M619" s="8">
        <v>2025</v>
      </c>
      <c r="S619" s="9"/>
    </row>
    <row r="620" spans="1:19" ht="52.8" hidden="1" customHeight="1">
      <c r="A620" s="5">
        <v>619</v>
      </c>
      <c r="B620" s="6"/>
      <c r="C620" s="6" t="str">
        <f t="shared" si="1"/>
        <v>Giải pháp sử dụng hiệu quả học liệu điện tử trong dạy học Âm nhạc lớp 6</v>
      </c>
      <c r="D620" s="5" t="s">
        <v>1000</v>
      </c>
      <c r="E620" s="5">
        <v>3160422060</v>
      </c>
      <c r="F620" s="6"/>
      <c r="G620" s="6"/>
      <c r="H620" s="6"/>
      <c r="I620" s="5" t="s">
        <v>905</v>
      </c>
      <c r="J620" s="211" t="s">
        <v>2158</v>
      </c>
      <c r="K620" s="211" t="s">
        <v>1434</v>
      </c>
      <c r="L620" s="15">
        <v>45765</v>
      </c>
      <c r="M620" s="8">
        <v>2025</v>
      </c>
      <c r="S620" s="9"/>
    </row>
    <row r="621" spans="1:19" ht="66" hidden="1" customHeight="1">
      <c r="A621" s="5">
        <v>620</v>
      </c>
      <c r="B621" s="5" t="s">
        <v>1001</v>
      </c>
      <c r="C621" s="6" t="str">
        <f t="shared" si="1"/>
        <v>Phát triển năng lực sử dụng trí tuệ nhân tạo để sáng tác ca khúc cho học sinh Trường THPT Chuyên Lê Quý Đôn, TP Đà Nẵng</v>
      </c>
      <c r="D621" s="5" t="s">
        <v>1002</v>
      </c>
      <c r="E621" s="5">
        <v>3160422005</v>
      </c>
      <c r="F621" s="5" t="s">
        <v>992</v>
      </c>
      <c r="G621" s="5" t="s">
        <v>1003</v>
      </c>
      <c r="H621" s="6"/>
      <c r="I621" s="5" t="s">
        <v>905</v>
      </c>
      <c r="J621" s="211" t="s">
        <v>2158</v>
      </c>
      <c r="K621" s="211" t="s">
        <v>1434</v>
      </c>
      <c r="L621" s="15">
        <v>45766</v>
      </c>
      <c r="M621" s="8">
        <v>2025</v>
      </c>
      <c r="S621" s="9"/>
    </row>
    <row r="622" spans="1:19" ht="66" hidden="1" customHeight="1">
      <c r="A622" s="5">
        <v>621</v>
      </c>
      <c r="B622" s="6"/>
      <c r="C622" s="6" t="str">
        <f t="shared" si="1"/>
        <v>Phát triển năng lực sử dụng trí tuệ nhân tạo để sáng tác ca khúc cho học sinh Trường THPT Chuyên Lê Quý Đôn, TP Đà Nẵng</v>
      </c>
      <c r="D622" s="5" t="s">
        <v>1004</v>
      </c>
      <c r="E622" s="5">
        <v>3160422002</v>
      </c>
      <c r="F622" s="6"/>
      <c r="G622" s="6"/>
      <c r="H622" s="6"/>
      <c r="I622" s="5" t="s">
        <v>905</v>
      </c>
      <c r="J622" s="211" t="s">
        <v>2158</v>
      </c>
      <c r="K622" s="211" t="s">
        <v>1434</v>
      </c>
      <c r="L622" s="15">
        <v>45767</v>
      </c>
      <c r="M622" s="8">
        <v>2025</v>
      </c>
      <c r="S622" s="9"/>
    </row>
    <row r="623" spans="1:19" ht="66" hidden="1" customHeight="1">
      <c r="A623" s="5">
        <v>622</v>
      </c>
      <c r="B623" s="6"/>
      <c r="C623" s="6" t="str">
        <f t="shared" si="1"/>
        <v>Phát triển năng lực sử dụng trí tuệ nhân tạo để sáng tác ca khúc cho học sinh Trường THPT Chuyên Lê Quý Đôn, TP Đà Nẵng</v>
      </c>
      <c r="D623" s="5" t="s">
        <v>1005</v>
      </c>
      <c r="E623" s="5">
        <v>3160422038</v>
      </c>
      <c r="F623" s="6"/>
      <c r="G623" s="6"/>
      <c r="H623" s="6"/>
      <c r="I623" s="5" t="s">
        <v>905</v>
      </c>
      <c r="J623" s="211" t="s">
        <v>2158</v>
      </c>
      <c r="K623" s="211" t="s">
        <v>1434</v>
      </c>
      <c r="L623" s="15">
        <v>45768</v>
      </c>
      <c r="M623" s="8">
        <v>2025</v>
      </c>
      <c r="S623" s="9"/>
    </row>
    <row r="624" spans="1:19" ht="52.8" hidden="1" customHeight="1">
      <c r="A624" s="5">
        <v>623</v>
      </c>
      <c r="B624" s="5" t="s">
        <v>1006</v>
      </c>
      <c r="C624" s="6" t="str">
        <f t="shared" si="1"/>
        <v>Biểu tượng về gia đình ở trẻ em có hoàn cảnh đặc biệt trên địa bàn thành phố Đà Nẵng.</v>
      </c>
      <c r="D624" s="5" t="s">
        <v>1007</v>
      </c>
      <c r="E624" s="5">
        <v>3200223098</v>
      </c>
      <c r="F624" s="5" t="s">
        <v>1008</v>
      </c>
      <c r="G624" s="5" t="s">
        <v>1009</v>
      </c>
      <c r="H624" s="6"/>
      <c r="I624" s="5" t="s">
        <v>1010</v>
      </c>
      <c r="J624" s="211" t="s">
        <v>2158</v>
      </c>
      <c r="K624" s="211" t="s">
        <v>1434</v>
      </c>
      <c r="L624" s="15">
        <v>45769</v>
      </c>
      <c r="M624" s="8">
        <v>2025</v>
      </c>
      <c r="S624" s="9"/>
    </row>
    <row r="625" spans="1:19" ht="52.8" hidden="1" customHeight="1">
      <c r="A625" s="5">
        <v>624</v>
      </c>
      <c r="B625" s="6"/>
      <c r="C625" s="6" t="str">
        <f t="shared" si="1"/>
        <v>Biểu tượng về gia đình ở trẻ em có hoàn cảnh đặc biệt trên địa bàn thành phố Đà Nẵng.</v>
      </c>
      <c r="D625" s="5" t="s">
        <v>1011</v>
      </c>
      <c r="E625" s="5">
        <v>3200223085</v>
      </c>
      <c r="F625" s="5" t="s">
        <v>1008</v>
      </c>
      <c r="G625" s="6"/>
      <c r="H625" s="6"/>
      <c r="I625" s="5" t="s">
        <v>1010</v>
      </c>
      <c r="J625" s="211" t="s">
        <v>2158</v>
      </c>
      <c r="K625" s="211" t="s">
        <v>1434</v>
      </c>
      <c r="L625" s="15">
        <v>45770</v>
      </c>
      <c r="M625" s="8">
        <v>2025</v>
      </c>
      <c r="S625" s="9"/>
    </row>
    <row r="626" spans="1:19" ht="52.8" hidden="1" customHeight="1">
      <c r="A626" s="5">
        <v>625</v>
      </c>
      <c r="B626" s="6"/>
      <c r="C626" s="6" t="str">
        <f t="shared" si="1"/>
        <v>Biểu tượng về gia đình ở trẻ em có hoàn cảnh đặc biệt trên địa bàn thành phố Đà Nẵng.</v>
      </c>
      <c r="D626" s="5" t="s">
        <v>1012</v>
      </c>
      <c r="E626" s="5">
        <v>3200223056</v>
      </c>
      <c r="F626" s="5" t="s">
        <v>1008</v>
      </c>
      <c r="G626" s="6"/>
      <c r="H626" s="6"/>
      <c r="I626" s="5" t="s">
        <v>1010</v>
      </c>
      <c r="J626" s="211" t="s">
        <v>2158</v>
      </c>
      <c r="K626" s="211" t="s">
        <v>1434</v>
      </c>
      <c r="L626" s="15">
        <v>45771</v>
      </c>
      <c r="M626" s="8">
        <v>2025</v>
      </c>
      <c r="S626" s="9"/>
    </row>
    <row r="627" spans="1:19" ht="52.8" hidden="1" customHeight="1">
      <c r="A627" s="5">
        <v>626</v>
      </c>
      <c r="B627" s="6"/>
      <c r="C627" s="6" t="str">
        <f t="shared" si="1"/>
        <v>Biểu tượng về gia đình ở trẻ em có hoàn cảnh đặc biệt trên địa bàn thành phố Đà Nẵng.</v>
      </c>
      <c r="D627" s="5" t="s">
        <v>1013</v>
      </c>
      <c r="E627" s="5">
        <v>3200223144</v>
      </c>
      <c r="F627" s="5" t="s">
        <v>1008</v>
      </c>
      <c r="G627" s="6"/>
      <c r="H627" s="6"/>
      <c r="I627" s="5" t="s">
        <v>1010</v>
      </c>
      <c r="J627" s="211" t="s">
        <v>2158</v>
      </c>
      <c r="K627" s="211" t="s">
        <v>1434</v>
      </c>
      <c r="L627" s="15">
        <v>45772</v>
      </c>
      <c r="M627" s="8">
        <v>2025</v>
      </c>
      <c r="S627" s="9"/>
    </row>
    <row r="628" spans="1:19" ht="66" hidden="1" customHeight="1">
      <c r="A628" s="5">
        <v>627</v>
      </c>
      <c r="B628" s="5" t="s">
        <v>1014</v>
      </c>
      <c r="C628" s="6" t="str">
        <f t="shared" si="1"/>
        <v>“Hội chứng con vịt” (Duck Syndrome) và tổn thương tâm lý ở sinh viên Đại học (Nghiên cứu tại trường Đại học Sư phạm - Đại học Đà Nẵng).</v>
      </c>
      <c r="D628" s="5" t="s">
        <v>1015</v>
      </c>
      <c r="E628" s="5">
        <v>3200223069</v>
      </c>
      <c r="F628" s="5" t="s">
        <v>1016</v>
      </c>
      <c r="G628" s="5" t="s">
        <v>1009</v>
      </c>
      <c r="H628" s="6"/>
      <c r="I628" s="5" t="s">
        <v>1010</v>
      </c>
      <c r="J628" s="211" t="s">
        <v>2158</v>
      </c>
      <c r="K628" s="211" t="s">
        <v>1434</v>
      </c>
      <c r="L628" s="15">
        <v>45773</v>
      </c>
      <c r="M628" s="8">
        <v>2025</v>
      </c>
      <c r="S628" s="9"/>
    </row>
    <row r="629" spans="1:19" ht="66" hidden="1" customHeight="1">
      <c r="A629" s="5">
        <v>628</v>
      </c>
      <c r="B629" s="6"/>
      <c r="C629" s="6" t="str">
        <f t="shared" si="1"/>
        <v>“Hội chứng con vịt” (Duck Syndrome) và tổn thương tâm lý ở sinh viên Đại học (Nghiên cứu tại trường Đại học Sư phạm - Đại học Đà Nẵng).</v>
      </c>
      <c r="D629" s="5" t="s">
        <v>1017</v>
      </c>
      <c r="E629" s="5">
        <v>3200223007</v>
      </c>
      <c r="F629" s="5" t="s">
        <v>1008</v>
      </c>
      <c r="G629" s="6"/>
      <c r="H629" s="6"/>
      <c r="I629" s="5" t="s">
        <v>1010</v>
      </c>
      <c r="J629" s="211" t="s">
        <v>2158</v>
      </c>
      <c r="K629" s="211" t="s">
        <v>1434</v>
      </c>
      <c r="L629" s="15">
        <v>45774</v>
      </c>
      <c r="M629" s="8">
        <v>2025</v>
      </c>
      <c r="S629" s="9"/>
    </row>
    <row r="630" spans="1:19" ht="66" hidden="1" customHeight="1">
      <c r="A630" s="5">
        <v>629</v>
      </c>
      <c r="B630" s="6"/>
      <c r="C630" s="6" t="str">
        <f t="shared" si="1"/>
        <v>“Hội chứng con vịt” (Duck Syndrome) và tổn thương tâm lý ở sinh viên Đại học (Nghiên cứu tại trường Đại học Sư phạm - Đại học Đà Nẵng).</v>
      </c>
      <c r="D630" s="5" t="s">
        <v>1018</v>
      </c>
      <c r="E630" s="5">
        <v>3200223010</v>
      </c>
      <c r="F630" s="5" t="s">
        <v>1008</v>
      </c>
      <c r="G630" s="6"/>
      <c r="H630" s="6"/>
      <c r="I630" s="5" t="s">
        <v>1010</v>
      </c>
      <c r="J630" s="211" t="s">
        <v>2158</v>
      </c>
      <c r="K630" s="211" t="s">
        <v>1434</v>
      </c>
      <c r="L630" s="15">
        <v>45775</v>
      </c>
      <c r="M630" s="8">
        <v>2025</v>
      </c>
      <c r="S630" s="9"/>
    </row>
    <row r="631" spans="1:19" ht="66" hidden="1" customHeight="1">
      <c r="A631" s="5">
        <v>630</v>
      </c>
      <c r="B631" s="6"/>
      <c r="C631" s="6" t="str">
        <f t="shared" si="1"/>
        <v>“Hội chứng con vịt” (Duck Syndrome) và tổn thương tâm lý ở sinh viên Đại học (Nghiên cứu tại trường Đại học Sư phạm - Đại học Đà Nẵng).</v>
      </c>
      <c r="D631" s="5" t="s">
        <v>1019</v>
      </c>
      <c r="E631" s="5">
        <v>3200223122</v>
      </c>
      <c r="F631" s="5" t="s">
        <v>1008</v>
      </c>
      <c r="G631" s="6"/>
      <c r="H631" s="6"/>
      <c r="I631" s="5" t="s">
        <v>1010</v>
      </c>
      <c r="J631" s="211" t="s">
        <v>2158</v>
      </c>
      <c r="K631" s="211" t="s">
        <v>1434</v>
      </c>
      <c r="L631" s="15">
        <v>45776</v>
      </c>
      <c r="M631" s="8">
        <v>2025</v>
      </c>
      <c r="S631" s="9"/>
    </row>
    <row r="632" spans="1:19" ht="66" hidden="1" customHeight="1">
      <c r="A632" s="5">
        <v>631</v>
      </c>
      <c r="B632" s="6"/>
      <c r="C632" s="6" t="str">
        <f t="shared" si="1"/>
        <v>“Hội chứng con vịt” (Duck Syndrome) và tổn thương tâm lý ở sinh viên Đại học (Nghiên cứu tại trường Đại học Sư phạm - Đại học Đà Nẵng).</v>
      </c>
      <c r="D632" s="5" t="s">
        <v>1020</v>
      </c>
      <c r="E632" s="5">
        <v>3200223070</v>
      </c>
      <c r="F632" s="5" t="s">
        <v>1008</v>
      </c>
      <c r="G632" s="6"/>
      <c r="H632" s="6"/>
      <c r="I632" s="5" t="s">
        <v>1010</v>
      </c>
      <c r="J632" s="211" t="s">
        <v>2158</v>
      </c>
      <c r="K632" s="211" t="s">
        <v>1434</v>
      </c>
      <c r="L632" s="15">
        <v>45777</v>
      </c>
      <c r="M632" s="8">
        <v>2025</v>
      </c>
      <c r="S632" s="9"/>
    </row>
    <row r="633" spans="1:19" ht="52.8" hidden="1" customHeight="1">
      <c r="A633" s="5">
        <v>632</v>
      </c>
      <c r="B633" s="5" t="s">
        <v>1021</v>
      </c>
      <c r="C633" s="6" t="str">
        <f t="shared" si="1"/>
        <v>Thực trạng hoạt động chăm sóc sức khỏe tâm thần cho trẻ em trong trường học</v>
      </c>
      <c r="D633" s="5" t="s">
        <v>1022</v>
      </c>
      <c r="E633" s="10">
        <v>3200321068</v>
      </c>
      <c r="F633" s="5" t="s">
        <v>1023</v>
      </c>
      <c r="G633" s="5" t="s">
        <v>1024</v>
      </c>
      <c r="H633" s="6"/>
      <c r="I633" s="5" t="s">
        <v>1010</v>
      </c>
      <c r="J633" s="211" t="s">
        <v>2158</v>
      </c>
      <c r="K633" s="211" t="s">
        <v>1434</v>
      </c>
      <c r="L633" s="15">
        <v>45778</v>
      </c>
      <c r="M633" s="8">
        <v>2025</v>
      </c>
      <c r="S633" s="9"/>
    </row>
    <row r="634" spans="1:19" ht="52.8" hidden="1" customHeight="1">
      <c r="A634" s="5">
        <v>633</v>
      </c>
      <c r="B634" s="5" t="s">
        <v>1025</v>
      </c>
      <c r="C634" s="6" t="str">
        <f t="shared" si="1"/>
        <v>Xây dựng cẩm nang CTXH trong chăm sóc sức khỏe tâm thần dành cho học sinh THPT thành phố Đà Nẵng</v>
      </c>
      <c r="D634" s="5" t="s">
        <v>1026</v>
      </c>
      <c r="E634" s="5">
        <v>3200322019</v>
      </c>
      <c r="F634" s="5" t="s">
        <v>1027</v>
      </c>
      <c r="G634" s="5" t="s">
        <v>1024</v>
      </c>
      <c r="H634" s="6"/>
      <c r="I634" s="5" t="s">
        <v>1010</v>
      </c>
      <c r="J634" s="211" t="s">
        <v>2158</v>
      </c>
      <c r="K634" s="211" t="s">
        <v>1434</v>
      </c>
      <c r="L634" s="15">
        <v>45779</v>
      </c>
      <c r="M634" s="8">
        <v>2025</v>
      </c>
      <c r="S634" s="9"/>
    </row>
    <row r="635" spans="1:19" ht="52.8" hidden="1" customHeight="1">
      <c r="A635" s="5">
        <v>634</v>
      </c>
      <c r="B635" s="6"/>
      <c r="C635" s="6" t="str">
        <f t="shared" si="1"/>
        <v>Xây dựng cẩm nang CTXH trong chăm sóc sức khỏe tâm thần dành cho học sinh THPT thành phố Đà Nẵng</v>
      </c>
      <c r="D635" s="5" t="s">
        <v>1028</v>
      </c>
      <c r="E635" s="5">
        <v>3200322004</v>
      </c>
      <c r="F635" s="6"/>
      <c r="G635" s="6"/>
      <c r="H635" s="6"/>
      <c r="I635" s="5" t="s">
        <v>1010</v>
      </c>
      <c r="J635" s="211" t="s">
        <v>2158</v>
      </c>
      <c r="K635" s="211" t="s">
        <v>1434</v>
      </c>
      <c r="L635" s="15">
        <v>45780</v>
      </c>
      <c r="M635" s="8">
        <v>2025</v>
      </c>
      <c r="S635" s="9"/>
    </row>
    <row r="636" spans="1:19" ht="52.8" hidden="1" customHeight="1">
      <c r="A636" s="5">
        <v>635</v>
      </c>
      <c r="B636" s="6"/>
      <c r="C636" s="6" t="str">
        <f t="shared" si="1"/>
        <v>Xây dựng cẩm nang CTXH trong chăm sóc sức khỏe tâm thần dành cho học sinh THPT thành phố Đà Nẵng</v>
      </c>
      <c r="D636" s="5" t="s">
        <v>1029</v>
      </c>
      <c r="E636" s="5">
        <v>3200322034</v>
      </c>
      <c r="F636" s="6"/>
      <c r="G636" s="6"/>
      <c r="H636" s="6"/>
      <c r="I636" s="5" t="s">
        <v>1010</v>
      </c>
      <c r="J636" s="211" t="s">
        <v>2158</v>
      </c>
      <c r="K636" s="211" t="s">
        <v>1434</v>
      </c>
      <c r="L636" s="15">
        <v>45781</v>
      </c>
      <c r="M636" s="8">
        <v>2025</v>
      </c>
      <c r="S636" s="9"/>
    </row>
    <row r="637" spans="1:19" ht="52.8" hidden="1" customHeight="1">
      <c r="A637" s="5">
        <v>636</v>
      </c>
      <c r="B637" s="5" t="s">
        <v>1030</v>
      </c>
      <c r="C637" s="6" t="str">
        <f t="shared" si="1"/>
        <v>Vai trò của nhân viên Công tác xã hội trong việc hỗ trợ trẻ em lao động sớm trên địa bàn Thành Phố Đà Nẵng</v>
      </c>
      <c r="D637" s="5" t="s">
        <v>1031</v>
      </c>
      <c r="E637" s="10">
        <v>3200323050</v>
      </c>
      <c r="F637" s="5" t="s">
        <v>1032</v>
      </c>
      <c r="G637" s="5" t="s">
        <v>1033</v>
      </c>
      <c r="H637" s="6"/>
      <c r="I637" s="5" t="s">
        <v>1010</v>
      </c>
      <c r="J637" s="211" t="s">
        <v>2158</v>
      </c>
      <c r="K637" s="211" t="s">
        <v>1434</v>
      </c>
      <c r="L637" s="15">
        <v>45782</v>
      </c>
      <c r="M637" s="8">
        <v>2025</v>
      </c>
      <c r="S637" s="9"/>
    </row>
    <row r="638" spans="1:19" ht="52.8" hidden="1" customHeight="1">
      <c r="A638" s="5">
        <v>637</v>
      </c>
      <c r="B638" s="5" t="s">
        <v>1034</v>
      </c>
      <c r="C638" s="6" t="str">
        <f t="shared" si="1"/>
        <v>Ứng dụng hoạt động Công tác xã hội trong việc giáo dục hành vi sức khỏe của sinh viên trên địa bàn TP Đà Nẵng</v>
      </c>
      <c r="D638" s="5" t="s">
        <v>1035</v>
      </c>
      <c r="E638" s="5">
        <v>3200323081</v>
      </c>
      <c r="F638" s="5" t="s">
        <v>1032</v>
      </c>
      <c r="G638" s="5" t="s">
        <v>1033</v>
      </c>
      <c r="H638" s="6"/>
      <c r="I638" s="5" t="s">
        <v>1010</v>
      </c>
      <c r="J638" s="211" t="s">
        <v>2158</v>
      </c>
      <c r="K638" s="211" t="s">
        <v>1434</v>
      </c>
      <c r="L638" s="15">
        <v>45783</v>
      </c>
      <c r="M638" s="8">
        <v>2025</v>
      </c>
      <c r="S638" s="9"/>
    </row>
    <row r="639" spans="1:19" ht="52.8" hidden="1" customHeight="1">
      <c r="A639" s="5">
        <v>638</v>
      </c>
      <c r="B639" s="6"/>
      <c r="C639" s="6" t="str">
        <f t="shared" si="1"/>
        <v>Ứng dụng hoạt động Công tác xã hội trong việc giáo dục hành vi sức khỏe của sinh viên trên địa bàn TP Đà Nẵng</v>
      </c>
      <c r="D639" s="5" t="s">
        <v>1036</v>
      </c>
      <c r="E639" s="5">
        <v>3200323041</v>
      </c>
      <c r="F639" s="5" t="s">
        <v>1032</v>
      </c>
      <c r="G639" s="6"/>
      <c r="H639" s="6"/>
      <c r="I639" s="5" t="s">
        <v>1010</v>
      </c>
      <c r="J639" s="211" t="s">
        <v>2158</v>
      </c>
      <c r="K639" s="211" t="s">
        <v>1434</v>
      </c>
      <c r="L639" s="15">
        <v>45784</v>
      </c>
      <c r="M639" s="8">
        <v>2025</v>
      </c>
      <c r="S639" s="9"/>
    </row>
    <row r="640" spans="1:19" ht="52.8" hidden="1" customHeight="1">
      <c r="A640" s="5">
        <v>639</v>
      </c>
      <c r="B640" s="6"/>
      <c r="C640" s="6" t="str">
        <f t="shared" si="1"/>
        <v>Ứng dụng hoạt động Công tác xã hội trong việc giáo dục hành vi sức khỏe của sinh viên trên địa bàn TP Đà Nẵng</v>
      </c>
      <c r="D640" s="5" t="s">
        <v>1037</v>
      </c>
      <c r="E640" s="5">
        <v>3200323013</v>
      </c>
      <c r="F640" s="5" t="s">
        <v>1032</v>
      </c>
      <c r="G640" s="6"/>
      <c r="H640" s="6"/>
      <c r="I640" s="5" t="s">
        <v>1010</v>
      </c>
      <c r="J640" s="211" t="s">
        <v>2158</v>
      </c>
      <c r="K640" s="211" t="s">
        <v>1434</v>
      </c>
      <c r="L640" s="15">
        <v>45785</v>
      </c>
      <c r="M640" s="8">
        <v>2025</v>
      </c>
      <c r="S640" s="9"/>
    </row>
    <row r="641" spans="1:19" ht="52.8" hidden="1" customHeight="1">
      <c r="A641" s="5">
        <v>640</v>
      </c>
      <c r="B641" s="6"/>
      <c r="C641" s="6" t="str">
        <f t="shared" si="1"/>
        <v>Ứng dụng hoạt động Công tác xã hội trong việc giáo dục hành vi sức khỏe của sinh viên trên địa bàn TP Đà Nẵng</v>
      </c>
      <c r="D641" s="5" t="s">
        <v>1038</v>
      </c>
      <c r="E641" s="5">
        <v>3200323063</v>
      </c>
      <c r="F641" s="5" t="s">
        <v>1032</v>
      </c>
      <c r="G641" s="6"/>
      <c r="H641" s="6"/>
      <c r="I641" s="5" t="s">
        <v>1010</v>
      </c>
      <c r="J641" s="211" t="s">
        <v>2158</v>
      </c>
      <c r="K641" s="211" t="s">
        <v>1434</v>
      </c>
      <c r="L641" s="15">
        <v>45786</v>
      </c>
      <c r="M641" s="8">
        <v>2025</v>
      </c>
      <c r="S641" s="9"/>
    </row>
    <row r="642" spans="1:19" ht="52.8" hidden="1" customHeight="1">
      <c r="A642" s="5">
        <v>641</v>
      </c>
      <c r="B642" s="6"/>
      <c r="C642" s="6" t="str">
        <f t="shared" si="1"/>
        <v>Ứng dụng hoạt động Công tác xã hội trong việc giáo dục hành vi sức khỏe của sinh viên trên địa bàn TP Đà Nẵng</v>
      </c>
      <c r="D642" s="5" t="s">
        <v>1039</v>
      </c>
      <c r="E642" s="5">
        <v>3200323061</v>
      </c>
      <c r="F642" s="5" t="s">
        <v>1032</v>
      </c>
      <c r="G642" s="6"/>
      <c r="H642" s="6"/>
      <c r="I642" s="5" t="s">
        <v>1010</v>
      </c>
      <c r="J642" s="211" t="s">
        <v>2158</v>
      </c>
      <c r="K642" s="211" t="s">
        <v>1434</v>
      </c>
      <c r="L642" s="15">
        <v>45787</v>
      </c>
      <c r="M642" s="8">
        <v>2025</v>
      </c>
      <c r="S642" s="9"/>
    </row>
    <row r="643" spans="1:19" ht="52.8" hidden="1" customHeight="1">
      <c r="A643" s="5">
        <v>642</v>
      </c>
      <c r="B643" s="5" t="s">
        <v>1040</v>
      </c>
      <c r="C643" s="6" t="str">
        <f t="shared" si="1"/>
        <v>Tiếp cận dịch vụ chăm sóc sức khỏe tâm thần của sinh viên Đại học Đà Nẵng</v>
      </c>
      <c r="D643" s="5" t="s">
        <v>1041</v>
      </c>
      <c r="E643" s="10">
        <v>3200321074</v>
      </c>
      <c r="F643" s="5" t="s">
        <v>1023</v>
      </c>
      <c r="G643" s="5" t="s">
        <v>1042</v>
      </c>
      <c r="H643" s="6"/>
      <c r="I643" s="5" t="s">
        <v>1010</v>
      </c>
      <c r="J643" s="211" t="s">
        <v>2158</v>
      </c>
      <c r="K643" s="211" t="s">
        <v>1434</v>
      </c>
      <c r="L643" s="15">
        <v>45788</v>
      </c>
      <c r="M643" s="8">
        <v>2025</v>
      </c>
      <c r="S643" s="9"/>
    </row>
    <row r="644" spans="1:19" ht="52.8" hidden="1" customHeight="1">
      <c r="A644" s="5">
        <v>643</v>
      </c>
      <c r="B644" s="5" t="s">
        <v>1043</v>
      </c>
      <c r="C644" s="6" t="str">
        <f t="shared" si="1"/>
        <v>Bất bình đẳng xã hội trong chăm sóc sức khoẻ tâm thần cho học sinh trung học phổ thông trên địa bàn thành phố Đà Nẵng</v>
      </c>
      <c r="D644" s="5" t="s">
        <v>1044</v>
      </c>
      <c r="E644" s="5">
        <v>3200323079</v>
      </c>
      <c r="F644" s="5" t="s">
        <v>1032</v>
      </c>
      <c r="G644" s="5" t="s">
        <v>1042</v>
      </c>
      <c r="H644" s="6"/>
      <c r="I644" s="5" t="s">
        <v>1010</v>
      </c>
      <c r="J644" s="211" t="s">
        <v>2158</v>
      </c>
      <c r="K644" s="211" t="s">
        <v>1434</v>
      </c>
      <c r="L644" s="15">
        <v>45789</v>
      </c>
      <c r="M644" s="8">
        <v>2025</v>
      </c>
      <c r="S644" s="9"/>
    </row>
    <row r="645" spans="1:19" ht="52.8" hidden="1" customHeight="1">
      <c r="A645" s="5">
        <v>644</v>
      </c>
      <c r="B645" s="6"/>
      <c r="C645" s="6" t="str">
        <f t="shared" si="1"/>
        <v>Bất bình đẳng xã hội trong chăm sóc sức khoẻ tâm thần cho học sinh trung học phổ thông trên địa bàn thành phố Đà Nẵng</v>
      </c>
      <c r="D645" s="5" t="s">
        <v>1045</v>
      </c>
      <c r="E645" s="5">
        <v>3200323043</v>
      </c>
      <c r="F645" s="6"/>
      <c r="G645" s="6"/>
      <c r="H645" s="6"/>
      <c r="I645" s="5" t="s">
        <v>1010</v>
      </c>
      <c r="J645" s="211" t="s">
        <v>2158</v>
      </c>
      <c r="K645" s="211" t="s">
        <v>1434</v>
      </c>
      <c r="L645" s="15">
        <v>45790</v>
      </c>
      <c r="M645" s="8">
        <v>2025</v>
      </c>
      <c r="S645" s="9"/>
    </row>
    <row r="646" spans="1:19" ht="52.8" hidden="1" customHeight="1">
      <c r="A646" s="5">
        <v>645</v>
      </c>
      <c r="B646" s="6"/>
      <c r="C646" s="6" t="str">
        <f t="shared" si="1"/>
        <v>Bất bình đẳng xã hội trong chăm sóc sức khoẻ tâm thần cho học sinh trung học phổ thông trên địa bàn thành phố Đà Nẵng</v>
      </c>
      <c r="D646" s="5" t="s">
        <v>1046</v>
      </c>
      <c r="E646" s="5">
        <v>3200323079</v>
      </c>
      <c r="F646" s="6"/>
      <c r="G646" s="6"/>
      <c r="H646" s="6"/>
      <c r="I646" s="5" t="s">
        <v>1010</v>
      </c>
      <c r="J646" s="211" t="s">
        <v>2158</v>
      </c>
      <c r="K646" s="211" t="s">
        <v>1434</v>
      </c>
      <c r="L646" s="15">
        <v>45791</v>
      </c>
      <c r="M646" s="8">
        <v>2025</v>
      </c>
      <c r="S646" s="9"/>
    </row>
    <row r="647" spans="1:19" ht="52.8" hidden="1" customHeight="1">
      <c r="A647" s="5">
        <v>646</v>
      </c>
      <c r="B647" s="6"/>
      <c r="C647" s="6" t="str">
        <f t="shared" si="1"/>
        <v>Bất bình đẳng xã hội trong chăm sóc sức khoẻ tâm thần cho học sinh trung học phổ thông trên địa bàn thành phố Đà Nẵng</v>
      </c>
      <c r="D647" s="5" t="s">
        <v>1047</v>
      </c>
      <c r="E647" s="5">
        <v>3200323020</v>
      </c>
      <c r="F647" s="6"/>
      <c r="G647" s="6"/>
      <c r="H647" s="6"/>
      <c r="I647" s="5" t="s">
        <v>1010</v>
      </c>
      <c r="J647" s="211" t="s">
        <v>2158</v>
      </c>
      <c r="K647" s="211" t="s">
        <v>1434</v>
      </c>
      <c r="L647" s="15">
        <v>45792</v>
      </c>
      <c r="M647" s="8">
        <v>2025</v>
      </c>
      <c r="S647" s="9"/>
    </row>
    <row r="648" spans="1:19" ht="52.8" hidden="1" customHeight="1">
      <c r="A648" s="5">
        <v>647</v>
      </c>
      <c r="B648" s="6"/>
      <c r="C648" s="6" t="str">
        <f t="shared" si="1"/>
        <v>Bất bình đẳng xã hội trong chăm sóc sức khoẻ tâm thần cho học sinh trung học phổ thông trên địa bàn thành phố Đà Nẵng</v>
      </c>
      <c r="D648" s="5" t="s">
        <v>1048</v>
      </c>
      <c r="E648" s="5">
        <v>3200323055</v>
      </c>
      <c r="F648" s="6"/>
      <c r="G648" s="6"/>
      <c r="H648" s="6"/>
      <c r="I648" s="5" t="s">
        <v>1010</v>
      </c>
      <c r="J648" s="211" t="s">
        <v>2158</v>
      </c>
      <c r="K648" s="211" t="s">
        <v>1434</v>
      </c>
      <c r="L648" s="15">
        <v>45793</v>
      </c>
      <c r="M648" s="8">
        <v>2025</v>
      </c>
      <c r="S648" s="9"/>
    </row>
    <row r="649" spans="1:19" ht="52.8" hidden="1" customHeight="1">
      <c r="A649" s="5">
        <v>648</v>
      </c>
      <c r="B649" s="5" t="s">
        <v>1049</v>
      </c>
      <c r="C649" s="6" t="str">
        <f t="shared" si="1"/>
        <v>Nhu cầu mua hàng trực tuyến của thanh niên trên địa bàn phường Hòa Hiệp Nam, Liên Chiểu, Đà Nẵng</v>
      </c>
      <c r="D649" s="5" t="s">
        <v>1050</v>
      </c>
      <c r="E649" s="5">
        <v>3200222074</v>
      </c>
      <c r="F649" s="5" t="s">
        <v>1051</v>
      </c>
      <c r="G649" s="5" t="s">
        <v>1052</v>
      </c>
      <c r="H649" s="6"/>
      <c r="I649" s="5" t="s">
        <v>1010</v>
      </c>
      <c r="J649" s="211" t="s">
        <v>2158</v>
      </c>
      <c r="K649" s="211" t="s">
        <v>1434</v>
      </c>
      <c r="L649" s="15">
        <v>45794</v>
      </c>
      <c r="M649" s="8">
        <v>2025</v>
      </c>
      <c r="S649" s="9"/>
    </row>
    <row r="650" spans="1:19" ht="52.8" hidden="1" customHeight="1">
      <c r="A650" s="5">
        <v>649</v>
      </c>
      <c r="B650" s="6"/>
      <c r="C650" s="6" t="str">
        <f t="shared" si="1"/>
        <v>Nhu cầu mua hàng trực tuyến của thanh niên trên địa bàn phường Hòa Hiệp Nam, Liên Chiểu, Đà Nẵng</v>
      </c>
      <c r="D650" s="5" t="s">
        <v>1053</v>
      </c>
      <c r="E650" s="5">
        <v>3200222092</v>
      </c>
      <c r="F650" s="5" t="s">
        <v>1051</v>
      </c>
      <c r="G650" s="6"/>
      <c r="H650" s="6"/>
      <c r="I650" s="5" t="s">
        <v>1010</v>
      </c>
      <c r="J650" s="211" t="s">
        <v>2158</v>
      </c>
      <c r="K650" s="211" t="s">
        <v>1434</v>
      </c>
      <c r="L650" s="15">
        <v>45795</v>
      </c>
      <c r="M650" s="8">
        <v>2025</v>
      </c>
      <c r="S650" s="9"/>
    </row>
    <row r="651" spans="1:19" ht="52.8" hidden="1" customHeight="1">
      <c r="A651" s="5">
        <v>650</v>
      </c>
      <c r="B651" s="5" t="s">
        <v>1054</v>
      </c>
      <c r="C651" s="6" t="str">
        <f t="shared" si="1"/>
        <v>Nghiên cứu về tính tự chủ trong học tập của sinh viên trường đại học sư phạm - đại học Đà Nẵng</v>
      </c>
      <c r="D651" s="5" t="s">
        <v>1055</v>
      </c>
      <c r="E651" s="5">
        <v>3200222004</v>
      </c>
      <c r="F651" s="5" t="s">
        <v>1051</v>
      </c>
      <c r="G651" s="5" t="s">
        <v>1052</v>
      </c>
      <c r="H651" s="6"/>
      <c r="I651" s="5" t="s">
        <v>1010</v>
      </c>
      <c r="J651" s="211" t="s">
        <v>2158</v>
      </c>
      <c r="K651" s="211" t="s">
        <v>1434</v>
      </c>
      <c r="L651" s="15">
        <v>45796</v>
      </c>
      <c r="M651" s="8">
        <v>2025</v>
      </c>
      <c r="S651" s="9"/>
    </row>
    <row r="652" spans="1:19" ht="52.8" hidden="1" customHeight="1">
      <c r="A652" s="5">
        <v>651</v>
      </c>
      <c r="B652" s="6"/>
      <c r="C652" s="6" t="str">
        <f t="shared" si="1"/>
        <v>Nghiên cứu về tính tự chủ trong học tập của sinh viên trường đại học sư phạm - đại học Đà Nẵng</v>
      </c>
      <c r="D652" s="5" t="s">
        <v>1056</v>
      </c>
      <c r="E652" s="5">
        <v>3200222035</v>
      </c>
      <c r="F652" s="6"/>
      <c r="G652" s="6"/>
      <c r="H652" s="6"/>
      <c r="I652" s="5" t="s">
        <v>1010</v>
      </c>
      <c r="J652" s="211" t="s">
        <v>2158</v>
      </c>
      <c r="K652" s="211" t="s">
        <v>1434</v>
      </c>
      <c r="L652" s="15">
        <v>45797</v>
      </c>
      <c r="M652" s="8">
        <v>2025</v>
      </c>
      <c r="S652" s="9"/>
    </row>
    <row r="653" spans="1:19" ht="52.8" hidden="1" customHeight="1">
      <c r="A653" s="5">
        <v>652</v>
      </c>
      <c r="B653" s="5" t="s">
        <v>1057</v>
      </c>
      <c r="C653" s="6" t="str">
        <f t="shared" si="1"/>
        <v>Trải nghiệm cảm xúc ở trẻ em mầm non thông qua phân tích tranh vẽ trên địa bàn Quận Liên Chiểu Đà Nẵng</v>
      </c>
      <c r="D653" s="5" t="s">
        <v>1058</v>
      </c>
      <c r="E653" s="10">
        <v>3200422013</v>
      </c>
      <c r="F653" s="5" t="s">
        <v>1059</v>
      </c>
      <c r="G653" s="5" t="s">
        <v>1060</v>
      </c>
      <c r="H653" s="6"/>
      <c r="I653" s="5" t="s">
        <v>1010</v>
      </c>
      <c r="J653" s="211" t="s">
        <v>2158</v>
      </c>
      <c r="K653" s="211" t="s">
        <v>1434</v>
      </c>
      <c r="L653" s="15">
        <v>45798</v>
      </c>
      <c r="M653" s="8">
        <v>2025</v>
      </c>
      <c r="S653" s="9"/>
    </row>
    <row r="654" spans="1:19" ht="52.8" hidden="1" customHeight="1">
      <c r="A654" s="5">
        <v>653</v>
      </c>
      <c r="B654" s="5" t="s">
        <v>1061</v>
      </c>
      <c r="C654" s="6" t="str">
        <f t="shared" si="1"/>
        <v>Trí tuệ cảm xúc của học sinh THCS có trải nghiệm bất lợi thời thơ ấu: Nghiên cứu tại trường THCS Nguyễn Bỉnh Khiêm</v>
      </c>
      <c r="D654" s="5" t="s">
        <v>1062</v>
      </c>
      <c r="E654" s="5">
        <v>3200422023</v>
      </c>
      <c r="F654" s="5" t="s">
        <v>1059</v>
      </c>
      <c r="G654" s="5" t="s">
        <v>1060</v>
      </c>
      <c r="H654" s="6"/>
      <c r="I654" s="5" t="s">
        <v>1010</v>
      </c>
      <c r="J654" s="211" t="s">
        <v>2158</v>
      </c>
      <c r="K654" s="211" t="s">
        <v>1434</v>
      </c>
      <c r="L654" s="15">
        <v>45799</v>
      </c>
      <c r="M654" s="8">
        <v>2025</v>
      </c>
      <c r="S654" s="9"/>
    </row>
    <row r="655" spans="1:19" ht="52.8" hidden="1" customHeight="1">
      <c r="A655" s="5">
        <v>654</v>
      </c>
      <c r="B655" s="6"/>
      <c r="C655" s="6" t="str">
        <f t="shared" si="1"/>
        <v>Trí tuệ cảm xúc của học sinh THCS có trải nghiệm bất lợi thời thơ ấu: Nghiên cứu tại trường THCS Nguyễn Bỉnh Khiêm</v>
      </c>
      <c r="D655" s="5" t="s">
        <v>1063</v>
      </c>
      <c r="E655" s="5">
        <v>3200422030</v>
      </c>
      <c r="F655" s="6"/>
      <c r="G655" s="6"/>
      <c r="H655" s="6"/>
      <c r="I655" s="5" t="s">
        <v>1010</v>
      </c>
      <c r="J655" s="211" t="s">
        <v>2158</v>
      </c>
      <c r="K655" s="211" t="s">
        <v>1434</v>
      </c>
      <c r="L655" s="15">
        <v>45800</v>
      </c>
      <c r="M655" s="8">
        <v>2025</v>
      </c>
      <c r="S655" s="9"/>
    </row>
    <row r="656" spans="1:19" ht="52.8" hidden="1" customHeight="1">
      <c r="A656" s="5">
        <v>655</v>
      </c>
      <c r="B656" s="5" t="s">
        <v>1064</v>
      </c>
      <c r="C656" s="6" t="str">
        <f t="shared" si="1"/>
        <v>Kỹ năng giải quyết tình huống có vấn đề trong hoạt động học tập của sinh viên trường Đại học Sư phạm-Đại học Đà Nẵng</v>
      </c>
      <c r="D656" s="5" t="s">
        <v>1065</v>
      </c>
      <c r="E656" s="5">
        <v>3200222027</v>
      </c>
      <c r="F656" s="5" t="s">
        <v>1051</v>
      </c>
      <c r="G656" s="5" t="s">
        <v>1066</v>
      </c>
      <c r="H656" s="6"/>
      <c r="I656" s="5" t="s">
        <v>1010</v>
      </c>
      <c r="J656" s="211" t="s">
        <v>2158</v>
      </c>
      <c r="K656" s="211" t="s">
        <v>1434</v>
      </c>
      <c r="L656" s="15">
        <v>45801</v>
      </c>
      <c r="M656" s="8">
        <v>2025</v>
      </c>
      <c r="S656" s="9"/>
    </row>
    <row r="657" spans="1:19" ht="52.8" hidden="1" customHeight="1">
      <c r="A657" s="5">
        <v>656</v>
      </c>
      <c r="B657" s="6"/>
      <c r="C657" s="6" t="str">
        <f t="shared" si="1"/>
        <v>Kỹ năng giải quyết tình huống có vấn đề trong hoạt động học tập của sinh viên trường Đại học Sư phạm-Đại học Đà Nẵng</v>
      </c>
      <c r="D657" s="5" t="s">
        <v>1067</v>
      </c>
      <c r="E657" s="5">
        <v>3200222078</v>
      </c>
      <c r="F657" s="6"/>
      <c r="G657" s="6"/>
      <c r="H657" s="6"/>
      <c r="I657" s="5" t="s">
        <v>1010</v>
      </c>
      <c r="J657" s="211" t="s">
        <v>2158</v>
      </c>
      <c r="K657" s="211" t="s">
        <v>1434</v>
      </c>
      <c r="L657" s="15">
        <v>45802</v>
      </c>
      <c r="M657" s="8">
        <v>2025</v>
      </c>
      <c r="S657" s="9"/>
    </row>
    <row r="658" spans="1:19" ht="52.8" hidden="1" customHeight="1">
      <c r="A658" s="5">
        <v>657</v>
      </c>
      <c r="B658" s="5" t="s">
        <v>1068</v>
      </c>
      <c r="C658" s="6" t="str">
        <f t="shared" si="1"/>
        <v>Ảnh hưởng của âm nhạc đối với cảm xúc của sinh viên trường Đại học Sư phạm - Đại học Đà Nẵng</v>
      </c>
      <c r="D658" s="5" t="s">
        <v>1069</v>
      </c>
      <c r="E658" s="5">
        <v>3200222063</v>
      </c>
      <c r="F658" s="5" t="s">
        <v>1051</v>
      </c>
      <c r="G658" s="5" t="s">
        <v>1066</v>
      </c>
      <c r="H658" s="6"/>
      <c r="I658" s="5" t="s">
        <v>1010</v>
      </c>
      <c r="J658" s="211" t="s">
        <v>2158</v>
      </c>
      <c r="K658" s="211" t="s">
        <v>1434</v>
      </c>
      <c r="L658" s="15">
        <v>45803</v>
      </c>
      <c r="M658" s="8">
        <v>2025</v>
      </c>
      <c r="S658" s="9"/>
    </row>
    <row r="659" spans="1:19" ht="52.8" hidden="1" customHeight="1">
      <c r="A659" s="5">
        <v>658</v>
      </c>
      <c r="B659" s="6"/>
      <c r="C659" s="6" t="str">
        <f t="shared" si="1"/>
        <v>Ảnh hưởng của âm nhạc đối với cảm xúc của sinh viên trường Đại học Sư phạm - Đại học Đà Nẵng</v>
      </c>
      <c r="D659" s="5" t="s">
        <v>1070</v>
      </c>
      <c r="E659" s="5">
        <v>3200222086</v>
      </c>
      <c r="F659" s="6"/>
      <c r="G659" s="6"/>
      <c r="H659" s="6"/>
      <c r="I659" s="5" t="s">
        <v>1010</v>
      </c>
      <c r="J659" s="211" t="s">
        <v>2158</v>
      </c>
      <c r="K659" s="211" t="s">
        <v>1434</v>
      </c>
      <c r="L659" s="15">
        <v>45804</v>
      </c>
      <c r="M659" s="8">
        <v>2025</v>
      </c>
      <c r="S659" s="9"/>
    </row>
    <row r="660" spans="1:19" ht="52.8" hidden="1" customHeight="1">
      <c r="A660" s="5">
        <v>659</v>
      </c>
      <c r="B660" s="6"/>
      <c r="C660" s="6" t="str">
        <f t="shared" si="1"/>
        <v>Ảnh hưởng của âm nhạc đối với cảm xúc của sinh viên trường Đại học Sư phạm - Đại học Đà Nẵng</v>
      </c>
      <c r="D660" s="5" t="s">
        <v>1071</v>
      </c>
      <c r="E660" s="5">
        <v>3200222080</v>
      </c>
      <c r="F660" s="6"/>
      <c r="G660" s="6"/>
      <c r="H660" s="6"/>
      <c r="I660" s="5" t="s">
        <v>1010</v>
      </c>
      <c r="J660" s="211" t="s">
        <v>2158</v>
      </c>
      <c r="K660" s="211" t="s">
        <v>1434</v>
      </c>
      <c r="L660" s="15">
        <v>45805</v>
      </c>
      <c r="M660" s="8">
        <v>2025</v>
      </c>
      <c r="S660" s="9"/>
    </row>
    <row r="661" spans="1:19" ht="52.8" hidden="1" customHeight="1">
      <c r="A661" s="5">
        <v>660</v>
      </c>
      <c r="B661" s="5" t="s">
        <v>1072</v>
      </c>
      <c r="C661" s="6" t="str">
        <f t="shared" si="1"/>
        <v>Can thiệp sớm cho trẻ khuyết tật trên địa bàn Đà Nẵng</v>
      </c>
      <c r="D661" s="5" t="s">
        <v>1073</v>
      </c>
      <c r="E661" s="5">
        <v>3200223066</v>
      </c>
      <c r="F661" s="5" t="s">
        <v>1016</v>
      </c>
      <c r="G661" s="5" t="s">
        <v>1074</v>
      </c>
      <c r="H661" s="6"/>
      <c r="I661" s="5" t="s">
        <v>1010</v>
      </c>
      <c r="J661" s="211" t="s">
        <v>2158</v>
      </c>
      <c r="K661" s="211" t="s">
        <v>1434</v>
      </c>
      <c r="L661" s="15">
        <v>45806</v>
      </c>
      <c r="M661" s="8">
        <v>2025</v>
      </c>
      <c r="S661" s="9"/>
    </row>
    <row r="662" spans="1:19" ht="52.8" hidden="1" customHeight="1">
      <c r="A662" s="5">
        <v>661</v>
      </c>
      <c r="B662" s="6"/>
      <c r="C662" s="6" t="str">
        <f t="shared" si="1"/>
        <v>Can thiệp sớm cho trẻ khuyết tật trên địa bàn Đà Nẵng</v>
      </c>
      <c r="D662" s="5" t="s">
        <v>1075</v>
      </c>
      <c r="E662" s="5" t="s">
        <v>1076</v>
      </c>
      <c r="F662" s="5" t="s">
        <v>1016</v>
      </c>
      <c r="G662" s="6"/>
      <c r="H662" s="6"/>
      <c r="I662" s="5" t="s">
        <v>1010</v>
      </c>
      <c r="J662" s="211" t="s">
        <v>2158</v>
      </c>
      <c r="K662" s="211" t="s">
        <v>1434</v>
      </c>
      <c r="L662" s="15">
        <v>45807</v>
      </c>
      <c r="M662" s="8">
        <v>2025</v>
      </c>
      <c r="S662" s="9"/>
    </row>
    <row r="663" spans="1:19" ht="52.8" hidden="1" customHeight="1">
      <c r="A663" s="5">
        <v>662</v>
      </c>
      <c r="B663" s="6"/>
      <c r="C663" s="6" t="str">
        <f t="shared" si="1"/>
        <v>Can thiệp sớm cho trẻ khuyết tật trên địa bàn Đà Nẵng</v>
      </c>
      <c r="D663" s="5" t="s">
        <v>1077</v>
      </c>
      <c r="E663" s="5">
        <v>3200223045</v>
      </c>
      <c r="F663" s="5" t="s">
        <v>1008</v>
      </c>
      <c r="G663" s="6"/>
      <c r="H663" s="6"/>
      <c r="I663" s="5" t="s">
        <v>1010</v>
      </c>
      <c r="J663" s="211" t="s">
        <v>2158</v>
      </c>
      <c r="K663" s="211" t="s">
        <v>1434</v>
      </c>
      <c r="L663" s="15">
        <v>45808</v>
      </c>
      <c r="M663" s="8">
        <v>2025</v>
      </c>
      <c r="S663" s="9"/>
    </row>
    <row r="664" spans="1:19" ht="52.8" hidden="1" customHeight="1">
      <c r="A664" s="5">
        <v>663</v>
      </c>
      <c r="B664" s="6"/>
      <c r="C664" s="6" t="str">
        <f t="shared" si="1"/>
        <v>Can thiệp sớm cho trẻ khuyết tật trên địa bàn Đà Nẵng</v>
      </c>
      <c r="D664" s="5" t="s">
        <v>1078</v>
      </c>
      <c r="E664" s="6"/>
      <c r="F664" s="5" t="s">
        <v>1016</v>
      </c>
      <c r="G664" s="6"/>
      <c r="H664" s="6"/>
      <c r="I664" s="5" t="s">
        <v>1010</v>
      </c>
      <c r="J664" s="211" t="s">
        <v>2158</v>
      </c>
      <c r="K664" s="211" t="s">
        <v>1434</v>
      </c>
      <c r="L664" s="15">
        <v>45809</v>
      </c>
      <c r="M664" s="8">
        <v>2025</v>
      </c>
      <c r="S664" s="9"/>
    </row>
    <row r="665" spans="1:19" ht="52.8" hidden="1" customHeight="1">
      <c r="A665" s="5">
        <v>664</v>
      </c>
      <c r="B665" s="5" t="s">
        <v>1079</v>
      </c>
      <c r="C665" s="6" t="str">
        <f t="shared" si="1"/>
        <v>Nghiên cứu cứu về thái độ quan tâm đến sức khỏe tinh thần của sinh viên đại học sư phạm Đà Nẵng</v>
      </c>
      <c r="D665" s="5" t="s">
        <v>1080</v>
      </c>
      <c r="E665" s="5">
        <v>3200222094</v>
      </c>
      <c r="F665" s="5" t="s">
        <v>1051</v>
      </c>
      <c r="G665" s="5" t="s">
        <v>1074</v>
      </c>
      <c r="H665" s="6"/>
      <c r="I665" s="5" t="s">
        <v>1010</v>
      </c>
      <c r="J665" s="211" t="s">
        <v>2158</v>
      </c>
      <c r="K665" s="211" t="s">
        <v>1434</v>
      </c>
      <c r="L665" s="15">
        <v>45810</v>
      </c>
      <c r="M665" s="8">
        <v>2025</v>
      </c>
      <c r="S665" s="9"/>
    </row>
    <row r="666" spans="1:19" ht="52.8" hidden="1" customHeight="1">
      <c r="A666" s="5">
        <v>665</v>
      </c>
      <c r="B666" s="6"/>
      <c r="C666" s="6" t="str">
        <f t="shared" si="1"/>
        <v>Nghiên cứu cứu về thái độ quan tâm đến sức khỏe tinh thần của sinh viên đại học sư phạm Đà Nẵng</v>
      </c>
      <c r="D666" s="5" t="s">
        <v>1081</v>
      </c>
      <c r="E666" s="5">
        <v>3200223096</v>
      </c>
      <c r="F666" s="5" t="s">
        <v>1016</v>
      </c>
      <c r="G666" s="6"/>
      <c r="H666" s="6"/>
      <c r="I666" s="5" t="s">
        <v>1010</v>
      </c>
      <c r="J666" s="211" t="s">
        <v>2158</v>
      </c>
      <c r="K666" s="211" t="s">
        <v>1434</v>
      </c>
      <c r="L666" s="15">
        <v>45811</v>
      </c>
      <c r="M666" s="8">
        <v>2025</v>
      </c>
      <c r="S666" s="9"/>
    </row>
    <row r="667" spans="1:19" ht="52.8" hidden="1" customHeight="1">
      <c r="A667" s="5">
        <v>666</v>
      </c>
      <c r="B667" s="5" t="s">
        <v>1082</v>
      </c>
      <c r="C667" s="6" t="str">
        <f t="shared" si="1"/>
        <v>Kỹ năng nghiên cứu tài liệu của sinh viên năm nhất trường Đại học Sư phạm</v>
      </c>
      <c r="D667" s="5" t="s">
        <v>1083</v>
      </c>
      <c r="E667" s="5">
        <v>3200223118</v>
      </c>
      <c r="F667" s="5" t="s">
        <v>1016</v>
      </c>
      <c r="G667" s="5" t="s">
        <v>1084</v>
      </c>
      <c r="H667" s="6"/>
      <c r="I667" s="5" t="s">
        <v>1010</v>
      </c>
      <c r="J667" s="211" t="s">
        <v>2158</v>
      </c>
      <c r="K667" s="211" t="s">
        <v>1434</v>
      </c>
      <c r="L667" s="15">
        <v>45812</v>
      </c>
      <c r="M667" s="8">
        <v>2025</v>
      </c>
      <c r="S667" s="9"/>
    </row>
    <row r="668" spans="1:19" ht="52.8" hidden="1" customHeight="1">
      <c r="A668" s="5">
        <v>667</v>
      </c>
      <c r="B668" s="6"/>
      <c r="C668" s="6" t="str">
        <f t="shared" si="1"/>
        <v>Kỹ năng nghiên cứu tài liệu của sinh viên năm nhất trường Đại học Sư phạm</v>
      </c>
      <c r="D668" s="5" t="s">
        <v>1085</v>
      </c>
      <c r="E668" s="5">
        <v>3200224104</v>
      </c>
      <c r="F668" s="5" t="s">
        <v>1016</v>
      </c>
      <c r="G668" s="6"/>
      <c r="H668" s="6"/>
      <c r="I668" s="5" t="s">
        <v>1010</v>
      </c>
      <c r="J668" s="211" t="s">
        <v>2158</v>
      </c>
      <c r="K668" s="211" t="s">
        <v>1434</v>
      </c>
      <c r="L668" s="15">
        <v>45813</v>
      </c>
      <c r="M668" s="8">
        <v>2025</v>
      </c>
      <c r="S668" s="9"/>
    </row>
    <row r="669" spans="1:19" ht="52.8" hidden="1" customHeight="1">
      <c r="A669" s="5">
        <v>668</v>
      </c>
      <c r="B669" s="6"/>
      <c r="C669" s="6" t="str">
        <f t="shared" si="1"/>
        <v>Kỹ năng nghiên cứu tài liệu của sinh viên năm nhất trường Đại học Sư phạm</v>
      </c>
      <c r="D669" s="5" t="s">
        <v>1086</v>
      </c>
      <c r="E669" s="5">
        <v>3200223086</v>
      </c>
      <c r="F669" s="5" t="s">
        <v>1016</v>
      </c>
      <c r="G669" s="6"/>
      <c r="H669" s="6"/>
      <c r="I669" s="5" t="s">
        <v>1010</v>
      </c>
      <c r="J669" s="211" t="s">
        <v>2158</v>
      </c>
      <c r="K669" s="211" t="s">
        <v>1434</v>
      </c>
      <c r="L669" s="15">
        <v>45814</v>
      </c>
      <c r="M669" s="8">
        <v>2025</v>
      </c>
      <c r="S669" s="9"/>
    </row>
    <row r="670" spans="1:19" ht="52.8" hidden="1" customHeight="1">
      <c r="A670" s="5">
        <v>669</v>
      </c>
      <c r="B670" s="6"/>
      <c r="C670" s="6" t="str">
        <f t="shared" si="1"/>
        <v>Kỹ năng nghiên cứu tài liệu của sinh viên năm nhất trường Đại học Sư phạm</v>
      </c>
      <c r="D670" s="5" t="s">
        <v>1087</v>
      </c>
      <c r="E670" s="5">
        <v>3200223127</v>
      </c>
      <c r="F670" s="5" t="s">
        <v>1016</v>
      </c>
      <c r="G670" s="6"/>
      <c r="H670" s="6"/>
      <c r="I670" s="5" t="s">
        <v>1010</v>
      </c>
      <c r="J670" s="211" t="s">
        <v>2158</v>
      </c>
      <c r="K670" s="211" t="s">
        <v>1434</v>
      </c>
      <c r="L670" s="15">
        <v>45815</v>
      </c>
      <c r="M670" s="8">
        <v>2025</v>
      </c>
      <c r="S670" s="9"/>
    </row>
    <row r="671" spans="1:19" ht="52.8" hidden="1" customHeight="1">
      <c r="A671" s="5">
        <v>670</v>
      </c>
      <c r="B671" s="6"/>
      <c r="C671" s="6" t="str">
        <f t="shared" si="1"/>
        <v>Kỹ năng nghiên cứu tài liệu của sinh viên năm nhất trường Đại học Sư phạm</v>
      </c>
      <c r="D671" s="5" t="s">
        <v>1088</v>
      </c>
      <c r="E671" s="5">
        <v>3200223027</v>
      </c>
      <c r="F671" s="5" t="s">
        <v>1016</v>
      </c>
      <c r="G671" s="6"/>
      <c r="H671" s="6"/>
      <c r="I671" s="5" t="s">
        <v>1010</v>
      </c>
      <c r="J671" s="211" t="s">
        <v>2158</v>
      </c>
      <c r="K671" s="211" t="s">
        <v>1434</v>
      </c>
      <c r="L671" s="15">
        <v>45816</v>
      </c>
      <c r="M671" s="8">
        <v>2025</v>
      </c>
      <c r="S671" s="9"/>
    </row>
    <row r="672" spans="1:19" ht="52.8" hidden="1" customHeight="1">
      <c r="A672" s="5">
        <v>671</v>
      </c>
      <c r="B672" s="5" t="s">
        <v>1089</v>
      </c>
      <c r="C672" s="6" t="str">
        <f t="shared" si="1"/>
        <v>Nhận thức về Hôn nhân của sinh viên trường Đại học Sư phạm Đại học Đà Nẵng</v>
      </c>
      <c r="D672" s="5" t="s">
        <v>1090</v>
      </c>
      <c r="E672" s="5">
        <v>3200222075</v>
      </c>
      <c r="F672" s="5" t="s">
        <v>1051</v>
      </c>
      <c r="G672" s="5" t="s">
        <v>1084</v>
      </c>
      <c r="H672" s="6"/>
      <c r="I672" s="5" t="s">
        <v>1010</v>
      </c>
      <c r="J672" s="211" t="s">
        <v>2158</v>
      </c>
      <c r="K672" s="211" t="s">
        <v>1434</v>
      </c>
      <c r="L672" s="15">
        <v>45817</v>
      </c>
      <c r="M672" s="8">
        <v>2025</v>
      </c>
      <c r="S672" s="9"/>
    </row>
    <row r="673" spans="1:19" ht="52.8" hidden="1" customHeight="1">
      <c r="A673" s="5">
        <v>672</v>
      </c>
      <c r="B673" s="6"/>
      <c r="C673" s="6" t="str">
        <f t="shared" si="1"/>
        <v>Nhận thức về Hôn nhân của sinh viên trường Đại học Sư phạm Đại học Đà Nẵng</v>
      </c>
      <c r="D673" s="5" t="s">
        <v>1091</v>
      </c>
      <c r="E673" s="5">
        <v>3200222033</v>
      </c>
      <c r="F673" s="6"/>
      <c r="G673" s="6"/>
      <c r="H673" s="6"/>
      <c r="I673" s="5" t="s">
        <v>1010</v>
      </c>
      <c r="J673" s="211" t="s">
        <v>2158</v>
      </c>
      <c r="K673" s="211" t="s">
        <v>1434</v>
      </c>
      <c r="L673" s="15">
        <v>45818</v>
      </c>
      <c r="M673" s="8">
        <v>2025</v>
      </c>
      <c r="S673" s="9"/>
    </row>
    <row r="674" spans="1:19" ht="52.8" hidden="1" customHeight="1">
      <c r="A674" s="5">
        <v>673</v>
      </c>
      <c r="B674" s="6"/>
      <c r="C674" s="6" t="str">
        <f t="shared" si="1"/>
        <v>Nhận thức về Hôn nhân của sinh viên trường Đại học Sư phạm Đại học Đà Nẵng</v>
      </c>
      <c r="D674" s="5" t="s">
        <v>1092</v>
      </c>
      <c r="E674" s="5">
        <v>3200222072</v>
      </c>
      <c r="F674" s="6"/>
      <c r="G674" s="6"/>
      <c r="H674" s="6"/>
      <c r="I674" s="5" t="s">
        <v>1010</v>
      </c>
      <c r="J674" s="211" t="s">
        <v>2158</v>
      </c>
      <c r="K674" s="211" t="s">
        <v>1434</v>
      </c>
      <c r="L674" s="15">
        <v>45819</v>
      </c>
      <c r="M674" s="8">
        <v>2025</v>
      </c>
      <c r="S674" s="9"/>
    </row>
    <row r="675" spans="1:19" ht="79.2" hidden="1" customHeight="1">
      <c r="A675" s="5">
        <v>674</v>
      </c>
      <c r="B675" s="5" t="s">
        <v>1093</v>
      </c>
      <c r="C675" s="6" t="str">
        <f t="shared" si="1"/>
        <v>Sự thay đổi nhận thức về tình dục của sinh viên khoa Tâm lý - giáo dục trường Đại học Sư phạm - Đại học Đà Nẵng qua học phần Giáo dục giới tính và phương pháp giáo dục giới tính</v>
      </c>
      <c r="D675" s="5" t="s">
        <v>640</v>
      </c>
      <c r="E675" s="5">
        <v>3200222021</v>
      </c>
      <c r="F675" s="5" t="s">
        <v>1051</v>
      </c>
      <c r="G675" s="5" t="s">
        <v>1094</v>
      </c>
      <c r="H675" s="6"/>
      <c r="I675" s="5" t="s">
        <v>1010</v>
      </c>
      <c r="J675" s="211" t="s">
        <v>2158</v>
      </c>
      <c r="K675" s="211" t="s">
        <v>1434</v>
      </c>
      <c r="L675" s="15">
        <v>45820</v>
      </c>
      <c r="M675" s="8">
        <v>2025</v>
      </c>
      <c r="S675" s="9"/>
    </row>
    <row r="676" spans="1:19" ht="79.2" hidden="1" customHeight="1">
      <c r="A676" s="5">
        <v>675</v>
      </c>
      <c r="B676" s="6"/>
      <c r="C676" s="6" t="str">
        <f t="shared" si="1"/>
        <v>Sự thay đổi nhận thức về tình dục của sinh viên khoa Tâm lý - giáo dục trường Đại học Sư phạm - Đại học Đà Nẵng qua học phần Giáo dục giới tính và phương pháp giáo dục giới tính</v>
      </c>
      <c r="D676" s="5" t="s">
        <v>1095</v>
      </c>
      <c r="E676" s="5">
        <v>3200222039</v>
      </c>
      <c r="F676" s="6"/>
      <c r="G676" s="6"/>
      <c r="H676" s="6"/>
      <c r="I676" s="5" t="s">
        <v>1010</v>
      </c>
      <c r="J676" s="211" t="s">
        <v>2158</v>
      </c>
      <c r="K676" s="211" t="s">
        <v>1434</v>
      </c>
      <c r="L676" s="15">
        <v>45821</v>
      </c>
      <c r="M676" s="8">
        <v>2025</v>
      </c>
      <c r="S676" s="9"/>
    </row>
    <row r="677" spans="1:19" ht="52.8" hidden="1" customHeight="1">
      <c r="A677" s="5">
        <v>676</v>
      </c>
      <c r="B677" s="5" t="s">
        <v>1096</v>
      </c>
      <c r="C677" s="6" t="str">
        <f t="shared" si="1"/>
        <v>Nghiên cứu ly hôn/ly thân (ảnh hưởng/tác động và giải pháp phòng ngừa/can thiệp cho thành viên trong gia đình</v>
      </c>
      <c r="D677" s="5" t="s">
        <v>1097</v>
      </c>
      <c r="E677" s="10">
        <v>3200321077</v>
      </c>
      <c r="F677" s="5" t="s">
        <v>1023</v>
      </c>
      <c r="G677" s="5" t="s">
        <v>1094</v>
      </c>
      <c r="H677" s="6"/>
      <c r="I677" s="5" t="s">
        <v>1010</v>
      </c>
      <c r="J677" s="211" t="s">
        <v>2158</v>
      </c>
      <c r="K677" s="211" t="s">
        <v>1434</v>
      </c>
      <c r="L677" s="15">
        <v>45822</v>
      </c>
      <c r="M677" s="8">
        <v>2025</v>
      </c>
      <c r="S677" s="9"/>
    </row>
    <row r="678" spans="1:19" ht="52.8" hidden="1" customHeight="1">
      <c r="A678" s="5">
        <v>677</v>
      </c>
      <c r="B678" s="5" t="s">
        <v>1098</v>
      </c>
      <c r="C678" s="6" t="str">
        <f t="shared" si="1"/>
        <v>Nhận thức về tầm quan trọng của yêu thương và chấp nhận bản thân của sinh viên Đại học Sư Phạm Đà Nẵng</v>
      </c>
      <c r="D678" s="5" t="s">
        <v>1099</v>
      </c>
      <c r="E678" s="5">
        <v>3200223135</v>
      </c>
      <c r="F678" s="5" t="s">
        <v>1016</v>
      </c>
      <c r="G678" s="5" t="s">
        <v>1100</v>
      </c>
      <c r="H678" s="6"/>
      <c r="I678" s="5" t="s">
        <v>1010</v>
      </c>
      <c r="J678" s="211" t="s">
        <v>2158</v>
      </c>
      <c r="K678" s="211" t="s">
        <v>1434</v>
      </c>
      <c r="L678" s="15">
        <v>45823</v>
      </c>
      <c r="M678" s="8">
        <v>2025</v>
      </c>
      <c r="S678" s="9"/>
    </row>
    <row r="679" spans="1:19" ht="52.8" hidden="1" customHeight="1">
      <c r="A679" s="5">
        <v>678</v>
      </c>
      <c r="B679" s="6"/>
      <c r="C679" s="6" t="str">
        <f t="shared" si="1"/>
        <v>Nhận thức về tầm quan trọng của yêu thương và chấp nhận bản thân của sinh viên Đại học Sư Phạm Đà Nẵng</v>
      </c>
      <c r="D679" s="5" t="s">
        <v>1101</v>
      </c>
      <c r="E679" s="5">
        <v>3200223001</v>
      </c>
      <c r="F679" s="5" t="s">
        <v>1016</v>
      </c>
      <c r="G679" s="6"/>
      <c r="H679" s="6"/>
      <c r="I679" s="5" t="s">
        <v>1010</v>
      </c>
      <c r="J679" s="211" t="s">
        <v>2158</v>
      </c>
      <c r="K679" s="211" t="s">
        <v>1434</v>
      </c>
      <c r="L679" s="15">
        <v>45824</v>
      </c>
      <c r="M679" s="8">
        <v>2025</v>
      </c>
      <c r="S679" s="9"/>
    </row>
    <row r="680" spans="1:19" ht="52.8" hidden="1" customHeight="1">
      <c r="A680" s="5">
        <v>679</v>
      </c>
      <c r="B680" s="6"/>
      <c r="C680" s="6" t="str">
        <f t="shared" si="1"/>
        <v>Nhận thức về tầm quan trọng của yêu thương và chấp nhận bản thân của sinh viên Đại học Sư Phạm Đà Nẵng</v>
      </c>
      <c r="D680" s="5" t="s">
        <v>1102</v>
      </c>
      <c r="E680" s="5">
        <v>3200223037</v>
      </c>
      <c r="F680" s="5" t="s">
        <v>1016</v>
      </c>
      <c r="G680" s="6"/>
      <c r="H680" s="6"/>
      <c r="I680" s="5" t="s">
        <v>1010</v>
      </c>
      <c r="J680" s="211" t="s">
        <v>2158</v>
      </c>
      <c r="K680" s="211" t="s">
        <v>1434</v>
      </c>
      <c r="L680" s="15">
        <v>45825</v>
      </c>
      <c r="M680" s="8">
        <v>2025</v>
      </c>
      <c r="S680" s="9"/>
    </row>
    <row r="681" spans="1:19" ht="52.8" hidden="1" customHeight="1">
      <c r="A681" s="5">
        <v>680</v>
      </c>
      <c r="B681" s="6"/>
      <c r="C681" s="6" t="str">
        <f t="shared" si="1"/>
        <v>Nhận thức về tầm quan trọng của yêu thương và chấp nhận bản thân của sinh viên Đại học Sư Phạm Đà Nẵng</v>
      </c>
      <c r="D681" s="5" t="s">
        <v>1103</v>
      </c>
      <c r="E681" s="5">
        <v>3200222008</v>
      </c>
      <c r="F681" s="5" t="s">
        <v>1051</v>
      </c>
      <c r="G681" s="6"/>
      <c r="H681" s="6"/>
      <c r="I681" s="5" t="s">
        <v>1010</v>
      </c>
      <c r="J681" s="211" t="s">
        <v>2158</v>
      </c>
      <c r="K681" s="211" t="s">
        <v>1434</v>
      </c>
      <c r="L681" s="15">
        <v>45826</v>
      </c>
      <c r="M681" s="8">
        <v>2025</v>
      </c>
      <c r="S681" s="9"/>
    </row>
    <row r="682" spans="1:19" ht="52.8" hidden="1" customHeight="1">
      <c r="A682" s="5">
        <v>681</v>
      </c>
      <c r="B682" s="6"/>
      <c r="C682" s="6" t="str">
        <f t="shared" si="1"/>
        <v>Nhận thức về tầm quan trọng của yêu thương và chấp nhận bản thân của sinh viên Đại học Sư Phạm Đà Nẵng</v>
      </c>
      <c r="D682" s="5" t="s">
        <v>1104</v>
      </c>
      <c r="E682" s="5">
        <v>3200222049</v>
      </c>
      <c r="F682" s="5" t="s">
        <v>1051</v>
      </c>
      <c r="G682" s="6"/>
      <c r="H682" s="6"/>
      <c r="I682" s="5" t="s">
        <v>1010</v>
      </c>
      <c r="J682" s="211" t="s">
        <v>2158</v>
      </c>
      <c r="K682" s="211" t="s">
        <v>1434</v>
      </c>
      <c r="L682" s="15">
        <v>45827</v>
      </c>
      <c r="M682" s="8">
        <v>2025</v>
      </c>
      <c r="S682" s="9"/>
    </row>
    <row r="683" spans="1:19" ht="52.8" hidden="1" customHeight="1">
      <c r="A683" s="5">
        <v>682</v>
      </c>
      <c r="B683" s="5" t="s">
        <v>1105</v>
      </c>
      <c r="C683" s="6" t="str">
        <f t="shared" si="1"/>
        <v>Nghiên cứu về niềm tin trong mối quan hệ bạn bè của sinh viên  trường Đại học Sư phạm - Đại học Đà Nẵng</v>
      </c>
      <c r="D683" s="5" t="s">
        <v>1106</v>
      </c>
      <c r="E683" s="5">
        <v>3200222018</v>
      </c>
      <c r="F683" s="5" t="s">
        <v>1051</v>
      </c>
      <c r="G683" s="5" t="s">
        <v>1100</v>
      </c>
      <c r="H683" s="6"/>
      <c r="I683" s="5" t="s">
        <v>1010</v>
      </c>
      <c r="J683" s="211" t="s">
        <v>2158</v>
      </c>
      <c r="K683" s="211" t="s">
        <v>1434</v>
      </c>
      <c r="L683" s="15">
        <v>45828</v>
      </c>
      <c r="M683" s="8">
        <v>2025</v>
      </c>
      <c r="S683" s="9"/>
    </row>
    <row r="684" spans="1:19" ht="52.8" hidden="1" customHeight="1">
      <c r="A684" s="5">
        <v>683</v>
      </c>
      <c r="B684" s="6"/>
      <c r="C684" s="6" t="str">
        <f t="shared" si="1"/>
        <v>Nghiên cứu về niềm tin trong mối quan hệ bạn bè của sinh viên  trường Đại học Sư phạm - Đại học Đà Nẵng</v>
      </c>
      <c r="D684" s="5" t="s">
        <v>1107</v>
      </c>
      <c r="E684" s="5">
        <v>3200222012</v>
      </c>
      <c r="F684" s="5" t="s">
        <v>1051</v>
      </c>
      <c r="G684" s="6"/>
      <c r="H684" s="6"/>
      <c r="I684" s="5" t="s">
        <v>1010</v>
      </c>
      <c r="J684" s="211" t="s">
        <v>2158</v>
      </c>
      <c r="K684" s="211" t="s">
        <v>1434</v>
      </c>
      <c r="L684" s="15">
        <v>45829</v>
      </c>
      <c r="M684" s="8">
        <v>2025</v>
      </c>
      <c r="S684" s="9"/>
    </row>
    <row r="685" spans="1:19" ht="52.8" hidden="1" customHeight="1">
      <c r="A685" s="5">
        <v>684</v>
      </c>
      <c r="B685" s="6"/>
      <c r="C685" s="6" t="str">
        <f t="shared" si="1"/>
        <v>Nghiên cứu về niềm tin trong mối quan hệ bạn bè của sinh viên  trường Đại học Sư phạm - Đại học Đà Nẵng</v>
      </c>
      <c r="D685" s="5" t="s">
        <v>1108</v>
      </c>
      <c r="E685" s="5">
        <v>3200222047</v>
      </c>
      <c r="F685" s="5" t="s">
        <v>1051</v>
      </c>
      <c r="G685" s="6"/>
      <c r="H685" s="6"/>
      <c r="I685" s="5" t="s">
        <v>1010</v>
      </c>
      <c r="J685" s="211" t="s">
        <v>2158</v>
      </c>
      <c r="K685" s="211" t="s">
        <v>1434</v>
      </c>
      <c r="L685" s="15">
        <v>45830</v>
      </c>
      <c r="M685" s="8">
        <v>2025</v>
      </c>
      <c r="S685" s="9"/>
    </row>
    <row r="686" spans="1:19" ht="52.8" hidden="1" customHeight="1">
      <c r="A686" s="5">
        <v>685</v>
      </c>
      <c r="B686" s="6"/>
      <c r="C686" s="6" t="str">
        <f t="shared" si="1"/>
        <v>Nghiên cứu về niềm tin trong mối quan hệ bạn bè của sinh viên  trường Đại học Sư phạm - Đại học Đà Nẵng</v>
      </c>
      <c r="D686" s="5" t="s">
        <v>1109</v>
      </c>
      <c r="E686" s="5">
        <v>3200222041</v>
      </c>
      <c r="F686" s="5" t="s">
        <v>1051</v>
      </c>
      <c r="G686" s="6"/>
      <c r="H686" s="6"/>
      <c r="I686" s="5" t="s">
        <v>1010</v>
      </c>
      <c r="J686" s="211" t="s">
        <v>2158</v>
      </c>
      <c r="K686" s="211" t="s">
        <v>1434</v>
      </c>
      <c r="L686" s="15">
        <v>45831</v>
      </c>
      <c r="M686" s="8">
        <v>2025</v>
      </c>
      <c r="S686" s="9"/>
    </row>
    <row r="687" spans="1:19" ht="52.8" hidden="1">
      <c r="A687" s="5">
        <v>686</v>
      </c>
      <c r="B687" s="5" t="s">
        <v>1110</v>
      </c>
      <c r="C687" s="6" t="str">
        <f t="shared" si="1"/>
        <v>Nhóm vấn đề về sức khoẻ tâm thần (stress/lo âu/trầm cảm (phòng ngừa/can thiệp…)</v>
      </c>
      <c r="D687" s="5" t="s">
        <v>1111</v>
      </c>
      <c r="E687" s="10">
        <v>3200223082</v>
      </c>
      <c r="F687" s="5" t="s">
        <v>1008</v>
      </c>
      <c r="G687" s="5" t="s">
        <v>1112</v>
      </c>
      <c r="H687" s="6"/>
      <c r="I687" s="5" t="s">
        <v>1010</v>
      </c>
      <c r="J687" s="6" t="e">
        <f t="shared" ca="1" si="0"/>
        <v>#NAME?</v>
      </c>
      <c r="K687" s="6" t="e">
        <f ca="1">VLOOKUP(J687,'Bảng Đơn vị'!$A$2:$B$10,2,1)</f>
        <v>#NAME?</v>
      </c>
      <c r="L687" s="15">
        <v>45832</v>
      </c>
      <c r="M687" s="8">
        <v>2025</v>
      </c>
      <c r="S687" s="9"/>
    </row>
    <row r="688" spans="1:19" ht="52.8" hidden="1">
      <c r="A688" s="5">
        <v>687</v>
      </c>
      <c r="B688" s="5" t="s">
        <v>1113</v>
      </c>
      <c r="C688" s="6" t="str">
        <f t="shared" si="1"/>
        <v>Chỉ số trí tuệ cảm xúc của học sinh trường THCS-THPT Nguyễn Khuyến trên địa bàn thành phố Đà Nẵng</v>
      </c>
      <c r="D688" s="5" t="s">
        <v>1114</v>
      </c>
      <c r="E688" s="5">
        <v>3200222077</v>
      </c>
      <c r="F688" s="5" t="s">
        <v>1051</v>
      </c>
      <c r="G688" s="5" t="s">
        <v>1112</v>
      </c>
      <c r="H688" s="6"/>
      <c r="I688" s="5" t="s">
        <v>1010</v>
      </c>
      <c r="J688" s="6" t="e">
        <f t="shared" ca="1" si="0"/>
        <v>#NAME?</v>
      </c>
      <c r="K688" s="6" t="e">
        <f ca="1">VLOOKUP(J688,'Bảng Đơn vị'!$A$2:$B$10,2,1)</f>
        <v>#NAME?</v>
      </c>
      <c r="L688" s="15">
        <v>45833</v>
      </c>
      <c r="M688" s="8">
        <v>2025</v>
      </c>
      <c r="S688" s="9"/>
    </row>
    <row r="689" spans="1:19" ht="52.8" hidden="1">
      <c r="A689" s="5">
        <v>688</v>
      </c>
      <c r="B689" s="6"/>
      <c r="C689" s="6" t="str">
        <f t="shared" si="1"/>
        <v>Chỉ số trí tuệ cảm xúc của học sinh trường THCS-THPT Nguyễn Khuyến trên địa bàn thành phố Đà Nẵng</v>
      </c>
      <c r="D689" s="5" t="s">
        <v>1115</v>
      </c>
      <c r="E689" s="5">
        <v>3200222083</v>
      </c>
      <c r="F689" s="5" t="s">
        <v>1051</v>
      </c>
      <c r="G689" s="6"/>
      <c r="H689" s="6"/>
      <c r="I689" s="5" t="s">
        <v>1010</v>
      </c>
      <c r="J689" s="6" t="e">
        <f t="shared" ca="1" si="0"/>
        <v>#NAME?</v>
      </c>
      <c r="K689" s="6" t="e">
        <f ca="1">VLOOKUP(J689,'Bảng Đơn vị'!$A$2:$B$10,2,1)</f>
        <v>#NAME?</v>
      </c>
      <c r="L689" s="15">
        <v>45834</v>
      </c>
      <c r="M689" s="8">
        <v>2025</v>
      </c>
      <c r="S689" s="9"/>
    </row>
    <row r="690" spans="1:19" ht="52.8" hidden="1">
      <c r="A690" s="5">
        <v>689</v>
      </c>
      <c r="B690" s="5" t="s">
        <v>1116</v>
      </c>
      <c r="C690" s="6" t="str">
        <f t="shared" si="1"/>
        <v>Mối quan hệ giữa trí tuệ cảm xúc và chỉ số thông minh vượt khó của sinh viên Đại học Sư Phạm - Đại học Đà Nẵng</v>
      </c>
      <c r="D690" s="5" t="s">
        <v>1117</v>
      </c>
      <c r="E690" s="5">
        <v>3200224009</v>
      </c>
      <c r="F690" s="5" t="s">
        <v>1118</v>
      </c>
      <c r="G690" s="5" t="s">
        <v>1119</v>
      </c>
      <c r="H690" s="6"/>
      <c r="I690" s="5" t="s">
        <v>1010</v>
      </c>
      <c r="J690" s="6" t="e">
        <f t="shared" ca="1" si="0"/>
        <v>#NAME?</v>
      </c>
      <c r="K690" s="6" t="e">
        <f ca="1">VLOOKUP(J690,'Bảng Đơn vị'!$A$2:$B$10,2,1)</f>
        <v>#NAME?</v>
      </c>
      <c r="L690" s="15">
        <v>45835</v>
      </c>
      <c r="M690" s="8">
        <v>2025</v>
      </c>
      <c r="S690" s="9"/>
    </row>
    <row r="691" spans="1:19" ht="52.8" hidden="1">
      <c r="A691" s="5">
        <v>690</v>
      </c>
      <c r="B691" s="6"/>
      <c r="C691" s="6" t="str">
        <f t="shared" si="1"/>
        <v>Mối quan hệ giữa trí tuệ cảm xúc và chỉ số thông minh vượt khó của sinh viên Đại học Sư Phạm - Đại học Đà Nẵng</v>
      </c>
      <c r="D691" s="5" t="s">
        <v>1120</v>
      </c>
      <c r="E691" s="5">
        <v>3200224111</v>
      </c>
      <c r="F691" s="6"/>
      <c r="G691" s="6"/>
      <c r="H691" s="6"/>
      <c r="I691" s="5" t="s">
        <v>1010</v>
      </c>
      <c r="J691" s="6" t="e">
        <f t="shared" ca="1" si="0"/>
        <v>#NAME?</v>
      </c>
      <c r="K691" s="6" t="e">
        <f ca="1">VLOOKUP(J691,'Bảng Đơn vị'!$A$2:$B$10,2,1)</f>
        <v>#NAME?</v>
      </c>
      <c r="L691" s="15">
        <v>45836</v>
      </c>
      <c r="M691" s="8">
        <v>2025</v>
      </c>
      <c r="S691" s="9"/>
    </row>
    <row r="692" spans="1:19" ht="66" hidden="1">
      <c r="A692" s="5">
        <v>691</v>
      </c>
      <c r="B692" s="5" t="s">
        <v>1121</v>
      </c>
      <c r="C692" s="6" t="str">
        <f t="shared" si="1"/>
        <v>Nghiên cứu ảnh hưởng của truyền thông đến nhận thức về quyền của cộng đồng LGBTQ+ (Nghiên cứu tại địa bàn thành phố Đà Nẵng)</v>
      </c>
      <c r="D692" s="5" t="s">
        <v>1122</v>
      </c>
      <c r="E692" s="10">
        <v>3200223028</v>
      </c>
      <c r="F692" s="5" t="s">
        <v>1016</v>
      </c>
      <c r="G692" s="5" t="s">
        <v>1119</v>
      </c>
      <c r="H692" s="6"/>
      <c r="I692" s="5" t="s">
        <v>1010</v>
      </c>
      <c r="J692" s="6" t="e">
        <f t="shared" ca="1" si="0"/>
        <v>#NAME?</v>
      </c>
      <c r="K692" s="6" t="e">
        <f ca="1">VLOOKUP(J692,'Bảng Đơn vị'!$A$2:$B$10,2,1)</f>
        <v>#NAME?</v>
      </c>
      <c r="L692" s="15">
        <v>45837</v>
      </c>
      <c r="M692" s="8">
        <v>2025</v>
      </c>
      <c r="S692" s="9"/>
    </row>
    <row r="693" spans="1:19" ht="52.8" hidden="1">
      <c r="A693" s="5">
        <v>692</v>
      </c>
      <c r="B693" s="5" t="s">
        <v>1123</v>
      </c>
      <c r="C693" s="6" t="str">
        <f t="shared" si="1"/>
        <v>Sự ảnh hưởng từ việc sử dụng mạng xã hội đến cảm xúc của sinh viên trường ĐHSP - ĐHĐN</v>
      </c>
      <c r="D693" s="5" t="s">
        <v>1124</v>
      </c>
      <c r="E693" s="5">
        <v>3200222055</v>
      </c>
      <c r="F693" s="5" t="s">
        <v>1051</v>
      </c>
      <c r="G693" s="5" t="s">
        <v>1125</v>
      </c>
      <c r="H693" s="6"/>
      <c r="I693" s="5" t="s">
        <v>1010</v>
      </c>
      <c r="J693" s="6" t="e">
        <f t="shared" ca="1" si="0"/>
        <v>#NAME?</v>
      </c>
      <c r="K693" s="6" t="e">
        <f ca="1">VLOOKUP(J693,'Bảng Đơn vị'!$A$2:$B$10,2,1)</f>
        <v>#NAME?</v>
      </c>
      <c r="L693" s="15">
        <v>45838</v>
      </c>
      <c r="M693" s="8">
        <v>2025</v>
      </c>
      <c r="S693" s="9"/>
    </row>
    <row r="694" spans="1:19" ht="52.8" hidden="1">
      <c r="A694" s="5">
        <v>693</v>
      </c>
      <c r="B694" s="6"/>
      <c r="C694" s="6" t="str">
        <f t="shared" si="1"/>
        <v>Sự ảnh hưởng từ việc sử dụng mạng xã hội đến cảm xúc của sinh viên trường ĐHSP - ĐHĐN</v>
      </c>
      <c r="D694" s="5" t="s">
        <v>1126</v>
      </c>
      <c r="E694" s="5">
        <v>3200222013</v>
      </c>
      <c r="F694" s="6"/>
      <c r="G694" s="6"/>
      <c r="H694" s="6"/>
      <c r="I694" s="5" t="s">
        <v>1010</v>
      </c>
      <c r="J694" s="6" t="e">
        <f t="shared" ca="1" si="0"/>
        <v>#NAME?</v>
      </c>
      <c r="K694" s="6" t="e">
        <f ca="1">VLOOKUP(J694,'Bảng Đơn vị'!$A$2:$B$10,2,1)</f>
        <v>#NAME?</v>
      </c>
      <c r="L694" s="15">
        <v>45839</v>
      </c>
      <c r="M694" s="8">
        <v>2025</v>
      </c>
      <c r="S694" s="9"/>
    </row>
    <row r="695" spans="1:19" ht="52.8" hidden="1">
      <c r="A695" s="5">
        <v>694</v>
      </c>
      <c r="B695" s="6"/>
      <c r="C695" s="6" t="str">
        <f t="shared" si="1"/>
        <v>Sự ảnh hưởng từ việc sử dụng mạng xã hội đến cảm xúc của sinh viên trường ĐHSP - ĐHĐN</v>
      </c>
      <c r="D695" s="5" t="s">
        <v>1127</v>
      </c>
      <c r="E695" s="5">
        <v>3200222010</v>
      </c>
      <c r="F695" s="6"/>
      <c r="G695" s="6"/>
      <c r="H695" s="6"/>
      <c r="I695" s="5" t="s">
        <v>1010</v>
      </c>
      <c r="J695" s="6" t="e">
        <f t="shared" ca="1" si="0"/>
        <v>#NAME?</v>
      </c>
      <c r="K695" s="6" t="e">
        <f ca="1">VLOOKUP(J695,'Bảng Đơn vị'!$A$2:$B$10,2,1)</f>
        <v>#NAME?</v>
      </c>
      <c r="L695" s="15">
        <v>45840</v>
      </c>
      <c r="M695" s="8">
        <v>2025</v>
      </c>
      <c r="S695" s="9"/>
    </row>
    <row r="696" spans="1:19" ht="52.8" hidden="1">
      <c r="A696" s="5">
        <v>695</v>
      </c>
      <c r="B696" s="6"/>
      <c r="C696" s="6" t="str">
        <f t="shared" si="1"/>
        <v>Sự ảnh hưởng từ việc sử dụng mạng xã hội đến cảm xúc của sinh viên trường ĐHSP - ĐHĐN</v>
      </c>
      <c r="D696" s="5" t="s">
        <v>1128</v>
      </c>
      <c r="E696" s="5">
        <v>3200222051</v>
      </c>
      <c r="F696" s="6"/>
      <c r="G696" s="6"/>
      <c r="H696" s="6"/>
      <c r="I696" s="5" t="s">
        <v>1010</v>
      </c>
      <c r="J696" s="6" t="e">
        <f t="shared" ca="1" si="0"/>
        <v>#NAME?</v>
      </c>
      <c r="K696" s="6" t="e">
        <f ca="1">VLOOKUP(J696,'Bảng Đơn vị'!$A$2:$B$10,2,1)</f>
        <v>#NAME?</v>
      </c>
      <c r="L696" s="15">
        <v>45841</v>
      </c>
      <c r="M696" s="8">
        <v>2025</v>
      </c>
      <c r="S696" s="9"/>
    </row>
    <row r="697" spans="1:19" ht="52.8" hidden="1">
      <c r="A697" s="5">
        <v>696</v>
      </c>
      <c r="B697" s="6"/>
      <c r="C697" s="6" t="str">
        <f t="shared" si="1"/>
        <v>Sự ảnh hưởng từ việc sử dụng mạng xã hội đến cảm xúc của sinh viên trường ĐHSP - ĐHĐN</v>
      </c>
      <c r="D697" s="5" t="s">
        <v>1129</v>
      </c>
      <c r="E697" s="5">
        <v>3200222022</v>
      </c>
      <c r="F697" s="6"/>
      <c r="G697" s="6"/>
      <c r="H697" s="6"/>
      <c r="I697" s="5" t="s">
        <v>1010</v>
      </c>
      <c r="J697" s="6" t="e">
        <f t="shared" ca="1" si="0"/>
        <v>#NAME?</v>
      </c>
      <c r="K697" s="6" t="e">
        <f ca="1">VLOOKUP(J697,'Bảng Đơn vị'!$A$2:$B$10,2,1)</f>
        <v>#NAME?</v>
      </c>
      <c r="L697" s="15">
        <v>45842</v>
      </c>
      <c r="M697" s="8">
        <v>2025</v>
      </c>
      <c r="S697" s="9"/>
    </row>
    <row r="698" spans="1:19" ht="52.8" hidden="1">
      <c r="A698" s="5">
        <v>697</v>
      </c>
      <c r="B698" s="5" t="s">
        <v>1130</v>
      </c>
      <c r="C698" s="6" t="str">
        <f t="shared" si="1"/>
        <v>Thái độ đối với sống thử trước hôn nhân của sinh viên trường Đại học Sư phạm - Đại học Đà Nẵng</v>
      </c>
      <c r="D698" s="5" t="s">
        <v>1131</v>
      </c>
      <c r="E698" s="5">
        <v>3200222007</v>
      </c>
      <c r="F698" s="5" t="s">
        <v>1051</v>
      </c>
      <c r="G698" s="5" t="s">
        <v>1125</v>
      </c>
      <c r="H698" s="6"/>
      <c r="I698" s="5" t="s">
        <v>1010</v>
      </c>
      <c r="J698" s="6" t="e">
        <f t="shared" ca="1" si="0"/>
        <v>#NAME?</v>
      </c>
      <c r="K698" s="6" t="e">
        <f ca="1">VLOOKUP(J698,'Bảng Đơn vị'!$A$2:$B$10,2,1)</f>
        <v>#NAME?</v>
      </c>
      <c r="L698" s="15">
        <v>45843</v>
      </c>
      <c r="M698" s="8">
        <v>2025</v>
      </c>
      <c r="S698" s="9"/>
    </row>
    <row r="699" spans="1:19" ht="52.8" hidden="1">
      <c r="A699" s="5">
        <v>698</v>
      </c>
      <c r="B699" s="6"/>
      <c r="C699" s="6" t="str">
        <f t="shared" si="1"/>
        <v>Thái độ đối với sống thử trước hôn nhân của sinh viên trường Đại học Sư phạm - Đại học Đà Nẵng</v>
      </c>
      <c r="D699" s="5" t="s">
        <v>1132</v>
      </c>
      <c r="E699" s="5">
        <v>3200222052</v>
      </c>
      <c r="F699" s="6"/>
      <c r="G699" s="6"/>
      <c r="H699" s="6"/>
      <c r="I699" s="5" t="s">
        <v>1010</v>
      </c>
      <c r="J699" s="6" t="e">
        <f t="shared" ca="1" si="0"/>
        <v>#NAME?</v>
      </c>
      <c r="K699" s="6" t="e">
        <f ca="1">VLOOKUP(J699,'Bảng Đơn vị'!$A$2:$B$10,2,1)</f>
        <v>#NAME?</v>
      </c>
      <c r="L699" s="15">
        <v>45844</v>
      </c>
      <c r="M699" s="8">
        <v>2025</v>
      </c>
      <c r="S699" s="9"/>
    </row>
    <row r="700" spans="1:19" ht="52.8" hidden="1">
      <c r="A700" s="5">
        <v>699</v>
      </c>
      <c r="B700" s="5" t="s">
        <v>1133</v>
      </c>
      <c r="C700" s="6" t="str">
        <f t="shared" si="1"/>
        <v>Ứng dụng cửa sổ Johari trong phát triển tự nhận thức của sinh viên Đại học Đà Nẵng</v>
      </c>
      <c r="D700" s="5" t="s">
        <v>1134</v>
      </c>
      <c r="E700" s="10">
        <v>3200422008</v>
      </c>
      <c r="F700" s="5" t="s">
        <v>1059</v>
      </c>
      <c r="G700" s="5" t="s">
        <v>1135</v>
      </c>
      <c r="H700" s="6"/>
      <c r="I700" s="5" t="s">
        <v>1010</v>
      </c>
      <c r="J700" s="6" t="e">
        <f t="shared" ca="1" si="0"/>
        <v>#NAME?</v>
      </c>
      <c r="K700" s="6" t="e">
        <f ca="1">VLOOKUP(J700,'Bảng Đơn vị'!$A$2:$B$10,2,1)</f>
        <v>#NAME?</v>
      </c>
      <c r="L700" s="15">
        <v>45845</v>
      </c>
      <c r="M700" s="8">
        <v>2025</v>
      </c>
      <c r="S700" s="9"/>
    </row>
    <row r="701" spans="1:19" ht="52.8" hidden="1">
      <c r="A701" s="5">
        <v>700</v>
      </c>
      <c r="B701" s="5" t="s">
        <v>1136</v>
      </c>
      <c r="C701" s="6" t="str">
        <f t="shared" si="1"/>
        <v>Thái độ đối với sức khỏe tinh thần của sinh viên tại Trường Đại học Sư phạm - Đại học Đà Nẵng</v>
      </c>
      <c r="D701" s="5" t="s">
        <v>1137</v>
      </c>
      <c r="E701" s="5">
        <v>3200222020</v>
      </c>
      <c r="F701" s="5" t="s">
        <v>1051</v>
      </c>
      <c r="G701" s="5" t="s">
        <v>1135</v>
      </c>
      <c r="H701" s="6"/>
      <c r="I701" s="5" t="s">
        <v>1010</v>
      </c>
      <c r="J701" s="6" t="e">
        <f t="shared" ca="1" si="0"/>
        <v>#NAME?</v>
      </c>
      <c r="K701" s="6" t="e">
        <f ca="1">VLOOKUP(J701,'Bảng Đơn vị'!$A$2:$B$10,2,1)</f>
        <v>#NAME?</v>
      </c>
      <c r="L701" s="15">
        <v>45846</v>
      </c>
      <c r="M701" s="8">
        <v>2025</v>
      </c>
      <c r="S701" s="9"/>
    </row>
    <row r="702" spans="1:19" ht="52.8" hidden="1">
      <c r="A702" s="5">
        <v>701</v>
      </c>
      <c r="B702" s="6"/>
      <c r="C702" s="6" t="str">
        <f t="shared" si="1"/>
        <v>Thái độ đối với sức khỏe tinh thần của sinh viên tại Trường Đại học Sư phạm - Đại học Đà Nẵng</v>
      </c>
      <c r="D702" s="5" t="s">
        <v>1138</v>
      </c>
      <c r="E702" s="5">
        <v>3200222087</v>
      </c>
      <c r="F702" s="6"/>
      <c r="G702" s="6"/>
      <c r="H702" s="6"/>
      <c r="I702" s="5" t="s">
        <v>1010</v>
      </c>
      <c r="J702" s="6" t="e">
        <f t="shared" ca="1" si="0"/>
        <v>#NAME?</v>
      </c>
      <c r="K702" s="6" t="e">
        <f ca="1">VLOOKUP(J702,'Bảng Đơn vị'!$A$2:$B$10,2,1)</f>
        <v>#NAME?</v>
      </c>
      <c r="L702" s="15">
        <v>45847</v>
      </c>
      <c r="M702" s="8">
        <v>2025</v>
      </c>
      <c r="S702" s="9"/>
    </row>
    <row r="703" spans="1:19" ht="52.8" hidden="1">
      <c r="A703" s="5">
        <v>702</v>
      </c>
      <c r="B703" s="6"/>
      <c r="C703" s="6" t="str">
        <f t="shared" si="1"/>
        <v>Thái độ đối với sức khỏe tinh thần của sinh viên tại Trường Đại học Sư phạm - Đại học Đà Nẵng</v>
      </c>
      <c r="D703" s="5" t="s">
        <v>693</v>
      </c>
      <c r="E703" s="5">
        <v>3200222025</v>
      </c>
      <c r="F703" s="6"/>
      <c r="G703" s="6"/>
      <c r="H703" s="6"/>
      <c r="I703" s="5" t="s">
        <v>1010</v>
      </c>
      <c r="J703" s="6" t="e">
        <f t="shared" ca="1" si="0"/>
        <v>#NAME?</v>
      </c>
      <c r="K703" s="6" t="e">
        <f ca="1">VLOOKUP(J703,'Bảng Đơn vị'!$A$2:$B$10,2,1)</f>
        <v>#NAME?</v>
      </c>
      <c r="L703" s="15">
        <v>45848</v>
      </c>
      <c r="M703" s="8">
        <v>2025</v>
      </c>
      <c r="S703" s="9"/>
    </row>
    <row r="704" spans="1:19" ht="52.8" hidden="1">
      <c r="A704" s="5">
        <v>703</v>
      </c>
      <c r="B704" s="5" t="s">
        <v>1139</v>
      </c>
      <c r="C704" s="6" t="str">
        <f t="shared" si="1"/>
        <v>Ứng dụng liệu pháp nhận thức hành vi trong giảm thiểu lo âu ở sinh viên trường Đại học Sư Phạm -Đại học Đà Nẵng.</v>
      </c>
      <c r="D704" s="5" t="s">
        <v>1140</v>
      </c>
      <c r="E704" s="5">
        <v>-3200422020</v>
      </c>
      <c r="F704" s="5" t="s">
        <v>1059</v>
      </c>
      <c r="G704" s="5" t="s">
        <v>1141</v>
      </c>
      <c r="H704" s="6"/>
      <c r="I704" s="5" t="s">
        <v>1010</v>
      </c>
      <c r="J704" s="6" t="e">
        <f t="shared" ca="1" si="0"/>
        <v>#NAME?</v>
      </c>
      <c r="K704" s="6" t="e">
        <f ca="1">VLOOKUP(J704,'Bảng Đơn vị'!$A$2:$B$10,2,1)</f>
        <v>#NAME?</v>
      </c>
      <c r="L704" s="15">
        <v>45849</v>
      </c>
      <c r="M704" s="8">
        <v>2025</v>
      </c>
      <c r="S704" s="9"/>
    </row>
    <row r="705" spans="1:19" ht="52.8" hidden="1">
      <c r="A705" s="5">
        <v>704</v>
      </c>
      <c r="B705" s="5" t="s">
        <v>1142</v>
      </c>
      <c r="C705" s="6" t="str">
        <f t="shared" si="1"/>
        <v>Thực trạng về cách ứng phó với căng thẳng, lo âu của sinh viên năm nhất tại trường Đại học Sư phạm - Đại học Đà Nẵng</v>
      </c>
      <c r="D705" s="5" t="s">
        <v>1143</v>
      </c>
      <c r="E705" s="10">
        <v>3200421026</v>
      </c>
      <c r="F705" s="5" t="s">
        <v>1144</v>
      </c>
      <c r="G705" s="5" t="s">
        <v>1141</v>
      </c>
      <c r="H705" s="6"/>
      <c r="I705" s="5" t="s">
        <v>1010</v>
      </c>
      <c r="J705" s="6" t="e">
        <f t="shared" ca="1" si="0"/>
        <v>#NAME?</v>
      </c>
      <c r="K705" s="6" t="e">
        <f ca="1">VLOOKUP(J705,'Bảng Đơn vị'!$A$2:$B$10,2,1)</f>
        <v>#NAME?</v>
      </c>
      <c r="L705" s="15">
        <v>45850</v>
      </c>
      <c r="M705" s="8">
        <v>2025</v>
      </c>
      <c r="S705" s="9"/>
    </row>
    <row r="706" spans="1:19" ht="66" hidden="1">
      <c r="A706" s="5">
        <v>705</v>
      </c>
      <c r="B706" s="5" t="s">
        <v>1145</v>
      </c>
      <c r="C706" s="6" t="str">
        <f t="shared" si="1"/>
        <v>Sự ảnh hưởng của môi trường gia đình đến sự tự tin và khả năng xã hội của sinh viên khoa Tâm lý - Giáo dục, Trường Đại học Sư Phạm - Đại học Đà Nẵng</v>
      </c>
      <c r="D706" s="5" t="s">
        <v>1146</v>
      </c>
      <c r="E706" s="5">
        <v>3200223061</v>
      </c>
      <c r="F706" s="5" t="s">
        <v>1016</v>
      </c>
      <c r="G706" s="5" t="s">
        <v>1147</v>
      </c>
      <c r="H706" s="6"/>
      <c r="I706" s="5" t="s">
        <v>1010</v>
      </c>
      <c r="J706" s="6" t="e">
        <f t="shared" ca="1" si="0"/>
        <v>#NAME?</v>
      </c>
      <c r="K706" s="6" t="e">
        <f ca="1">VLOOKUP(J706,'Bảng Đơn vị'!$A$2:$B$10,2,1)</f>
        <v>#NAME?</v>
      </c>
      <c r="L706" s="15">
        <v>45851</v>
      </c>
      <c r="M706" s="8">
        <v>2025</v>
      </c>
      <c r="S706" s="9"/>
    </row>
    <row r="707" spans="1:19" ht="66" hidden="1">
      <c r="A707" s="5">
        <v>706</v>
      </c>
      <c r="B707" s="6"/>
      <c r="C707" s="6" t="str">
        <f t="shared" si="1"/>
        <v>Sự ảnh hưởng của môi trường gia đình đến sự tự tin và khả năng xã hội của sinh viên khoa Tâm lý - Giáo dục, Trường Đại học Sư Phạm - Đại học Đà Nẵng</v>
      </c>
      <c r="D707" s="5" t="s">
        <v>1148</v>
      </c>
      <c r="E707" s="5">
        <v>3200223019</v>
      </c>
      <c r="F707" s="5" t="s">
        <v>1016</v>
      </c>
      <c r="G707" s="6"/>
      <c r="H707" s="6"/>
      <c r="I707" s="5" t="s">
        <v>1010</v>
      </c>
      <c r="J707" s="6" t="e">
        <f t="shared" ca="1" si="0"/>
        <v>#NAME?</v>
      </c>
      <c r="K707" s="6" t="e">
        <f ca="1">VLOOKUP(J707,'Bảng Đơn vị'!$A$2:$B$10,2,1)</f>
        <v>#NAME?</v>
      </c>
      <c r="L707" s="15">
        <v>45852</v>
      </c>
      <c r="M707" s="8">
        <v>2025</v>
      </c>
      <c r="S707" s="9"/>
    </row>
    <row r="708" spans="1:19" ht="66" hidden="1">
      <c r="A708" s="5">
        <v>707</v>
      </c>
      <c r="B708" s="6"/>
      <c r="C708" s="6" t="str">
        <f t="shared" si="1"/>
        <v>Sự ảnh hưởng của môi trường gia đình đến sự tự tin và khả năng xã hội của sinh viên khoa Tâm lý - Giáo dục, Trường Đại học Sư Phạm - Đại học Đà Nẵng</v>
      </c>
      <c r="D708" s="5" t="s">
        <v>1149</v>
      </c>
      <c r="E708" s="5">
        <v>3200223081</v>
      </c>
      <c r="F708" s="5" t="s">
        <v>1016</v>
      </c>
      <c r="G708" s="6"/>
      <c r="H708" s="6"/>
      <c r="I708" s="5" t="s">
        <v>1010</v>
      </c>
      <c r="J708" s="6" t="e">
        <f t="shared" ca="1" si="0"/>
        <v>#NAME?</v>
      </c>
      <c r="K708" s="6" t="e">
        <f ca="1">VLOOKUP(J708,'Bảng Đơn vị'!$A$2:$B$10,2,1)</f>
        <v>#NAME?</v>
      </c>
      <c r="L708" s="15">
        <v>45853</v>
      </c>
      <c r="M708" s="8">
        <v>2025</v>
      </c>
      <c r="S708" s="9"/>
    </row>
    <row r="709" spans="1:19" ht="66" hidden="1">
      <c r="A709" s="5">
        <v>708</v>
      </c>
      <c r="B709" s="6"/>
      <c r="C709" s="6" t="str">
        <f t="shared" si="1"/>
        <v>Sự ảnh hưởng của môi trường gia đình đến sự tự tin và khả năng xã hội của sinh viên khoa Tâm lý - Giáo dục, Trường Đại học Sư Phạm - Đại học Đà Nẵng</v>
      </c>
      <c r="D709" s="5" t="s">
        <v>1150</v>
      </c>
      <c r="E709" s="5">
        <v>3200223147</v>
      </c>
      <c r="F709" s="5" t="s">
        <v>1016</v>
      </c>
      <c r="G709" s="6"/>
      <c r="H709" s="6"/>
      <c r="I709" s="5" t="s">
        <v>1010</v>
      </c>
      <c r="J709" s="6" t="e">
        <f t="shared" ca="1" si="0"/>
        <v>#NAME?</v>
      </c>
      <c r="K709" s="6" t="e">
        <f ca="1">VLOOKUP(J709,'Bảng Đơn vị'!$A$2:$B$10,2,1)</f>
        <v>#NAME?</v>
      </c>
      <c r="L709" s="15">
        <v>45854</v>
      </c>
      <c r="M709" s="8">
        <v>2025</v>
      </c>
      <c r="S709" s="9"/>
    </row>
    <row r="710" spans="1:19" ht="66" hidden="1">
      <c r="A710" s="5">
        <v>709</v>
      </c>
      <c r="B710" s="6"/>
      <c r="C710" s="6" t="str">
        <f t="shared" si="1"/>
        <v>Sự ảnh hưởng của môi trường gia đình đến sự tự tin và khả năng xã hội của sinh viên khoa Tâm lý - Giáo dục, Trường Đại học Sư Phạm - Đại học Đà Nẵng</v>
      </c>
      <c r="D710" s="5" t="s">
        <v>1151</v>
      </c>
      <c r="E710" s="5">
        <v>3200223036</v>
      </c>
      <c r="F710" s="5" t="s">
        <v>1008</v>
      </c>
      <c r="G710" s="6"/>
      <c r="H710" s="6"/>
      <c r="I710" s="5" t="s">
        <v>1010</v>
      </c>
      <c r="J710" s="6" t="e">
        <f t="shared" ca="1" si="0"/>
        <v>#NAME?</v>
      </c>
      <c r="K710" s="6" t="e">
        <f ca="1">VLOOKUP(J710,'Bảng Đơn vị'!$A$2:$B$10,2,1)</f>
        <v>#NAME?</v>
      </c>
      <c r="L710" s="15">
        <v>45855</v>
      </c>
      <c r="M710" s="8">
        <v>2025</v>
      </c>
      <c r="S710" s="9"/>
    </row>
    <row r="711" spans="1:19" ht="52.8" hidden="1">
      <c r="A711" s="5">
        <v>710</v>
      </c>
      <c r="B711" s="5" t="s">
        <v>1152</v>
      </c>
      <c r="C711" s="6" t="str">
        <f t="shared" si="1"/>
        <v>Ảnh hưởng của giáo dục gia đình đến cảm nhận hạnh phúc của sinh viên trường Đại học Sư Phạm- Đại học Đà Nẵng</v>
      </c>
      <c r="D711" s="5" t="s">
        <v>1153</v>
      </c>
      <c r="E711" s="5">
        <v>3200223121</v>
      </c>
      <c r="F711" s="5" t="s">
        <v>1008</v>
      </c>
      <c r="G711" s="5" t="s">
        <v>1147</v>
      </c>
      <c r="H711" s="6"/>
      <c r="I711" s="5" t="s">
        <v>1010</v>
      </c>
      <c r="J711" s="6" t="e">
        <f t="shared" ca="1" si="0"/>
        <v>#NAME?</v>
      </c>
      <c r="K711" s="6" t="e">
        <f ca="1">VLOOKUP(J711,'Bảng Đơn vị'!$A$2:$B$10,2,1)</f>
        <v>#NAME?</v>
      </c>
      <c r="L711" s="15">
        <v>45856</v>
      </c>
      <c r="M711" s="8">
        <v>2025</v>
      </c>
      <c r="S711" s="9"/>
    </row>
    <row r="712" spans="1:19" ht="52.8" hidden="1">
      <c r="A712" s="5">
        <v>711</v>
      </c>
      <c r="B712" s="6"/>
      <c r="C712" s="6" t="str">
        <f t="shared" si="1"/>
        <v>Ảnh hưởng của giáo dục gia đình đến cảm nhận hạnh phúc của sinh viên trường Đại học Sư Phạm- Đại học Đà Nẵng</v>
      </c>
      <c r="D712" s="5" t="s">
        <v>1154</v>
      </c>
      <c r="E712" s="5">
        <v>3200223012</v>
      </c>
      <c r="F712" s="6"/>
      <c r="G712" s="6"/>
      <c r="H712" s="6"/>
      <c r="I712" s="5" t="s">
        <v>1010</v>
      </c>
      <c r="J712" s="6" t="e">
        <f t="shared" ca="1" si="0"/>
        <v>#NAME?</v>
      </c>
      <c r="K712" s="6" t="e">
        <f ca="1">VLOOKUP(J712,'Bảng Đơn vị'!$A$2:$B$10,2,1)</f>
        <v>#NAME?</v>
      </c>
      <c r="L712" s="15">
        <v>45857</v>
      </c>
      <c r="M712" s="8">
        <v>2025</v>
      </c>
      <c r="S712" s="9"/>
    </row>
    <row r="713" spans="1:19" ht="52.8" hidden="1">
      <c r="A713" s="5">
        <v>712</v>
      </c>
      <c r="B713" s="6"/>
      <c r="C713" s="6" t="str">
        <f t="shared" si="1"/>
        <v>Ảnh hưởng của giáo dục gia đình đến cảm nhận hạnh phúc của sinh viên trường Đại học Sư Phạm- Đại học Đà Nẵng</v>
      </c>
      <c r="D713" s="5" t="s">
        <v>1155</v>
      </c>
      <c r="E713" s="5">
        <v>3200223077</v>
      </c>
      <c r="F713" s="6"/>
      <c r="G713" s="6"/>
      <c r="H713" s="6"/>
      <c r="I713" s="5" t="s">
        <v>1010</v>
      </c>
      <c r="J713" s="6" t="e">
        <f t="shared" ca="1" si="0"/>
        <v>#NAME?</v>
      </c>
      <c r="K713" s="6" t="e">
        <f ca="1">VLOOKUP(J713,'Bảng Đơn vị'!$A$2:$B$10,2,1)</f>
        <v>#NAME?</v>
      </c>
      <c r="L713" s="15">
        <v>45858</v>
      </c>
      <c r="M713" s="8">
        <v>2025</v>
      </c>
      <c r="S713" s="9"/>
    </row>
    <row r="714" spans="1:19" ht="52.8" hidden="1">
      <c r="A714" s="5">
        <v>713</v>
      </c>
      <c r="B714" s="6"/>
      <c r="C714" s="6" t="str">
        <f t="shared" si="1"/>
        <v>Ảnh hưởng của giáo dục gia đình đến cảm nhận hạnh phúc của sinh viên trường Đại học Sư Phạm- Đại học Đà Nẵng</v>
      </c>
      <c r="D714" s="5" t="s">
        <v>1156</v>
      </c>
      <c r="E714" s="5">
        <v>3200223067</v>
      </c>
      <c r="F714" s="6"/>
      <c r="G714" s="6"/>
      <c r="H714" s="6"/>
      <c r="I714" s="5" t="s">
        <v>1010</v>
      </c>
      <c r="J714" s="6" t="e">
        <f t="shared" ca="1" si="0"/>
        <v>#NAME?</v>
      </c>
      <c r="K714" s="6" t="e">
        <f ca="1">VLOOKUP(J714,'Bảng Đơn vị'!$A$2:$B$10,2,1)</f>
        <v>#NAME?</v>
      </c>
      <c r="L714" s="15">
        <v>45859</v>
      </c>
      <c r="M714" s="8">
        <v>2025</v>
      </c>
      <c r="S714" s="9"/>
    </row>
    <row r="715" spans="1:19" ht="52.8" hidden="1">
      <c r="A715" s="5">
        <v>714</v>
      </c>
      <c r="B715" s="5" t="s">
        <v>1157</v>
      </c>
      <c r="C715" s="6" t="str">
        <f t="shared" si="1"/>
        <v>Vấn đề mâu thuẫn, xung đột tâm lý giữa cha mẹ và sinh viên tâm lý giáo dục Đại học Sư phạm Đại học Đà Nẵng</v>
      </c>
      <c r="D715" s="5" t="s">
        <v>1158</v>
      </c>
      <c r="E715" s="5">
        <v>3200223029</v>
      </c>
      <c r="F715" s="5" t="s">
        <v>1016</v>
      </c>
      <c r="G715" s="5" t="s">
        <v>1159</v>
      </c>
      <c r="H715" s="6"/>
      <c r="I715" s="5" t="s">
        <v>1010</v>
      </c>
      <c r="J715" s="6" t="e">
        <f t="shared" ca="1" si="0"/>
        <v>#NAME?</v>
      </c>
      <c r="K715" s="6" t="e">
        <f ca="1">VLOOKUP(J715,'Bảng Đơn vị'!$A$2:$B$10,2,1)</f>
        <v>#NAME?</v>
      </c>
      <c r="L715" s="15">
        <v>45860</v>
      </c>
      <c r="M715" s="8">
        <v>2025</v>
      </c>
      <c r="S715" s="9"/>
    </row>
    <row r="716" spans="1:19" ht="52.8" hidden="1">
      <c r="A716" s="5">
        <v>715</v>
      </c>
      <c r="B716" s="6"/>
      <c r="C716" s="6" t="str">
        <f t="shared" si="1"/>
        <v>Vấn đề mâu thuẫn, xung đột tâm lý giữa cha mẹ và sinh viên tâm lý giáo dục Đại học Sư phạm Đại học Đà Nẵng</v>
      </c>
      <c r="D716" s="5" t="s">
        <v>1160</v>
      </c>
      <c r="E716" s="5">
        <v>3200223031</v>
      </c>
      <c r="F716" s="5" t="s">
        <v>1008</v>
      </c>
      <c r="G716" s="6"/>
      <c r="H716" s="6"/>
      <c r="I716" s="5" t="s">
        <v>1010</v>
      </c>
      <c r="J716" s="6" t="e">
        <f t="shared" ca="1" si="0"/>
        <v>#NAME?</v>
      </c>
      <c r="K716" s="6" t="e">
        <f ca="1">VLOOKUP(J716,'Bảng Đơn vị'!$A$2:$B$10,2,1)</f>
        <v>#NAME?</v>
      </c>
      <c r="L716" s="15">
        <v>45861</v>
      </c>
      <c r="M716" s="8">
        <v>2025</v>
      </c>
      <c r="S716" s="9"/>
    </row>
    <row r="717" spans="1:19" ht="52.8" hidden="1">
      <c r="A717" s="5">
        <v>716</v>
      </c>
      <c r="B717" s="6"/>
      <c r="C717" s="6" t="str">
        <f t="shared" si="1"/>
        <v>Vấn đề mâu thuẫn, xung đột tâm lý giữa cha mẹ và sinh viên tâm lý giáo dục Đại học Sư phạm Đại học Đà Nẵng</v>
      </c>
      <c r="D717" s="5" t="s">
        <v>1073</v>
      </c>
      <c r="E717" s="5">
        <v>3200223066</v>
      </c>
      <c r="F717" s="5" t="s">
        <v>1016</v>
      </c>
      <c r="G717" s="6"/>
      <c r="H717" s="6"/>
      <c r="I717" s="5" t="s">
        <v>1010</v>
      </c>
      <c r="J717" s="6" t="e">
        <f t="shared" ca="1" si="0"/>
        <v>#NAME?</v>
      </c>
      <c r="K717" s="6" t="e">
        <f ca="1">VLOOKUP(J717,'Bảng Đơn vị'!$A$2:$B$10,2,1)</f>
        <v>#NAME?</v>
      </c>
      <c r="L717" s="15">
        <v>45862</v>
      </c>
      <c r="M717" s="8">
        <v>2025</v>
      </c>
      <c r="S717" s="9"/>
    </row>
    <row r="718" spans="1:19" ht="52.8" hidden="1">
      <c r="A718" s="5">
        <v>717</v>
      </c>
      <c r="B718" s="5" t="s">
        <v>1161</v>
      </c>
      <c r="C718" s="6" t="str">
        <f t="shared" si="1"/>
        <v>Mối liên hệ giữa sức khỏe thể chất và sức khỏe tinh thần của sinh viên Đại học Đà Nẵng</v>
      </c>
      <c r="D718" s="5" t="s">
        <v>1162</v>
      </c>
      <c r="E718" s="5">
        <v>3200221234</v>
      </c>
      <c r="F718" s="5" t="s">
        <v>1163</v>
      </c>
      <c r="G718" s="5" t="s">
        <v>1164</v>
      </c>
      <c r="H718" s="6"/>
      <c r="I718" s="5" t="s">
        <v>1010</v>
      </c>
      <c r="J718" s="6" t="e">
        <f t="shared" ca="1" si="0"/>
        <v>#NAME?</v>
      </c>
      <c r="K718" s="6" t="e">
        <f ca="1">VLOOKUP(J718,'Bảng Đơn vị'!$A$2:$B$10,2,1)</f>
        <v>#NAME?</v>
      </c>
      <c r="L718" s="15">
        <v>45863</v>
      </c>
      <c r="M718" s="8">
        <v>2025</v>
      </c>
      <c r="S718" s="9"/>
    </row>
    <row r="719" spans="1:19" ht="52.8" hidden="1">
      <c r="A719" s="5">
        <v>718</v>
      </c>
      <c r="B719" s="6"/>
      <c r="C719" s="6" t="str">
        <f t="shared" si="1"/>
        <v>Mối liên hệ giữa sức khỏe thể chất và sức khỏe tinh thần của sinh viên Đại học Đà Nẵng</v>
      </c>
      <c r="D719" s="5" t="s">
        <v>1165</v>
      </c>
      <c r="E719" s="5">
        <v>3200221006</v>
      </c>
      <c r="F719" s="5" t="s">
        <v>1163</v>
      </c>
      <c r="G719" s="6"/>
      <c r="H719" s="6"/>
      <c r="I719" s="5" t="s">
        <v>1010</v>
      </c>
      <c r="J719" s="6" t="e">
        <f t="shared" ca="1" si="0"/>
        <v>#NAME?</v>
      </c>
      <c r="K719" s="6" t="e">
        <f ca="1">VLOOKUP(J719,'Bảng Đơn vị'!$A$2:$B$10,2,1)</f>
        <v>#NAME?</v>
      </c>
      <c r="L719" s="15">
        <v>45864</v>
      </c>
      <c r="M719" s="8">
        <v>2025</v>
      </c>
      <c r="S719" s="9"/>
    </row>
    <row r="720" spans="1:19" ht="52.8" hidden="1">
      <c r="A720" s="5">
        <v>719</v>
      </c>
      <c r="B720" s="6"/>
      <c r="C720" s="6" t="str">
        <f t="shared" si="1"/>
        <v>Mối liên hệ giữa sức khỏe thể chất và sức khỏe tinh thần của sinh viên Đại học Đà Nẵng</v>
      </c>
      <c r="D720" s="5" t="s">
        <v>1166</v>
      </c>
      <c r="E720" s="5">
        <v>3200221111</v>
      </c>
      <c r="F720" s="5" t="s">
        <v>1163</v>
      </c>
      <c r="G720" s="6"/>
      <c r="H720" s="6"/>
      <c r="I720" s="5" t="s">
        <v>1010</v>
      </c>
      <c r="J720" s="6" t="e">
        <f t="shared" ca="1" si="0"/>
        <v>#NAME?</v>
      </c>
      <c r="K720" s="6" t="e">
        <f ca="1">VLOOKUP(J720,'Bảng Đơn vị'!$A$2:$B$10,2,1)</f>
        <v>#NAME?</v>
      </c>
      <c r="L720" s="15">
        <v>45865</v>
      </c>
      <c r="M720" s="8">
        <v>2025</v>
      </c>
      <c r="S720" s="9"/>
    </row>
    <row r="721" spans="1:19" ht="52.8" hidden="1">
      <c r="A721" s="5">
        <v>720</v>
      </c>
      <c r="B721" s="6"/>
      <c r="C721" s="6" t="str">
        <f t="shared" si="1"/>
        <v>Mối liên hệ giữa sức khỏe thể chất và sức khỏe tinh thần của sinh viên Đại học Đà Nẵng</v>
      </c>
      <c r="D721" s="5" t="s">
        <v>693</v>
      </c>
      <c r="E721" s="5">
        <v>3200222024</v>
      </c>
      <c r="F721" s="5" t="s">
        <v>1051</v>
      </c>
      <c r="G721" s="6"/>
      <c r="H721" s="6"/>
      <c r="I721" s="5" t="s">
        <v>1010</v>
      </c>
      <c r="J721" s="6" t="e">
        <f t="shared" ca="1" si="0"/>
        <v>#NAME?</v>
      </c>
      <c r="K721" s="6" t="e">
        <f ca="1">VLOOKUP(J721,'Bảng Đơn vị'!$A$2:$B$10,2,1)</f>
        <v>#NAME?</v>
      </c>
      <c r="L721" s="15">
        <v>45866</v>
      </c>
      <c r="M721" s="8">
        <v>2025</v>
      </c>
      <c r="S721" s="9"/>
    </row>
    <row r="722" spans="1:19" ht="52.8" hidden="1">
      <c r="A722" s="5">
        <v>721</v>
      </c>
      <c r="B722" s="5" t="s">
        <v>1167</v>
      </c>
      <c r="C722" s="6" t="str">
        <f t="shared" si="1"/>
        <v>Ứng dụng liệu pháp hành vi nhận thức trong can thiệp hỗ trợ thanh niên nghiện thế giới ảo trên địa bàn thành phố Đà Nẵng</v>
      </c>
      <c r="D722" s="5" t="s">
        <v>1168</v>
      </c>
      <c r="E722" s="10">
        <v>3200223017</v>
      </c>
      <c r="F722" s="5" t="s">
        <v>1169</v>
      </c>
      <c r="G722" s="5" t="s">
        <v>1164</v>
      </c>
      <c r="H722" s="6"/>
      <c r="I722" s="5" t="s">
        <v>1010</v>
      </c>
      <c r="J722" s="6" t="e">
        <f t="shared" ca="1" si="0"/>
        <v>#NAME?</v>
      </c>
      <c r="K722" s="6" t="e">
        <f ca="1">VLOOKUP(J722,'Bảng Đơn vị'!$A$2:$B$10,2,1)</f>
        <v>#NAME?</v>
      </c>
      <c r="L722" s="15">
        <v>45867</v>
      </c>
      <c r="M722" s="8">
        <v>2025</v>
      </c>
      <c r="S722" s="9"/>
    </row>
    <row r="723" spans="1:19" ht="52.8" hidden="1">
      <c r="A723" s="5">
        <v>722</v>
      </c>
      <c r="B723" s="5" t="s">
        <v>1170</v>
      </c>
      <c r="C723" s="6" t="str">
        <f t="shared" si="1"/>
        <v>Nghiên cứu khó khăn học tập ở học sinh tiểu học và đề xuất biện pháp can thiệp cho học sinh</v>
      </c>
      <c r="D723" s="5" t="s">
        <v>1171</v>
      </c>
      <c r="E723" s="5">
        <v>3200224013</v>
      </c>
      <c r="F723" s="5" t="s">
        <v>1118</v>
      </c>
      <c r="G723" s="5" t="s">
        <v>1172</v>
      </c>
      <c r="H723" s="6"/>
      <c r="I723" s="5" t="s">
        <v>1010</v>
      </c>
      <c r="J723" s="6" t="e">
        <f t="shared" ca="1" si="0"/>
        <v>#NAME?</v>
      </c>
      <c r="K723" s="6" t="e">
        <f ca="1">VLOOKUP(J723,'Bảng Đơn vị'!$A$2:$B$10,2,1)</f>
        <v>#NAME?</v>
      </c>
      <c r="L723" s="15">
        <v>45868</v>
      </c>
      <c r="M723" s="8">
        <v>2025</v>
      </c>
      <c r="S723" s="9"/>
    </row>
    <row r="724" spans="1:19" ht="52.8" hidden="1">
      <c r="A724" s="5">
        <v>723</v>
      </c>
      <c r="B724" s="6"/>
      <c r="C724" s="6" t="str">
        <f t="shared" si="1"/>
        <v>Nghiên cứu khó khăn học tập ở học sinh tiểu học và đề xuất biện pháp can thiệp cho học sinh</v>
      </c>
      <c r="D724" s="5" t="s">
        <v>1173</v>
      </c>
      <c r="E724" s="5">
        <v>3200224117</v>
      </c>
      <c r="F724" s="5" t="s">
        <v>1118</v>
      </c>
      <c r="G724" s="6"/>
      <c r="H724" s="6"/>
      <c r="I724" s="5" t="s">
        <v>1010</v>
      </c>
      <c r="J724" s="6" t="e">
        <f t="shared" ca="1" si="0"/>
        <v>#NAME?</v>
      </c>
      <c r="K724" s="6" t="e">
        <f ca="1">VLOOKUP(J724,'Bảng Đơn vị'!$A$2:$B$10,2,1)</f>
        <v>#NAME?</v>
      </c>
      <c r="L724" s="15">
        <v>45869</v>
      </c>
      <c r="M724" s="8">
        <v>2025</v>
      </c>
      <c r="S724" s="9"/>
    </row>
    <row r="725" spans="1:19" ht="52.8" hidden="1">
      <c r="A725" s="5">
        <v>724</v>
      </c>
      <c r="B725" s="6"/>
      <c r="C725" s="6" t="str">
        <f t="shared" si="1"/>
        <v>Nghiên cứu khó khăn học tập ở học sinh tiểu học và đề xuất biện pháp can thiệp cho học sinh</v>
      </c>
      <c r="D725" s="5" t="s">
        <v>1174</v>
      </c>
      <c r="E725" s="5">
        <v>3200224048</v>
      </c>
      <c r="F725" s="5" t="s">
        <v>1118</v>
      </c>
      <c r="G725" s="6"/>
      <c r="H725" s="6"/>
      <c r="I725" s="5" t="s">
        <v>1010</v>
      </c>
      <c r="J725" s="6" t="e">
        <f t="shared" ca="1" si="0"/>
        <v>#NAME?</v>
      </c>
      <c r="K725" s="6" t="e">
        <f ca="1">VLOOKUP(J725,'Bảng Đơn vị'!$A$2:$B$10,2,1)</f>
        <v>#NAME?</v>
      </c>
      <c r="L725" s="15">
        <v>45870</v>
      </c>
      <c r="M725" s="8">
        <v>2025</v>
      </c>
      <c r="S725" s="9"/>
    </row>
    <row r="726" spans="1:19" ht="52.8" hidden="1">
      <c r="A726" s="5">
        <v>725</v>
      </c>
      <c r="B726" s="6"/>
      <c r="C726" s="6" t="str">
        <f t="shared" si="1"/>
        <v>Nghiên cứu khó khăn học tập ở học sinh tiểu học và đề xuất biện pháp can thiệp cho học sinh</v>
      </c>
      <c r="D726" s="5" t="s">
        <v>1175</v>
      </c>
      <c r="E726" s="5">
        <v>3200224050</v>
      </c>
      <c r="F726" s="5" t="s">
        <v>1118</v>
      </c>
      <c r="G726" s="6"/>
      <c r="H726" s="6"/>
      <c r="I726" s="5" t="s">
        <v>1010</v>
      </c>
      <c r="J726" s="6" t="e">
        <f t="shared" ca="1" si="0"/>
        <v>#NAME?</v>
      </c>
      <c r="K726" s="6" t="e">
        <f ca="1">VLOOKUP(J726,'Bảng Đơn vị'!$A$2:$B$10,2,1)</f>
        <v>#NAME?</v>
      </c>
      <c r="L726" s="15">
        <v>45871</v>
      </c>
      <c r="M726" s="8">
        <v>2025</v>
      </c>
      <c r="S726" s="9"/>
    </row>
    <row r="727" spans="1:19" ht="52.8" hidden="1">
      <c r="A727" s="5">
        <v>726</v>
      </c>
      <c r="B727" s="5" t="s">
        <v>1176</v>
      </c>
      <c r="C727" s="6" t="str">
        <f t="shared" si="1"/>
        <v>Theo dõi và phát hiện hiện tượng tảo nở hoa ở vùng biển Nam Trung Bộ bằng ảnh viễn thám quang học</v>
      </c>
      <c r="D727" s="5" t="s">
        <v>280</v>
      </c>
      <c r="E727" s="5">
        <v>3190123045</v>
      </c>
      <c r="F727" s="5" t="s">
        <v>1177</v>
      </c>
      <c r="G727" s="5" t="s">
        <v>1178</v>
      </c>
      <c r="H727" s="6"/>
      <c r="I727" s="5" t="s">
        <v>1179</v>
      </c>
      <c r="J727" s="6" t="e">
        <f t="shared" ca="1" si="0"/>
        <v>#NAME?</v>
      </c>
      <c r="K727" s="6" t="e">
        <f ca="1">VLOOKUP(J727,'Bảng Đơn vị'!$A$2:$B$10,2,1)</f>
        <v>#NAME?</v>
      </c>
      <c r="L727" s="15">
        <v>45872</v>
      </c>
      <c r="M727" s="8">
        <v>2025</v>
      </c>
      <c r="S727" s="9"/>
    </row>
    <row r="728" spans="1:19" ht="52.8" hidden="1">
      <c r="A728" s="5">
        <v>727</v>
      </c>
      <c r="B728" s="6"/>
      <c r="C728" s="6" t="str">
        <f t="shared" si="1"/>
        <v>Theo dõi và phát hiện hiện tượng tảo nở hoa ở vùng biển Nam Trung Bộ bằng ảnh viễn thám quang học</v>
      </c>
      <c r="D728" s="5" t="s">
        <v>1180</v>
      </c>
      <c r="E728" s="5">
        <v>3190123028</v>
      </c>
      <c r="F728" s="5" t="s">
        <v>1177</v>
      </c>
      <c r="G728" s="6"/>
      <c r="H728" s="6"/>
      <c r="I728" s="5" t="s">
        <v>1179</v>
      </c>
      <c r="J728" s="6" t="e">
        <f t="shared" ca="1" si="0"/>
        <v>#NAME?</v>
      </c>
      <c r="K728" s="6" t="e">
        <f ca="1">VLOOKUP(J728,'Bảng Đơn vị'!$A$2:$B$10,2,1)</f>
        <v>#NAME?</v>
      </c>
      <c r="L728" s="15">
        <v>45873</v>
      </c>
      <c r="M728" s="8">
        <v>2025</v>
      </c>
      <c r="S728" s="9"/>
    </row>
    <row r="729" spans="1:19" ht="52.8" hidden="1">
      <c r="A729" s="5">
        <v>728</v>
      </c>
      <c r="B729" s="6"/>
      <c r="C729" s="6" t="str">
        <f t="shared" si="1"/>
        <v>Theo dõi và phát hiện hiện tượng tảo nở hoa ở vùng biển Nam Trung Bộ bằng ảnh viễn thám quang học</v>
      </c>
      <c r="D729" s="5" t="s">
        <v>1181</v>
      </c>
      <c r="E729" s="5">
        <v>3190121053</v>
      </c>
      <c r="F729" s="5" t="s">
        <v>1182</v>
      </c>
      <c r="G729" s="6"/>
      <c r="H729" s="6"/>
      <c r="I729" s="5" t="s">
        <v>1179</v>
      </c>
      <c r="J729" s="6" t="e">
        <f t="shared" ca="1" si="0"/>
        <v>#NAME?</v>
      </c>
      <c r="K729" s="6" t="e">
        <f ca="1">VLOOKUP(J729,'Bảng Đơn vị'!$A$2:$B$10,2,1)</f>
        <v>#NAME?</v>
      </c>
      <c r="L729" s="15">
        <v>45874</v>
      </c>
      <c r="M729" s="8">
        <v>2025</v>
      </c>
      <c r="S729" s="9"/>
    </row>
    <row r="730" spans="1:19" ht="52.8" hidden="1">
      <c r="A730" s="5">
        <v>729</v>
      </c>
      <c r="B730" s="6"/>
      <c r="C730" s="6" t="str">
        <f t="shared" si="1"/>
        <v>Theo dõi và phát hiện hiện tượng tảo nở hoa ở vùng biển Nam Trung Bộ bằng ảnh viễn thám quang học</v>
      </c>
      <c r="D730" s="5" t="s">
        <v>1183</v>
      </c>
      <c r="E730" s="5">
        <v>3190123061</v>
      </c>
      <c r="F730" s="5" t="s">
        <v>1177</v>
      </c>
      <c r="G730" s="6"/>
      <c r="H730" s="6"/>
      <c r="I730" s="5" t="s">
        <v>1179</v>
      </c>
      <c r="J730" s="6" t="e">
        <f t="shared" ca="1" si="0"/>
        <v>#NAME?</v>
      </c>
      <c r="K730" s="6" t="e">
        <f ca="1">VLOOKUP(J730,'Bảng Đơn vị'!$A$2:$B$10,2,1)</f>
        <v>#NAME?</v>
      </c>
      <c r="L730" s="15">
        <v>45875</v>
      </c>
      <c r="M730" s="8">
        <v>2025</v>
      </c>
      <c r="S730" s="9"/>
    </row>
    <row r="731" spans="1:19" ht="39.6" hidden="1">
      <c r="A731" s="5">
        <v>730</v>
      </c>
      <c r="B731" s="5" t="s">
        <v>1184</v>
      </c>
      <c r="C731" s="6" t="str">
        <f t="shared" si="1"/>
        <v>Thiết kế và thử nghiệm chủ đề STEM trong dạy học Địa lí 10 THPT</v>
      </c>
      <c r="D731" s="5" t="s">
        <v>1185</v>
      </c>
      <c r="E731" s="5">
        <v>3190123015</v>
      </c>
      <c r="F731" s="5" t="s">
        <v>1177</v>
      </c>
      <c r="G731" s="5" t="s">
        <v>1186</v>
      </c>
      <c r="H731" s="6"/>
      <c r="I731" s="5" t="s">
        <v>1179</v>
      </c>
      <c r="J731" s="6" t="e">
        <f t="shared" ca="1" si="0"/>
        <v>#NAME?</v>
      </c>
      <c r="K731" s="6" t="e">
        <f ca="1">VLOOKUP(J731,'Bảng Đơn vị'!$A$2:$B$10,2,1)</f>
        <v>#NAME?</v>
      </c>
      <c r="L731" s="15">
        <v>45876</v>
      </c>
      <c r="M731" s="8">
        <v>2025</v>
      </c>
      <c r="S731" s="9"/>
    </row>
    <row r="732" spans="1:19" ht="39.6" hidden="1">
      <c r="A732" s="5">
        <v>731</v>
      </c>
      <c r="B732" s="6"/>
      <c r="C732" s="6" t="str">
        <f t="shared" si="1"/>
        <v>Thiết kế và thử nghiệm chủ đề STEM trong dạy học Địa lí 10 THPT</v>
      </c>
      <c r="D732" s="5" t="s">
        <v>1187</v>
      </c>
      <c r="E732" s="5">
        <v>3190123013</v>
      </c>
      <c r="F732" s="5" t="s">
        <v>1177</v>
      </c>
      <c r="G732" s="6"/>
      <c r="H732" s="6"/>
      <c r="I732" s="5" t="s">
        <v>1179</v>
      </c>
      <c r="J732" s="6" t="e">
        <f t="shared" ca="1" si="0"/>
        <v>#NAME?</v>
      </c>
      <c r="K732" s="6" t="e">
        <f ca="1">VLOOKUP(J732,'Bảng Đơn vị'!$A$2:$B$10,2,1)</f>
        <v>#NAME?</v>
      </c>
      <c r="L732" s="15">
        <v>45877</v>
      </c>
      <c r="M732" s="8">
        <v>2025</v>
      </c>
      <c r="S732" s="9"/>
    </row>
    <row r="733" spans="1:19" ht="39.6" hidden="1">
      <c r="A733" s="5">
        <v>732</v>
      </c>
      <c r="B733" s="6"/>
      <c r="C733" s="6" t="str">
        <f t="shared" si="1"/>
        <v>Thiết kế và thử nghiệm chủ đề STEM trong dạy học Địa lí 10 THPT</v>
      </c>
      <c r="D733" s="5" t="s">
        <v>1188</v>
      </c>
      <c r="E733" s="5">
        <v>3190123048</v>
      </c>
      <c r="F733" s="5" t="s">
        <v>1177</v>
      </c>
      <c r="G733" s="6"/>
      <c r="H733" s="6"/>
      <c r="I733" s="5" t="s">
        <v>1179</v>
      </c>
      <c r="J733" s="6" t="e">
        <f t="shared" ca="1" si="0"/>
        <v>#NAME?</v>
      </c>
      <c r="K733" s="6" t="e">
        <f ca="1">VLOOKUP(J733,'Bảng Đơn vị'!$A$2:$B$10,2,1)</f>
        <v>#NAME?</v>
      </c>
      <c r="L733" s="15">
        <v>45878</v>
      </c>
      <c r="M733" s="8">
        <v>2025</v>
      </c>
      <c r="S733" s="9"/>
    </row>
    <row r="734" spans="1:19" ht="39.6" hidden="1">
      <c r="A734" s="5">
        <v>733</v>
      </c>
      <c r="B734" s="5" t="s">
        <v>1189</v>
      </c>
      <c r="C734" s="6" t="str">
        <f t="shared" si="1"/>
        <v>Ứng dụng trò chơi tĩnh để nâng cao hiệu quả dạy học địa lí 10 THPT</v>
      </c>
      <c r="D734" s="5" t="s">
        <v>1190</v>
      </c>
      <c r="E734" s="5">
        <v>3190122051</v>
      </c>
      <c r="F734" s="5" t="s">
        <v>1191</v>
      </c>
      <c r="G734" s="5" t="s">
        <v>1186</v>
      </c>
      <c r="H734" s="6"/>
      <c r="I734" s="5" t="s">
        <v>1179</v>
      </c>
      <c r="J734" s="6" t="e">
        <f t="shared" ca="1" si="0"/>
        <v>#NAME?</v>
      </c>
      <c r="K734" s="6" t="e">
        <f ca="1">VLOOKUP(J734,'Bảng Đơn vị'!$A$2:$B$10,2,1)</f>
        <v>#NAME?</v>
      </c>
      <c r="L734" s="15">
        <v>45879</v>
      </c>
      <c r="M734" s="8">
        <v>2025</v>
      </c>
      <c r="S734" s="9"/>
    </row>
    <row r="735" spans="1:19" ht="39.6" hidden="1">
      <c r="A735" s="5">
        <v>734</v>
      </c>
      <c r="B735" s="6"/>
      <c r="C735" s="6" t="str">
        <f t="shared" si="1"/>
        <v>Ứng dụng trò chơi tĩnh để nâng cao hiệu quả dạy học địa lí 10 THPT</v>
      </c>
      <c r="D735" s="5" t="s">
        <v>1192</v>
      </c>
      <c r="E735" s="5">
        <v>3190122035</v>
      </c>
      <c r="F735" s="5" t="s">
        <v>1191</v>
      </c>
      <c r="G735" s="6"/>
      <c r="H735" s="6"/>
      <c r="I735" s="5" t="s">
        <v>1179</v>
      </c>
      <c r="J735" s="6" t="e">
        <f t="shared" ca="1" si="0"/>
        <v>#NAME?</v>
      </c>
      <c r="K735" s="6" t="e">
        <f ca="1">VLOOKUP(J735,'Bảng Đơn vị'!$A$2:$B$10,2,1)</f>
        <v>#NAME?</v>
      </c>
      <c r="L735" s="15">
        <v>45880</v>
      </c>
      <c r="M735" s="8">
        <v>2025</v>
      </c>
      <c r="S735" s="9"/>
    </row>
    <row r="736" spans="1:19" ht="39.6" hidden="1">
      <c r="A736" s="5">
        <v>735</v>
      </c>
      <c r="B736" s="6"/>
      <c r="C736" s="6" t="str">
        <f t="shared" si="1"/>
        <v>Ứng dụng trò chơi tĩnh để nâng cao hiệu quả dạy học địa lí 10 THPT</v>
      </c>
      <c r="D736" s="5" t="s">
        <v>1193</v>
      </c>
      <c r="E736" s="5">
        <v>3190122042</v>
      </c>
      <c r="F736" s="5" t="s">
        <v>1191</v>
      </c>
      <c r="G736" s="6"/>
      <c r="H736" s="6"/>
      <c r="I736" s="5" t="s">
        <v>1179</v>
      </c>
      <c r="J736" s="6" t="e">
        <f t="shared" ca="1" si="0"/>
        <v>#NAME?</v>
      </c>
      <c r="K736" s="6" t="e">
        <f ca="1">VLOOKUP(J736,'Bảng Đơn vị'!$A$2:$B$10,2,1)</f>
        <v>#NAME?</v>
      </c>
      <c r="L736" s="15">
        <v>45881</v>
      </c>
      <c r="M736" s="8">
        <v>2025</v>
      </c>
      <c r="S736" s="9"/>
    </row>
    <row r="737" spans="1:19" ht="66" hidden="1">
      <c r="A737" s="5">
        <v>736</v>
      </c>
      <c r="B737" s="5" t="s">
        <v>1194</v>
      </c>
      <c r="C737" s="6" t="str">
        <f t="shared" si="1"/>
        <v>Nghiên cứu tác động của khả năng tiếp cận địa lý đến việc lựa chọn điểm đến du lịch của du khách, trường hợp nghiên cứu tại thành phố Đà Nẵng</v>
      </c>
      <c r="D737" s="5" t="s">
        <v>1195</v>
      </c>
      <c r="E737" s="5">
        <v>3190123042</v>
      </c>
      <c r="F737" s="5" t="s">
        <v>1177</v>
      </c>
      <c r="G737" s="5" t="s">
        <v>1196</v>
      </c>
      <c r="H737" s="6"/>
      <c r="I737" s="5" t="s">
        <v>1179</v>
      </c>
      <c r="J737" s="6" t="e">
        <f t="shared" ca="1" si="0"/>
        <v>#NAME?</v>
      </c>
      <c r="K737" s="6" t="e">
        <f ca="1">VLOOKUP(J737,'Bảng Đơn vị'!$A$2:$B$10,2,1)</f>
        <v>#NAME?</v>
      </c>
      <c r="L737" s="15">
        <v>45882</v>
      </c>
      <c r="M737" s="8">
        <v>2025</v>
      </c>
      <c r="S737" s="9"/>
    </row>
    <row r="738" spans="1:19" ht="66" hidden="1">
      <c r="A738" s="5">
        <v>737</v>
      </c>
      <c r="B738" s="6"/>
      <c r="C738" s="6" t="str">
        <f t="shared" si="1"/>
        <v>Nghiên cứu tác động của khả năng tiếp cận địa lý đến việc lựa chọn điểm đến du lịch của du khách, trường hợp nghiên cứu tại thành phố Đà Nẵng</v>
      </c>
      <c r="D738" s="5" t="s">
        <v>1197</v>
      </c>
      <c r="E738" s="5">
        <v>3190123029</v>
      </c>
      <c r="F738" s="6"/>
      <c r="G738" s="6"/>
      <c r="H738" s="6"/>
      <c r="I738" s="5" t="s">
        <v>1179</v>
      </c>
      <c r="J738" s="6" t="e">
        <f t="shared" ca="1" si="0"/>
        <v>#NAME?</v>
      </c>
      <c r="K738" s="6" t="e">
        <f ca="1">VLOOKUP(J738,'Bảng Đơn vị'!$A$2:$B$10,2,1)</f>
        <v>#NAME?</v>
      </c>
      <c r="L738" s="15">
        <v>45883</v>
      </c>
      <c r="M738" s="8">
        <v>2025</v>
      </c>
      <c r="S738" s="9"/>
    </row>
    <row r="739" spans="1:19" ht="66" hidden="1">
      <c r="A739" s="5">
        <v>738</v>
      </c>
      <c r="B739" s="6"/>
      <c r="C739" s="6" t="str">
        <f t="shared" si="1"/>
        <v>Nghiên cứu tác động của khả năng tiếp cận địa lý đến việc lựa chọn điểm đến du lịch của du khách, trường hợp nghiên cứu tại thành phố Đà Nẵng</v>
      </c>
      <c r="D739" s="5" t="s">
        <v>1198</v>
      </c>
      <c r="E739" s="5">
        <v>3190123020</v>
      </c>
      <c r="F739" s="6"/>
      <c r="G739" s="6"/>
      <c r="H739" s="6"/>
      <c r="I739" s="5" t="s">
        <v>1179</v>
      </c>
      <c r="J739" s="6" t="e">
        <f t="shared" ca="1" si="0"/>
        <v>#NAME?</v>
      </c>
      <c r="K739" s="6" t="e">
        <f ca="1">VLOOKUP(J739,'Bảng Đơn vị'!$A$2:$B$10,2,1)</f>
        <v>#NAME?</v>
      </c>
      <c r="L739" s="15">
        <v>45884</v>
      </c>
      <c r="M739" s="8">
        <v>2025</v>
      </c>
      <c r="S739" s="9"/>
    </row>
    <row r="740" spans="1:19" ht="39.6" hidden="1">
      <c r="A740" s="5">
        <v>739</v>
      </c>
      <c r="B740" s="5" t="s">
        <v>1199</v>
      </c>
      <c r="C740" s="6" t="str">
        <f t="shared" si="1"/>
        <v>Nghiên cứu tiềm năng tự nhiên phục vụ phát triển du lịch TP Đà Nẵng</v>
      </c>
      <c r="D740" s="5" t="s">
        <v>1200</v>
      </c>
      <c r="E740" s="5">
        <v>3190123007</v>
      </c>
      <c r="F740" s="5" t="s">
        <v>1177</v>
      </c>
      <c r="G740" s="5" t="s">
        <v>1201</v>
      </c>
      <c r="H740" s="6"/>
      <c r="I740" s="5" t="s">
        <v>1179</v>
      </c>
      <c r="J740" s="6" t="e">
        <f t="shared" ca="1" si="0"/>
        <v>#NAME?</v>
      </c>
      <c r="K740" s="6" t="e">
        <f ca="1">VLOOKUP(J740,'Bảng Đơn vị'!$A$2:$B$10,2,1)</f>
        <v>#NAME?</v>
      </c>
      <c r="L740" s="15">
        <v>45885</v>
      </c>
      <c r="M740" s="8">
        <v>2025</v>
      </c>
      <c r="S740" s="9"/>
    </row>
    <row r="741" spans="1:19" ht="39.6" hidden="1">
      <c r="A741" s="5">
        <v>740</v>
      </c>
      <c r="B741" s="6"/>
      <c r="C741" s="6" t="str">
        <f t="shared" si="1"/>
        <v>Nghiên cứu tiềm năng tự nhiên phục vụ phát triển du lịch TP Đà Nẵng</v>
      </c>
      <c r="D741" s="5" t="s">
        <v>1202</v>
      </c>
      <c r="E741" s="5">
        <v>3190123038</v>
      </c>
      <c r="F741" s="6"/>
      <c r="G741" s="6"/>
      <c r="H741" s="6"/>
      <c r="I741" s="5" t="s">
        <v>1179</v>
      </c>
      <c r="J741" s="6" t="e">
        <f t="shared" ca="1" si="0"/>
        <v>#NAME?</v>
      </c>
      <c r="K741" s="6" t="e">
        <f ca="1">VLOOKUP(J741,'Bảng Đơn vị'!$A$2:$B$10,2,1)</f>
        <v>#NAME?</v>
      </c>
      <c r="L741" s="15">
        <v>45886</v>
      </c>
      <c r="M741" s="8">
        <v>2025</v>
      </c>
      <c r="S741" s="9"/>
    </row>
    <row r="742" spans="1:19" ht="39.6" hidden="1">
      <c r="A742" s="5">
        <v>741</v>
      </c>
      <c r="B742" s="6"/>
      <c r="C742" s="6" t="str">
        <f t="shared" si="1"/>
        <v>Nghiên cứu tiềm năng tự nhiên phục vụ phát triển du lịch TP Đà Nẵng</v>
      </c>
      <c r="D742" s="5" t="s">
        <v>1203</v>
      </c>
      <c r="E742" s="5">
        <v>3190123006</v>
      </c>
      <c r="F742" s="6"/>
      <c r="G742" s="6"/>
      <c r="H742" s="6"/>
      <c r="I742" s="5" t="s">
        <v>1179</v>
      </c>
      <c r="J742" s="6" t="e">
        <f t="shared" ca="1" si="0"/>
        <v>#NAME?</v>
      </c>
      <c r="K742" s="6" t="e">
        <f ca="1">VLOOKUP(J742,'Bảng Đơn vị'!$A$2:$B$10,2,1)</f>
        <v>#NAME?</v>
      </c>
      <c r="L742" s="15">
        <v>45887</v>
      </c>
      <c r="M742" s="8">
        <v>2025</v>
      </c>
      <c r="S742" s="9"/>
    </row>
    <row r="743" spans="1:19" ht="39.6" hidden="1">
      <c r="A743" s="5">
        <v>742</v>
      </c>
      <c r="B743" s="6"/>
      <c r="C743" s="6" t="str">
        <f t="shared" si="1"/>
        <v>Nghiên cứu tiềm năng tự nhiên phục vụ phát triển du lịch TP Đà Nẵng</v>
      </c>
      <c r="D743" s="5" t="s">
        <v>1204</v>
      </c>
      <c r="E743" s="5">
        <v>3190123012</v>
      </c>
      <c r="F743" s="6"/>
      <c r="G743" s="6"/>
      <c r="H743" s="6"/>
      <c r="I743" s="5" t="s">
        <v>1179</v>
      </c>
      <c r="J743" s="6" t="e">
        <f t="shared" ca="1" si="0"/>
        <v>#NAME?</v>
      </c>
      <c r="K743" s="6" t="e">
        <f ca="1">VLOOKUP(J743,'Bảng Đơn vị'!$A$2:$B$10,2,1)</f>
        <v>#NAME?</v>
      </c>
      <c r="L743" s="15">
        <v>45888</v>
      </c>
      <c r="M743" s="8">
        <v>2025</v>
      </c>
      <c r="S743" s="9"/>
    </row>
    <row r="744" spans="1:19" ht="66" hidden="1">
      <c r="A744" s="5">
        <v>743</v>
      </c>
      <c r="B744" s="5" t="s">
        <v>1205</v>
      </c>
      <c r="C744" s="6" t="str">
        <f t="shared" si="1"/>
        <v>Nghiên cứu tiềm năng phát triển kinh tế sau khi lấn biển xây dựng và vận hành khu thương mại tự do ở khu vực Liên Chiểu, thành phố Đà Nẵng</v>
      </c>
      <c r="D744" s="5" t="s">
        <v>1206</v>
      </c>
      <c r="E744" s="5">
        <v>3190123054</v>
      </c>
      <c r="F744" s="5" t="s">
        <v>1177</v>
      </c>
      <c r="G744" s="5" t="s">
        <v>1207</v>
      </c>
      <c r="H744" s="6"/>
      <c r="I744" s="5" t="s">
        <v>1179</v>
      </c>
      <c r="J744" s="6" t="e">
        <f t="shared" ca="1" si="0"/>
        <v>#NAME?</v>
      </c>
      <c r="K744" s="6" t="e">
        <f ca="1">VLOOKUP(J744,'Bảng Đơn vị'!$A$2:$B$10,2,1)</f>
        <v>#NAME?</v>
      </c>
      <c r="L744" s="15">
        <v>45889</v>
      </c>
      <c r="M744" s="8">
        <v>2025</v>
      </c>
      <c r="S744" s="9"/>
    </row>
    <row r="745" spans="1:19" ht="66" hidden="1">
      <c r="A745" s="5">
        <v>744</v>
      </c>
      <c r="B745" s="6"/>
      <c r="C745" s="6" t="str">
        <f t="shared" si="1"/>
        <v>Nghiên cứu tiềm năng phát triển kinh tế sau khi lấn biển xây dựng và vận hành khu thương mại tự do ở khu vực Liên Chiểu, thành phố Đà Nẵng</v>
      </c>
      <c r="D745" s="5" t="s">
        <v>1208</v>
      </c>
      <c r="E745" s="5">
        <v>3190123047</v>
      </c>
      <c r="F745" s="5" t="s">
        <v>1177</v>
      </c>
      <c r="G745" s="6"/>
      <c r="H745" s="6"/>
      <c r="I745" s="5" t="s">
        <v>1179</v>
      </c>
      <c r="J745" s="6" t="e">
        <f t="shared" ca="1" si="0"/>
        <v>#NAME?</v>
      </c>
      <c r="K745" s="6" t="e">
        <f ca="1">VLOOKUP(J745,'Bảng Đơn vị'!$A$2:$B$10,2,1)</f>
        <v>#NAME?</v>
      </c>
      <c r="L745" s="15">
        <v>45890</v>
      </c>
      <c r="M745" s="8">
        <v>2025</v>
      </c>
      <c r="S745" s="9"/>
    </row>
    <row r="746" spans="1:19" ht="66" hidden="1">
      <c r="A746" s="5">
        <v>745</v>
      </c>
      <c r="B746" s="6"/>
      <c r="C746" s="6" t="str">
        <f t="shared" si="1"/>
        <v>Nghiên cứu tiềm năng phát triển kinh tế sau khi lấn biển xây dựng và vận hành khu thương mại tự do ở khu vực Liên Chiểu, thành phố Đà Nẵng</v>
      </c>
      <c r="D746" s="5" t="s">
        <v>1209</v>
      </c>
      <c r="E746" s="5">
        <v>3190123024</v>
      </c>
      <c r="F746" s="5" t="s">
        <v>1177</v>
      </c>
      <c r="G746" s="6"/>
      <c r="H746" s="6"/>
      <c r="I746" s="5" t="s">
        <v>1179</v>
      </c>
      <c r="J746" s="6" t="e">
        <f t="shared" ca="1" si="0"/>
        <v>#NAME?</v>
      </c>
      <c r="K746" s="6" t="e">
        <f ca="1">VLOOKUP(J746,'Bảng Đơn vị'!$A$2:$B$10,2,1)</f>
        <v>#NAME?</v>
      </c>
      <c r="L746" s="15">
        <v>45891</v>
      </c>
      <c r="M746" s="8">
        <v>2025</v>
      </c>
      <c r="S746" s="9"/>
    </row>
    <row r="747" spans="1:19" ht="66" hidden="1">
      <c r="A747" s="5">
        <v>746</v>
      </c>
      <c r="B747" s="6"/>
      <c r="C747" s="6" t="str">
        <f t="shared" si="1"/>
        <v>Nghiên cứu tiềm năng phát triển kinh tế sau khi lấn biển xây dựng và vận hành khu thương mại tự do ở khu vực Liên Chiểu, thành phố Đà Nẵng</v>
      </c>
      <c r="D747" s="5" t="s">
        <v>1210</v>
      </c>
      <c r="E747" s="5">
        <v>3190423078</v>
      </c>
      <c r="F747" s="5" t="s">
        <v>1211</v>
      </c>
      <c r="G747" s="6"/>
      <c r="H747" s="6"/>
      <c r="I747" s="5" t="s">
        <v>1179</v>
      </c>
      <c r="J747" s="6" t="e">
        <f t="shared" ca="1" si="0"/>
        <v>#NAME?</v>
      </c>
      <c r="K747" s="6" t="e">
        <f ca="1">VLOOKUP(J747,'Bảng Đơn vị'!$A$2:$B$10,2,1)</f>
        <v>#NAME?</v>
      </c>
      <c r="L747" s="15">
        <v>45892</v>
      </c>
      <c r="M747" s="8">
        <v>2025</v>
      </c>
      <c r="S747" s="9"/>
    </row>
    <row r="748" spans="1:19" ht="66" hidden="1">
      <c r="A748" s="5">
        <v>747</v>
      </c>
      <c r="B748" s="6"/>
      <c r="C748" s="6" t="str">
        <f t="shared" si="1"/>
        <v>Nghiên cứu tiềm năng phát triển kinh tế sau khi lấn biển xây dựng và vận hành khu thương mại tự do ở khu vực Liên Chiểu, thành phố Đà Nẵng</v>
      </c>
      <c r="D748" s="5" t="s">
        <v>1212</v>
      </c>
      <c r="E748" s="5">
        <v>3190423048</v>
      </c>
      <c r="F748" s="5" t="s">
        <v>1211</v>
      </c>
      <c r="G748" s="6"/>
      <c r="H748" s="6"/>
      <c r="I748" s="5" t="s">
        <v>1179</v>
      </c>
      <c r="J748" s="6" t="e">
        <f t="shared" ca="1" si="0"/>
        <v>#NAME?</v>
      </c>
      <c r="K748" s="6" t="e">
        <f ca="1">VLOOKUP(J748,'Bảng Đơn vị'!$A$2:$B$10,2,1)</f>
        <v>#NAME?</v>
      </c>
      <c r="L748" s="15">
        <v>45893</v>
      </c>
      <c r="M748" s="8">
        <v>2025</v>
      </c>
      <c r="S748" s="9"/>
    </row>
    <row r="749" spans="1:19" ht="52.8" hidden="1">
      <c r="A749" s="5">
        <v>748</v>
      </c>
      <c r="B749" s="5" t="s">
        <v>1213</v>
      </c>
      <c r="C749" s="6" t="str">
        <f t="shared" si="1"/>
        <v xml:space="preserve"> Nghiên cứu mối quan hệ giữa Du lịch sinh thái và cộng đồng địa phương, lợi ích và thách thức tại thành phố Đà Nẵng</v>
      </c>
      <c r="D749" s="5" t="s">
        <v>1214</v>
      </c>
      <c r="E749" s="5">
        <v>3190423060</v>
      </c>
      <c r="F749" s="5" t="s">
        <v>1211</v>
      </c>
      <c r="G749" s="5" t="s">
        <v>1207</v>
      </c>
      <c r="H749" s="6"/>
      <c r="I749" s="5" t="s">
        <v>1179</v>
      </c>
      <c r="J749" s="6" t="e">
        <f t="shared" ca="1" si="0"/>
        <v>#NAME?</v>
      </c>
      <c r="K749" s="6" t="e">
        <f ca="1">VLOOKUP(J749,'Bảng Đơn vị'!$A$2:$B$10,2,1)</f>
        <v>#NAME?</v>
      </c>
      <c r="L749" s="15">
        <v>45894</v>
      </c>
      <c r="M749" s="8">
        <v>2025</v>
      </c>
      <c r="S749" s="9"/>
    </row>
    <row r="750" spans="1:19" ht="52.8" hidden="1">
      <c r="A750" s="5">
        <v>749</v>
      </c>
      <c r="B750" s="6"/>
      <c r="C750" s="6" t="str">
        <f t="shared" si="1"/>
        <v xml:space="preserve"> Nghiên cứu mối quan hệ giữa Du lịch sinh thái và cộng đồng địa phương, lợi ích và thách thức tại thành phố Đà Nẵng</v>
      </c>
      <c r="D750" s="5" t="s">
        <v>1215</v>
      </c>
      <c r="E750" s="5">
        <v>3190423017</v>
      </c>
      <c r="F750" s="5" t="s">
        <v>1211</v>
      </c>
      <c r="G750" s="6"/>
      <c r="H750" s="6"/>
      <c r="I750" s="5" t="s">
        <v>1179</v>
      </c>
      <c r="J750" s="6" t="e">
        <f t="shared" ca="1" si="0"/>
        <v>#NAME?</v>
      </c>
      <c r="K750" s="6" t="e">
        <f ca="1">VLOOKUP(J750,'Bảng Đơn vị'!$A$2:$B$10,2,1)</f>
        <v>#NAME?</v>
      </c>
      <c r="L750" s="15">
        <v>45895</v>
      </c>
      <c r="M750" s="8">
        <v>2025</v>
      </c>
      <c r="S750" s="9"/>
    </row>
    <row r="751" spans="1:19" ht="52.8" hidden="1">
      <c r="A751" s="5">
        <v>750</v>
      </c>
      <c r="B751" s="6"/>
      <c r="C751" s="6" t="str">
        <f t="shared" si="1"/>
        <v xml:space="preserve"> Nghiên cứu mối quan hệ giữa Du lịch sinh thái và cộng đồng địa phương, lợi ích và thách thức tại thành phố Đà Nẵng</v>
      </c>
      <c r="D751" s="5" t="s">
        <v>1216</v>
      </c>
      <c r="E751" s="5">
        <v>3190423079</v>
      </c>
      <c r="F751" s="5" t="s">
        <v>1211</v>
      </c>
      <c r="G751" s="6"/>
      <c r="H751" s="6"/>
      <c r="I751" s="5" t="s">
        <v>1179</v>
      </c>
      <c r="J751" s="6" t="e">
        <f t="shared" ca="1" si="0"/>
        <v>#NAME?</v>
      </c>
      <c r="K751" s="6" t="e">
        <f ca="1">VLOOKUP(J751,'Bảng Đơn vị'!$A$2:$B$10,2,1)</f>
        <v>#NAME?</v>
      </c>
      <c r="L751" s="15">
        <v>45896</v>
      </c>
      <c r="M751" s="8">
        <v>2025</v>
      </c>
      <c r="S751" s="9"/>
    </row>
    <row r="752" spans="1:19" ht="52.8" hidden="1">
      <c r="A752" s="5">
        <v>751</v>
      </c>
      <c r="B752" s="6"/>
      <c r="C752" s="6" t="str">
        <f t="shared" si="1"/>
        <v xml:space="preserve"> Nghiên cứu mối quan hệ giữa Du lịch sinh thái và cộng đồng địa phương, lợi ích và thách thức tại thành phố Đà Nẵng</v>
      </c>
      <c r="D752" s="5" t="s">
        <v>1217</v>
      </c>
      <c r="E752" s="5">
        <v>3190424032</v>
      </c>
      <c r="F752" s="5" t="s">
        <v>1218</v>
      </c>
      <c r="G752" s="6"/>
      <c r="H752" s="6"/>
      <c r="I752" s="5" t="s">
        <v>1179</v>
      </c>
      <c r="J752" s="6" t="e">
        <f t="shared" ca="1" si="0"/>
        <v>#NAME?</v>
      </c>
      <c r="K752" s="6" t="e">
        <f ca="1">VLOOKUP(J752,'Bảng Đơn vị'!$A$2:$B$10,2,1)</f>
        <v>#NAME?</v>
      </c>
      <c r="L752" s="15">
        <v>45897</v>
      </c>
      <c r="M752" s="8">
        <v>2025</v>
      </c>
      <c r="S752" s="9"/>
    </row>
    <row r="753" spans="1:19" ht="52.8" hidden="1">
      <c r="A753" s="5">
        <v>752</v>
      </c>
      <c r="B753" s="6"/>
      <c r="C753" s="6" t="str">
        <f t="shared" si="1"/>
        <v xml:space="preserve"> Nghiên cứu mối quan hệ giữa Du lịch sinh thái và cộng đồng địa phương, lợi ích và thách thức tại thành phố Đà Nẵng</v>
      </c>
      <c r="D753" s="5" t="s">
        <v>1219</v>
      </c>
      <c r="E753" s="5">
        <v>3190424055</v>
      </c>
      <c r="F753" s="5" t="s">
        <v>1218</v>
      </c>
      <c r="G753" s="6"/>
      <c r="H753" s="6"/>
      <c r="I753" s="5" t="s">
        <v>1179</v>
      </c>
      <c r="J753" s="6" t="e">
        <f t="shared" ca="1" si="0"/>
        <v>#NAME?</v>
      </c>
      <c r="K753" s="6" t="e">
        <f ca="1">VLOOKUP(J753,'Bảng Đơn vị'!$A$2:$B$10,2,1)</f>
        <v>#NAME?</v>
      </c>
      <c r="L753" s="15">
        <v>45898</v>
      </c>
      <c r="M753" s="8">
        <v>2025</v>
      </c>
      <c r="S753" s="9"/>
    </row>
    <row r="754" spans="1:19" ht="52.8" hidden="1">
      <c r="A754" s="5">
        <v>753</v>
      </c>
      <c r="B754" s="12" t="s">
        <v>1220</v>
      </c>
      <c r="C754" s="13" t="str">
        <f t="shared" si="1"/>
        <v>Giáo dục kỹ năng phân loại rác cho trẻ mẫu giáo 3-4 tuổi qua hoạt động vui chơi</v>
      </c>
      <c r="D754" s="12" t="s">
        <v>1221</v>
      </c>
      <c r="E754" s="12">
        <v>3230123137</v>
      </c>
      <c r="F754" s="12" t="s">
        <v>1222</v>
      </c>
      <c r="G754" s="12" t="s">
        <v>1223</v>
      </c>
      <c r="H754" s="14"/>
      <c r="I754" s="12" t="s">
        <v>1224</v>
      </c>
      <c r="J754" s="14" t="e">
        <f t="shared" ca="1" si="0"/>
        <v>#NAME?</v>
      </c>
      <c r="K754" s="14" t="e">
        <f ca="1">VLOOKUP(J754,'Bảng Đơn vị'!$A$2:$B$10,2,1)</f>
        <v>#NAME?</v>
      </c>
      <c r="L754" s="15">
        <v>45899</v>
      </c>
      <c r="M754" s="16">
        <v>2025</v>
      </c>
      <c r="S754" s="9"/>
    </row>
    <row r="755" spans="1:19" ht="52.8" hidden="1">
      <c r="A755" s="5">
        <v>754</v>
      </c>
      <c r="B755" s="14"/>
      <c r="C755" s="13" t="str">
        <f t="shared" si="1"/>
        <v>Giáo dục kỹ năng phân loại rác cho trẻ mẫu giáo 3-4 tuổi qua hoạt động vui chơi</v>
      </c>
      <c r="D755" s="12" t="s">
        <v>1225</v>
      </c>
      <c r="E755" s="12">
        <v>3230123017</v>
      </c>
      <c r="F755" s="14"/>
      <c r="G755" s="14"/>
      <c r="H755" s="14"/>
      <c r="I755" s="12" t="s">
        <v>1224</v>
      </c>
      <c r="J755" s="14" t="e">
        <f t="shared" ca="1" si="0"/>
        <v>#NAME?</v>
      </c>
      <c r="K755" s="14" t="e">
        <f ca="1">VLOOKUP(J755,'Bảng Đơn vị'!$A$2:$B$10,2,1)</f>
        <v>#NAME?</v>
      </c>
      <c r="L755" s="15">
        <v>45900</v>
      </c>
      <c r="M755" s="16">
        <v>2025</v>
      </c>
      <c r="S755" s="9"/>
    </row>
    <row r="756" spans="1:19" ht="52.8" hidden="1">
      <c r="A756" s="5">
        <v>755</v>
      </c>
      <c r="B756" s="14"/>
      <c r="C756" s="13" t="str">
        <f t="shared" si="1"/>
        <v>Giáo dục kỹ năng phân loại rác cho trẻ mẫu giáo 3-4 tuổi qua hoạt động vui chơi</v>
      </c>
      <c r="D756" s="12" t="s">
        <v>882</v>
      </c>
      <c r="E756" s="12">
        <v>3230123123</v>
      </c>
      <c r="F756" s="14"/>
      <c r="G756" s="14"/>
      <c r="H756" s="14"/>
      <c r="I756" s="12" t="s">
        <v>1224</v>
      </c>
      <c r="J756" s="14" t="e">
        <f t="shared" ca="1" si="0"/>
        <v>#NAME?</v>
      </c>
      <c r="K756" s="14" t="e">
        <f ca="1">VLOOKUP(J756,'Bảng Đơn vị'!$A$2:$B$10,2,1)</f>
        <v>#NAME?</v>
      </c>
      <c r="L756" s="15">
        <v>45901</v>
      </c>
      <c r="M756" s="16">
        <v>2025</v>
      </c>
      <c r="S756" s="9"/>
    </row>
    <row r="757" spans="1:19" ht="52.8" hidden="1">
      <c r="A757" s="5">
        <v>756</v>
      </c>
      <c r="B757" s="14"/>
      <c r="C757" s="13" t="str">
        <f t="shared" si="1"/>
        <v>Giáo dục kỹ năng phân loại rác cho trẻ mẫu giáo 3-4 tuổi qua hoạt động vui chơi</v>
      </c>
      <c r="D757" s="12" t="s">
        <v>1226</v>
      </c>
      <c r="E757" s="12">
        <v>3230123061</v>
      </c>
      <c r="F757" s="14"/>
      <c r="G757" s="14"/>
      <c r="H757" s="14"/>
      <c r="I757" s="12" t="s">
        <v>1224</v>
      </c>
      <c r="J757" s="14" t="e">
        <f t="shared" ca="1" si="0"/>
        <v>#NAME?</v>
      </c>
      <c r="K757" s="14" t="e">
        <f ca="1">VLOOKUP(J757,'Bảng Đơn vị'!$A$2:$B$10,2,1)</f>
        <v>#NAME?</v>
      </c>
      <c r="L757" s="15">
        <v>45902</v>
      </c>
      <c r="M757" s="16">
        <v>2025</v>
      </c>
      <c r="S757" s="9"/>
    </row>
    <row r="758" spans="1:19" ht="52.8" hidden="1">
      <c r="A758" s="5">
        <v>757</v>
      </c>
      <c r="B758" s="14"/>
      <c r="C758" s="13" t="str">
        <f t="shared" si="1"/>
        <v>Giáo dục kỹ năng phân loại rác cho trẻ mẫu giáo 3-4 tuổi qua hoạt động vui chơi</v>
      </c>
      <c r="D758" s="12" t="s">
        <v>1227</v>
      </c>
      <c r="E758" s="12">
        <v>3230123053</v>
      </c>
      <c r="F758" s="14"/>
      <c r="G758" s="14"/>
      <c r="H758" s="14"/>
      <c r="I758" s="12" t="s">
        <v>1224</v>
      </c>
      <c r="J758" s="14" t="e">
        <f t="shared" ca="1" si="0"/>
        <v>#NAME?</v>
      </c>
      <c r="K758" s="14" t="e">
        <f ca="1">VLOOKUP(J758,'Bảng Đơn vị'!$A$2:$B$10,2,1)</f>
        <v>#NAME?</v>
      </c>
      <c r="L758" s="15">
        <v>45903</v>
      </c>
      <c r="M758" s="16">
        <v>2025</v>
      </c>
      <c r="S758" s="9"/>
    </row>
    <row r="759" spans="1:19" ht="52.8" hidden="1">
      <c r="A759" s="5">
        <v>758</v>
      </c>
      <c r="B759" s="12" t="s">
        <v>1228</v>
      </c>
      <c r="C759" s="13" t="str">
        <f t="shared" si="1"/>
        <v>Thiết kế đồ chơi từ vật liệu tái chế nhằm giúp trẻ mẫu giáo 5-6 tuổi khám phá khoa học</v>
      </c>
      <c r="D759" s="12" t="s">
        <v>1229</v>
      </c>
      <c r="E759" s="12">
        <v>3230123117</v>
      </c>
      <c r="F759" s="12" t="s">
        <v>1222</v>
      </c>
      <c r="G759" s="12" t="s">
        <v>1223</v>
      </c>
      <c r="H759" s="14"/>
      <c r="I759" s="12" t="s">
        <v>1224</v>
      </c>
      <c r="J759" s="14" t="e">
        <f t="shared" ca="1" si="0"/>
        <v>#NAME?</v>
      </c>
      <c r="K759" s="14" t="e">
        <f ca="1">VLOOKUP(J759,'Bảng Đơn vị'!$A$2:$B$10,2,1)</f>
        <v>#NAME?</v>
      </c>
      <c r="L759" s="15">
        <v>45904</v>
      </c>
      <c r="M759" s="16">
        <v>2025</v>
      </c>
      <c r="S759" s="9"/>
    </row>
    <row r="760" spans="1:19" ht="52.8" hidden="1">
      <c r="A760" s="5">
        <v>759</v>
      </c>
      <c r="B760" s="14"/>
      <c r="C760" s="13" t="str">
        <f t="shared" si="1"/>
        <v>Thiết kế đồ chơi từ vật liệu tái chế nhằm giúp trẻ mẫu giáo 5-6 tuổi khám phá khoa học</v>
      </c>
      <c r="D760" s="12" t="s">
        <v>1230</v>
      </c>
      <c r="E760" s="12">
        <v>3230123113</v>
      </c>
      <c r="F760" s="12" t="s">
        <v>1222</v>
      </c>
      <c r="G760" s="14"/>
      <c r="H760" s="14"/>
      <c r="I760" s="12" t="s">
        <v>1224</v>
      </c>
      <c r="J760" s="14" t="e">
        <f t="shared" ca="1" si="0"/>
        <v>#NAME?</v>
      </c>
      <c r="K760" s="14" t="e">
        <f ca="1">VLOOKUP(J760,'Bảng Đơn vị'!$A$2:$B$10,2,1)</f>
        <v>#NAME?</v>
      </c>
      <c r="L760" s="15">
        <v>45905</v>
      </c>
      <c r="M760" s="16">
        <v>2025</v>
      </c>
      <c r="S760" s="9"/>
    </row>
    <row r="761" spans="1:19" ht="52.8" hidden="1">
      <c r="A761" s="5">
        <v>760</v>
      </c>
      <c r="B761" s="14"/>
      <c r="C761" s="13" t="str">
        <f t="shared" si="1"/>
        <v>Thiết kế đồ chơi từ vật liệu tái chế nhằm giúp trẻ mẫu giáo 5-6 tuổi khám phá khoa học</v>
      </c>
      <c r="D761" s="12" t="s">
        <v>1231</v>
      </c>
      <c r="E761" s="12">
        <v>3230123109</v>
      </c>
      <c r="F761" s="12" t="s">
        <v>1222</v>
      </c>
      <c r="G761" s="14"/>
      <c r="H761" s="14"/>
      <c r="I761" s="12" t="s">
        <v>1224</v>
      </c>
      <c r="J761" s="14" t="e">
        <f t="shared" ca="1" si="0"/>
        <v>#NAME?</v>
      </c>
      <c r="K761" s="14" t="e">
        <f ca="1">VLOOKUP(J761,'Bảng Đơn vị'!$A$2:$B$10,2,1)</f>
        <v>#NAME?</v>
      </c>
      <c r="L761" s="15">
        <v>45906</v>
      </c>
      <c r="M761" s="16">
        <v>2025</v>
      </c>
      <c r="S761" s="9"/>
    </row>
    <row r="762" spans="1:19" ht="52.8" hidden="1">
      <c r="A762" s="5">
        <v>761</v>
      </c>
      <c r="B762" s="14"/>
      <c r="C762" s="13" t="str">
        <f t="shared" si="1"/>
        <v>Thiết kế đồ chơi từ vật liệu tái chế nhằm giúp trẻ mẫu giáo 5-6 tuổi khám phá khoa học</v>
      </c>
      <c r="D762" s="12" t="s">
        <v>1232</v>
      </c>
      <c r="E762" s="12">
        <v>3230122148</v>
      </c>
      <c r="F762" s="12" t="s">
        <v>1233</v>
      </c>
      <c r="G762" s="14"/>
      <c r="H762" s="14"/>
      <c r="I762" s="12" t="s">
        <v>1224</v>
      </c>
      <c r="J762" s="14" t="e">
        <f t="shared" ca="1" si="0"/>
        <v>#NAME?</v>
      </c>
      <c r="K762" s="14" t="e">
        <f ca="1">VLOOKUP(J762,'Bảng Đơn vị'!$A$2:$B$10,2,1)</f>
        <v>#NAME?</v>
      </c>
      <c r="L762" s="15">
        <v>45907</v>
      </c>
      <c r="M762" s="16">
        <v>2025</v>
      </c>
      <c r="S762" s="9"/>
    </row>
    <row r="763" spans="1:19" ht="52.8" hidden="1">
      <c r="A763" s="5">
        <v>762</v>
      </c>
      <c r="B763" s="14"/>
      <c r="C763" s="13" t="str">
        <f t="shared" si="1"/>
        <v>Thiết kế đồ chơi từ vật liệu tái chế nhằm giúp trẻ mẫu giáo 5-6 tuổi khám phá khoa học</v>
      </c>
      <c r="D763" s="12" t="s">
        <v>1234</v>
      </c>
      <c r="E763" s="12">
        <v>3230123060</v>
      </c>
      <c r="F763" s="12" t="s">
        <v>1235</v>
      </c>
      <c r="G763" s="14"/>
      <c r="H763" s="14"/>
      <c r="I763" s="12" t="s">
        <v>1224</v>
      </c>
      <c r="J763" s="14" t="e">
        <f t="shared" ca="1" si="0"/>
        <v>#NAME?</v>
      </c>
      <c r="K763" s="14" t="e">
        <f ca="1">VLOOKUP(J763,'Bảng Đơn vị'!$A$2:$B$10,2,1)</f>
        <v>#NAME?</v>
      </c>
      <c r="L763" s="15">
        <v>45908</v>
      </c>
      <c r="M763" s="16">
        <v>2025</v>
      </c>
      <c r="S763" s="9"/>
    </row>
    <row r="764" spans="1:19" ht="52.8" hidden="1">
      <c r="A764" s="5">
        <v>763</v>
      </c>
      <c r="B764" s="12" t="s">
        <v>1236</v>
      </c>
      <c r="C764" s="13" t="str">
        <f t="shared" si="1"/>
        <v>Các biện pháp giáo dục giới tính cho trẻ 5-6 tuổi thông qua hoạt động vui chơi</v>
      </c>
      <c r="D764" s="12" t="s">
        <v>1237</v>
      </c>
      <c r="E764" s="12">
        <v>3230123177</v>
      </c>
      <c r="F764" s="12" t="s">
        <v>1222</v>
      </c>
      <c r="G764" s="12" t="s">
        <v>1159</v>
      </c>
      <c r="H764" s="14"/>
      <c r="I764" s="12" t="s">
        <v>1224</v>
      </c>
      <c r="J764" s="14" t="e">
        <f t="shared" ca="1" si="0"/>
        <v>#NAME?</v>
      </c>
      <c r="K764" s="14" t="e">
        <f ca="1">VLOOKUP(J764,'Bảng Đơn vị'!$A$2:$B$10,2,1)</f>
        <v>#NAME?</v>
      </c>
      <c r="L764" s="15">
        <v>45909</v>
      </c>
      <c r="M764" s="16">
        <v>2025</v>
      </c>
      <c r="S764" s="9"/>
    </row>
    <row r="765" spans="1:19" ht="52.8" hidden="1">
      <c r="A765" s="5">
        <v>764</v>
      </c>
      <c r="B765" s="14"/>
      <c r="C765" s="13" t="str">
        <f t="shared" si="1"/>
        <v>Các biện pháp giáo dục giới tính cho trẻ 5-6 tuổi thông qua hoạt động vui chơi</v>
      </c>
      <c r="D765" s="12" t="s">
        <v>1238</v>
      </c>
      <c r="E765" s="12">
        <v>3230123105</v>
      </c>
      <c r="F765" s="14"/>
      <c r="G765" s="14"/>
      <c r="H765" s="14"/>
      <c r="I765" s="12" t="s">
        <v>1224</v>
      </c>
      <c r="J765" s="14" t="e">
        <f t="shared" ca="1" si="0"/>
        <v>#NAME?</v>
      </c>
      <c r="K765" s="14" t="e">
        <f ca="1">VLOOKUP(J765,'Bảng Đơn vị'!$A$2:$B$10,2,1)</f>
        <v>#NAME?</v>
      </c>
      <c r="L765" s="15">
        <v>45910</v>
      </c>
      <c r="M765" s="16">
        <v>2025</v>
      </c>
      <c r="S765" s="9"/>
    </row>
    <row r="766" spans="1:19" ht="52.8" hidden="1">
      <c r="A766" s="5">
        <v>765</v>
      </c>
      <c r="B766" s="14"/>
      <c r="C766" s="13" t="str">
        <f t="shared" si="1"/>
        <v>Các biện pháp giáo dục giới tính cho trẻ 5-6 tuổi thông qua hoạt động vui chơi</v>
      </c>
      <c r="D766" s="12" t="s">
        <v>1239</v>
      </c>
      <c r="E766" s="12">
        <v>3230123153</v>
      </c>
      <c r="F766" s="14"/>
      <c r="G766" s="14"/>
      <c r="H766" s="14"/>
      <c r="I766" s="12" t="s">
        <v>1224</v>
      </c>
      <c r="J766" s="14" t="e">
        <f t="shared" ca="1" si="0"/>
        <v>#NAME?</v>
      </c>
      <c r="K766" s="14" t="e">
        <f ca="1">VLOOKUP(J766,'Bảng Đơn vị'!$A$2:$B$10,2,1)</f>
        <v>#NAME?</v>
      </c>
      <c r="L766" s="15">
        <v>45911</v>
      </c>
      <c r="M766" s="16">
        <v>2025</v>
      </c>
      <c r="S766" s="9"/>
    </row>
    <row r="767" spans="1:19" ht="52.8" hidden="1">
      <c r="A767" s="5">
        <v>766</v>
      </c>
      <c r="B767" s="14"/>
      <c r="C767" s="13" t="str">
        <f t="shared" si="1"/>
        <v>Các biện pháp giáo dục giới tính cho trẻ 5-6 tuổi thông qua hoạt động vui chơi</v>
      </c>
      <c r="D767" s="12" t="s">
        <v>1240</v>
      </c>
      <c r="E767" s="12">
        <v>3230123001</v>
      </c>
      <c r="F767" s="14"/>
      <c r="G767" s="14"/>
      <c r="H767" s="14"/>
      <c r="I767" s="12" t="s">
        <v>1224</v>
      </c>
      <c r="J767" s="14" t="e">
        <f t="shared" ca="1" si="0"/>
        <v>#NAME?</v>
      </c>
      <c r="K767" s="14" t="e">
        <f ca="1">VLOOKUP(J767,'Bảng Đơn vị'!$A$2:$B$10,2,1)</f>
        <v>#NAME?</v>
      </c>
      <c r="L767" s="15">
        <v>45912</v>
      </c>
      <c r="M767" s="16">
        <v>2025</v>
      </c>
      <c r="S767" s="9"/>
    </row>
    <row r="768" spans="1:19" ht="52.8" hidden="1">
      <c r="A768" s="5">
        <v>767</v>
      </c>
      <c r="B768" s="14"/>
      <c r="C768" s="13" t="str">
        <f t="shared" si="1"/>
        <v>Các biện pháp giáo dục giới tính cho trẻ 5-6 tuổi thông qua hoạt động vui chơi</v>
      </c>
      <c r="D768" s="12" t="s">
        <v>1241</v>
      </c>
      <c r="E768" s="12">
        <v>3230123182</v>
      </c>
      <c r="F768" s="14"/>
      <c r="G768" s="14"/>
      <c r="H768" s="14"/>
      <c r="I768" s="12" t="s">
        <v>1224</v>
      </c>
      <c r="J768" s="14" t="e">
        <f t="shared" ca="1" si="0"/>
        <v>#NAME?</v>
      </c>
      <c r="K768" s="14" t="e">
        <f ca="1">VLOOKUP(J768,'Bảng Đơn vị'!$A$2:$B$10,2,1)</f>
        <v>#NAME?</v>
      </c>
      <c r="L768" s="15">
        <v>45913</v>
      </c>
      <c r="M768" s="16">
        <v>2025</v>
      </c>
      <c r="S768" s="9"/>
    </row>
    <row r="769" spans="1:19" ht="52.8" hidden="1">
      <c r="A769" s="5">
        <v>768</v>
      </c>
      <c r="B769" s="12" t="s">
        <v>1242</v>
      </c>
      <c r="C769" s="13" t="str">
        <f t="shared" si="1"/>
        <v>Giáo dục kỹ năng xã hội cho trẻ mẫu giáo 4-5 tuổi thông qua hoạt động vui chơi</v>
      </c>
      <c r="D769" s="12" t="s">
        <v>1243</v>
      </c>
      <c r="E769" s="12">
        <v>3230123007</v>
      </c>
      <c r="F769" s="12" t="s">
        <v>1222</v>
      </c>
      <c r="G769" s="12" t="s">
        <v>1244</v>
      </c>
      <c r="H769" s="14"/>
      <c r="I769" s="12" t="s">
        <v>1224</v>
      </c>
      <c r="J769" s="14" t="e">
        <f t="shared" ca="1" si="0"/>
        <v>#NAME?</v>
      </c>
      <c r="K769" s="14" t="e">
        <f ca="1">VLOOKUP(J769,'Bảng Đơn vị'!$A$2:$B$10,2,1)</f>
        <v>#NAME?</v>
      </c>
      <c r="L769" s="15">
        <v>45914</v>
      </c>
      <c r="M769" s="16">
        <v>2025</v>
      </c>
      <c r="S769" s="9"/>
    </row>
    <row r="770" spans="1:19" ht="52.8" hidden="1">
      <c r="A770" s="5">
        <v>769</v>
      </c>
      <c r="B770" s="14"/>
      <c r="C770" s="13" t="str">
        <f t="shared" si="1"/>
        <v>Giáo dục kỹ năng xã hội cho trẻ mẫu giáo 4-5 tuổi thông qua hoạt động vui chơi</v>
      </c>
      <c r="D770" s="12" t="s">
        <v>1245</v>
      </c>
      <c r="E770" s="12">
        <v>3230123005</v>
      </c>
      <c r="F770" s="14"/>
      <c r="G770" s="14"/>
      <c r="H770" s="14"/>
      <c r="I770" s="12" t="s">
        <v>1224</v>
      </c>
      <c r="J770" s="14" t="e">
        <f t="shared" ca="1" si="0"/>
        <v>#NAME?</v>
      </c>
      <c r="K770" s="14" t="e">
        <f ca="1">VLOOKUP(J770,'Bảng Đơn vị'!$A$2:$B$10,2,1)</f>
        <v>#NAME?</v>
      </c>
      <c r="L770" s="15">
        <v>45915</v>
      </c>
      <c r="M770" s="16">
        <v>2025</v>
      </c>
      <c r="S770" s="9"/>
    </row>
    <row r="771" spans="1:19" ht="52.8" hidden="1">
      <c r="A771" s="5">
        <v>770</v>
      </c>
      <c r="B771" s="14"/>
      <c r="C771" s="13" t="str">
        <f t="shared" si="1"/>
        <v>Giáo dục kỹ năng xã hội cho trẻ mẫu giáo 4-5 tuổi thông qua hoạt động vui chơi</v>
      </c>
      <c r="D771" s="12" t="s">
        <v>1246</v>
      </c>
      <c r="E771" s="12">
        <v>3230123196</v>
      </c>
      <c r="F771" s="14"/>
      <c r="G771" s="14"/>
      <c r="H771" s="14"/>
      <c r="I771" s="12" t="s">
        <v>1224</v>
      </c>
      <c r="J771" s="14" t="e">
        <f t="shared" ca="1" si="0"/>
        <v>#NAME?</v>
      </c>
      <c r="K771" s="14" t="e">
        <f ca="1">VLOOKUP(J771,'Bảng Đơn vị'!$A$2:$B$10,2,1)</f>
        <v>#NAME?</v>
      </c>
      <c r="L771" s="15">
        <v>45916</v>
      </c>
      <c r="M771" s="16">
        <v>2025</v>
      </c>
      <c r="S771" s="9"/>
    </row>
    <row r="772" spans="1:19" ht="52.8" hidden="1">
      <c r="A772" s="5">
        <v>771</v>
      </c>
      <c r="B772" s="14"/>
      <c r="C772" s="13" t="str">
        <f t="shared" si="1"/>
        <v>Giáo dục kỹ năng xã hội cho trẻ mẫu giáo 4-5 tuổi thông qua hoạt động vui chơi</v>
      </c>
      <c r="D772" s="12" t="s">
        <v>1247</v>
      </c>
      <c r="E772" s="12">
        <v>3230123073</v>
      </c>
      <c r="F772" s="14"/>
      <c r="G772" s="14"/>
      <c r="H772" s="14"/>
      <c r="I772" s="12" t="s">
        <v>1224</v>
      </c>
      <c r="J772" s="14" t="e">
        <f t="shared" ca="1" si="0"/>
        <v>#NAME?</v>
      </c>
      <c r="K772" s="14" t="e">
        <f ca="1">VLOOKUP(J772,'Bảng Đơn vị'!$A$2:$B$10,2,1)</f>
        <v>#NAME?</v>
      </c>
      <c r="L772" s="15">
        <v>45917</v>
      </c>
      <c r="M772" s="16">
        <v>2025</v>
      </c>
      <c r="S772" s="9"/>
    </row>
    <row r="773" spans="1:19" ht="52.8" hidden="1">
      <c r="A773" s="5">
        <v>772</v>
      </c>
      <c r="B773" s="12" t="s">
        <v>1248</v>
      </c>
      <c r="C773" s="13" t="str">
        <f t="shared" si="1"/>
        <v xml:space="preserve">Nghiên cứu thực trạng biếng ăn ở trẻ mẫu giáo 3-4 tuổi </v>
      </c>
      <c r="D773" s="12" t="s">
        <v>1249</v>
      </c>
      <c r="E773" s="12">
        <v>3230123175</v>
      </c>
      <c r="F773" s="12" t="s">
        <v>1222</v>
      </c>
      <c r="G773" s="12" t="s">
        <v>1244</v>
      </c>
      <c r="H773" s="14"/>
      <c r="I773" s="12" t="s">
        <v>1224</v>
      </c>
      <c r="J773" s="14" t="e">
        <f t="shared" ca="1" si="0"/>
        <v>#NAME?</v>
      </c>
      <c r="K773" s="14" t="e">
        <f ca="1">VLOOKUP(J773,'Bảng Đơn vị'!$A$2:$B$10,2,1)</f>
        <v>#NAME?</v>
      </c>
      <c r="L773" s="15">
        <v>45918</v>
      </c>
      <c r="M773" s="16">
        <v>2025</v>
      </c>
      <c r="S773" s="9"/>
    </row>
    <row r="774" spans="1:19" ht="52.8" hidden="1">
      <c r="A774" s="5">
        <v>773</v>
      </c>
      <c r="B774" s="14"/>
      <c r="C774" s="13" t="str">
        <f t="shared" si="1"/>
        <v xml:space="preserve">Nghiên cứu thực trạng biếng ăn ở trẻ mẫu giáo 3-4 tuổi </v>
      </c>
      <c r="D774" s="12" t="s">
        <v>1250</v>
      </c>
      <c r="E774" s="12">
        <v>3230123057</v>
      </c>
      <c r="F774" s="14"/>
      <c r="G774" s="14"/>
      <c r="H774" s="14"/>
      <c r="I774" s="12" t="s">
        <v>1224</v>
      </c>
      <c r="J774" s="14" t="e">
        <f t="shared" ca="1" si="0"/>
        <v>#NAME?</v>
      </c>
      <c r="K774" s="14" t="e">
        <f ca="1">VLOOKUP(J774,'Bảng Đơn vị'!$A$2:$B$10,2,1)</f>
        <v>#NAME?</v>
      </c>
      <c r="L774" s="15">
        <v>45919</v>
      </c>
      <c r="M774" s="16">
        <v>2025</v>
      </c>
      <c r="S774" s="9"/>
    </row>
    <row r="775" spans="1:19" ht="52.8" hidden="1">
      <c r="A775" s="5">
        <v>774</v>
      </c>
      <c r="B775" s="14"/>
      <c r="C775" s="13" t="str">
        <f t="shared" si="1"/>
        <v xml:space="preserve">Nghiên cứu thực trạng biếng ăn ở trẻ mẫu giáo 3-4 tuổi </v>
      </c>
      <c r="D775" s="12" t="s">
        <v>1251</v>
      </c>
      <c r="E775" s="12">
        <v>3230123023</v>
      </c>
      <c r="F775" s="14"/>
      <c r="G775" s="14"/>
      <c r="H775" s="14"/>
      <c r="I775" s="12" t="s">
        <v>1224</v>
      </c>
      <c r="J775" s="14" t="e">
        <f t="shared" ca="1" si="0"/>
        <v>#NAME?</v>
      </c>
      <c r="K775" s="14" t="e">
        <f ca="1">VLOOKUP(J775,'Bảng Đơn vị'!$A$2:$B$10,2,1)</f>
        <v>#NAME?</v>
      </c>
      <c r="L775" s="15">
        <v>45920</v>
      </c>
      <c r="M775" s="16">
        <v>2025</v>
      </c>
      <c r="S775" s="9"/>
    </row>
    <row r="776" spans="1:19" ht="52.8" hidden="1">
      <c r="A776" s="5">
        <v>775</v>
      </c>
      <c r="B776" s="14"/>
      <c r="C776" s="13" t="str">
        <f t="shared" si="1"/>
        <v xml:space="preserve">Nghiên cứu thực trạng biếng ăn ở trẻ mẫu giáo 3-4 tuổi </v>
      </c>
      <c r="D776" s="12" t="s">
        <v>1252</v>
      </c>
      <c r="E776" s="12">
        <v>3230123049</v>
      </c>
      <c r="F776" s="14"/>
      <c r="G776" s="14"/>
      <c r="H776" s="14"/>
      <c r="I776" s="12" t="s">
        <v>1224</v>
      </c>
      <c r="J776" s="14" t="e">
        <f t="shared" ca="1" si="0"/>
        <v>#NAME?</v>
      </c>
      <c r="K776" s="14" t="e">
        <f ca="1">VLOOKUP(J776,'Bảng Đơn vị'!$A$2:$B$10,2,1)</f>
        <v>#NAME?</v>
      </c>
      <c r="L776" s="15">
        <v>45921</v>
      </c>
      <c r="M776" s="16">
        <v>2025</v>
      </c>
      <c r="S776" s="9"/>
    </row>
    <row r="777" spans="1:19" ht="52.8" hidden="1">
      <c r="A777" s="5">
        <v>776</v>
      </c>
      <c r="B777" s="14"/>
      <c r="C777" s="13" t="str">
        <f t="shared" si="1"/>
        <v xml:space="preserve">Nghiên cứu thực trạng biếng ăn ở trẻ mẫu giáo 3-4 tuổi </v>
      </c>
      <c r="D777" s="12" t="s">
        <v>1253</v>
      </c>
      <c r="E777" s="12">
        <v>3230123081</v>
      </c>
      <c r="F777" s="14"/>
      <c r="G777" s="14"/>
      <c r="H777" s="14"/>
      <c r="I777" s="12" t="s">
        <v>1224</v>
      </c>
      <c r="J777" s="14" t="e">
        <f t="shared" ca="1" si="0"/>
        <v>#NAME?</v>
      </c>
      <c r="K777" s="14" t="e">
        <f ca="1">VLOOKUP(J777,'Bảng Đơn vị'!$A$2:$B$10,2,1)</f>
        <v>#NAME?</v>
      </c>
      <c r="L777" s="15">
        <v>45922</v>
      </c>
      <c r="M777" s="16">
        <v>2025</v>
      </c>
      <c r="S777" s="9"/>
    </row>
    <row r="778" spans="1:19" ht="145.19999999999999" hidden="1">
      <c r="A778" s="5">
        <v>777</v>
      </c>
      <c r="B778" s="12" t="s">
        <v>1254</v>
      </c>
      <c r="C778" s="13" t="str">
        <f t="shared" si="1"/>
        <v>Làm đồ chơi cho trẻ em mầm non từ nguyên liệu tự nhiên</v>
      </c>
      <c r="D778" s="12" t="s">
        <v>1255</v>
      </c>
      <c r="E778" s="12">
        <v>3230123181</v>
      </c>
      <c r="F778" s="12" t="s">
        <v>1222</v>
      </c>
      <c r="G778" s="12" t="s">
        <v>1256</v>
      </c>
      <c r="H778" s="12" t="s">
        <v>293</v>
      </c>
      <c r="I778" s="12" t="s">
        <v>1224</v>
      </c>
      <c r="J778" s="14" t="e">
        <f t="shared" ca="1" si="0"/>
        <v>#NAME?</v>
      </c>
      <c r="K778" s="14" t="e">
        <f ca="1">VLOOKUP(J778,'Bảng Đơn vị'!$A$2:$B$10,2,1)</f>
        <v>#NAME?</v>
      </c>
      <c r="L778" s="15">
        <v>45923</v>
      </c>
      <c r="M778" s="16">
        <v>2025</v>
      </c>
      <c r="S778" s="9"/>
    </row>
    <row r="779" spans="1:19" ht="52.8" hidden="1">
      <c r="A779" s="5">
        <v>778</v>
      </c>
      <c r="B779" s="14"/>
      <c r="C779" s="13" t="str">
        <f t="shared" si="1"/>
        <v>Làm đồ chơi cho trẻ em mầm non từ nguyên liệu tự nhiên</v>
      </c>
      <c r="D779" s="12" t="s">
        <v>1257</v>
      </c>
      <c r="E779" s="12">
        <v>3230123028</v>
      </c>
      <c r="F779" s="14"/>
      <c r="G779" s="14"/>
      <c r="H779" s="14"/>
      <c r="I779" s="12" t="s">
        <v>1224</v>
      </c>
      <c r="J779" s="14" t="e">
        <f t="shared" ca="1" si="0"/>
        <v>#NAME?</v>
      </c>
      <c r="K779" s="14" t="e">
        <f ca="1">VLOOKUP(J779,'Bảng Đơn vị'!$A$2:$B$10,2,1)</f>
        <v>#NAME?</v>
      </c>
      <c r="L779" s="15">
        <v>45924</v>
      </c>
      <c r="M779" s="16">
        <v>2025</v>
      </c>
      <c r="S779" s="9"/>
    </row>
    <row r="780" spans="1:19" ht="52.8" hidden="1">
      <c r="A780" s="5">
        <v>779</v>
      </c>
      <c r="B780" s="14"/>
      <c r="C780" s="13" t="str">
        <f t="shared" si="1"/>
        <v>Làm đồ chơi cho trẻ em mầm non từ nguyên liệu tự nhiên</v>
      </c>
      <c r="D780" s="12" t="s">
        <v>1258</v>
      </c>
      <c r="E780" s="12">
        <v>3230123209</v>
      </c>
      <c r="F780" s="14"/>
      <c r="G780" s="14"/>
      <c r="H780" s="14"/>
      <c r="I780" s="12" t="s">
        <v>1224</v>
      </c>
      <c r="J780" s="14" t="e">
        <f t="shared" ca="1" si="0"/>
        <v>#NAME?</v>
      </c>
      <c r="K780" s="14" t="e">
        <f ca="1">VLOOKUP(J780,'Bảng Đơn vị'!$A$2:$B$10,2,1)</f>
        <v>#NAME?</v>
      </c>
      <c r="L780" s="15">
        <v>45925</v>
      </c>
      <c r="M780" s="16">
        <v>2025</v>
      </c>
      <c r="S780" s="9"/>
    </row>
    <row r="781" spans="1:19" ht="52.8" hidden="1">
      <c r="A781" s="5">
        <v>780</v>
      </c>
      <c r="B781" s="14"/>
      <c r="C781" s="13" t="str">
        <f t="shared" si="1"/>
        <v>Làm đồ chơi cho trẻ em mầm non từ nguyên liệu tự nhiên</v>
      </c>
      <c r="D781" s="12" t="s">
        <v>1259</v>
      </c>
      <c r="E781" s="12">
        <v>3230123145</v>
      </c>
      <c r="F781" s="14"/>
      <c r="G781" s="14"/>
      <c r="H781" s="14"/>
      <c r="I781" s="12" t="s">
        <v>1224</v>
      </c>
      <c r="J781" s="14" t="e">
        <f t="shared" ca="1" si="0"/>
        <v>#NAME?</v>
      </c>
      <c r="K781" s="14" t="e">
        <f ca="1">VLOOKUP(J781,'Bảng Đơn vị'!$A$2:$B$10,2,1)</f>
        <v>#NAME?</v>
      </c>
      <c r="L781" s="15">
        <v>45926</v>
      </c>
      <c r="M781" s="16">
        <v>2025</v>
      </c>
      <c r="S781" s="9"/>
    </row>
    <row r="782" spans="1:19" ht="145.19999999999999" hidden="1">
      <c r="A782" s="5">
        <v>781</v>
      </c>
      <c r="B782" s="12" t="s">
        <v>1260</v>
      </c>
      <c r="C782" s="13" t="str">
        <f t="shared" si="1"/>
        <v>Nguyên cứu ảnh hưởng của giáo dục gia đình trong việc hình thành tính cách cho trẻ 5-6 tuổi ở trường mầm non DBC"</v>
      </c>
      <c r="D782" s="12" t="s">
        <v>1261</v>
      </c>
      <c r="E782" s="12">
        <v>3230123043</v>
      </c>
      <c r="F782" s="12" t="s">
        <v>1262</v>
      </c>
      <c r="G782" s="12" t="s">
        <v>1256</v>
      </c>
      <c r="H782" s="12" t="s">
        <v>293</v>
      </c>
      <c r="I782" s="12" t="s">
        <v>1224</v>
      </c>
      <c r="J782" s="14" t="e">
        <f t="shared" ca="1" si="0"/>
        <v>#NAME?</v>
      </c>
      <c r="K782" s="14" t="e">
        <f ca="1">VLOOKUP(J782,'Bảng Đơn vị'!$A$2:$B$10,2,1)</f>
        <v>#NAME?</v>
      </c>
      <c r="L782" s="15">
        <v>45927</v>
      </c>
      <c r="M782" s="16">
        <v>2025</v>
      </c>
      <c r="S782" s="9"/>
    </row>
    <row r="783" spans="1:19" ht="52.8" hidden="1">
      <c r="A783" s="5">
        <v>782</v>
      </c>
      <c r="B783" s="14"/>
      <c r="C783" s="13" t="str">
        <f t="shared" si="1"/>
        <v>Nguyên cứu ảnh hưởng của giáo dục gia đình trong việc hình thành tính cách cho trẻ 5-6 tuổi ở trường mầm non DBC"</v>
      </c>
      <c r="D783" s="12" t="s">
        <v>1263</v>
      </c>
      <c r="E783" s="12">
        <v>3230123035</v>
      </c>
      <c r="F783" s="14"/>
      <c r="G783" s="14"/>
      <c r="H783" s="14"/>
      <c r="I783" s="12" t="s">
        <v>1224</v>
      </c>
      <c r="J783" s="14" t="e">
        <f t="shared" ca="1" si="0"/>
        <v>#NAME?</v>
      </c>
      <c r="K783" s="14" t="e">
        <f ca="1">VLOOKUP(J783,'Bảng Đơn vị'!$A$2:$B$10,2,1)</f>
        <v>#NAME?</v>
      </c>
      <c r="L783" s="15">
        <v>45928</v>
      </c>
      <c r="M783" s="16">
        <v>2025</v>
      </c>
      <c r="S783" s="9"/>
    </row>
    <row r="784" spans="1:19" ht="52.8" hidden="1">
      <c r="A784" s="5">
        <v>783</v>
      </c>
      <c r="B784" s="14"/>
      <c r="C784" s="13" t="str">
        <f t="shared" si="1"/>
        <v>Nguyên cứu ảnh hưởng của giáo dục gia đình trong việc hình thành tính cách cho trẻ 5-6 tuổi ở trường mầm non DBC"</v>
      </c>
      <c r="D784" s="12" t="s">
        <v>1264</v>
      </c>
      <c r="E784" s="12">
        <v>3230123087</v>
      </c>
      <c r="F784" s="14"/>
      <c r="G784" s="14"/>
      <c r="H784" s="14"/>
      <c r="I784" s="12" t="s">
        <v>1224</v>
      </c>
      <c r="J784" s="14" t="e">
        <f t="shared" ca="1" si="0"/>
        <v>#NAME?</v>
      </c>
      <c r="K784" s="14" t="e">
        <f ca="1">VLOOKUP(J784,'Bảng Đơn vị'!$A$2:$B$10,2,1)</f>
        <v>#NAME?</v>
      </c>
      <c r="L784" s="15">
        <v>45929</v>
      </c>
      <c r="M784" s="16">
        <v>2025</v>
      </c>
      <c r="S784" s="9"/>
    </row>
    <row r="785" spans="1:19" ht="52.8" hidden="1">
      <c r="A785" s="5">
        <v>784</v>
      </c>
      <c r="B785" s="14"/>
      <c r="C785" s="13" t="str">
        <f t="shared" si="1"/>
        <v>Nguyên cứu ảnh hưởng của giáo dục gia đình trong việc hình thành tính cách cho trẻ 5-6 tuổi ở trường mầm non DBC"</v>
      </c>
      <c r="D785" s="12" t="s">
        <v>1265</v>
      </c>
      <c r="E785" s="12">
        <v>3230123015</v>
      </c>
      <c r="F785" s="14"/>
      <c r="G785" s="14"/>
      <c r="H785" s="14"/>
      <c r="I785" s="12" t="s">
        <v>1224</v>
      </c>
      <c r="J785" s="14" t="e">
        <f t="shared" ca="1" si="0"/>
        <v>#NAME?</v>
      </c>
      <c r="K785" s="14" t="e">
        <f ca="1">VLOOKUP(J785,'Bảng Đơn vị'!$A$2:$B$10,2,1)</f>
        <v>#NAME?</v>
      </c>
      <c r="L785" s="15">
        <v>45930</v>
      </c>
      <c r="M785" s="16">
        <v>2025</v>
      </c>
      <c r="S785" s="9"/>
    </row>
    <row r="786" spans="1:19" ht="52.8" hidden="1">
      <c r="A786" s="5">
        <v>785</v>
      </c>
      <c r="B786" s="14"/>
      <c r="C786" s="13" t="str">
        <f t="shared" si="1"/>
        <v>Nguyên cứu ảnh hưởng của giáo dục gia đình trong việc hình thành tính cách cho trẻ 5-6 tuổi ở trường mầm non DBC"</v>
      </c>
      <c r="D786" s="12" t="s">
        <v>1266</v>
      </c>
      <c r="E786" s="12">
        <v>3230123067</v>
      </c>
      <c r="F786" s="14"/>
      <c r="G786" s="14"/>
      <c r="H786" s="14"/>
      <c r="I786" s="12" t="s">
        <v>1224</v>
      </c>
      <c r="J786" s="14" t="e">
        <f t="shared" ca="1" si="0"/>
        <v>#NAME?</v>
      </c>
      <c r="K786" s="14" t="e">
        <f ca="1">VLOOKUP(J786,'Bảng Đơn vị'!$A$2:$B$10,2,1)</f>
        <v>#NAME?</v>
      </c>
      <c r="L786" s="15">
        <v>45931</v>
      </c>
      <c r="M786" s="16">
        <v>2025</v>
      </c>
      <c r="S786" s="9"/>
    </row>
    <row r="787" spans="1:19" ht="52.8" hidden="1">
      <c r="A787" s="5">
        <v>786</v>
      </c>
      <c r="B787" s="12" t="s">
        <v>1267</v>
      </c>
      <c r="C787" s="13" t="str">
        <f t="shared" si="1"/>
        <v xml:space="preserve">Nghiên cứu quan điểm của Giáo viên Mầm non trên địa bàn Thành phố Đà Nẵng về giáo dục phát triển bền vững 
</v>
      </c>
      <c r="D787" s="12" t="s">
        <v>1268</v>
      </c>
      <c r="E787" s="12">
        <v>3230122089</v>
      </c>
      <c r="F787" s="12" t="s">
        <v>1269</v>
      </c>
      <c r="G787" s="12" t="s">
        <v>1270</v>
      </c>
      <c r="H787" s="14"/>
      <c r="I787" s="12" t="s">
        <v>1224</v>
      </c>
      <c r="J787" s="14" t="e">
        <f t="shared" ca="1" si="0"/>
        <v>#NAME?</v>
      </c>
      <c r="K787" s="14" t="e">
        <f ca="1">VLOOKUP(J787,'Bảng Đơn vị'!$A$2:$B$10,2,1)</f>
        <v>#NAME?</v>
      </c>
      <c r="L787" s="15">
        <v>45932</v>
      </c>
      <c r="M787" s="16">
        <v>2025</v>
      </c>
      <c r="S787" s="9"/>
    </row>
    <row r="788" spans="1:19" ht="52.8" hidden="1">
      <c r="A788" s="5">
        <v>787</v>
      </c>
      <c r="B788" s="14"/>
      <c r="C788" s="13" t="str">
        <f t="shared" si="1"/>
        <v xml:space="preserve">Nghiên cứu quan điểm của Giáo viên Mầm non trên địa bàn Thành phố Đà Nẵng về giáo dục phát triển bền vững 
</v>
      </c>
      <c r="D788" s="12" t="s">
        <v>1271</v>
      </c>
      <c r="E788" s="12">
        <v>3230122144</v>
      </c>
      <c r="F788" s="12" t="s">
        <v>1269</v>
      </c>
      <c r="G788" s="14"/>
      <c r="H788" s="14"/>
      <c r="I788" s="12" t="s">
        <v>1224</v>
      </c>
      <c r="J788" s="14" t="e">
        <f t="shared" ca="1" si="0"/>
        <v>#NAME?</v>
      </c>
      <c r="K788" s="14" t="e">
        <f ca="1">VLOOKUP(J788,'Bảng Đơn vị'!$A$2:$B$10,2,1)</f>
        <v>#NAME?</v>
      </c>
      <c r="L788" s="15">
        <v>45933</v>
      </c>
      <c r="M788" s="16">
        <v>2025</v>
      </c>
      <c r="S788" s="9"/>
    </row>
    <row r="789" spans="1:19" ht="52.8" hidden="1">
      <c r="A789" s="5">
        <v>788</v>
      </c>
      <c r="B789" s="14"/>
      <c r="C789" s="13" t="str">
        <f t="shared" si="1"/>
        <v xml:space="preserve">Nghiên cứu quan điểm của Giáo viên Mầm non trên địa bàn Thành phố Đà Nẵng về giáo dục phát triển bền vững 
</v>
      </c>
      <c r="D789" s="12" t="s">
        <v>1272</v>
      </c>
      <c r="E789" s="12">
        <v>3230124126</v>
      </c>
      <c r="F789" s="12" t="s">
        <v>1273</v>
      </c>
      <c r="G789" s="14"/>
      <c r="H789" s="14"/>
      <c r="I789" s="12" t="s">
        <v>1224</v>
      </c>
      <c r="J789" s="14" t="e">
        <f t="shared" ca="1" si="0"/>
        <v>#NAME?</v>
      </c>
      <c r="K789" s="14" t="e">
        <f ca="1">VLOOKUP(J789,'Bảng Đơn vị'!$A$2:$B$10,2,1)</f>
        <v>#NAME?</v>
      </c>
      <c r="L789" s="15">
        <v>45934</v>
      </c>
      <c r="M789" s="16">
        <v>2025</v>
      </c>
      <c r="S789" s="9"/>
    </row>
    <row r="790" spans="1:19" ht="52.8" hidden="1">
      <c r="A790" s="5">
        <v>789</v>
      </c>
      <c r="B790" s="14"/>
      <c r="C790" s="13" t="str">
        <f t="shared" si="1"/>
        <v xml:space="preserve">Nghiên cứu quan điểm của Giáo viên Mầm non trên địa bàn Thành phố Đà Nẵng về giáo dục phát triển bền vững 
</v>
      </c>
      <c r="D790" s="12" t="s">
        <v>1274</v>
      </c>
      <c r="E790" s="12">
        <v>3230124176</v>
      </c>
      <c r="F790" s="12" t="s">
        <v>1275</v>
      </c>
      <c r="G790" s="14"/>
      <c r="H790" s="14"/>
      <c r="I790" s="12" t="s">
        <v>1224</v>
      </c>
      <c r="J790" s="14" t="e">
        <f t="shared" ca="1" si="0"/>
        <v>#NAME?</v>
      </c>
      <c r="K790" s="14" t="e">
        <f ca="1">VLOOKUP(J790,'Bảng Đơn vị'!$A$2:$B$10,2,1)</f>
        <v>#NAME?</v>
      </c>
      <c r="L790" s="15">
        <v>45935</v>
      </c>
      <c r="M790" s="16">
        <v>2025</v>
      </c>
      <c r="S790" s="9"/>
    </row>
    <row r="791" spans="1:19" ht="52.8" hidden="1">
      <c r="A791" s="5">
        <v>790</v>
      </c>
      <c r="B791" s="14"/>
      <c r="C791" s="13" t="str">
        <f t="shared" si="1"/>
        <v xml:space="preserve">Nghiên cứu quan điểm của Giáo viên Mầm non trên địa bàn Thành phố Đà Nẵng về giáo dục phát triển bền vững 
</v>
      </c>
      <c r="D791" s="12" t="s">
        <v>1276</v>
      </c>
      <c r="E791" s="12">
        <v>3230122012</v>
      </c>
      <c r="F791" s="12" t="s">
        <v>1269</v>
      </c>
      <c r="G791" s="14"/>
      <c r="H791" s="14"/>
      <c r="I791" s="12" t="s">
        <v>1224</v>
      </c>
      <c r="J791" s="14" t="e">
        <f t="shared" ca="1" si="0"/>
        <v>#NAME?</v>
      </c>
      <c r="K791" s="14" t="e">
        <f ca="1">VLOOKUP(J791,'Bảng Đơn vị'!$A$2:$B$10,2,1)</f>
        <v>#NAME?</v>
      </c>
      <c r="L791" s="15">
        <v>45936</v>
      </c>
      <c r="M791" s="16">
        <v>2025</v>
      </c>
      <c r="S791" s="9"/>
    </row>
    <row r="792" spans="1:19" ht="52.8" hidden="1">
      <c r="A792" s="5">
        <v>791</v>
      </c>
      <c r="B792" s="12" t="s">
        <v>1277</v>
      </c>
      <c r="C792" s="13" t="str">
        <f t="shared" si="1"/>
        <v>Thiết kế và hướng dẫn sử dụng sách khổ lớn để phát triển ngôn ngữ cho trẻ khiếm thính 5-6 tuổi</v>
      </c>
      <c r="D792" s="12" t="s">
        <v>1278</v>
      </c>
      <c r="E792" s="12">
        <v>3230123178</v>
      </c>
      <c r="F792" s="12" t="s">
        <v>1279</v>
      </c>
      <c r="G792" s="12" t="s">
        <v>1280</v>
      </c>
      <c r="H792" s="14"/>
      <c r="I792" s="12" t="s">
        <v>1224</v>
      </c>
      <c r="J792" s="14" t="e">
        <f t="shared" ca="1" si="0"/>
        <v>#NAME?</v>
      </c>
      <c r="K792" s="14" t="e">
        <f ca="1">VLOOKUP(J792,'Bảng Đơn vị'!$A$2:$B$10,2,1)</f>
        <v>#NAME?</v>
      </c>
      <c r="L792" s="15">
        <v>45937</v>
      </c>
      <c r="M792" s="16">
        <v>2025</v>
      </c>
      <c r="S792" s="9"/>
    </row>
    <row r="793" spans="1:19" ht="52.8" hidden="1">
      <c r="A793" s="5">
        <v>792</v>
      </c>
      <c r="B793" s="14"/>
      <c r="C793" s="13" t="str">
        <f t="shared" si="1"/>
        <v>Thiết kế và hướng dẫn sử dụng sách khổ lớn để phát triển ngôn ngữ cho trẻ khiếm thính 5-6 tuổi</v>
      </c>
      <c r="D793" s="12" t="s">
        <v>1281</v>
      </c>
      <c r="E793" s="12">
        <v>3230123085</v>
      </c>
      <c r="F793" s="14"/>
      <c r="G793" s="14"/>
      <c r="H793" s="14"/>
      <c r="I793" s="12" t="s">
        <v>1224</v>
      </c>
      <c r="J793" s="14" t="e">
        <f t="shared" ca="1" si="0"/>
        <v>#NAME?</v>
      </c>
      <c r="K793" s="14" t="e">
        <f ca="1">VLOOKUP(J793,'Bảng Đơn vị'!$A$2:$B$10,2,1)</f>
        <v>#NAME?</v>
      </c>
      <c r="L793" s="15">
        <v>45938</v>
      </c>
      <c r="M793" s="16">
        <v>2025</v>
      </c>
      <c r="S793" s="9"/>
    </row>
    <row r="794" spans="1:19" ht="52.8" hidden="1">
      <c r="A794" s="5">
        <v>793</v>
      </c>
      <c r="B794" s="14"/>
      <c r="C794" s="13" t="str">
        <f t="shared" si="1"/>
        <v>Thiết kế và hướng dẫn sử dụng sách khổ lớn để phát triển ngôn ngữ cho trẻ khiếm thính 5-6 tuổi</v>
      </c>
      <c r="D794" s="12" t="s">
        <v>1282</v>
      </c>
      <c r="E794" s="12">
        <v>3230123130</v>
      </c>
      <c r="F794" s="14"/>
      <c r="G794" s="14"/>
      <c r="H794" s="14"/>
      <c r="I794" s="12" t="s">
        <v>1224</v>
      </c>
      <c r="J794" s="14" t="e">
        <f t="shared" ca="1" si="0"/>
        <v>#NAME?</v>
      </c>
      <c r="K794" s="14" t="e">
        <f ca="1">VLOOKUP(J794,'Bảng Đơn vị'!$A$2:$B$10,2,1)</f>
        <v>#NAME?</v>
      </c>
      <c r="L794" s="15">
        <v>45939</v>
      </c>
      <c r="M794" s="16">
        <v>2025</v>
      </c>
      <c r="S794" s="9"/>
    </row>
    <row r="795" spans="1:19" ht="52.8" hidden="1">
      <c r="A795" s="5">
        <v>794</v>
      </c>
      <c r="B795" s="14"/>
      <c r="C795" s="13" t="str">
        <f t="shared" si="1"/>
        <v>Thiết kế và hướng dẫn sử dụng sách khổ lớn để phát triển ngôn ngữ cho trẻ khiếm thính 5-6 tuổi</v>
      </c>
      <c r="D795" s="12" t="s">
        <v>1283</v>
      </c>
      <c r="E795" s="12">
        <v>3230123006</v>
      </c>
      <c r="F795" s="14"/>
      <c r="G795" s="14"/>
      <c r="H795" s="14"/>
      <c r="I795" s="12" t="s">
        <v>1224</v>
      </c>
      <c r="J795" s="14" t="e">
        <f t="shared" ca="1" si="0"/>
        <v>#NAME?</v>
      </c>
      <c r="K795" s="14" t="e">
        <f ca="1">VLOOKUP(J795,'Bảng Đơn vị'!$A$2:$B$10,2,1)</f>
        <v>#NAME?</v>
      </c>
      <c r="L795" s="15">
        <v>45940</v>
      </c>
      <c r="M795" s="16">
        <v>2025</v>
      </c>
      <c r="S795" s="9"/>
    </row>
    <row r="796" spans="1:19" ht="52.8" hidden="1">
      <c r="A796" s="5">
        <v>795</v>
      </c>
      <c r="B796" s="14"/>
      <c r="C796" s="13" t="str">
        <f t="shared" si="1"/>
        <v>Thiết kế và hướng dẫn sử dụng sách khổ lớn để phát triển ngôn ngữ cho trẻ khiếm thính 5-6 tuổi</v>
      </c>
      <c r="D796" s="12" t="s">
        <v>253</v>
      </c>
      <c r="E796" s="12">
        <v>3230123078</v>
      </c>
      <c r="F796" s="14"/>
      <c r="G796" s="14"/>
      <c r="H796" s="14"/>
      <c r="I796" s="12" t="s">
        <v>1224</v>
      </c>
      <c r="J796" s="14" t="e">
        <f t="shared" ca="1" si="0"/>
        <v>#NAME?</v>
      </c>
      <c r="K796" s="14" t="e">
        <f ca="1">VLOOKUP(J796,'Bảng Đơn vị'!$A$2:$B$10,2,1)</f>
        <v>#NAME?</v>
      </c>
      <c r="L796" s="15">
        <v>45941</v>
      </c>
      <c r="M796" s="16">
        <v>2025</v>
      </c>
      <c r="S796" s="9"/>
    </row>
    <row r="797" spans="1:19" ht="52.8" hidden="1">
      <c r="A797" s="5">
        <v>796</v>
      </c>
      <c r="B797" s="12" t="s">
        <v>1284</v>
      </c>
      <c r="C797" s="13" t="str">
        <f t="shared" si="1"/>
        <v>Thiết kế website công cụ hỗ trợ phát triển ngôn ngữ cho trẻ 4-5 tuổi</v>
      </c>
      <c r="D797" s="12" t="s">
        <v>1285</v>
      </c>
      <c r="E797" s="12">
        <v>3230123003</v>
      </c>
      <c r="F797" s="12" t="s">
        <v>1262</v>
      </c>
      <c r="G797" s="12" t="s">
        <v>1286</v>
      </c>
      <c r="H797" s="14"/>
      <c r="I797" s="12" t="s">
        <v>1224</v>
      </c>
      <c r="J797" s="14" t="e">
        <f t="shared" ca="1" si="0"/>
        <v>#NAME?</v>
      </c>
      <c r="K797" s="14" t="e">
        <f ca="1">VLOOKUP(J797,'Bảng Đơn vị'!$A$2:$B$10,2,1)</f>
        <v>#NAME?</v>
      </c>
      <c r="L797" s="15">
        <v>45942</v>
      </c>
      <c r="M797" s="16">
        <v>2025</v>
      </c>
      <c r="S797" s="9"/>
    </row>
    <row r="798" spans="1:19" ht="52.8" hidden="1">
      <c r="A798" s="5">
        <v>797</v>
      </c>
      <c r="B798" s="14"/>
      <c r="C798" s="13" t="str">
        <f t="shared" si="1"/>
        <v>Thiết kế website công cụ hỗ trợ phát triển ngôn ngữ cho trẻ 4-5 tuổi</v>
      </c>
      <c r="D798" s="12" t="s">
        <v>1287</v>
      </c>
      <c r="E798" s="12">
        <v>3230123009</v>
      </c>
      <c r="F798" s="14"/>
      <c r="G798" s="14"/>
      <c r="H798" s="14"/>
      <c r="I798" s="12" t="s">
        <v>1224</v>
      </c>
      <c r="J798" s="14" t="e">
        <f t="shared" ca="1" si="0"/>
        <v>#NAME?</v>
      </c>
      <c r="K798" s="14" t="e">
        <f ca="1">VLOOKUP(J798,'Bảng Đơn vị'!$A$2:$B$10,2,1)</f>
        <v>#NAME?</v>
      </c>
      <c r="L798" s="15">
        <v>45943</v>
      </c>
      <c r="M798" s="16">
        <v>2025</v>
      </c>
      <c r="S798" s="9"/>
    </row>
    <row r="799" spans="1:19" ht="52.8" hidden="1">
      <c r="A799" s="5">
        <v>798</v>
      </c>
      <c r="B799" s="14"/>
      <c r="C799" s="13" t="str">
        <f t="shared" si="1"/>
        <v>Thiết kế website công cụ hỗ trợ phát triển ngôn ngữ cho trẻ 4-5 tuổi</v>
      </c>
      <c r="D799" s="12" t="s">
        <v>1288</v>
      </c>
      <c r="E799" s="12">
        <v>3230123099</v>
      </c>
      <c r="F799" s="14"/>
      <c r="G799" s="14"/>
      <c r="H799" s="14"/>
      <c r="I799" s="12" t="s">
        <v>1224</v>
      </c>
      <c r="J799" s="14" t="e">
        <f t="shared" ca="1" si="0"/>
        <v>#NAME?</v>
      </c>
      <c r="K799" s="14" t="e">
        <f ca="1">VLOOKUP(J799,'Bảng Đơn vị'!$A$2:$B$10,2,1)</f>
        <v>#NAME?</v>
      </c>
      <c r="L799" s="15">
        <v>45944</v>
      </c>
      <c r="M799" s="16">
        <v>2025</v>
      </c>
      <c r="S799" s="9"/>
    </row>
    <row r="800" spans="1:19" ht="52.8" hidden="1">
      <c r="A800" s="5">
        <v>799</v>
      </c>
      <c r="B800" s="14"/>
      <c r="C800" s="13" t="str">
        <f t="shared" si="1"/>
        <v>Thiết kế website công cụ hỗ trợ phát triển ngôn ngữ cho trẻ 4-5 tuổi</v>
      </c>
      <c r="D800" s="12" t="s">
        <v>455</v>
      </c>
      <c r="E800" s="12">
        <v>3230123111</v>
      </c>
      <c r="F800" s="14"/>
      <c r="G800" s="14"/>
      <c r="H800" s="14"/>
      <c r="I800" s="12" t="s">
        <v>1224</v>
      </c>
      <c r="J800" s="14" t="e">
        <f t="shared" ca="1" si="0"/>
        <v>#NAME?</v>
      </c>
      <c r="K800" s="14" t="e">
        <f ca="1">VLOOKUP(J800,'Bảng Đơn vị'!$A$2:$B$10,2,1)</f>
        <v>#NAME?</v>
      </c>
      <c r="L800" s="15">
        <v>45945</v>
      </c>
      <c r="M800" s="16">
        <v>2025</v>
      </c>
      <c r="S800" s="9"/>
    </row>
    <row r="801" spans="1:19" ht="52.8" hidden="1">
      <c r="A801" s="5">
        <v>800</v>
      </c>
      <c r="B801" s="14"/>
      <c r="C801" s="13" t="str">
        <f t="shared" si="1"/>
        <v>Thiết kế website công cụ hỗ trợ phát triển ngôn ngữ cho trẻ 4-5 tuổi</v>
      </c>
      <c r="D801" s="12" t="s">
        <v>1289</v>
      </c>
      <c r="E801" s="12">
        <v>3230123211</v>
      </c>
      <c r="F801" s="14"/>
      <c r="G801" s="14"/>
      <c r="H801" s="14"/>
      <c r="I801" s="12" t="s">
        <v>1224</v>
      </c>
      <c r="J801" s="14" t="e">
        <f t="shared" ca="1" si="0"/>
        <v>#NAME?</v>
      </c>
      <c r="K801" s="14" t="e">
        <f ca="1">VLOOKUP(J801,'Bảng Đơn vị'!$A$2:$B$10,2,1)</f>
        <v>#NAME?</v>
      </c>
      <c r="L801" s="15">
        <v>45946</v>
      </c>
      <c r="M801" s="16">
        <v>2025</v>
      </c>
      <c r="S801" s="9"/>
    </row>
    <row r="802" spans="1:19" ht="145.19999999999999" hidden="1">
      <c r="A802" s="5">
        <v>801</v>
      </c>
      <c r="B802" s="12" t="s">
        <v>1290</v>
      </c>
      <c r="C802" s="13" t="str">
        <f t="shared" si="1"/>
        <v>Thực trạng Giáo dục giới tính cho trẻ 4-5 tuổi ở trường mầm non Tiên Sa thành phố Đà Nẵng</v>
      </c>
      <c r="D802" s="12" t="s">
        <v>1291</v>
      </c>
      <c r="E802" s="12">
        <v>3230123127</v>
      </c>
      <c r="F802" s="12" t="s">
        <v>1262</v>
      </c>
      <c r="G802" s="12" t="s">
        <v>1292</v>
      </c>
      <c r="H802" s="12" t="s">
        <v>293</v>
      </c>
      <c r="I802" s="12" t="s">
        <v>1224</v>
      </c>
      <c r="J802" s="14" t="e">
        <f t="shared" ca="1" si="0"/>
        <v>#NAME?</v>
      </c>
      <c r="K802" s="14" t="e">
        <f ca="1">VLOOKUP(J802,'Bảng Đơn vị'!$A$2:$B$10,2,1)</f>
        <v>#NAME?</v>
      </c>
      <c r="L802" s="15">
        <v>45947</v>
      </c>
      <c r="M802" s="16">
        <v>2025</v>
      </c>
      <c r="S802" s="9"/>
    </row>
    <row r="803" spans="1:19" ht="52.8" hidden="1">
      <c r="A803" s="5">
        <v>802</v>
      </c>
      <c r="B803" s="14"/>
      <c r="C803" s="13" t="str">
        <f t="shared" si="1"/>
        <v>Thực trạng Giáo dục giới tính cho trẻ 4-5 tuổi ở trường mầm non Tiên Sa thành phố Đà Nẵng</v>
      </c>
      <c r="D803" s="12" t="s">
        <v>1293</v>
      </c>
      <c r="E803" s="12">
        <v>3230123051</v>
      </c>
      <c r="F803" s="14"/>
      <c r="G803" s="14"/>
      <c r="H803" s="14"/>
      <c r="I803" s="12" t="s">
        <v>1224</v>
      </c>
      <c r="J803" s="14" t="e">
        <f t="shared" ca="1" si="0"/>
        <v>#NAME?</v>
      </c>
      <c r="K803" s="14" t="e">
        <f ca="1">VLOOKUP(J803,'Bảng Đơn vị'!$A$2:$B$10,2,1)</f>
        <v>#NAME?</v>
      </c>
      <c r="L803" s="15">
        <v>45948</v>
      </c>
      <c r="M803" s="16">
        <v>2025</v>
      </c>
      <c r="S803" s="9"/>
    </row>
    <row r="804" spans="1:19" ht="52.8" hidden="1">
      <c r="A804" s="5">
        <v>803</v>
      </c>
      <c r="B804" s="14"/>
      <c r="C804" s="13" t="str">
        <f t="shared" si="1"/>
        <v>Thực trạng Giáo dục giới tính cho trẻ 4-5 tuổi ở trường mầm non Tiên Sa thành phố Đà Nẵng</v>
      </c>
      <c r="D804" s="12" t="s">
        <v>1294</v>
      </c>
      <c r="E804" s="12">
        <v>3230123115</v>
      </c>
      <c r="F804" s="14"/>
      <c r="G804" s="14"/>
      <c r="H804" s="14"/>
      <c r="I804" s="12" t="s">
        <v>1224</v>
      </c>
      <c r="J804" s="14" t="e">
        <f t="shared" ca="1" si="0"/>
        <v>#NAME?</v>
      </c>
      <c r="K804" s="14" t="e">
        <f ca="1">VLOOKUP(J804,'Bảng Đơn vị'!$A$2:$B$10,2,1)</f>
        <v>#NAME?</v>
      </c>
      <c r="L804" s="15">
        <v>45949</v>
      </c>
      <c r="M804" s="16">
        <v>2025</v>
      </c>
      <c r="S804" s="9"/>
    </row>
    <row r="805" spans="1:19" ht="52.8" hidden="1">
      <c r="A805" s="5">
        <v>804</v>
      </c>
      <c r="B805" s="14"/>
      <c r="C805" s="13" t="str">
        <f t="shared" si="1"/>
        <v>Thực trạng Giáo dục giới tính cho trẻ 4-5 tuổi ở trường mầm non Tiên Sa thành phố Đà Nẵng</v>
      </c>
      <c r="D805" s="12" t="s">
        <v>1295</v>
      </c>
      <c r="E805" s="12">
        <v>3230123155</v>
      </c>
      <c r="F805" s="14"/>
      <c r="G805" s="14"/>
      <c r="H805" s="14"/>
      <c r="I805" s="12" t="s">
        <v>1224</v>
      </c>
      <c r="J805" s="14" t="e">
        <f t="shared" ca="1" si="0"/>
        <v>#NAME?</v>
      </c>
      <c r="K805" s="14" t="e">
        <f ca="1">VLOOKUP(J805,'Bảng Đơn vị'!$A$2:$B$10,2,1)</f>
        <v>#NAME?</v>
      </c>
      <c r="L805" s="15">
        <v>45950</v>
      </c>
      <c r="M805" s="16">
        <v>2025</v>
      </c>
      <c r="S805" s="9"/>
    </row>
    <row r="806" spans="1:19" ht="52.8" hidden="1">
      <c r="A806" s="5">
        <v>805</v>
      </c>
      <c r="B806" s="14"/>
      <c r="C806" s="13" t="str">
        <f t="shared" si="1"/>
        <v>Thực trạng Giáo dục giới tính cho trẻ 4-5 tuổi ở trường mầm non Tiên Sa thành phố Đà Nẵng</v>
      </c>
      <c r="D806" s="12" t="s">
        <v>1296</v>
      </c>
      <c r="E806" s="12">
        <v>3230123119</v>
      </c>
      <c r="F806" s="14"/>
      <c r="G806" s="14"/>
      <c r="H806" s="14"/>
      <c r="I806" s="12" t="s">
        <v>1224</v>
      </c>
      <c r="J806" s="14" t="e">
        <f t="shared" ca="1" si="0"/>
        <v>#NAME?</v>
      </c>
      <c r="K806" s="14" t="e">
        <f ca="1">VLOOKUP(J806,'Bảng Đơn vị'!$A$2:$B$10,2,1)</f>
        <v>#NAME?</v>
      </c>
      <c r="L806" s="15">
        <v>45951</v>
      </c>
      <c r="M806" s="16">
        <v>2025</v>
      </c>
      <c r="S806" s="9"/>
    </row>
    <row r="807" spans="1:19" ht="145.19999999999999" hidden="1">
      <c r="A807" s="5">
        <v>806</v>
      </c>
      <c r="B807" s="12" t="s">
        <v>1297</v>
      </c>
      <c r="C807" s="13" t="str">
        <f t="shared" si="1"/>
        <v>Thiết kế trò chơi giáo dục môi trường cho trẻ 5-6 tuổi thông qua hoạt động ngoài trời</v>
      </c>
      <c r="D807" s="12" t="s">
        <v>1298</v>
      </c>
      <c r="E807" s="12">
        <v>3230123168</v>
      </c>
      <c r="F807" s="12" t="s">
        <v>1262</v>
      </c>
      <c r="G807" s="12" t="s">
        <v>1292</v>
      </c>
      <c r="H807" s="12" t="s">
        <v>293</v>
      </c>
      <c r="I807" s="12" t="s">
        <v>1224</v>
      </c>
      <c r="J807" s="14" t="e">
        <f t="shared" ca="1" si="0"/>
        <v>#NAME?</v>
      </c>
      <c r="K807" s="14" t="e">
        <f ca="1">VLOOKUP(J807,'Bảng Đơn vị'!$A$2:$B$10,2,1)</f>
        <v>#NAME?</v>
      </c>
      <c r="L807" s="15">
        <v>45976</v>
      </c>
      <c r="M807" s="16">
        <v>2025</v>
      </c>
      <c r="S807" s="9"/>
    </row>
    <row r="808" spans="1:19" ht="52.8" hidden="1">
      <c r="A808" s="5">
        <v>807</v>
      </c>
      <c r="B808" s="14"/>
      <c r="C808" s="13" t="str">
        <f t="shared" si="1"/>
        <v>Thiết kế trò chơi giáo dục môi trường cho trẻ 5-6 tuổi thông qua hoạt động ngoài trời</v>
      </c>
      <c r="D808" s="12" t="s">
        <v>1299</v>
      </c>
      <c r="E808" s="12">
        <v>3230123075</v>
      </c>
      <c r="F808" s="14"/>
      <c r="G808" s="14"/>
      <c r="H808" s="14"/>
      <c r="I808" s="12" t="s">
        <v>1224</v>
      </c>
      <c r="J808" s="14" t="e">
        <f t="shared" ca="1" si="0"/>
        <v>#NAME?</v>
      </c>
      <c r="K808" s="14" t="e">
        <f ca="1">VLOOKUP(J808,'Bảng Đơn vị'!$A$2:$B$10,2,1)</f>
        <v>#NAME?</v>
      </c>
      <c r="L808" s="15">
        <v>45977</v>
      </c>
      <c r="M808" s="16">
        <v>2025</v>
      </c>
      <c r="S808" s="9"/>
    </row>
    <row r="809" spans="1:19" ht="52.8" hidden="1">
      <c r="A809" s="5">
        <v>808</v>
      </c>
      <c r="B809" s="14"/>
      <c r="C809" s="13" t="str">
        <f t="shared" si="1"/>
        <v>Thiết kế trò chơi giáo dục môi trường cho trẻ 5-6 tuổi thông qua hoạt động ngoài trời</v>
      </c>
      <c r="D809" s="12" t="s">
        <v>1300</v>
      </c>
      <c r="E809" s="12">
        <v>3230123100</v>
      </c>
      <c r="F809" s="14"/>
      <c r="G809" s="14"/>
      <c r="H809" s="14"/>
      <c r="I809" s="12" t="s">
        <v>1224</v>
      </c>
      <c r="J809" s="14" t="e">
        <f t="shared" ca="1" si="0"/>
        <v>#NAME?</v>
      </c>
      <c r="K809" s="14" t="e">
        <f ca="1">VLOOKUP(J809,'Bảng Đơn vị'!$A$2:$B$10,2,1)</f>
        <v>#NAME?</v>
      </c>
      <c r="L809" s="15">
        <v>45978</v>
      </c>
      <c r="M809" s="16">
        <v>2025</v>
      </c>
      <c r="S809" s="9"/>
    </row>
    <row r="810" spans="1:19" ht="52.8" hidden="1">
      <c r="A810" s="5">
        <v>809</v>
      </c>
      <c r="B810" s="14"/>
      <c r="C810" s="13" t="str">
        <f t="shared" si="1"/>
        <v>Thiết kế trò chơi giáo dục môi trường cho trẻ 5-6 tuổi thông qua hoạt động ngoài trời</v>
      </c>
      <c r="D810" s="12" t="s">
        <v>1301</v>
      </c>
      <c r="E810" s="12">
        <v>3230123030</v>
      </c>
      <c r="F810" s="14"/>
      <c r="G810" s="14"/>
      <c r="H810" s="14"/>
      <c r="I810" s="12" t="s">
        <v>1224</v>
      </c>
      <c r="J810" s="14" t="e">
        <f t="shared" ca="1" si="0"/>
        <v>#NAME?</v>
      </c>
      <c r="K810" s="14" t="e">
        <f ca="1">VLOOKUP(J810,'Bảng Đơn vị'!$A$2:$B$10,2,1)</f>
        <v>#NAME?</v>
      </c>
      <c r="L810" s="15">
        <v>45979</v>
      </c>
      <c r="M810" s="16">
        <v>2025</v>
      </c>
      <c r="S810" s="9"/>
    </row>
    <row r="811" spans="1:19" ht="52.8" hidden="1">
      <c r="A811" s="5">
        <v>810</v>
      </c>
      <c r="B811" s="14"/>
      <c r="C811" s="13" t="str">
        <f t="shared" si="1"/>
        <v>Thiết kế trò chơi giáo dục môi trường cho trẻ 5-6 tuổi thông qua hoạt động ngoài trời</v>
      </c>
      <c r="D811" s="12" t="s">
        <v>1302</v>
      </c>
      <c r="E811" s="12">
        <v>3230123090</v>
      </c>
      <c r="F811" s="14"/>
      <c r="G811" s="14"/>
      <c r="H811" s="14"/>
      <c r="I811" s="12" t="s">
        <v>1224</v>
      </c>
      <c r="J811" s="14" t="e">
        <f t="shared" ca="1" si="0"/>
        <v>#NAME?</v>
      </c>
      <c r="K811" s="14" t="e">
        <f ca="1">VLOOKUP(J811,'Bảng Đơn vị'!$A$2:$B$10,2,1)</f>
        <v>#NAME?</v>
      </c>
      <c r="L811" s="15">
        <v>45980</v>
      </c>
      <c r="M811" s="16">
        <v>2025</v>
      </c>
      <c r="S811" s="9"/>
    </row>
    <row r="812" spans="1:19" ht="52.8" hidden="1">
      <c r="A812" s="5">
        <v>811</v>
      </c>
      <c r="B812" s="12" t="s">
        <v>1303</v>
      </c>
      <c r="C812" s="13" t="str">
        <f t="shared" si="1"/>
        <v>Đánh giá khả năng tái hiện hình ảnh trong hoạt động tạo hình của trẻ 5-6 tuổi ở trường mầm non Sao Vàng</v>
      </c>
      <c r="D812" s="12" t="s">
        <v>1304</v>
      </c>
      <c r="E812" s="12">
        <v>3230123047</v>
      </c>
      <c r="F812" s="12" t="s">
        <v>1262</v>
      </c>
      <c r="G812" s="12" t="s">
        <v>1305</v>
      </c>
      <c r="H812" s="14"/>
      <c r="I812" s="12" t="s">
        <v>1224</v>
      </c>
      <c r="J812" s="14" t="e">
        <f t="shared" ca="1" si="0"/>
        <v>#NAME?</v>
      </c>
      <c r="K812" s="14" t="e">
        <f ca="1">VLOOKUP(J812,'Bảng Đơn vị'!$A$2:$B$10,2,1)</f>
        <v>#NAME?</v>
      </c>
      <c r="L812" s="15">
        <v>45981</v>
      </c>
      <c r="M812" s="16">
        <v>2025</v>
      </c>
      <c r="S812" s="9"/>
    </row>
    <row r="813" spans="1:19" ht="52.8" hidden="1">
      <c r="A813" s="5">
        <v>812</v>
      </c>
      <c r="B813" s="14"/>
      <c r="C813" s="13" t="str">
        <f t="shared" si="1"/>
        <v>Đánh giá khả năng tái hiện hình ảnh trong hoạt động tạo hình của trẻ 5-6 tuổi ở trường mầm non Sao Vàng</v>
      </c>
      <c r="D813" s="12" t="s">
        <v>1306</v>
      </c>
      <c r="E813" s="12">
        <v>3230123139</v>
      </c>
      <c r="F813" s="14"/>
      <c r="G813" s="14"/>
      <c r="H813" s="14"/>
      <c r="I813" s="12" t="s">
        <v>1224</v>
      </c>
      <c r="J813" s="14" t="e">
        <f t="shared" ca="1" si="0"/>
        <v>#NAME?</v>
      </c>
      <c r="K813" s="14" t="e">
        <f ca="1">VLOOKUP(J813,'Bảng Đơn vị'!$A$2:$B$10,2,1)</f>
        <v>#NAME?</v>
      </c>
      <c r="L813" s="15">
        <v>45982</v>
      </c>
      <c r="M813" s="16">
        <v>2025</v>
      </c>
      <c r="S813" s="9"/>
    </row>
    <row r="814" spans="1:19" ht="52.8" hidden="1">
      <c r="A814" s="5">
        <v>813</v>
      </c>
      <c r="B814" s="14"/>
      <c r="C814" s="13" t="str">
        <f t="shared" si="1"/>
        <v>Đánh giá khả năng tái hiện hình ảnh trong hoạt động tạo hình của trẻ 5-6 tuổi ở trường mầm non Sao Vàng</v>
      </c>
      <c r="D814" s="12" t="s">
        <v>1307</v>
      </c>
      <c r="E814" s="12">
        <v>3230123207</v>
      </c>
      <c r="F814" s="14"/>
      <c r="G814" s="14"/>
      <c r="H814" s="14"/>
      <c r="I814" s="12" t="s">
        <v>1224</v>
      </c>
      <c r="J814" s="14" t="e">
        <f t="shared" ca="1" si="0"/>
        <v>#NAME?</v>
      </c>
      <c r="K814" s="14" t="e">
        <f ca="1">VLOOKUP(J814,'Bảng Đơn vị'!$A$2:$B$10,2,1)</f>
        <v>#NAME?</v>
      </c>
      <c r="L814" s="15">
        <v>45983</v>
      </c>
      <c r="M814" s="16">
        <v>2025</v>
      </c>
      <c r="S814" s="9"/>
    </row>
    <row r="815" spans="1:19" ht="52.8" hidden="1">
      <c r="A815" s="5">
        <v>814</v>
      </c>
      <c r="B815" s="14"/>
      <c r="C815" s="13" t="str">
        <f t="shared" si="1"/>
        <v>Đánh giá khả năng tái hiện hình ảnh trong hoạt động tạo hình của trẻ 5-6 tuổi ở trường mầm non Sao Vàng</v>
      </c>
      <c r="D815" s="12" t="s">
        <v>1308</v>
      </c>
      <c r="E815" s="12">
        <v>3230123071</v>
      </c>
      <c r="F815" s="14"/>
      <c r="G815" s="14"/>
      <c r="H815" s="14"/>
      <c r="I815" s="12" t="s">
        <v>1224</v>
      </c>
      <c r="J815" s="14" t="e">
        <f t="shared" ca="1" si="0"/>
        <v>#NAME?</v>
      </c>
      <c r="K815" s="14" t="e">
        <f ca="1">VLOOKUP(J815,'Bảng Đơn vị'!$A$2:$B$10,2,1)</f>
        <v>#NAME?</v>
      </c>
      <c r="L815" s="15">
        <v>45984</v>
      </c>
      <c r="M815" s="16">
        <v>2025</v>
      </c>
      <c r="S815" s="9"/>
    </row>
    <row r="816" spans="1:19" ht="52.8" hidden="1">
      <c r="A816" s="5">
        <v>815</v>
      </c>
      <c r="B816" s="12" t="s">
        <v>1309</v>
      </c>
      <c r="C816" s="13" t="str">
        <f t="shared" si="1"/>
        <v>Phát triển trí nhớ hình ảnh cho trẻ 5-6 tuổi thông qua hoạt động tạo hình</v>
      </c>
      <c r="D816" s="12" t="s">
        <v>1310</v>
      </c>
      <c r="E816" s="12">
        <v>3230123195</v>
      </c>
      <c r="F816" s="12" t="s">
        <v>1262</v>
      </c>
      <c r="G816" s="12" t="s">
        <v>1305</v>
      </c>
      <c r="H816" s="14"/>
      <c r="I816" s="12" t="s">
        <v>1224</v>
      </c>
      <c r="J816" s="14" t="e">
        <f t="shared" ca="1" si="0"/>
        <v>#NAME?</v>
      </c>
      <c r="K816" s="14" t="e">
        <f ca="1">VLOOKUP(J816,'Bảng Đơn vị'!$A$2:$B$10,2,1)</f>
        <v>#NAME?</v>
      </c>
      <c r="L816" s="15">
        <v>45985</v>
      </c>
      <c r="M816" s="16">
        <v>2025</v>
      </c>
      <c r="S816" s="9"/>
    </row>
    <row r="817" spans="1:19" ht="52.8" hidden="1">
      <c r="A817" s="5">
        <v>816</v>
      </c>
      <c r="B817" s="14"/>
      <c r="C817" s="13" t="str">
        <f t="shared" si="1"/>
        <v>Phát triển trí nhớ hình ảnh cho trẻ 5-6 tuổi thông qua hoạt động tạo hình</v>
      </c>
      <c r="D817" s="12" t="s">
        <v>1311</v>
      </c>
      <c r="E817" s="12">
        <v>3230123025</v>
      </c>
      <c r="F817" s="14"/>
      <c r="G817" s="14"/>
      <c r="H817" s="14"/>
      <c r="I817" s="12" t="s">
        <v>1224</v>
      </c>
      <c r="J817" s="14" t="e">
        <f t="shared" ca="1" si="0"/>
        <v>#NAME?</v>
      </c>
      <c r="K817" s="14" t="e">
        <f ca="1">VLOOKUP(J817,'Bảng Đơn vị'!$A$2:$B$10,2,1)</f>
        <v>#NAME?</v>
      </c>
      <c r="L817" s="15">
        <v>45986</v>
      </c>
      <c r="M817" s="16">
        <v>2025</v>
      </c>
      <c r="S817" s="9"/>
    </row>
    <row r="818" spans="1:19" ht="52.8" hidden="1">
      <c r="A818" s="5">
        <v>817</v>
      </c>
      <c r="B818" s="14"/>
      <c r="C818" s="13" t="str">
        <f t="shared" si="1"/>
        <v>Phát triển trí nhớ hình ảnh cho trẻ 5-6 tuổi thông qua hoạt động tạo hình</v>
      </c>
      <c r="D818" s="12" t="s">
        <v>1312</v>
      </c>
      <c r="E818" s="12">
        <v>3230123191</v>
      </c>
      <c r="F818" s="14"/>
      <c r="G818" s="14"/>
      <c r="H818" s="14"/>
      <c r="I818" s="12" t="s">
        <v>1224</v>
      </c>
      <c r="J818" s="14" t="e">
        <f t="shared" ca="1" si="0"/>
        <v>#NAME?</v>
      </c>
      <c r="K818" s="14" t="e">
        <f ca="1">VLOOKUP(J818,'Bảng Đơn vị'!$A$2:$B$10,2,1)</f>
        <v>#NAME?</v>
      </c>
      <c r="L818" s="15">
        <v>45987</v>
      </c>
      <c r="M818" s="16">
        <v>2025</v>
      </c>
      <c r="S818" s="9"/>
    </row>
    <row r="819" spans="1:19" ht="52.8" hidden="1">
      <c r="A819" s="5">
        <v>818</v>
      </c>
      <c r="B819" s="14"/>
      <c r="C819" s="13" t="str">
        <f t="shared" si="1"/>
        <v>Phát triển trí nhớ hình ảnh cho trẻ 5-6 tuổi thông qua hoạt động tạo hình</v>
      </c>
      <c r="D819" s="12" t="s">
        <v>1313</v>
      </c>
      <c r="E819" s="12">
        <v>3230123064</v>
      </c>
      <c r="F819" s="14"/>
      <c r="G819" s="14"/>
      <c r="H819" s="14"/>
      <c r="I819" s="12" t="s">
        <v>1224</v>
      </c>
      <c r="J819" s="14" t="e">
        <f t="shared" ca="1" si="0"/>
        <v>#NAME?</v>
      </c>
      <c r="K819" s="14" t="e">
        <f ca="1">VLOOKUP(J819,'Bảng Đơn vị'!$A$2:$B$10,2,1)</f>
        <v>#NAME?</v>
      </c>
      <c r="L819" s="15">
        <v>45988</v>
      </c>
      <c r="M819" s="16">
        <v>2025</v>
      </c>
      <c r="S819" s="9"/>
    </row>
    <row r="820" spans="1:19" ht="52.8" hidden="1">
      <c r="A820" s="5">
        <v>819</v>
      </c>
      <c r="B820" s="12" t="s">
        <v>1314</v>
      </c>
      <c r="C820" s="13" t="str">
        <f t="shared" si="1"/>
        <v>Giáo dục hành vi giao tiếp có văn hóa cho trẻ 5-6 tuổi ở trường mầm non Hoa Mai</v>
      </c>
      <c r="D820" s="12" t="s">
        <v>1315</v>
      </c>
      <c r="E820" s="12">
        <v>3230123151</v>
      </c>
      <c r="F820" s="12" t="s">
        <v>1262</v>
      </c>
      <c r="G820" s="12" t="s">
        <v>1316</v>
      </c>
      <c r="H820" s="14"/>
      <c r="I820" s="12" t="s">
        <v>1224</v>
      </c>
      <c r="J820" s="14" t="e">
        <f t="shared" ca="1" si="0"/>
        <v>#NAME?</v>
      </c>
      <c r="K820" s="14" t="e">
        <f ca="1">VLOOKUP(J820,'Bảng Đơn vị'!$A$2:$B$10,2,1)</f>
        <v>#NAME?</v>
      </c>
      <c r="L820" s="15">
        <v>45989</v>
      </c>
      <c r="M820" s="16">
        <v>2025</v>
      </c>
      <c r="S820" s="9"/>
    </row>
    <row r="821" spans="1:19" ht="52.8" hidden="1">
      <c r="A821" s="5">
        <v>820</v>
      </c>
      <c r="B821" s="14"/>
      <c r="C821" s="13" t="str">
        <f t="shared" si="1"/>
        <v>Giáo dục hành vi giao tiếp có văn hóa cho trẻ 5-6 tuổi ở trường mầm non Hoa Mai</v>
      </c>
      <c r="D821" s="12" t="s">
        <v>1317</v>
      </c>
      <c r="E821" s="12">
        <v>3230123031</v>
      </c>
      <c r="F821" s="14"/>
      <c r="G821" s="14"/>
      <c r="H821" s="14"/>
      <c r="I821" s="12" t="s">
        <v>1224</v>
      </c>
      <c r="J821" s="14" t="e">
        <f t="shared" ca="1" si="0"/>
        <v>#NAME?</v>
      </c>
      <c r="K821" s="14" t="e">
        <f ca="1">VLOOKUP(J821,'Bảng Đơn vị'!$A$2:$B$10,2,1)</f>
        <v>#NAME?</v>
      </c>
      <c r="L821" s="15">
        <v>45990</v>
      </c>
      <c r="M821" s="16">
        <v>2025</v>
      </c>
      <c r="S821" s="9"/>
    </row>
    <row r="822" spans="1:19" ht="52.8" hidden="1">
      <c r="A822" s="5">
        <v>821</v>
      </c>
      <c r="B822" s="14"/>
      <c r="C822" s="13" t="str">
        <f t="shared" si="1"/>
        <v>Giáo dục hành vi giao tiếp có văn hóa cho trẻ 5-6 tuổi ở trường mầm non Hoa Mai</v>
      </c>
      <c r="D822" s="12" t="s">
        <v>1318</v>
      </c>
      <c r="E822" s="12">
        <v>3230123038</v>
      </c>
      <c r="F822" s="14"/>
      <c r="G822" s="14"/>
      <c r="H822" s="14"/>
      <c r="I822" s="12" t="s">
        <v>1224</v>
      </c>
      <c r="J822" s="14" t="e">
        <f t="shared" ca="1" si="0"/>
        <v>#NAME?</v>
      </c>
      <c r="K822" s="14" t="e">
        <f ca="1">VLOOKUP(J822,'Bảng Đơn vị'!$A$2:$B$10,2,1)</f>
        <v>#NAME?</v>
      </c>
      <c r="L822" s="15">
        <v>45991</v>
      </c>
      <c r="M822" s="16">
        <v>2025</v>
      </c>
      <c r="S822" s="9"/>
    </row>
    <row r="823" spans="1:19" ht="52.8" hidden="1">
      <c r="A823" s="5">
        <v>822</v>
      </c>
      <c r="B823" s="14"/>
      <c r="C823" s="13" t="str">
        <f t="shared" si="1"/>
        <v>Giáo dục hành vi giao tiếp có văn hóa cho trẻ 5-6 tuổi ở trường mầm non Hoa Mai</v>
      </c>
      <c r="D823" s="12" t="s">
        <v>1319</v>
      </c>
      <c r="E823" s="12">
        <v>3230123019</v>
      </c>
      <c r="F823" s="14"/>
      <c r="G823" s="14"/>
      <c r="H823" s="14"/>
      <c r="I823" s="12" t="s">
        <v>1224</v>
      </c>
      <c r="J823" s="14" t="e">
        <f t="shared" ca="1" si="0"/>
        <v>#NAME?</v>
      </c>
      <c r="K823" s="14" t="e">
        <f ca="1">VLOOKUP(J823,'Bảng Đơn vị'!$A$2:$B$10,2,1)</f>
        <v>#NAME?</v>
      </c>
      <c r="L823" s="15">
        <v>45992</v>
      </c>
      <c r="M823" s="16">
        <v>2025</v>
      </c>
      <c r="S823" s="9"/>
    </row>
    <row r="824" spans="1:19" ht="52.8" hidden="1">
      <c r="A824" s="5">
        <v>823</v>
      </c>
      <c r="B824" s="12" t="s">
        <v>1320</v>
      </c>
      <c r="C824" s="13" t="str">
        <f t="shared" si="1"/>
        <v>Thiết kế bài tập thể dục sáng kết hợp đội hình - vận động cơ bản Aerobic nhằm phát triển thể chất cho trẻ 5-6 tuổi</v>
      </c>
      <c r="D824" s="12" t="s">
        <v>1321</v>
      </c>
      <c r="E824" s="12">
        <v>3230123163</v>
      </c>
      <c r="F824" s="12" t="s">
        <v>1235</v>
      </c>
      <c r="G824" s="12" t="s">
        <v>1322</v>
      </c>
      <c r="H824" s="14"/>
      <c r="I824" s="12" t="s">
        <v>1224</v>
      </c>
      <c r="J824" s="14" t="e">
        <f t="shared" ca="1" si="0"/>
        <v>#NAME?</v>
      </c>
      <c r="K824" s="14" t="e">
        <f ca="1">VLOOKUP(J824,'Bảng Đơn vị'!$A$2:$B$10,2,1)</f>
        <v>#NAME?</v>
      </c>
      <c r="L824" s="15">
        <v>45993</v>
      </c>
      <c r="M824" s="16">
        <v>2025</v>
      </c>
      <c r="S824" s="9"/>
    </row>
    <row r="825" spans="1:19" ht="52.8" hidden="1">
      <c r="A825" s="5">
        <v>824</v>
      </c>
      <c r="B825" s="14"/>
      <c r="C825" s="13" t="str">
        <f t="shared" si="1"/>
        <v>Thiết kế bài tập thể dục sáng kết hợp đội hình - vận động cơ bản Aerobic nhằm phát triển thể chất cho trẻ 5-6 tuổi</v>
      </c>
      <c r="D825" s="12" t="s">
        <v>1323</v>
      </c>
      <c r="E825" s="12">
        <v>3230123165</v>
      </c>
      <c r="F825" s="14"/>
      <c r="G825" s="14"/>
      <c r="H825" s="14"/>
      <c r="I825" s="12" t="s">
        <v>1224</v>
      </c>
      <c r="J825" s="14" t="e">
        <f t="shared" ca="1" si="0"/>
        <v>#NAME?</v>
      </c>
      <c r="K825" s="14" t="e">
        <f ca="1">VLOOKUP(J825,'Bảng Đơn vị'!$A$2:$B$10,2,1)</f>
        <v>#NAME?</v>
      </c>
      <c r="L825" s="15">
        <v>45994</v>
      </c>
      <c r="M825" s="16">
        <v>2025</v>
      </c>
      <c r="S825" s="9"/>
    </row>
    <row r="826" spans="1:19" ht="52.8" hidden="1">
      <c r="A826" s="5">
        <v>825</v>
      </c>
      <c r="B826" s="14"/>
      <c r="C826" s="13" t="str">
        <f t="shared" si="1"/>
        <v>Thiết kế bài tập thể dục sáng kết hợp đội hình - vận động cơ bản Aerobic nhằm phát triển thể chất cho trẻ 5-6 tuổi</v>
      </c>
      <c r="D826" s="12" t="s">
        <v>1324</v>
      </c>
      <c r="E826" s="12">
        <v>3230123180</v>
      </c>
      <c r="F826" s="14"/>
      <c r="G826" s="14"/>
      <c r="H826" s="14"/>
      <c r="I826" s="12" t="s">
        <v>1224</v>
      </c>
      <c r="J826" s="14" t="e">
        <f t="shared" ca="1" si="0"/>
        <v>#NAME?</v>
      </c>
      <c r="K826" s="14" t="e">
        <f ca="1">VLOOKUP(J826,'Bảng Đơn vị'!$A$2:$B$10,2,1)</f>
        <v>#NAME?</v>
      </c>
      <c r="L826" s="15">
        <v>45995</v>
      </c>
      <c r="M826" s="16">
        <v>2025</v>
      </c>
      <c r="S826" s="9"/>
    </row>
    <row r="827" spans="1:19" ht="13.8" hidden="1">
      <c r="A827" s="5">
        <v>826</v>
      </c>
      <c r="B827" s="18"/>
      <c r="C827" s="13" t="s">
        <v>1325</v>
      </c>
      <c r="D827" s="19" t="s">
        <v>1326</v>
      </c>
      <c r="E827" s="19">
        <v>3110122028</v>
      </c>
      <c r="F827" s="19" t="s">
        <v>74</v>
      </c>
      <c r="G827" s="18"/>
      <c r="H827" s="18"/>
      <c r="I827" s="19" t="s">
        <v>1327</v>
      </c>
      <c r="J827" s="14" t="s">
        <v>1328</v>
      </c>
      <c r="K827" s="14" t="s">
        <v>1329</v>
      </c>
      <c r="L827" s="15">
        <v>46032</v>
      </c>
      <c r="M827" s="16">
        <v>2026</v>
      </c>
      <c r="S827" s="9"/>
    </row>
    <row r="828" spans="1:19" ht="13.8" hidden="1">
      <c r="A828" s="5">
        <v>827</v>
      </c>
      <c r="B828" s="18"/>
      <c r="C828" s="13"/>
      <c r="D828" s="19" t="s">
        <v>1330</v>
      </c>
      <c r="E828" s="19">
        <v>3110122001</v>
      </c>
      <c r="F828" s="19" t="s">
        <v>74</v>
      </c>
      <c r="G828" s="18"/>
      <c r="H828" s="18"/>
      <c r="I828" s="19" t="s">
        <v>1327</v>
      </c>
      <c r="J828" s="14" t="s">
        <v>1328</v>
      </c>
      <c r="K828" s="14" t="s">
        <v>1331</v>
      </c>
      <c r="L828" s="15">
        <v>46033</v>
      </c>
      <c r="M828" s="16">
        <v>2026</v>
      </c>
      <c r="S828" s="9"/>
    </row>
    <row r="829" spans="1:19" ht="13.8" hidden="1">
      <c r="A829" s="5">
        <v>828</v>
      </c>
      <c r="B829" s="18"/>
      <c r="C829" s="13"/>
      <c r="D829" s="19" t="s">
        <v>1332</v>
      </c>
      <c r="E829" s="19">
        <v>3110525003</v>
      </c>
      <c r="F829" s="19" t="s">
        <v>74</v>
      </c>
      <c r="G829" s="18"/>
      <c r="H829" s="18"/>
      <c r="I829" s="19" t="s">
        <v>1327</v>
      </c>
      <c r="J829" s="14" t="s">
        <v>1328</v>
      </c>
      <c r="K829" s="14" t="s">
        <v>1333</v>
      </c>
      <c r="L829" s="15">
        <v>46034</v>
      </c>
      <c r="M829" s="16">
        <v>2026</v>
      </c>
      <c r="S829" s="9"/>
    </row>
    <row r="830" spans="1:19" ht="13.8" hidden="1">
      <c r="A830" s="5">
        <v>829</v>
      </c>
      <c r="B830" s="18"/>
      <c r="C830" s="13" t="s">
        <v>1334</v>
      </c>
      <c r="D830" s="19" t="s">
        <v>1335</v>
      </c>
      <c r="E830" s="19">
        <v>3110123059</v>
      </c>
      <c r="F830" s="19" t="s">
        <v>1336</v>
      </c>
      <c r="G830" s="18"/>
      <c r="H830" s="18"/>
      <c r="I830" s="19" t="s">
        <v>1327</v>
      </c>
      <c r="J830" s="14" t="s">
        <v>1328</v>
      </c>
      <c r="K830" s="14" t="s">
        <v>1337</v>
      </c>
      <c r="L830" s="15">
        <v>46035</v>
      </c>
      <c r="M830" s="16">
        <v>2026</v>
      </c>
      <c r="S830" s="9"/>
    </row>
    <row r="831" spans="1:19" ht="13.8" hidden="1">
      <c r="A831" s="5">
        <v>830</v>
      </c>
      <c r="B831" s="18"/>
      <c r="C831" s="13"/>
      <c r="D831" s="19" t="s">
        <v>1338</v>
      </c>
      <c r="E831" s="19">
        <v>3110123087</v>
      </c>
      <c r="F831" s="19" t="s">
        <v>32</v>
      </c>
      <c r="G831" s="18"/>
      <c r="H831" s="18"/>
      <c r="I831" s="19" t="s">
        <v>1327</v>
      </c>
      <c r="J831" s="14" t="s">
        <v>1328</v>
      </c>
      <c r="K831" s="14" t="s">
        <v>1339</v>
      </c>
      <c r="L831" s="15">
        <v>46036</v>
      </c>
      <c r="M831" s="16">
        <v>2026</v>
      </c>
      <c r="S831" s="9"/>
    </row>
    <row r="832" spans="1:19" ht="13.8" hidden="1">
      <c r="A832" s="5">
        <v>831</v>
      </c>
      <c r="B832" s="18"/>
      <c r="C832" s="13"/>
      <c r="D832" s="19" t="s">
        <v>1340</v>
      </c>
      <c r="E832" s="19">
        <v>3110123086</v>
      </c>
      <c r="F832" s="19" t="s">
        <v>32</v>
      </c>
      <c r="G832" s="18"/>
      <c r="H832" s="18"/>
      <c r="I832" s="19" t="s">
        <v>1327</v>
      </c>
      <c r="J832" s="14" t="s">
        <v>1328</v>
      </c>
      <c r="K832" s="14" t="s">
        <v>1341</v>
      </c>
      <c r="L832" s="15">
        <v>46037</v>
      </c>
      <c r="M832" s="16">
        <v>2026</v>
      </c>
      <c r="S832" s="9"/>
    </row>
    <row r="833" spans="1:19" ht="13.8" hidden="1">
      <c r="A833" s="5">
        <v>832</v>
      </c>
      <c r="B833" s="18"/>
      <c r="C833" s="13"/>
      <c r="D833" s="19" t="s">
        <v>1342</v>
      </c>
      <c r="E833" s="19">
        <v>3110123098</v>
      </c>
      <c r="F833" s="19" t="s">
        <v>32</v>
      </c>
      <c r="G833" s="18"/>
      <c r="H833" s="18"/>
      <c r="I833" s="19" t="s">
        <v>1327</v>
      </c>
      <c r="J833" s="14" t="s">
        <v>1328</v>
      </c>
      <c r="K833" s="14" t="s">
        <v>1343</v>
      </c>
      <c r="L833" s="15">
        <v>46038</v>
      </c>
      <c r="M833" s="16">
        <v>2026</v>
      </c>
      <c r="S833" s="9"/>
    </row>
    <row r="834" spans="1:19" ht="13.8" hidden="1">
      <c r="A834" s="5">
        <v>833</v>
      </c>
      <c r="B834" s="18"/>
      <c r="C834" s="13"/>
      <c r="D834" s="19" t="s">
        <v>1344</v>
      </c>
      <c r="E834" s="19">
        <v>3110123100</v>
      </c>
      <c r="F834" s="19" t="s">
        <v>32</v>
      </c>
      <c r="G834" s="18"/>
      <c r="H834" s="18"/>
      <c r="I834" s="19" t="s">
        <v>1327</v>
      </c>
      <c r="J834" s="14" t="s">
        <v>1328</v>
      </c>
      <c r="K834" s="14" t="s">
        <v>1345</v>
      </c>
      <c r="L834" s="15">
        <v>46039</v>
      </c>
      <c r="M834" s="16">
        <v>2026</v>
      </c>
      <c r="S834" s="9"/>
    </row>
    <row r="835" spans="1:19" ht="13.8" hidden="1">
      <c r="A835" s="5">
        <v>834</v>
      </c>
      <c r="B835" s="18"/>
      <c r="C835" s="13" t="s">
        <v>1346</v>
      </c>
      <c r="D835" s="19" t="s">
        <v>1347</v>
      </c>
      <c r="E835" s="19">
        <v>3110122101</v>
      </c>
      <c r="F835" s="19" t="s">
        <v>74</v>
      </c>
      <c r="G835" s="18"/>
      <c r="H835" s="18"/>
      <c r="I835" s="19" t="s">
        <v>1327</v>
      </c>
      <c r="J835" s="14" t="s">
        <v>1328</v>
      </c>
      <c r="K835" s="14" t="s">
        <v>1348</v>
      </c>
      <c r="L835" s="15">
        <v>46040</v>
      </c>
      <c r="M835" s="16">
        <v>2026</v>
      </c>
      <c r="S835" s="9"/>
    </row>
    <row r="836" spans="1:19" ht="13.8" hidden="1">
      <c r="A836" s="5">
        <v>835</v>
      </c>
      <c r="B836" s="18"/>
      <c r="C836" s="13"/>
      <c r="D836" s="19" t="s">
        <v>1349</v>
      </c>
      <c r="E836" s="19">
        <v>3110122067</v>
      </c>
      <c r="F836" s="19" t="s">
        <v>74</v>
      </c>
      <c r="G836" s="18"/>
      <c r="H836" s="18"/>
      <c r="I836" s="19" t="s">
        <v>1327</v>
      </c>
      <c r="J836" s="14" t="s">
        <v>1328</v>
      </c>
      <c r="K836" s="14" t="s">
        <v>1350</v>
      </c>
      <c r="L836" s="15">
        <v>46041</v>
      </c>
      <c r="M836" s="16">
        <v>2026</v>
      </c>
      <c r="S836" s="9"/>
    </row>
    <row r="837" spans="1:19" ht="13.8" hidden="1">
      <c r="A837" s="5">
        <v>836</v>
      </c>
      <c r="B837" s="18"/>
      <c r="C837" s="13" t="s">
        <v>1351</v>
      </c>
      <c r="D837" s="19" t="s">
        <v>42</v>
      </c>
      <c r="E837" s="19">
        <v>3110123005</v>
      </c>
      <c r="F837" s="19" t="s">
        <v>32</v>
      </c>
      <c r="G837" s="18"/>
      <c r="H837" s="18"/>
      <c r="I837" s="19" t="s">
        <v>1327</v>
      </c>
      <c r="J837" s="14" t="s">
        <v>1328</v>
      </c>
      <c r="K837" s="14" t="s">
        <v>1352</v>
      </c>
      <c r="L837" s="15">
        <v>46042</v>
      </c>
      <c r="M837" s="16">
        <v>2026</v>
      </c>
      <c r="S837" s="9"/>
    </row>
    <row r="838" spans="1:19" ht="13.8" hidden="1">
      <c r="A838" s="5">
        <v>837</v>
      </c>
      <c r="B838" s="18"/>
      <c r="C838" s="13"/>
      <c r="D838" s="19" t="s">
        <v>41</v>
      </c>
      <c r="E838" s="19">
        <v>3110123019</v>
      </c>
      <c r="F838" s="19" t="s">
        <v>32</v>
      </c>
      <c r="G838" s="18"/>
      <c r="H838" s="18"/>
      <c r="I838" s="19" t="s">
        <v>1327</v>
      </c>
      <c r="J838" s="14" t="s">
        <v>1328</v>
      </c>
      <c r="K838" s="14" t="s">
        <v>1353</v>
      </c>
      <c r="L838" s="15">
        <v>46043</v>
      </c>
      <c r="M838" s="16">
        <v>2026</v>
      </c>
      <c r="S838" s="9"/>
    </row>
    <row r="839" spans="1:19" ht="13.8" hidden="1">
      <c r="A839" s="5">
        <v>838</v>
      </c>
      <c r="B839" s="18"/>
      <c r="C839" s="13"/>
      <c r="D839" s="19" t="s">
        <v>1354</v>
      </c>
      <c r="E839" s="19">
        <v>3110123114</v>
      </c>
      <c r="F839" s="19" t="s">
        <v>32</v>
      </c>
      <c r="G839" s="18"/>
      <c r="H839" s="18"/>
      <c r="I839" s="19" t="s">
        <v>1327</v>
      </c>
      <c r="J839" s="14" t="s">
        <v>1328</v>
      </c>
      <c r="K839" s="14" t="s">
        <v>1355</v>
      </c>
      <c r="L839" s="15">
        <v>46044</v>
      </c>
      <c r="M839" s="16">
        <v>2026</v>
      </c>
      <c r="S839" s="9"/>
    </row>
    <row r="840" spans="1:19" ht="13.8" hidden="1">
      <c r="A840" s="5">
        <v>839</v>
      </c>
      <c r="B840" s="18"/>
      <c r="C840" s="13"/>
      <c r="D840" s="19" t="s">
        <v>34</v>
      </c>
      <c r="E840" s="19">
        <v>3110123067</v>
      </c>
      <c r="F840" s="19" t="s">
        <v>32</v>
      </c>
      <c r="G840" s="18"/>
      <c r="H840" s="18"/>
      <c r="I840" s="19" t="s">
        <v>1327</v>
      </c>
      <c r="J840" s="14" t="s">
        <v>1328</v>
      </c>
      <c r="K840" s="14" t="s">
        <v>1356</v>
      </c>
      <c r="L840" s="15">
        <v>46045</v>
      </c>
      <c r="M840" s="16">
        <v>2026</v>
      </c>
      <c r="S840" s="9"/>
    </row>
    <row r="841" spans="1:19" ht="13.8" hidden="1">
      <c r="A841" s="5">
        <v>840</v>
      </c>
      <c r="B841" s="18"/>
      <c r="C841" s="13"/>
      <c r="D841" s="19" t="s">
        <v>1357</v>
      </c>
      <c r="E841" s="19">
        <v>3110124076</v>
      </c>
      <c r="F841" s="19" t="s">
        <v>15</v>
      </c>
      <c r="G841" s="18"/>
      <c r="H841" s="18"/>
      <c r="I841" s="19" t="s">
        <v>1327</v>
      </c>
      <c r="J841" s="14" t="s">
        <v>1328</v>
      </c>
      <c r="K841" s="14" t="s">
        <v>1358</v>
      </c>
      <c r="L841" s="15">
        <v>46046</v>
      </c>
      <c r="M841" s="16">
        <v>2026</v>
      </c>
      <c r="S841" s="9"/>
    </row>
    <row r="842" spans="1:19" ht="13.8" hidden="1">
      <c r="A842" s="5">
        <v>841</v>
      </c>
      <c r="B842" s="18"/>
      <c r="C842" s="13" t="s">
        <v>1359</v>
      </c>
      <c r="D842" s="19" t="s">
        <v>31</v>
      </c>
      <c r="E842" s="19">
        <v>3110123084</v>
      </c>
      <c r="F842" s="19" t="s">
        <v>32</v>
      </c>
      <c r="G842" s="18"/>
      <c r="H842" s="18"/>
      <c r="I842" s="19" t="s">
        <v>1327</v>
      </c>
      <c r="J842" s="14" t="s">
        <v>1328</v>
      </c>
      <c r="K842" s="14" t="s">
        <v>1360</v>
      </c>
      <c r="L842" s="15">
        <v>46047</v>
      </c>
      <c r="M842" s="16">
        <v>2026</v>
      </c>
      <c r="S842" s="9"/>
    </row>
    <row r="843" spans="1:19" ht="13.8" hidden="1">
      <c r="A843" s="5">
        <v>842</v>
      </c>
      <c r="B843" s="18"/>
      <c r="C843" s="13"/>
      <c r="D843" s="19" t="s">
        <v>36</v>
      </c>
      <c r="E843" s="19">
        <v>3110123082</v>
      </c>
      <c r="F843" s="19" t="s">
        <v>32</v>
      </c>
      <c r="G843" s="18"/>
      <c r="H843" s="18"/>
      <c r="I843" s="19" t="s">
        <v>1327</v>
      </c>
      <c r="J843" s="14" t="s">
        <v>1328</v>
      </c>
      <c r="K843" s="14" t="s">
        <v>1361</v>
      </c>
      <c r="L843" s="15">
        <v>46048</v>
      </c>
      <c r="M843" s="16">
        <v>2026</v>
      </c>
      <c r="S843" s="9"/>
    </row>
    <row r="844" spans="1:19" ht="13.8" hidden="1">
      <c r="A844" s="5">
        <v>843</v>
      </c>
      <c r="B844" s="18"/>
      <c r="C844" s="13"/>
      <c r="D844" s="19" t="s">
        <v>1362</v>
      </c>
      <c r="E844" s="19">
        <v>3110123048</v>
      </c>
      <c r="F844" s="19" t="s">
        <v>32</v>
      </c>
      <c r="G844" s="18"/>
      <c r="H844" s="18"/>
      <c r="I844" s="19" t="s">
        <v>1327</v>
      </c>
      <c r="J844" s="14" t="s">
        <v>1328</v>
      </c>
      <c r="K844" s="14" t="s">
        <v>1363</v>
      </c>
      <c r="L844" s="15">
        <v>46049</v>
      </c>
      <c r="M844" s="16">
        <v>2026</v>
      </c>
      <c r="S844" s="9"/>
    </row>
    <row r="845" spans="1:19" ht="13.8" hidden="1">
      <c r="A845" s="5">
        <v>844</v>
      </c>
      <c r="B845" s="18"/>
      <c r="C845" s="13"/>
      <c r="D845" s="19" t="s">
        <v>1364</v>
      </c>
      <c r="E845" s="19">
        <v>3110123095</v>
      </c>
      <c r="F845" s="19" t="s">
        <v>66</v>
      </c>
      <c r="G845" s="18"/>
      <c r="H845" s="18"/>
      <c r="I845" s="19" t="s">
        <v>1327</v>
      </c>
      <c r="J845" s="14" t="s">
        <v>1328</v>
      </c>
      <c r="K845" s="14" t="s">
        <v>1365</v>
      </c>
      <c r="L845" s="15">
        <v>46050</v>
      </c>
      <c r="M845" s="16">
        <v>2026</v>
      </c>
      <c r="S845" s="9"/>
    </row>
    <row r="846" spans="1:19" ht="13.8" hidden="1">
      <c r="A846" s="5">
        <v>845</v>
      </c>
      <c r="B846" s="18"/>
      <c r="C846" s="13"/>
      <c r="D846" s="19" t="s">
        <v>1366</v>
      </c>
      <c r="E846" s="19">
        <v>3110124031</v>
      </c>
      <c r="F846" s="19" t="s">
        <v>15</v>
      </c>
      <c r="G846" s="18"/>
      <c r="H846" s="18"/>
      <c r="I846" s="19" t="s">
        <v>1327</v>
      </c>
      <c r="J846" s="14" t="s">
        <v>1328</v>
      </c>
      <c r="K846" s="14" t="s">
        <v>1367</v>
      </c>
      <c r="L846" s="15">
        <v>46051</v>
      </c>
      <c r="M846" s="16">
        <v>2026</v>
      </c>
      <c r="S846" s="9"/>
    </row>
    <row r="847" spans="1:19" ht="13.8" hidden="1">
      <c r="A847" s="5">
        <v>846</v>
      </c>
      <c r="B847" s="18"/>
      <c r="C847" s="13" t="s">
        <v>1368</v>
      </c>
      <c r="D847" s="19" t="s">
        <v>1369</v>
      </c>
      <c r="E847" s="19">
        <v>3110123083</v>
      </c>
      <c r="F847" s="19" t="s">
        <v>66</v>
      </c>
      <c r="G847" s="18"/>
      <c r="H847" s="18"/>
      <c r="I847" s="19" t="s">
        <v>1327</v>
      </c>
      <c r="J847" s="14" t="s">
        <v>1328</v>
      </c>
      <c r="K847" s="14" t="s">
        <v>1370</v>
      </c>
      <c r="L847" s="15">
        <v>46052</v>
      </c>
      <c r="M847" s="16">
        <v>2026</v>
      </c>
      <c r="S847" s="9"/>
    </row>
    <row r="848" spans="1:19" ht="13.8" hidden="1">
      <c r="A848" s="5">
        <v>847</v>
      </c>
      <c r="B848" s="18"/>
      <c r="C848" s="13"/>
      <c r="D848" s="19" t="s">
        <v>29</v>
      </c>
      <c r="E848" s="19">
        <v>3110124034</v>
      </c>
      <c r="F848" s="19" t="s">
        <v>19</v>
      </c>
      <c r="G848" s="18"/>
      <c r="H848" s="18"/>
      <c r="I848" s="19" t="s">
        <v>1327</v>
      </c>
      <c r="J848" s="14" t="s">
        <v>1328</v>
      </c>
      <c r="K848" s="14" t="s">
        <v>1371</v>
      </c>
      <c r="L848" s="15">
        <v>46053</v>
      </c>
      <c r="M848" s="16">
        <v>2026</v>
      </c>
      <c r="S848" s="9"/>
    </row>
    <row r="849" spans="1:19" ht="13.8" hidden="1">
      <c r="A849" s="5">
        <v>848</v>
      </c>
      <c r="B849" s="18"/>
      <c r="C849" s="13" t="s">
        <v>1372</v>
      </c>
      <c r="D849" s="19" t="s">
        <v>1373</v>
      </c>
      <c r="E849" s="19">
        <v>3110123036</v>
      </c>
      <c r="F849" s="19" t="s">
        <v>66</v>
      </c>
      <c r="G849" s="18"/>
      <c r="H849" s="18"/>
      <c r="I849" s="19" t="s">
        <v>1327</v>
      </c>
      <c r="J849" s="14" t="s">
        <v>1328</v>
      </c>
      <c r="K849" s="14" t="s">
        <v>1374</v>
      </c>
      <c r="L849" s="15">
        <v>46054</v>
      </c>
      <c r="M849" s="16">
        <v>2026</v>
      </c>
      <c r="S849" s="9"/>
    </row>
    <row r="850" spans="1:19" ht="13.8" hidden="1">
      <c r="A850" s="5">
        <v>849</v>
      </c>
      <c r="B850" s="18"/>
      <c r="C850" s="13"/>
      <c r="D850" s="19" t="s">
        <v>1375</v>
      </c>
      <c r="E850" s="19">
        <v>3110123010</v>
      </c>
      <c r="F850" s="19" t="s">
        <v>66</v>
      </c>
      <c r="G850" s="18"/>
      <c r="H850" s="18"/>
      <c r="I850" s="19" t="s">
        <v>1327</v>
      </c>
      <c r="J850" s="14" t="s">
        <v>1328</v>
      </c>
      <c r="K850" s="14" t="s">
        <v>1376</v>
      </c>
      <c r="L850" s="15">
        <v>46055</v>
      </c>
      <c r="M850" s="16">
        <v>2026</v>
      </c>
      <c r="S850" s="9"/>
    </row>
    <row r="851" spans="1:19" ht="13.8" hidden="1">
      <c r="A851" s="5">
        <v>850</v>
      </c>
      <c r="B851" s="18"/>
      <c r="C851" s="13"/>
      <c r="D851" s="19" t="s">
        <v>1377</v>
      </c>
      <c r="E851" s="19">
        <v>3110123061</v>
      </c>
      <c r="F851" s="19" t="s">
        <v>66</v>
      </c>
      <c r="G851" s="18"/>
      <c r="H851" s="18"/>
      <c r="I851" s="19" t="s">
        <v>1327</v>
      </c>
      <c r="J851" s="14" t="s">
        <v>1328</v>
      </c>
      <c r="K851" s="14" t="s">
        <v>1378</v>
      </c>
      <c r="L851" s="15">
        <v>46056</v>
      </c>
      <c r="M851" s="16">
        <v>2026</v>
      </c>
      <c r="S851" s="9"/>
    </row>
    <row r="852" spans="1:19" ht="13.8" hidden="1">
      <c r="A852" s="5">
        <v>851</v>
      </c>
      <c r="B852" s="18"/>
      <c r="C852" s="13" t="s">
        <v>1379</v>
      </c>
      <c r="D852" s="19" t="s">
        <v>67</v>
      </c>
      <c r="E852" s="19">
        <v>3110123070</v>
      </c>
      <c r="F852" s="19" t="s">
        <v>66</v>
      </c>
      <c r="G852" s="18"/>
      <c r="H852" s="18"/>
      <c r="I852" s="19" t="s">
        <v>1327</v>
      </c>
      <c r="J852" s="14" t="s">
        <v>1328</v>
      </c>
      <c r="K852" s="14" t="s">
        <v>1380</v>
      </c>
      <c r="L852" s="15">
        <v>46057</v>
      </c>
      <c r="M852" s="16">
        <v>2026</v>
      </c>
      <c r="S852" s="9"/>
    </row>
    <row r="853" spans="1:19" ht="13.8" hidden="1">
      <c r="A853" s="5">
        <v>852</v>
      </c>
      <c r="B853" s="18"/>
      <c r="C853" s="13"/>
      <c r="D853" s="19" t="s">
        <v>1381</v>
      </c>
      <c r="E853" s="19">
        <v>3110123008</v>
      </c>
      <c r="F853" s="19" t="s">
        <v>66</v>
      </c>
      <c r="G853" s="18"/>
      <c r="H853" s="18"/>
      <c r="I853" s="19" t="s">
        <v>1327</v>
      </c>
      <c r="J853" s="14" t="s">
        <v>1328</v>
      </c>
      <c r="K853" s="14" t="s">
        <v>1382</v>
      </c>
      <c r="L853" s="15">
        <v>46058</v>
      </c>
      <c r="M853" s="16">
        <v>2026</v>
      </c>
      <c r="S853" s="9"/>
    </row>
    <row r="854" spans="1:19" ht="13.8" hidden="1">
      <c r="A854" s="5">
        <v>853</v>
      </c>
      <c r="B854" s="18"/>
      <c r="C854" s="13" t="s">
        <v>1383</v>
      </c>
      <c r="D854" s="19" t="s">
        <v>1384</v>
      </c>
      <c r="E854" s="19">
        <v>3120223096</v>
      </c>
      <c r="F854" s="19" t="s">
        <v>1385</v>
      </c>
      <c r="G854" s="18"/>
      <c r="H854" s="18"/>
      <c r="I854" s="19" t="s">
        <v>1327</v>
      </c>
      <c r="J854" s="14" t="s">
        <v>1328</v>
      </c>
      <c r="K854" s="14" t="s">
        <v>1386</v>
      </c>
      <c r="L854" s="15">
        <v>46059</v>
      </c>
      <c r="M854" s="16">
        <v>2026</v>
      </c>
      <c r="S854" s="9"/>
    </row>
    <row r="855" spans="1:19" ht="13.8" hidden="1">
      <c r="A855" s="5">
        <v>854</v>
      </c>
      <c r="B855" s="18"/>
      <c r="C855" s="13"/>
      <c r="D855" s="19" t="s">
        <v>1387</v>
      </c>
      <c r="E855" s="19">
        <v>3120223184</v>
      </c>
      <c r="F855" s="19" t="s">
        <v>1385</v>
      </c>
      <c r="G855" s="18"/>
      <c r="H855" s="18"/>
      <c r="I855" s="19" t="s">
        <v>1327</v>
      </c>
      <c r="J855" s="14" t="s">
        <v>1328</v>
      </c>
      <c r="K855" s="14" t="s">
        <v>1388</v>
      </c>
      <c r="L855" s="15">
        <v>46060</v>
      </c>
      <c r="M855" s="16">
        <v>2026</v>
      </c>
      <c r="S855" s="9"/>
    </row>
    <row r="856" spans="1:19" ht="13.8" hidden="1">
      <c r="A856" s="5">
        <v>855</v>
      </c>
      <c r="B856" s="18"/>
      <c r="C856" s="13" t="s">
        <v>1389</v>
      </c>
      <c r="D856" s="19" t="s">
        <v>1390</v>
      </c>
      <c r="E856" s="19">
        <v>3110124050</v>
      </c>
      <c r="F856" s="19" t="s">
        <v>19</v>
      </c>
      <c r="G856" s="18"/>
      <c r="H856" s="18"/>
      <c r="I856" s="19" t="s">
        <v>1327</v>
      </c>
      <c r="J856" s="14" t="s">
        <v>1328</v>
      </c>
      <c r="K856" s="14" t="s">
        <v>1391</v>
      </c>
      <c r="L856" s="15">
        <v>46061</v>
      </c>
      <c r="M856" s="16">
        <v>2026</v>
      </c>
      <c r="S856" s="9"/>
    </row>
    <row r="857" spans="1:19" ht="13.8" hidden="1">
      <c r="A857" s="5">
        <v>856</v>
      </c>
      <c r="B857" s="18"/>
      <c r="C857" s="13"/>
      <c r="D857" s="19" t="s">
        <v>1392</v>
      </c>
      <c r="E857" s="19">
        <v>3110124052</v>
      </c>
      <c r="F857" s="19" t="s">
        <v>19</v>
      </c>
      <c r="G857" s="18"/>
      <c r="H857" s="18"/>
      <c r="I857" s="19" t="s">
        <v>1327</v>
      </c>
      <c r="J857" s="14" t="s">
        <v>1328</v>
      </c>
      <c r="K857" s="14" t="s">
        <v>1393</v>
      </c>
      <c r="L857" s="15">
        <v>46062</v>
      </c>
      <c r="M857" s="16">
        <v>2026</v>
      </c>
      <c r="S857" s="9"/>
    </row>
    <row r="858" spans="1:19" ht="13.8" hidden="1">
      <c r="A858" s="5">
        <v>857</v>
      </c>
      <c r="B858" s="18"/>
      <c r="C858" s="13"/>
      <c r="D858" s="19" t="s">
        <v>1394</v>
      </c>
      <c r="E858" s="19">
        <v>3110124015</v>
      </c>
      <c r="F858" s="19" t="s">
        <v>15</v>
      </c>
      <c r="G858" s="18"/>
      <c r="H858" s="18"/>
      <c r="I858" s="19" t="s">
        <v>1327</v>
      </c>
      <c r="J858" s="14" t="s">
        <v>1328</v>
      </c>
      <c r="K858" s="14" t="s">
        <v>1395</v>
      </c>
      <c r="L858" s="15">
        <v>46063</v>
      </c>
      <c r="M858" s="16">
        <v>2026</v>
      </c>
      <c r="S858" s="9"/>
    </row>
    <row r="859" spans="1:19" ht="13.8" hidden="1">
      <c r="A859" s="5">
        <v>858</v>
      </c>
      <c r="B859" s="18"/>
      <c r="C859" s="13"/>
      <c r="D859" s="19" t="s">
        <v>1396</v>
      </c>
      <c r="E859" s="19">
        <v>3110124089</v>
      </c>
      <c r="F859" s="19" t="s">
        <v>19</v>
      </c>
      <c r="G859" s="18"/>
      <c r="H859" s="18"/>
      <c r="I859" s="19" t="s">
        <v>1327</v>
      </c>
      <c r="J859" s="14" t="s">
        <v>1328</v>
      </c>
      <c r="K859" s="14" t="s">
        <v>1397</v>
      </c>
      <c r="L859" s="15">
        <v>46064</v>
      </c>
      <c r="M859" s="16">
        <v>2026</v>
      </c>
      <c r="S859" s="9"/>
    </row>
    <row r="860" spans="1:19" ht="13.8" hidden="1">
      <c r="A860" s="5">
        <v>859</v>
      </c>
      <c r="B860" s="18"/>
      <c r="C860" s="13" t="s">
        <v>1398</v>
      </c>
      <c r="D860" s="19" t="s">
        <v>1399</v>
      </c>
      <c r="E860" s="19">
        <v>3110122100</v>
      </c>
      <c r="F860" s="19" t="s">
        <v>74</v>
      </c>
      <c r="G860" s="18"/>
      <c r="H860" s="18"/>
      <c r="I860" s="19" t="s">
        <v>1327</v>
      </c>
      <c r="J860" s="14" t="s">
        <v>1328</v>
      </c>
      <c r="K860" s="14" t="s">
        <v>1400</v>
      </c>
      <c r="L860" s="15">
        <v>46065</v>
      </c>
      <c r="M860" s="16">
        <v>2026</v>
      </c>
      <c r="S860" s="9"/>
    </row>
    <row r="861" spans="1:19" ht="13.8" hidden="1">
      <c r="A861" s="5">
        <v>860</v>
      </c>
      <c r="B861" s="18"/>
      <c r="C861" s="13" t="s">
        <v>1401</v>
      </c>
      <c r="D861" s="19" t="s">
        <v>1402</v>
      </c>
      <c r="E861" s="19">
        <v>3110122066</v>
      </c>
      <c r="F861" s="19" t="s">
        <v>44</v>
      </c>
      <c r="G861" s="18"/>
      <c r="H861" s="18"/>
      <c r="I861" s="19" t="s">
        <v>1327</v>
      </c>
      <c r="J861" s="14" t="s">
        <v>1328</v>
      </c>
      <c r="K861" s="14" t="s">
        <v>1403</v>
      </c>
      <c r="L861" s="15">
        <v>46066</v>
      </c>
      <c r="M861" s="16">
        <v>2026</v>
      </c>
      <c r="S861" s="9"/>
    </row>
    <row r="862" spans="1:19" ht="13.8" hidden="1">
      <c r="A862" s="5">
        <v>861</v>
      </c>
      <c r="B862" s="18"/>
      <c r="C862" s="13"/>
      <c r="D862" s="19" t="s">
        <v>1404</v>
      </c>
      <c r="E862" s="19">
        <v>3110124066</v>
      </c>
      <c r="F862" s="19" t="s">
        <v>19</v>
      </c>
      <c r="G862" s="18"/>
      <c r="H862" s="18"/>
      <c r="I862" s="19" t="s">
        <v>1327</v>
      </c>
      <c r="J862" s="14" t="s">
        <v>1328</v>
      </c>
      <c r="K862" s="14" t="s">
        <v>1405</v>
      </c>
      <c r="L862" s="15">
        <v>46067</v>
      </c>
      <c r="M862" s="16">
        <v>2026</v>
      </c>
      <c r="S862" s="9"/>
    </row>
    <row r="863" spans="1:19" ht="13.8" hidden="1">
      <c r="A863" s="5">
        <v>862</v>
      </c>
      <c r="B863" s="18"/>
      <c r="C863" s="13"/>
      <c r="D863" s="19" t="s">
        <v>1406</v>
      </c>
      <c r="E863" s="19">
        <v>3110124069</v>
      </c>
      <c r="F863" s="19" t="s">
        <v>19</v>
      </c>
      <c r="G863" s="18"/>
      <c r="H863" s="18"/>
      <c r="I863" s="19" t="s">
        <v>1327</v>
      </c>
      <c r="J863" s="14" t="s">
        <v>1328</v>
      </c>
      <c r="K863" s="14" t="s">
        <v>1407</v>
      </c>
      <c r="L863" s="15">
        <v>46068</v>
      </c>
      <c r="M863" s="16">
        <v>2026</v>
      </c>
      <c r="S863" s="9"/>
    </row>
    <row r="864" spans="1:19" ht="13.8" hidden="1">
      <c r="A864" s="5">
        <v>863</v>
      </c>
      <c r="B864" s="18"/>
      <c r="C864" s="13"/>
      <c r="D864" s="19" t="s">
        <v>1408</v>
      </c>
      <c r="E864" s="19">
        <v>3110124033</v>
      </c>
      <c r="F864" s="19" t="s">
        <v>19</v>
      </c>
      <c r="G864" s="18"/>
      <c r="H864" s="18"/>
      <c r="I864" s="19" t="s">
        <v>1327</v>
      </c>
      <c r="J864" s="14" t="s">
        <v>1328</v>
      </c>
      <c r="K864" s="14" t="s">
        <v>1409</v>
      </c>
      <c r="L864" s="15">
        <v>46069</v>
      </c>
      <c r="M864" s="16">
        <v>2026</v>
      </c>
      <c r="S864" s="9"/>
    </row>
    <row r="865" spans="1:19" ht="13.8" hidden="1">
      <c r="A865" s="5">
        <v>864</v>
      </c>
      <c r="B865" s="18"/>
      <c r="C865" s="13" t="s">
        <v>1410</v>
      </c>
      <c r="D865" s="19" t="s">
        <v>1411</v>
      </c>
      <c r="E865" s="19">
        <v>3110123033</v>
      </c>
      <c r="F865" s="19" t="s">
        <v>66</v>
      </c>
      <c r="G865" s="18"/>
      <c r="H865" s="18"/>
      <c r="I865" s="19" t="s">
        <v>1327</v>
      </c>
      <c r="J865" s="14" t="s">
        <v>1328</v>
      </c>
      <c r="K865" s="14" t="s">
        <v>1412</v>
      </c>
      <c r="L865" s="15">
        <v>46070</v>
      </c>
      <c r="M865" s="16">
        <v>2026</v>
      </c>
      <c r="S865" s="9"/>
    </row>
    <row r="866" spans="1:19" ht="13.8" hidden="1">
      <c r="A866" s="5">
        <v>865</v>
      </c>
      <c r="B866" s="18"/>
      <c r="C866" s="13" t="s">
        <v>1413</v>
      </c>
      <c r="D866" s="19" t="s">
        <v>1414</v>
      </c>
      <c r="E866" s="19">
        <v>3110124007</v>
      </c>
      <c r="F866" s="19" t="s">
        <v>15</v>
      </c>
      <c r="G866" s="18"/>
      <c r="H866" s="18"/>
      <c r="I866" s="19" t="s">
        <v>1327</v>
      </c>
      <c r="J866" s="14" t="s">
        <v>1328</v>
      </c>
      <c r="K866" s="14" t="s">
        <v>1415</v>
      </c>
      <c r="L866" s="15">
        <v>46071</v>
      </c>
      <c r="M866" s="16">
        <v>2026</v>
      </c>
      <c r="S866" s="9"/>
    </row>
    <row r="867" spans="1:19" ht="13.8" hidden="1">
      <c r="A867" s="5">
        <v>866</v>
      </c>
      <c r="B867" s="18"/>
      <c r="C867" s="13"/>
      <c r="D867" s="19" t="s">
        <v>1416</v>
      </c>
      <c r="E867" s="19">
        <v>3110124009</v>
      </c>
      <c r="F867" s="19" t="s">
        <v>15</v>
      </c>
      <c r="G867" s="18"/>
      <c r="H867" s="18"/>
      <c r="I867" s="19" t="s">
        <v>1327</v>
      </c>
      <c r="J867" s="14" t="s">
        <v>1328</v>
      </c>
      <c r="K867" s="14" t="s">
        <v>1417</v>
      </c>
      <c r="L867" s="15">
        <v>46072</v>
      </c>
      <c r="M867" s="16">
        <v>2026</v>
      </c>
      <c r="S867" s="9"/>
    </row>
    <row r="868" spans="1:19" ht="13.8" hidden="1">
      <c r="A868" s="5">
        <v>867</v>
      </c>
      <c r="B868" s="18"/>
      <c r="C868" s="13"/>
      <c r="D868" s="19" t="s">
        <v>1418</v>
      </c>
      <c r="E868" s="19">
        <v>3110124021</v>
      </c>
      <c r="F868" s="19" t="s">
        <v>15</v>
      </c>
      <c r="G868" s="18"/>
      <c r="H868" s="18"/>
      <c r="I868" s="19" t="s">
        <v>1327</v>
      </c>
      <c r="J868" s="14" t="s">
        <v>1328</v>
      </c>
      <c r="K868" s="14" t="s">
        <v>1419</v>
      </c>
      <c r="L868" s="15">
        <v>46073</v>
      </c>
      <c r="M868" s="16">
        <v>2026</v>
      </c>
      <c r="S868" s="9"/>
    </row>
    <row r="869" spans="1:19" ht="13.8" hidden="1">
      <c r="A869" s="5">
        <v>868</v>
      </c>
      <c r="B869" s="18"/>
      <c r="C869" s="13"/>
      <c r="D869" s="19" t="s">
        <v>1420</v>
      </c>
      <c r="E869" s="19">
        <v>3110124029</v>
      </c>
      <c r="F869" s="19" t="s">
        <v>15</v>
      </c>
      <c r="G869" s="18"/>
      <c r="H869" s="18"/>
      <c r="I869" s="19" t="s">
        <v>1327</v>
      </c>
      <c r="J869" s="14" t="s">
        <v>1328</v>
      </c>
      <c r="K869" s="14" t="s">
        <v>1421</v>
      </c>
      <c r="L869" s="15">
        <v>46074</v>
      </c>
      <c r="M869" s="16">
        <v>2026</v>
      </c>
      <c r="S869" s="9"/>
    </row>
    <row r="870" spans="1:19" ht="13.8" hidden="1">
      <c r="A870" s="5">
        <v>869</v>
      </c>
      <c r="B870" s="18"/>
      <c r="C870" s="13"/>
      <c r="D870" s="19" t="s">
        <v>1422</v>
      </c>
      <c r="E870" s="19">
        <v>3110125040</v>
      </c>
      <c r="F870" s="19" t="s">
        <v>1423</v>
      </c>
      <c r="G870" s="18"/>
      <c r="H870" s="18"/>
      <c r="I870" s="19" t="s">
        <v>1327</v>
      </c>
      <c r="J870" s="14" t="s">
        <v>1328</v>
      </c>
      <c r="K870" s="14" t="s">
        <v>1424</v>
      </c>
      <c r="L870" s="15">
        <v>46075</v>
      </c>
      <c r="M870" s="16">
        <v>2026</v>
      </c>
      <c r="S870" s="9"/>
    </row>
    <row r="871" spans="1:19" ht="13.8" hidden="1">
      <c r="A871" s="5">
        <v>870</v>
      </c>
      <c r="B871" s="18"/>
      <c r="C871" s="13" t="s">
        <v>1425</v>
      </c>
      <c r="D871" s="19" t="s">
        <v>1426</v>
      </c>
      <c r="E871" s="19">
        <v>3110122069</v>
      </c>
      <c r="F871" s="19" t="s">
        <v>44</v>
      </c>
      <c r="G871" s="18"/>
      <c r="H871" s="18"/>
      <c r="I871" s="19" t="s">
        <v>1327</v>
      </c>
      <c r="J871" s="14" t="s">
        <v>1328</v>
      </c>
      <c r="K871" s="14" t="s">
        <v>1427</v>
      </c>
      <c r="L871" s="15">
        <v>46076</v>
      </c>
      <c r="M871" s="16">
        <v>2026</v>
      </c>
      <c r="S871" s="9"/>
    </row>
    <row r="872" spans="1:19" ht="13.8" hidden="1">
      <c r="A872" s="5">
        <v>871</v>
      </c>
      <c r="B872" s="18"/>
      <c r="C872" s="13"/>
      <c r="D872" s="19" t="s">
        <v>69</v>
      </c>
      <c r="E872" s="19">
        <v>3110123047</v>
      </c>
      <c r="F872" s="19" t="s">
        <v>66</v>
      </c>
      <c r="G872" s="18"/>
      <c r="H872" s="18"/>
      <c r="I872" s="19" t="s">
        <v>1327</v>
      </c>
      <c r="J872" s="14" t="s">
        <v>1328</v>
      </c>
      <c r="K872" s="14" t="s">
        <v>1428</v>
      </c>
      <c r="L872" s="15">
        <v>46077</v>
      </c>
      <c r="M872" s="16">
        <v>2026</v>
      </c>
      <c r="S872" s="9"/>
    </row>
    <row r="873" spans="1:19" ht="13.8" hidden="1">
      <c r="A873" s="5">
        <v>872</v>
      </c>
      <c r="B873" s="18"/>
      <c r="C873" s="13"/>
      <c r="D873" s="19" t="s">
        <v>1429</v>
      </c>
      <c r="E873" s="19">
        <v>3110122023</v>
      </c>
      <c r="F873" s="19" t="s">
        <v>44</v>
      </c>
      <c r="G873" s="18"/>
      <c r="H873" s="18"/>
      <c r="I873" s="19" t="s">
        <v>1327</v>
      </c>
      <c r="J873" s="14" t="s">
        <v>1328</v>
      </c>
      <c r="K873" s="14" t="s">
        <v>1430</v>
      </c>
      <c r="L873" s="15">
        <v>46078</v>
      </c>
      <c r="M873" s="16">
        <v>2026</v>
      </c>
      <c r="S873" s="9"/>
    </row>
    <row r="874" spans="1:19" ht="13.8" hidden="1">
      <c r="A874" s="5">
        <v>873</v>
      </c>
      <c r="B874" s="18"/>
      <c r="C874" s="13" t="s">
        <v>1431</v>
      </c>
      <c r="D874" s="19" t="s">
        <v>1432</v>
      </c>
      <c r="E874" s="19">
        <v>3110123007</v>
      </c>
      <c r="F874" s="19" t="s">
        <v>32</v>
      </c>
      <c r="G874" s="18"/>
      <c r="H874" s="18"/>
      <c r="I874" s="19" t="s">
        <v>1327</v>
      </c>
      <c r="J874" s="14" t="s">
        <v>1328</v>
      </c>
      <c r="K874" s="14" t="s">
        <v>1433</v>
      </c>
      <c r="L874" s="15">
        <v>46079</v>
      </c>
      <c r="M874" s="16">
        <v>2026</v>
      </c>
      <c r="S874" s="9"/>
    </row>
    <row r="875" spans="1:19" ht="13.8" hidden="1">
      <c r="A875" s="5">
        <v>874</v>
      </c>
      <c r="B875" s="18"/>
      <c r="C875" s="13"/>
      <c r="D875" s="19" t="s">
        <v>49</v>
      </c>
      <c r="E875" s="19">
        <v>3110122006</v>
      </c>
      <c r="F875" s="19" t="s">
        <v>44</v>
      </c>
      <c r="G875" s="18"/>
      <c r="H875" s="18"/>
      <c r="I875" s="19" t="s">
        <v>1327</v>
      </c>
      <c r="J875" s="14" t="s">
        <v>1328</v>
      </c>
      <c r="K875" s="14" t="s">
        <v>1434</v>
      </c>
      <c r="L875" s="15">
        <v>46080</v>
      </c>
      <c r="M875" s="16">
        <v>2026</v>
      </c>
      <c r="S875" s="9"/>
    </row>
    <row r="876" spans="1:19" ht="13.8" hidden="1">
      <c r="A876" s="5">
        <v>875</v>
      </c>
      <c r="B876" s="18"/>
      <c r="C876" s="13"/>
      <c r="D876" s="19" t="s">
        <v>1435</v>
      </c>
      <c r="E876" s="19">
        <v>3110123043</v>
      </c>
      <c r="F876" s="19" t="s">
        <v>66</v>
      </c>
      <c r="G876" s="18"/>
      <c r="H876" s="18"/>
      <c r="I876" s="19" t="s">
        <v>1327</v>
      </c>
      <c r="J876" s="14" t="s">
        <v>1328</v>
      </c>
      <c r="K876" s="14" t="s">
        <v>1436</v>
      </c>
      <c r="L876" s="15">
        <v>46081</v>
      </c>
      <c r="M876" s="16">
        <v>2026</v>
      </c>
      <c r="S876" s="9"/>
    </row>
    <row r="877" spans="1:19" ht="13.8" hidden="1">
      <c r="A877" s="5">
        <v>876</v>
      </c>
      <c r="B877" s="18"/>
      <c r="C877" s="13"/>
      <c r="D877" s="19" t="s">
        <v>90</v>
      </c>
      <c r="E877" s="19">
        <v>3110123072</v>
      </c>
      <c r="F877" s="19" t="s">
        <v>32</v>
      </c>
      <c r="G877" s="18"/>
      <c r="H877" s="18"/>
      <c r="I877" s="19" t="s">
        <v>1327</v>
      </c>
      <c r="J877" s="14" t="s">
        <v>1328</v>
      </c>
      <c r="K877" s="14" t="s">
        <v>1437</v>
      </c>
      <c r="L877" s="15">
        <v>46082</v>
      </c>
      <c r="M877" s="16">
        <v>2026</v>
      </c>
      <c r="S877" s="9"/>
    </row>
    <row r="878" spans="1:19" ht="13.8" hidden="1">
      <c r="A878" s="5">
        <v>877</v>
      </c>
      <c r="B878" s="18"/>
      <c r="C878" s="13"/>
      <c r="D878" s="19" t="s">
        <v>1438</v>
      </c>
      <c r="E878" s="19">
        <v>3120122004</v>
      </c>
      <c r="F878" s="19" t="s">
        <v>1439</v>
      </c>
      <c r="G878" s="18"/>
      <c r="H878" s="18"/>
      <c r="I878" s="19" t="s">
        <v>1327</v>
      </c>
      <c r="J878" s="14" t="s">
        <v>1328</v>
      </c>
      <c r="K878" s="14" t="s">
        <v>1440</v>
      </c>
      <c r="L878" s="15">
        <v>46083</v>
      </c>
      <c r="M878" s="16">
        <v>2026</v>
      </c>
      <c r="S878" s="9"/>
    </row>
    <row r="879" spans="1:19" ht="13.8" hidden="1">
      <c r="A879" s="5">
        <v>878</v>
      </c>
      <c r="B879" s="18"/>
      <c r="C879" s="13" t="s">
        <v>1441</v>
      </c>
      <c r="D879" s="19" t="s">
        <v>1442</v>
      </c>
      <c r="E879" s="19">
        <v>3120223199</v>
      </c>
      <c r="F879" s="19" t="s">
        <v>1385</v>
      </c>
      <c r="G879" s="18"/>
      <c r="H879" s="18"/>
      <c r="I879" s="19" t="s">
        <v>1327</v>
      </c>
      <c r="J879" s="14" t="s">
        <v>1328</v>
      </c>
      <c r="K879" s="14" t="s">
        <v>1443</v>
      </c>
      <c r="L879" s="15">
        <v>46084</v>
      </c>
      <c r="M879" s="16">
        <v>2026</v>
      </c>
      <c r="S879" s="9"/>
    </row>
    <row r="880" spans="1:19" ht="13.8" hidden="1">
      <c r="A880" s="5">
        <v>879</v>
      </c>
      <c r="B880" s="18"/>
      <c r="C880" s="13"/>
      <c r="D880" s="19" t="s">
        <v>1444</v>
      </c>
      <c r="E880" s="19">
        <v>3120223157</v>
      </c>
      <c r="F880" s="19" t="s">
        <v>1445</v>
      </c>
      <c r="G880" s="18"/>
      <c r="H880" s="18"/>
      <c r="I880" s="19" t="s">
        <v>1327</v>
      </c>
      <c r="J880" s="14" t="s">
        <v>1328</v>
      </c>
      <c r="K880" s="14" t="s">
        <v>1446</v>
      </c>
      <c r="L880" s="15">
        <v>46085</v>
      </c>
      <c r="M880" s="16">
        <v>2026</v>
      </c>
      <c r="S880" s="9"/>
    </row>
    <row r="881" spans="1:19" ht="13.8" hidden="1">
      <c r="A881" s="5">
        <v>880</v>
      </c>
      <c r="B881" s="18"/>
      <c r="C881" s="13" t="s">
        <v>1447</v>
      </c>
      <c r="D881" s="19" t="s">
        <v>1448</v>
      </c>
      <c r="E881" s="19">
        <v>3120223184</v>
      </c>
      <c r="F881" s="19" t="s">
        <v>1385</v>
      </c>
      <c r="G881" s="18"/>
      <c r="H881" s="18"/>
      <c r="I881" s="19" t="s">
        <v>1327</v>
      </c>
      <c r="J881" s="14" t="s">
        <v>1328</v>
      </c>
      <c r="K881" s="14" t="s">
        <v>1449</v>
      </c>
      <c r="L881" s="15">
        <v>46086</v>
      </c>
      <c r="M881" s="16">
        <v>2026</v>
      </c>
      <c r="S881" s="9"/>
    </row>
    <row r="882" spans="1:19" ht="13.8" hidden="1">
      <c r="A882" s="5">
        <v>881</v>
      </c>
      <c r="B882" s="18"/>
      <c r="C882" s="13"/>
      <c r="D882" s="19" t="s">
        <v>1384</v>
      </c>
      <c r="E882" s="19">
        <v>3120223096</v>
      </c>
      <c r="F882" s="19" t="s">
        <v>1385</v>
      </c>
      <c r="G882" s="18"/>
      <c r="H882" s="18"/>
      <c r="I882" s="19" t="s">
        <v>1327</v>
      </c>
      <c r="J882" s="14" t="s">
        <v>1328</v>
      </c>
      <c r="K882" s="14" t="s">
        <v>1450</v>
      </c>
      <c r="L882" s="15">
        <v>46087</v>
      </c>
      <c r="M882" s="16">
        <v>2026</v>
      </c>
      <c r="S882" s="9"/>
    </row>
    <row r="883" spans="1:19" ht="13.8" hidden="1">
      <c r="A883" s="5">
        <v>882</v>
      </c>
      <c r="B883" s="18"/>
      <c r="C883" s="13"/>
      <c r="D883" s="19" t="s">
        <v>1451</v>
      </c>
      <c r="E883" s="19">
        <v>3120225093</v>
      </c>
      <c r="F883" s="19" t="s">
        <v>1452</v>
      </c>
      <c r="G883" s="18"/>
      <c r="H883" s="18"/>
      <c r="I883" s="19" t="s">
        <v>1327</v>
      </c>
      <c r="J883" s="14" t="s">
        <v>1328</v>
      </c>
      <c r="K883" s="14" t="s">
        <v>1453</v>
      </c>
      <c r="L883" s="15">
        <v>46088</v>
      </c>
      <c r="M883" s="16">
        <v>2026</v>
      </c>
      <c r="S883" s="9"/>
    </row>
    <row r="884" spans="1:19" ht="13.8" hidden="1">
      <c r="A884" s="5">
        <v>883</v>
      </c>
      <c r="B884" s="18"/>
      <c r="C884" s="13" t="s">
        <v>1454</v>
      </c>
      <c r="D884" s="20" t="s">
        <v>1455</v>
      </c>
      <c r="E884" s="19">
        <v>3110123051</v>
      </c>
      <c r="F884" s="20" t="s">
        <v>32</v>
      </c>
      <c r="G884" s="18"/>
      <c r="H884" s="18"/>
      <c r="I884" s="19" t="s">
        <v>1327</v>
      </c>
      <c r="J884" s="14" t="s">
        <v>1328</v>
      </c>
      <c r="K884" s="14" t="s">
        <v>1456</v>
      </c>
      <c r="L884" s="15">
        <v>46089</v>
      </c>
      <c r="M884" s="16">
        <v>2026</v>
      </c>
      <c r="S884" s="9"/>
    </row>
    <row r="885" spans="1:19" ht="13.8" hidden="1">
      <c r="A885" s="5">
        <v>884</v>
      </c>
      <c r="B885" s="18"/>
      <c r="C885" s="13"/>
      <c r="D885" s="20" t="s">
        <v>97</v>
      </c>
      <c r="E885" s="19">
        <v>3110123022</v>
      </c>
      <c r="F885" s="20" t="s">
        <v>32</v>
      </c>
      <c r="G885" s="18"/>
      <c r="H885" s="18"/>
      <c r="I885" s="19" t="s">
        <v>1327</v>
      </c>
      <c r="J885" s="14" t="s">
        <v>1328</v>
      </c>
      <c r="K885" s="14" t="s">
        <v>1457</v>
      </c>
      <c r="L885" s="15">
        <v>46090</v>
      </c>
      <c r="M885" s="16">
        <v>2026</v>
      </c>
      <c r="S885" s="9"/>
    </row>
    <row r="886" spans="1:19" ht="13.8" hidden="1">
      <c r="A886" s="5">
        <v>885</v>
      </c>
      <c r="B886" s="18"/>
      <c r="C886" s="13" t="s">
        <v>1458</v>
      </c>
      <c r="D886" s="20" t="s">
        <v>1459</v>
      </c>
      <c r="E886" s="19">
        <v>3120124015</v>
      </c>
      <c r="F886" s="20" t="s">
        <v>179</v>
      </c>
      <c r="G886" s="18"/>
      <c r="H886" s="18"/>
      <c r="I886" s="19" t="s">
        <v>1327</v>
      </c>
      <c r="J886" s="14" t="s">
        <v>1328</v>
      </c>
      <c r="K886" s="14" t="s">
        <v>1460</v>
      </c>
      <c r="L886" s="15">
        <v>46091</v>
      </c>
      <c r="M886" s="16">
        <v>2026</v>
      </c>
      <c r="S886" s="9"/>
    </row>
    <row r="887" spans="1:19" ht="13.8" hidden="1">
      <c r="A887" s="5">
        <v>886</v>
      </c>
      <c r="B887" s="18"/>
      <c r="C887" s="13"/>
      <c r="D887" s="20" t="s">
        <v>1461</v>
      </c>
      <c r="E887" s="19">
        <v>3120124004</v>
      </c>
      <c r="F887" s="20" t="s">
        <v>179</v>
      </c>
      <c r="G887" s="18"/>
      <c r="H887" s="18"/>
      <c r="I887" s="19" t="s">
        <v>1327</v>
      </c>
      <c r="J887" s="14" t="s">
        <v>1328</v>
      </c>
      <c r="K887" s="14" t="s">
        <v>1462</v>
      </c>
      <c r="L887" s="15">
        <v>46092</v>
      </c>
      <c r="M887" s="16">
        <v>2026</v>
      </c>
      <c r="S887" s="9"/>
    </row>
    <row r="888" spans="1:19" ht="13.8" hidden="1">
      <c r="A888" s="5">
        <v>887</v>
      </c>
      <c r="B888" s="18"/>
      <c r="C888" s="13"/>
      <c r="D888" s="20" t="s">
        <v>1463</v>
      </c>
      <c r="E888" s="19">
        <v>3120225093</v>
      </c>
      <c r="F888" s="20" t="s">
        <v>1464</v>
      </c>
      <c r="G888" s="18"/>
      <c r="H888" s="18"/>
      <c r="I888" s="19" t="s">
        <v>1327</v>
      </c>
      <c r="J888" s="14" t="s">
        <v>1328</v>
      </c>
      <c r="K888" s="14" t="s">
        <v>1465</v>
      </c>
      <c r="L888" s="15">
        <v>46093</v>
      </c>
      <c r="M888" s="16">
        <v>2026</v>
      </c>
      <c r="S888" s="9"/>
    </row>
    <row r="889" spans="1:19" ht="13.8" hidden="1">
      <c r="A889" s="5">
        <v>888</v>
      </c>
      <c r="B889" s="18"/>
      <c r="C889" s="13" t="s">
        <v>1466</v>
      </c>
      <c r="D889" s="20" t="s">
        <v>1467</v>
      </c>
      <c r="E889" s="21">
        <v>3120223079</v>
      </c>
      <c r="F889" s="20" t="s">
        <v>1468</v>
      </c>
      <c r="G889" s="18"/>
      <c r="H889" s="18"/>
      <c r="I889" s="19" t="s">
        <v>1327</v>
      </c>
      <c r="J889" s="14" t="s">
        <v>1328</v>
      </c>
      <c r="K889" s="14" t="s">
        <v>1469</v>
      </c>
      <c r="L889" s="15">
        <v>46094</v>
      </c>
      <c r="M889" s="16">
        <v>2026</v>
      </c>
      <c r="S889" s="9"/>
    </row>
    <row r="890" spans="1:19" ht="13.8" hidden="1">
      <c r="A890" s="5">
        <v>889</v>
      </c>
      <c r="B890" s="18"/>
      <c r="C890" s="13"/>
      <c r="D890" s="20" t="s">
        <v>1470</v>
      </c>
      <c r="E890" s="19">
        <v>3120223133</v>
      </c>
      <c r="F890" s="20" t="s">
        <v>1445</v>
      </c>
      <c r="G890" s="18"/>
      <c r="H890" s="18"/>
      <c r="I890" s="19" t="s">
        <v>1327</v>
      </c>
      <c r="J890" s="14" t="s">
        <v>1328</v>
      </c>
      <c r="K890" s="14" t="s">
        <v>1471</v>
      </c>
      <c r="L890" s="15">
        <v>46095</v>
      </c>
      <c r="M890" s="16">
        <v>2026</v>
      </c>
      <c r="S890" s="9"/>
    </row>
    <row r="891" spans="1:19" ht="13.8" hidden="1">
      <c r="A891" s="5">
        <v>890</v>
      </c>
      <c r="B891" s="18"/>
      <c r="C891" s="13" t="s">
        <v>1472</v>
      </c>
      <c r="D891" s="20" t="s">
        <v>1473</v>
      </c>
      <c r="E891" s="19">
        <v>3110123023</v>
      </c>
      <c r="F891" s="20" t="s">
        <v>66</v>
      </c>
      <c r="G891" s="18"/>
      <c r="H891" s="18"/>
      <c r="I891" s="19" t="s">
        <v>1327</v>
      </c>
      <c r="J891" s="14" t="s">
        <v>1328</v>
      </c>
      <c r="K891" s="14" t="s">
        <v>1474</v>
      </c>
      <c r="L891" s="15">
        <v>46096</v>
      </c>
      <c r="M891" s="16">
        <v>2026</v>
      </c>
      <c r="S891" s="9"/>
    </row>
    <row r="892" spans="1:19" ht="41.4" hidden="1">
      <c r="A892" s="5">
        <v>891</v>
      </c>
      <c r="B892" s="18"/>
      <c r="C892" s="13" t="s">
        <v>1475</v>
      </c>
      <c r="D892" s="19" t="s">
        <v>1476</v>
      </c>
      <c r="E892" s="19">
        <v>3220123344</v>
      </c>
      <c r="F892" s="19" t="s">
        <v>734</v>
      </c>
      <c r="G892" s="18"/>
      <c r="H892" s="18"/>
      <c r="I892" s="19" t="s">
        <v>1477</v>
      </c>
      <c r="J892" s="14" t="s">
        <v>1478</v>
      </c>
      <c r="K892" s="14" t="s">
        <v>1437</v>
      </c>
      <c r="L892" s="15">
        <v>46097</v>
      </c>
      <c r="M892" s="16">
        <v>2026</v>
      </c>
      <c r="S892" s="9"/>
    </row>
    <row r="893" spans="1:19" ht="41.4" hidden="1">
      <c r="A893" s="5">
        <v>892</v>
      </c>
      <c r="B893" s="18"/>
      <c r="C893" s="13"/>
      <c r="D893" s="19" t="s">
        <v>1479</v>
      </c>
      <c r="E893" s="19">
        <v>3220123168</v>
      </c>
      <c r="F893" s="19" t="s">
        <v>734</v>
      </c>
      <c r="G893" s="18"/>
      <c r="H893" s="18"/>
      <c r="I893" s="19" t="s">
        <v>1477</v>
      </c>
      <c r="J893" s="14" t="s">
        <v>1478</v>
      </c>
      <c r="K893" s="14" t="s">
        <v>1440</v>
      </c>
      <c r="L893" s="15">
        <v>46098</v>
      </c>
      <c r="M893" s="16">
        <v>2026</v>
      </c>
      <c r="S893" s="9"/>
    </row>
    <row r="894" spans="1:19" ht="41.4" hidden="1">
      <c r="A894" s="5">
        <v>893</v>
      </c>
      <c r="B894" s="18"/>
      <c r="C894" s="13" t="s">
        <v>1480</v>
      </c>
      <c r="D894" s="19" t="s">
        <v>1481</v>
      </c>
      <c r="E894" s="19">
        <v>3220224001</v>
      </c>
      <c r="F894" s="19" t="s">
        <v>1482</v>
      </c>
      <c r="G894" s="18"/>
      <c r="H894" s="18"/>
      <c r="I894" s="19" t="s">
        <v>1477</v>
      </c>
      <c r="J894" s="14" t="s">
        <v>1478</v>
      </c>
      <c r="K894" s="14" t="s">
        <v>1443</v>
      </c>
      <c r="L894" s="15">
        <v>46099</v>
      </c>
      <c r="M894" s="16">
        <v>2026</v>
      </c>
      <c r="S894" s="9"/>
    </row>
    <row r="895" spans="1:19" ht="41.4" hidden="1">
      <c r="A895" s="5">
        <v>894</v>
      </c>
      <c r="B895" s="18"/>
      <c r="C895" s="13"/>
      <c r="D895" s="19" t="s">
        <v>1483</v>
      </c>
      <c r="E895" s="19">
        <v>3220224031</v>
      </c>
      <c r="F895" s="19" t="s">
        <v>1482</v>
      </c>
      <c r="G895" s="18"/>
      <c r="H895" s="18"/>
      <c r="I895" s="19" t="s">
        <v>1477</v>
      </c>
      <c r="J895" s="14" t="s">
        <v>1478</v>
      </c>
      <c r="K895" s="14" t="s">
        <v>1446</v>
      </c>
      <c r="L895" s="15">
        <v>46100</v>
      </c>
      <c r="M895" s="16">
        <v>2026</v>
      </c>
      <c r="S895" s="9"/>
    </row>
    <row r="896" spans="1:19" ht="41.4" hidden="1">
      <c r="A896" s="5">
        <v>895</v>
      </c>
      <c r="B896" s="18"/>
      <c r="C896" s="13"/>
      <c r="D896" s="19" t="s">
        <v>1484</v>
      </c>
      <c r="E896" s="19">
        <v>3220224036</v>
      </c>
      <c r="F896" s="19" t="s">
        <v>1485</v>
      </c>
      <c r="G896" s="18"/>
      <c r="H896" s="18"/>
      <c r="I896" s="19" t="s">
        <v>1477</v>
      </c>
      <c r="J896" s="14" t="s">
        <v>1478</v>
      </c>
      <c r="K896" s="14" t="s">
        <v>1449</v>
      </c>
      <c r="L896" s="15">
        <v>46101</v>
      </c>
      <c r="M896" s="16">
        <v>2026</v>
      </c>
      <c r="S896" s="9"/>
    </row>
    <row r="897" spans="1:19" ht="41.4" hidden="1">
      <c r="A897" s="5">
        <v>896</v>
      </c>
      <c r="B897" s="18"/>
      <c r="C897" s="13"/>
      <c r="D897" s="19" t="s">
        <v>1486</v>
      </c>
      <c r="E897" s="19">
        <v>3220124118</v>
      </c>
      <c r="F897" s="19" t="s">
        <v>1487</v>
      </c>
      <c r="G897" s="18"/>
      <c r="H897" s="18"/>
      <c r="I897" s="19" t="s">
        <v>1477</v>
      </c>
      <c r="J897" s="14" t="s">
        <v>1478</v>
      </c>
      <c r="K897" s="14" t="s">
        <v>1450</v>
      </c>
      <c r="L897" s="15">
        <v>46102</v>
      </c>
      <c r="M897" s="16">
        <v>2026</v>
      </c>
      <c r="S897" s="9"/>
    </row>
    <row r="898" spans="1:19" ht="41.4" hidden="1">
      <c r="A898" s="5">
        <v>897</v>
      </c>
      <c r="B898" s="18"/>
      <c r="C898" s="13"/>
      <c r="D898" s="19" t="s">
        <v>1488</v>
      </c>
      <c r="E898" s="19">
        <v>3220124333</v>
      </c>
      <c r="F898" s="19" t="s">
        <v>1487</v>
      </c>
      <c r="G898" s="18"/>
      <c r="H898" s="18"/>
      <c r="I898" s="19" t="s">
        <v>1477</v>
      </c>
      <c r="J898" s="14" t="s">
        <v>1478</v>
      </c>
      <c r="K898" s="14" t="s">
        <v>1453</v>
      </c>
      <c r="L898" s="15">
        <v>46103</v>
      </c>
      <c r="M898" s="16">
        <v>2026</v>
      </c>
      <c r="S898" s="9"/>
    </row>
    <row r="899" spans="1:19" ht="41.4" hidden="1">
      <c r="A899" s="5">
        <v>898</v>
      </c>
      <c r="B899" s="18"/>
      <c r="C899" s="13" t="s">
        <v>1489</v>
      </c>
      <c r="D899" s="22" t="s">
        <v>1490</v>
      </c>
      <c r="E899" s="22">
        <v>3220124281</v>
      </c>
      <c r="F899" s="22" t="s">
        <v>1487</v>
      </c>
      <c r="G899" s="18"/>
      <c r="H899" s="18"/>
      <c r="I899" s="19" t="s">
        <v>1477</v>
      </c>
      <c r="J899" s="14" t="s">
        <v>1478</v>
      </c>
      <c r="K899" s="14" t="s">
        <v>1456</v>
      </c>
      <c r="L899" s="15">
        <v>46032</v>
      </c>
      <c r="M899" s="16">
        <v>2026</v>
      </c>
      <c r="S899" s="9"/>
    </row>
    <row r="900" spans="1:19" ht="41.4" hidden="1">
      <c r="A900" s="5">
        <v>899</v>
      </c>
      <c r="B900" s="18"/>
      <c r="C900" s="13"/>
      <c r="D900" s="22" t="s">
        <v>1491</v>
      </c>
      <c r="E900" s="22">
        <v>3220124157</v>
      </c>
      <c r="F900" s="22" t="s">
        <v>1487</v>
      </c>
      <c r="G900" s="18"/>
      <c r="H900" s="18"/>
      <c r="I900" s="19" t="s">
        <v>1477</v>
      </c>
      <c r="J900" s="14" t="s">
        <v>1478</v>
      </c>
      <c r="K900" s="14" t="s">
        <v>1457</v>
      </c>
      <c r="L900" s="15">
        <v>46033</v>
      </c>
      <c r="M900" s="16">
        <v>2026</v>
      </c>
      <c r="S900" s="9"/>
    </row>
    <row r="901" spans="1:19" ht="41.4" hidden="1">
      <c r="A901" s="5">
        <v>900</v>
      </c>
      <c r="B901" s="18"/>
      <c r="C901" s="13"/>
      <c r="D901" s="22" t="s">
        <v>1492</v>
      </c>
      <c r="E901" s="22">
        <v>3220124236</v>
      </c>
      <c r="F901" s="22" t="s">
        <v>1487</v>
      </c>
      <c r="G901" s="18"/>
      <c r="H901" s="18"/>
      <c r="I901" s="19" t="s">
        <v>1477</v>
      </c>
      <c r="J901" s="14" t="s">
        <v>1478</v>
      </c>
      <c r="K901" s="14" t="s">
        <v>1460</v>
      </c>
      <c r="L901" s="15">
        <v>46034</v>
      </c>
      <c r="M901" s="16">
        <v>2026</v>
      </c>
      <c r="S901" s="9"/>
    </row>
    <row r="902" spans="1:19" ht="41.4" hidden="1">
      <c r="A902" s="5">
        <v>901</v>
      </c>
      <c r="B902" s="18"/>
      <c r="C902" s="13"/>
      <c r="D902" s="22" t="s">
        <v>1493</v>
      </c>
      <c r="E902" s="22">
        <v>3220124009</v>
      </c>
      <c r="F902" s="22" t="s">
        <v>1487</v>
      </c>
      <c r="G902" s="18"/>
      <c r="H902" s="18"/>
      <c r="I902" s="19" t="s">
        <v>1477</v>
      </c>
      <c r="J902" s="14" t="s">
        <v>1478</v>
      </c>
      <c r="K902" s="14" t="s">
        <v>1462</v>
      </c>
      <c r="L902" s="15">
        <v>46035</v>
      </c>
      <c r="M902" s="16">
        <v>2026</v>
      </c>
      <c r="S902" s="9"/>
    </row>
    <row r="903" spans="1:19" ht="41.4" hidden="1">
      <c r="A903" s="5">
        <v>902</v>
      </c>
      <c r="B903" s="18"/>
      <c r="C903" s="13"/>
      <c r="D903" s="22" t="s">
        <v>1494</v>
      </c>
      <c r="E903" s="22">
        <v>3220124214</v>
      </c>
      <c r="F903" s="22" t="s">
        <v>1487</v>
      </c>
      <c r="G903" s="18"/>
      <c r="H903" s="18"/>
      <c r="I903" s="19" t="s">
        <v>1477</v>
      </c>
      <c r="J903" s="14" t="s">
        <v>1478</v>
      </c>
      <c r="K903" s="14" t="s">
        <v>1465</v>
      </c>
      <c r="L903" s="15">
        <v>46036</v>
      </c>
      <c r="M903" s="16">
        <v>2026</v>
      </c>
      <c r="S903" s="9"/>
    </row>
    <row r="904" spans="1:19" ht="41.4" hidden="1">
      <c r="A904" s="5">
        <v>903</v>
      </c>
      <c r="B904" s="18"/>
      <c r="C904" s="13" t="s">
        <v>1495</v>
      </c>
      <c r="D904" s="22" t="s">
        <v>1243</v>
      </c>
      <c r="E904" s="22">
        <v>3220124024</v>
      </c>
      <c r="F904" s="22" t="s">
        <v>1496</v>
      </c>
      <c r="G904" s="18"/>
      <c r="H904" s="18"/>
      <c r="I904" s="19" t="s">
        <v>1477</v>
      </c>
      <c r="J904" s="14" t="s">
        <v>1478</v>
      </c>
      <c r="K904" s="14" t="s">
        <v>1469</v>
      </c>
      <c r="L904" s="15">
        <v>46037</v>
      </c>
      <c r="M904" s="16">
        <v>2026</v>
      </c>
      <c r="S904" s="9"/>
    </row>
    <row r="905" spans="1:19" ht="41.4" hidden="1">
      <c r="A905" s="5">
        <v>904</v>
      </c>
      <c r="B905" s="18"/>
      <c r="C905" s="13"/>
      <c r="D905" s="22" t="s">
        <v>1497</v>
      </c>
      <c r="E905" s="22">
        <v>3220124274</v>
      </c>
      <c r="F905" s="22" t="s">
        <v>1496</v>
      </c>
      <c r="G905" s="18"/>
      <c r="H905" s="18"/>
      <c r="I905" s="19" t="s">
        <v>1477</v>
      </c>
      <c r="J905" s="14" t="s">
        <v>1478</v>
      </c>
      <c r="K905" s="14" t="s">
        <v>1471</v>
      </c>
      <c r="L905" s="15">
        <v>46038</v>
      </c>
      <c r="M905" s="16">
        <v>2026</v>
      </c>
      <c r="S905" s="9"/>
    </row>
    <row r="906" spans="1:19" ht="41.4" hidden="1">
      <c r="A906" s="5">
        <v>905</v>
      </c>
      <c r="B906" s="18"/>
      <c r="C906" s="13"/>
      <c r="D906" s="22" t="s">
        <v>1498</v>
      </c>
      <c r="E906" s="22">
        <v>3220124031</v>
      </c>
      <c r="F906" s="22" t="s">
        <v>1496</v>
      </c>
      <c r="G906" s="18"/>
      <c r="H906" s="18"/>
      <c r="I906" s="19" t="s">
        <v>1477</v>
      </c>
      <c r="J906" s="14" t="s">
        <v>1478</v>
      </c>
      <c r="K906" s="14" t="s">
        <v>1474</v>
      </c>
      <c r="L906" s="15">
        <v>46039</v>
      </c>
      <c r="M906" s="16">
        <v>2026</v>
      </c>
      <c r="S906" s="9"/>
    </row>
    <row r="907" spans="1:19" ht="41.4" hidden="1">
      <c r="A907" s="5">
        <v>906</v>
      </c>
      <c r="B907" s="18"/>
      <c r="C907" s="13"/>
      <c r="D907" s="22" t="s">
        <v>1499</v>
      </c>
      <c r="E907" s="22">
        <v>3220124105</v>
      </c>
      <c r="F907" s="22" t="s">
        <v>1496</v>
      </c>
      <c r="G907" s="18"/>
      <c r="H907" s="18"/>
      <c r="I907" s="19" t="s">
        <v>1477</v>
      </c>
      <c r="J907" s="14" t="s">
        <v>1478</v>
      </c>
      <c r="K907" s="14" t="s">
        <v>1500</v>
      </c>
      <c r="L907" s="15">
        <v>46040</v>
      </c>
      <c r="M907" s="16">
        <v>2026</v>
      </c>
      <c r="S907" s="9"/>
    </row>
    <row r="908" spans="1:19" ht="41.4" hidden="1">
      <c r="A908" s="5">
        <v>907</v>
      </c>
      <c r="B908" s="18"/>
      <c r="C908" s="13"/>
      <c r="D908" s="22" t="s">
        <v>1501</v>
      </c>
      <c r="E908" s="22">
        <v>3220124237</v>
      </c>
      <c r="F908" s="22" t="s">
        <v>1496</v>
      </c>
      <c r="G908" s="18"/>
      <c r="H908" s="18"/>
      <c r="I908" s="19" t="s">
        <v>1477</v>
      </c>
      <c r="J908" s="14" t="s">
        <v>1478</v>
      </c>
      <c r="K908" s="14" t="s">
        <v>1502</v>
      </c>
      <c r="L908" s="15">
        <v>46041</v>
      </c>
      <c r="M908" s="16">
        <v>2026</v>
      </c>
      <c r="S908" s="9"/>
    </row>
    <row r="909" spans="1:19" ht="41.4" hidden="1">
      <c r="A909" s="5">
        <v>908</v>
      </c>
      <c r="B909" s="18"/>
      <c r="C909" s="13" t="s">
        <v>1503</v>
      </c>
      <c r="D909" s="22" t="s">
        <v>1504</v>
      </c>
      <c r="E909" s="22">
        <v>3220124001</v>
      </c>
      <c r="F909" s="22" t="s">
        <v>1505</v>
      </c>
      <c r="G909" s="18"/>
      <c r="H909" s="18"/>
      <c r="I909" s="19" t="s">
        <v>1477</v>
      </c>
      <c r="J909" s="14" t="s">
        <v>1478</v>
      </c>
      <c r="K909" s="14" t="s">
        <v>1506</v>
      </c>
      <c r="L909" s="15">
        <v>46042</v>
      </c>
      <c r="M909" s="16">
        <v>2026</v>
      </c>
      <c r="S909" s="9"/>
    </row>
    <row r="910" spans="1:19" ht="41.4" hidden="1">
      <c r="A910" s="5">
        <v>909</v>
      </c>
      <c r="B910" s="18"/>
      <c r="C910" s="13"/>
      <c r="D910" s="22" t="s">
        <v>1507</v>
      </c>
      <c r="E910" s="22">
        <v>3220124287</v>
      </c>
      <c r="F910" s="22" t="s">
        <v>1505</v>
      </c>
      <c r="G910" s="18"/>
      <c r="H910" s="18"/>
      <c r="I910" s="19" t="s">
        <v>1477</v>
      </c>
      <c r="J910" s="14" t="s">
        <v>1478</v>
      </c>
      <c r="K910" s="14" t="s">
        <v>1508</v>
      </c>
      <c r="L910" s="15">
        <v>46043</v>
      </c>
      <c r="M910" s="16">
        <v>2026</v>
      </c>
      <c r="S910" s="9"/>
    </row>
    <row r="911" spans="1:19" ht="41.4" hidden="1">
      <c r="A911" s="5">
        <v>910</v>
      </c>
      <c r="B911" s="18"/>
      <c r="C911" s="13"/>
      <c r="D911" s="22" t="s">
        <v>1509</v>
      </c>
      <c r="E911" s="22">
        <v>3220124179</v>
      </c>
      <c r="F911" s="22" t="s">
        <v>1496</v>
      </c>
      <c r="G911" s="18"/>
      <c r="H911" s="18"/>
      <c r="I911" s="19" t="s">
        <v>1477</v>
      </c>
      <c r="J911" s="14" t="s">
        <v>1478</v>
      </c>
      <c r="K911" s="14" t="s">
        <v>1510</v>
      </c>
      <c r="L911" s="15">
        <v>46044</v>
      </c>
      <c r="M911" s="16">
        <v>2026</v>
      </c>
      <c r="S911" s="9"/>
    </row>
    <row r="912" spans="1:19" ht="41.4" hidden="1">
      <c r="A912" s="5">
        <v>911</v>
      </c>
      <c r="B912" s="18"/>
      <c r="C912" s="13"/>
      <c r="D912" s="22" t="s">
        <v>1511</v>
      </c>
      <c r="E912" s="22">
        <v>3220124003</v>
      </c>
      <c r="F912" s="22" t="s">
        <v>1496</v>
      </c>
      <c r="G912" s="18"/>
      <c r="H912" s="18"/>
      <c r="I912" s="19" t="s">
        <v>1477</v>
      </c>
      <c r="J912" s="14" t="s">
        <v>1478</v>
      </c>
      <c r="K912" s="14" t="s">
        <v>1512</v>
      </c>
      <c r="L912" s="15">
        <v>46045</v>
      </c>
      <c r="M912" s="16">
        <v>2026</v>
      </c>
      <c r="S912" s="9"/>
    </row>
    <row r="913" spans="1:19" ht="41.4" hidden="1">
      <c r="A913" s="5">
        <v>912</v>
      </c>
      <c r="B913" s="18"/>
      <c r="C913" s="13"/>
      <c r="D913" s="22" t="s">
        <v>1513</v>
      </c>
      <c r="E913" s="22">
        <v>3220124064</v>
      </c>
      <c r="F913" s="22" t="s">
        <v>1505</v>
      </c>
      <c r="G913" s="18"/>
      <c r="H913" s="18"/>
      <c r="I913" s="19" t="s">
        <v>1477</v>
      </c>
      <c r="J913" s="14" t="s">
        <v>1478</v>
      </c>
      <c r="K913" s="14" t="s">
        <v>1514</v>
      </c>
      <c r="L913" s="15">
        <v>46046</v>
      </c>
      <c r="M913" s="16">
        <v>2026</v>
      </c>
      <c r="S913" s="9"/>
    </row>
    <row r="914" spans="1:19" ht="41.4" hidden="1">
      <c r="A914" s="5">
        <v>913</v>
      </c>
      <c r="B914" s="18"/>
      <c r="C914" s="13" t="s">
        <v>1515</v>
      </c>
      <c r="D914" s="22" t="s">
        <v>661</v>
      </c>
      <c r="E914" s="22">
        <v>3220123427</v>
      </c>
      <c r="F914" s="22" t="s">
        <v>662</v>
      </c>
      <c r="G914" s="18"/>
      <c r="H914" s="18"/>
      <c r="I914" s="19" t="s">
        <v>1477</v>
      </c>
      <c r="J914" s="14" t="s">
        <v>1478</v>
      </c>
      <c r="K914" s="14" t="s">
        <v>1516</v>
      </c>
      <c r="L914" s="15">
        <v>46047</v>
      </c>
      <c r="M914" s="16">
        <v>2026</v>
      </c>
      <c r="S914" s="9"/>
    </row>
    <row r="915" spans="1:19" ht="41.4" hidden="1">
      <c r="A915" s="5">
        <v>914</v>
      </c>
      <c r="B915" s="18"/>
      <c r="C915" s="13"/>
      <c r="D915" s="22" t="s">
        <v>1517</v>
      </c>
      <c r="E915" s="22">
        <v>3220123123</v>
      </c>
      <c r="F915" s="22" t="s">
        <v>662</v>
      </c>
      <c r="G915" s="18"/>
      <c r="H915" s="18"/>
      <c r="I915" s="19" t="s">
        <v>1477</v>
      </c>
      <c r="J915" s="14" t="s">
        <v>1478</v>
      </c>
      <c r="K915" s="14" t="s">
        <v>1518</v>
      </c>
      <c r="L915" s="15">
        <v>46048</v>
      </c>
      <c r="M915" s="16">
        <v>2026</v>
      </c>
      <c r="S915" s="9"/>
    </row>
    <row r="916" spans="1:19" ht="41.4" hidden="1">
      <c r="A916" s="5">
        <v>915</v>
      </c>
      <c r="B916" s="18"/>
      <c r="C916" s="13"/>
      <c r="D916" s="22" t="s">
        <v>658</v>
      </c>
      <c r="E916" s="22">
        <v>3220123392</v>
      </c>
      <c r="F916" s="22" t="s">
        <v>659</v>
      </c>
      <c r="G916" s="18"/>
      <c r="H916" s="18"/>
      <c r="I916" s="19" t="s">
        <v>1477</v>
      </c>
      <c r="J916" s="14" t="s">
        <v>1478</v>
      </c>
      <c r="K916" s="14" t="s">
        <v>1519</v>
      </c>
      <c r="L916" s="15">
        <v>46049</v>
      </c>
      <c r="M916" s="16">
        <v>2026</v>
      </c>
      <c r="S916" s="9"/>
    </row>
    <row r="917" spans="1:19" ht="41.4" hidden="1">
      <c r="A917" s="5">
        <v>916</v>
      </c>
      <c r="B917" s="18"/>
      <c r="C917" s="13"/>
      <c r="D917" s="22" t="s">
        <v>665</v>
      </c>
      <c r="E917" s="22">
        <v>3220123397</v>
      </c>
      <c r="F917" s="22" t="s">
        <v>666</v>
      </c>
      <c r="G917" s="18"/>
      <c r="H917" s="18"/>
      <c r="I917" s="19" t="s">
        <v>1477</v>
      </c>
      <c r="J917" s="14" t="s">
        <v>1478</v>
      </c>
      <c r="K917" s="14" t="s">
        <v>1520</v>
      </c>
      <c r="L917" s="15">
        <v>46050</v>
      </c>
      <c r="M917" s="16">
        <v>2026</v>
      </c>
      <c r="S917" s="9"/>
    </row>
    <row r="918" spans="1:19" ht="41.4" hidden="1">
      <c r="A918" s="5">
        <v>917</v>
      </c>
      <c r="B918" s="18"/>
      <c r="C918" s="13"/>
      <c r="D918" s="22" t="s">
        <v>1258</v>
      </c>
      <c r="E918" s="22">
        <v>3220123420</v>
      </c>
      <c r="F918" s="22" t="s">
        <v>666</v>
      </c>
      <c r="G918" s="18"/>
      <c r="H918" s="18"/>
      <c r="I918" s="19" t="s">
        <v>1477</v>
      </c>
      <c r="J918" s="14" t="s">
        <v>1478</v>
      </c>
      <c r="K918" s="14" t="s">
        <v>1521</v>
      </c>
      <c r="L918" s="15">
        <v>46051</v>
      </c>
      <c r="M918" s="16">
        <v>2026</v>
      </c>
      <c r="S918" s="9"/>
    </row>
    <row r="919" spans="1:19" ht="41.4" hidden="1">
      <c r="A919" s="5">
        <v>918</v>
      </c>
      <c r="B919" s="18"/>
      <c r="C919" s="13" t="s">
        <v>1522</v>
      </c>
      <c r="D919" s="22" t="s">
        <v>1523</v>
      </c>
      <c r="E919" s="22">
        <v>3220123061</v>
      </c>
      <c r="F919" s="22" t="s">
        <v>662</v>
      </c>
      <c r="G919" s="18"/>
      <c r="H919" s="18"/>
      <c r="I919" s="19" t="s">
        <v>1477</v>
      </c>
      <c r="J919" s="14" t="s">
        <v>1478</v>
      </c>
      <c r="K919" s="14" t="s">
        <v>1524</v>
      </c>
      <c r="L919" s="15">
        <v>46052</v>
      </c>
      <c r="M919" s="16">
        <v>2026</v>
      </c>
      <c r="S919" s="9"/>
    </row>
    <row r="920" spans="1:19" ht="41.4" hidden="1">
      <c r="A920" s="5">
        <v>919</v>
      </c>
      <c r="B920" s="18"/>
      <c r="C920" s="13"/>
      <c r="D920" s="22" t="s">
        <v>1525</v>
      </c>
      <c r="E920" s="22">
        <v>3220123066</v>
      </c>
      <c r="F920" s="22" t="s">
        <v>662</v>
      </c>
      <c r="G920" s="18"/>
      <c r="H920" s="18"/>
      <c r="I920" s="19" t="s">
        <v>1477</v>
      </c>
      <c r="J920" s="14" t="s">
        <v>1478</v>
      </c>
      <c r="K920" s="14" t="s">
        <v>1526</v>
      </c>
      <c r="L920" s="15">
        <v>46053</v>
      </c>
      <c r="M920" s="16">
        <v>2026</v>
      </c>
      <c r="S920" s="9"/>
    </row>
    <row r="921" spans="1:19" ht="41.4" hidden="1">
      <c r="A921" s="5">
        <v>920</v>
      </c>
      <c r="B921" s="18"/>
      <c r="C921" s="13"/>
      <c r="D921" s="22" t="s">
        <v>1527</v>
      </c>
      <c r="E921" s="22">
        <v>3220123047</v>
      </c>
      <c r="F921" s="22" t="s">
        <v>662</v>
      </c>
      <c r="G921" s="18"/>
      <c r="H921" s="18"/>
      <c r="I921" s="19" t="s">
        <v>1477</v>
      </c>
      <c r="J921" s="14" t="s">
        <v>1478</v>
      </c>
      <c r="K921" s="14" t="s">
        <v>1528</v>
      </c>
      <c r="L921" s="15">
        <v>46054</v>
      </c>
      <c r="M921" s="16">
        <v>2026</v>
      </c>
      <c r="S921" s="9"/>
    </row>
    <row r="922" spans="1:19" ht="41.4" hidden="1">
      <c r="A922" s="5">
        <v>921</v>
      </c>
      <c r="B922" s="18"/>
      <c r="C922" s="13"/>
      <c r="D922" s="22" t="s">
        <v>1529</v>
      </c>
      <c r="E922" s="22">
        <v>3220123326</v>
      </c>
      <c r="F922" s="22" t="s">
        <v>662</v>
      </c>
      <c r="G922" s="18"/>
      <c r="H922" s="18"/>
      <c r="I922" s="19" t="s">
        <v>1477</v>
      </c>
      <c r="J922" s="14" t="s">
        <v>1478</v>
      </c>
      <c r="K922" s="14" t="s">
        <v>1530</v>
      </c>
      <c r="L922" s="15">
        <v>46055</v>
      </c>
      <c r="M922" s="16">
        <v>2026</v>
      </c>
      <c r="S922" s="9"/>
    </row>
    <row r="923" spans="1:19" ht="41.4" hidden="1">
      <c r="A923" s="5">
        <v>922</v>
      </c>
      <c r="B923" s="18"/>
      <c r="C923" s="13"/>
      <c r="D923" s="22" t="s">
        <v>1531</v>
      </c>
      <c r="E923" s="22">
        <v>3220123073</v>
      </c>
      <c r="F923" s="22" t="s">
        <v>662</v>
      </c>
      <c r="G923" s="18"/>
      <c r="H923" s="18"/>
      <c r="I923" s="19" t="s">
        <v>1477</v>
      </c>
      <c r="J923" s="14" t="s">
        <v>1478</v>
      </c>
      <c r="K923" s="14" t="s">
        <v>1532</v>
      </c>
      <c r="L923" s="15">
        <v>46056</v>
      </c>
      <c r="M923" s="16">
        <v>2026</v>
      </c>
      <c r="S923" s="9"/>
    </row>
    <row r="924" spans="1:19" ht="41.4" hidden="1">
      <c r="A924" s="5">
        <v>923</v>
      </c>
      <c r="B924" s="18"/>
      <c r="C924" s="13" t="s">
        <v>1533</v>
      </c>
      <c r="D924" s="22" t="s">
        <v>1534</v>
      </c>
      <c r="E924" s="22">
        <v>3220123051</v>
      </c>
      <c r="F924" s="22" t="s">
        <v>662</v>
      </c>
      <c r="G924" s="18"/>
      <c r="H924" s="18"/>
      <c r="I924" s="19" t="s">
        <v>1477</v>
      </c>
      <c r="J924" s="14" t="s">
        <v>1478</v>
      </c>
      <c r="K924" s="14" t="s">
        <v>1535</v>
      </c>
      <c r="L924" s="15">
        <v>46057</v>
      </c>
      <c r="M924" s="16">
        <v>2026</v>
      </c>
      <c r="S924" s="9"/>
    </row>
    <row r="925" spans="1:19" ht="41.4" hidden="1">
      <c r="A925" s="5">
        <v>924</v>
      </c>
      <c r="B925" s="18"/>
      <c r="C925" s="13"/>
      <c r="D925" s="22" t="s">
        <v>1536</v>
      </c>
      <c r="E925" s="22">
        <v>3220123253</v>
      </c>
      <c r="F925" s="22" t="s">
        <v>662</v>
      </c>
      <c r="G925" s="18"/>
      <c r="H925" s="18"/>
      <c r="I925" s="19" t="s">
        <v>1477</v>
      </c>
      <c r="J925" s="14" t="s">
        <v>1478</v>
      </c>
      <c r="K925" s="14" t="s">
        <v>1537</v>
      </c>
      <c r="L925" s="15">
        <v>46058</v>
      </c>
      <c r="M925" s="16">
        <v>2026</v>
      </c>
      <c r="S925" s="9"/>
    </row>
    <row r="926" spans="1:19" ht="41.4" hidden="1">
      <c r="A926" s="5">
        <v>925</v>
      </c>
      <c r="B926" s="18"/>
      <c r="C926" s="13"/>
      <c r="D926" s="22" t="s">
        <v>1538</v>
      </c>
      <c r="E926" s="22">
        <v>3220123256</v>
      </c>
      <c r="F926" s="22" t="s">
        <v>662</v>
      </c>
      <c r="G926" s="18"/>
      <c r="H926" s="18"/>
      <c r="I926" s="19" t="s">
        <v>1477</v>
      </c>
      <c r="J926" s="14" t="s">
        <v>1478</v>
      </c>
      <c r="K926" s="14" t="s">
        <v>1539</v>
      </c>
      <c r="L926" s="15">
        <v>46059</v>
      </c>
      <c r="M926" s="16">
        <v>2026</v>
      </c>
      <c r="S926" s="9"/>
    </row>
    <row r="927" spans="1:19" ht="41.4" hidden="1">
      <c r="A927" s="5">
        <v>926</v>
      </c>
      <c r="B927" s="18"/>
      <c r="C927" s="13"/>
      <c r="D927" s="22" t="s">
        <v>1540</v>
      </c>
      <c r="E927" s="22">
        <v>3220123402</v>
      </c>
      <c r="F927" s="22" t="s">
        <v>662</v>
      </c>
      <c r="G927" s="18"/>
      <c r="H927" s="18"/>
      <c r="I927" s="19" t="s">
        <v>1477</v>
      </c>
      <c r="J927" s="14" t="s">
        <v>1478</v>
      </c>
      <c r="K927" s="14" t="s">
        <v>1541</v>
      </c>
      <c r="L927" s="15">
        <v>46060</v>
      </c>
      <c r="M927" s="16">
        <v>2026</v>
      </c>
      <c r="S927" s="9"/>
    </row>
    <row r="928" spans="1:19" ht="41.4" hidden="1">
      <c r="A928" s="5">
        <v>927</v>
      </c>
      <c r="B928" s="18"/>
      <c r="C928" s="13"/>
      <c r="D928" s="22" t="s">
        <v>1542</v>
      </c>
      <c r="E928" s="22">
        <v>3220123341</v>
      </c>
      <c r="F928" s="22" t="s">
        <v>662</v>
      </c>
      <c r="G928" s="18"/>
      <c r="H928" s="18"/>
      <c r="I928" s="19" t="s">
        <v>1477</v>
      </c>
      <c r="J928" s="14" t="s">
        <v>1478</v>
      </c>
      <c r="K928" s="14" t="s">
        <v>1543</v>
      </c>
      <c r="L928" s="15">
        <v>46061</v>
      </c>
      <c r="M928" s="16">
        <v>2026</v>
      </c>
      <c r="S928" s="9"/>
    </row>
    <row r="929" spans="1:19" ht="41.4" hidden="1">
      <c r="A929" s="5">
        <v>928</v>
      </c>
      <c r="B929" s="18"/>
      <c r="C929" s="13" t="s">
        <v>1544</v>
      </c>
      <c r="D929" s="22" t="s">
        <v>1545</v>
      </c>
      <c r="E929" s="22">
        <v>3220123046</v>
      </c>
      <c r="F929" s="22" t="s">
        <v>734</v>
      </c>
      <c r="G929" s="18"/>
      <c r="H929" s="18"/>
      <c r="I929" s="19" t="s">
        <v>1477</v>
      </c>
      <c r="J929" s="14" t="s">
        <v>1478</v>
      </c>
      <c r="K929" s="14" t="s">
        <v>1546</v>
      </c>
      <c r="L929" s="15">
        <v>46062</v>
      </c>
      <c r="M929" s="16">
        <v>2026</v>
      </c>
      <c r="S929" s="9"/>
    </row>
    <row r="930" spans="1:19" ht="41.4" hidden="1">
      <c r="A930" s="5">
        <v>929</v>
      </c>
      <c r="B930" s="18"/>
      <c r="C930" s="13"/>
      <c r="D930" s="22" t="s">
        <v>1547</v>
      </c>
      <c r="E930" s="22">
        <v>3220123268</v>
      </c>
      <c r="F930" s="22" t="s">
        <v>734</v>
      </c>
      <c r="G930" s="18"/>
      <c r="H930" s="18"/>
      <c r="I930" s="19" t="s">
        <v>1477</v>
      </c>
      <c r="J930" s="14" t="s">
        <v>1478</v>
      </c>
      <c r="K930" s="14" t="s">
        <v>1548</v>
      </c>
      <c r="L930" s="15">
        <v>46063</v>
      </c>
      <c r="M930" s="16">
        <v>2026</v>
      </c>
      <c r="S930" s="9"/>
    </row>
    <row r="931" spans="1:19" ht="41.4" hidden="1">
      <c r="A931" s="5">
        <v>930</v>
      </c>
      <c r="B931" s="18"/>
      <c r="C931" s="13"/>
      <c r="D931" s="22" t="s">
        <v>1549</v>
      </c>
      <c r="E931" s="22">
        <v>3220123242</v>
      </c>
      <c r="F931" s="22" t="s">
        <v>742</v>
      </c>
      <c r="G931" s="18"/>
      <c r="H931" s="18"/>
      <c r="I931" s="19" t="s">
        <v>1477</v>
      </c>
      <c r="J931" s="14" t="s">
        <v>1478</v>
      </c>
      <c r="K931" s="14" t="s">
        <v>1550</v>
      </c>
      <c r="L931" s="15">
        <v>46064</v>
      </c>
      <c r="M931" s="16">
        <v>2026</v>
      </c>
      <c r="S931" s="9"/>
    </row>
    <row r="932" spans="1:19" ht="41.4" hidden="1">
      <c r="A932" s="5">
        <v>931</v>
      </c>
      <c r="B932" s="18"/>
      <c r="C932" s="13"/>
      <c r="D932" s="22" t="s">
        <v>1551</v>
      </c>
      <c r="E932" s="22">
        <v>3220123140</v>
      </c>
      <c r="F932" s="22" t="s">
        <v>734</v>
      </c>
      <c r="G932" s="18"/>
      <c r="H932" s="18"/>
      <c r="I932" s="19" t="s">
        <v>1477</v>
      </c>
      <c r="J932" s="14" t="s">
        <v>1478</v>
      </c>
      <c r="K932" s="14" t="s">
        <v>1552</v>
      </c>
      <c r="L932" s="15">
        <v>46065</v>
      </c>
      <c r="M932" s="16">
        <v>2026</v>
      </c>
      <c r="S932" s="9"/>
    </row>
    <row r="933" spans="1:19" ht="41.4" hidden="1">
      <c r="A933" s="5">
        <v>932</v>
      </c>
      <c r="B933" s="18"/>
      <c r="C933" s="13" t="s">
        <v>1553</v>
      </c>
      <c r="D933" s="22" t="s">
        <v>700</v>
      </c>
      <c r="E933" s="22">
        <v>3220123206</v>
      </c>
      <c r="F933" s="22" t="s">
        <v>701</v>
      </c>
      <c r="G933" s="18"/>
      <c r="H933" s="18"/>
      <c r="I933" s="19" t="s">
        <v>1477</v>
      </c>
      <c r="J933" s="14" t="s">
        <v>1478</v>
      </c>
      <c r="K933" s="14" t="s">
        <v>1554</v>
      </c>
      <c r="L933" s="15">
        <v>46066</v>
      </c>
      <c r="M933" s="16">
        <v>2026</v>
      </c>
      <c r="S933" s="9"/>
    </row>
    <row r="934" spans="1:19" ht="41.4" hidden="1">
      <c r="A934" s="5">
        <v>933</v>
      </c>
      <c r="B934" s="18"/>
      <c r="C934" s="13"/>
      <c r="D934" s="22" t="s">
        <v>703</v>
      </c>
      <c r="E934" s="22">
        <v>3220123319</v>
      </c>
      <c r="F934" s="22" t="s">
        <v>701</v>
      </c>
      <c r="G934" s="18"/>
      <c r="H934" s="18"/>
      <c r="I934" s="19" t="s">
        <v>1477</v>
      </c>
      <c r="J934" s="14" t="s">
        <v>1478</v>
      </c>
      <c r="K934" s="14" t="s">
        <v>1555</v>
      </c>
      <c r="L934" s="15">
        <v>46067</v>
      </c>
      <c r="M934" s="16">
        <v>2026</v>
      </c>
      <c r="S934" s="9"/>
    </row>
    <row r="935" spans="1:19" ht="41.4" hidden="1">
      <c r="A935" s="5">
        <v>934</v>
      </c>
      <c r="B935" s="18"/>
      <c r="C935" s="13"/>
      <c r="D935" s="22" t="s">
        <v>704</v>
      </c>
      <c r="E935" s="22">
        <v>3220123179</v>
      </c>
      <c r="F935" s="22" t="s">
        <v>701</v>
      </c>
      <c r="G935" s="18"/>
      <c r="H935" s="18"/>
      <c r="I935" s="19" t="s">
        <v>1477</v>
      </c>
      <c r="J935" s="14" t="s">
        <v>1478</v>
      </c>
      <c r="K935" s="14" t="s">
        <v>1556</v>
      </c>
      <c r="L935" s="15">
        <v>46068</v>
      </c>
      <c r="M935" s="16">
        <v>2026</v>
      </c>
      <c r="S935" s="9"/>
    </row>
    <row r="936" spans="1:19" ht="41.4" hidden="1">
      <c r="A936" s="5">
        <v>935</v>
      </c>
      <c r="B936" s="18"/>
      <c r="C936" s="13"/>
      <c r="D936" s="22" t="s">
        <v>705</v>
      </c>
      <c r="E936" s="22">
        <v>3220123449</v>
      </c>
      <c r="F936" s="22" t="s">
        <v>701</v>
      </c>
      <c r="G936" s="18"/>
      <c r="H936" s="18"/>
      <c r="I936" s="19" t="s">
        <v>1477</v>
      </c>
      <c r="J936" s="14" t="s">
        <v>1478</v>
      </c>
      <c r="K936" s="14" t="s">
        <v>1557</v>
      </c>
      <c r="L936" s="15">
        <v>46069</v>
      </c>
      <c r="M936" s="16">
        <v>2026</v>
      </c>
      <c r="S936" s="9"/>
    </row>
    <row r="937" spans="1:19" ht="41.4" hidden="1">
      <c r="A937" s="5">
        <v>936</v>
      </c>
      <c r="B937" s="18"/>
      <c r="C937" s="13"/>
      <c r="D937" s="22" t="s">
        <v>706</v>
      </c>
      <c r="E937" s="22">
        <v>3220123309</v>
      </c>
      <c r="F937" s="22" t="s">
        <v>701</v>
      </c>
      <c r="G937" s="18"/>
      <c r="H937" s="18"/>
      <c r="I937" s="19" t="s">
        <v>1477</v>
      </c>
      <c r="J937" s="14" t="s">
        <v>1478</v>
      </c>
      <c r="K937" s="14" t="s">
        <v>1558</v>
      </c>
      <c r="L937" s="15">
        <v>46070</v>
      </c>
      <c r="M937" s="16">
        <v>2026</v>
      </c>
      <c r="S937" s="9"/>
    </row>
    <row r="938" spans="1:19" ht="41.4" hidden="1">
      <c r="A938" s="5">
        <v>937</v>
      </c>
      <c r="B938" s="18"/>
      <c r="C938" s="13" t="s">
        <v>1559</v>
      </c>
      <c r="D938" s="22" t="s">
        <v>733</v>
      </c>
      <c r="E938" s="22">
        <v>3220123185</v>
      </c>
      <c r="F938" s="22" t="s">
        <v>734</v>
      </c>
      <c r="G938" s="18"/>
      <c r="H938" s="18"/>
      <c r="I938" s="19" t="s">
        <v>1477</v>
      </c>
      <c r="J938" s="14" t="s">
        <v>1478</v>
      </c>
      <c r="K938" s="14" t="s">
        <v>1560</v>
      </c>
      <c r="L938" s="15">
        <v>46071</v>
      </c>
      <c r="M938" s="16">
        <v>2026</v>
      </c>
      <c r="S938" s="9"/>
    </row>
    <row r="939" spans="1:19" ht="41.4" hidden="1">
      <c r="A939" s="5">
        <v>938</v>
      </c>
      <c r="B939" s="18"/>
      <c r="C939" s="13"/>
      <c r="D939" s="22" t="s">
        <v>737</v>
      </c>
      <c r="E939" s="22">
        <v>3220123132</v>
      </c>
      <c r="F939" s="22" t="s">
        <v>734</v>
      </c>
      <c r="G939" s="18"/>
      <c r="H939" s="18"/>
      <c r="I939" s="19" t="s">
        <v>1477</v>
      </c>
      <c r="J939" s="14" t="s">
        <v>1478</v>
      </c>
      <c r="K939" s="14" t="s">
        <v>1561</v>
      </c>
      <c r="L939" s="15">
        <v>46072</v>
      </c>
      <c r="M939" s="16">
        <v>2026</v>
      </c>
      <c r="S939" s="9"/>
    </row>
    <row r="940" spans="1:19" ht="41.4" hidden="1">
      <c r="A940" s="5">
        <v>939</v>
      </c>
      <c r="B940" s="18"/>
      <c r="C940" s="13"/>
      <c r="D940" s="22" t="s">
        <v>736</v>
      </c>
      <c r="E940" s="22">
        <v>3220123091</v>
      </c>
      <c r="F940" s="22" t="s">
        <v>734</v>
      </c>
      <c r="G940" s="18"/>
      <c r="H940" s="18"/>
      <c r="I940" s="19" t="s">
        <v>1477</v>
      </c>
      <c r="J940" s="14" t="s">
        <v>1478</v>
      </c>
      <c r="K940" s="14" t="s">
        <v>1562</v>
      </c>
      <c r="L940" s="15">
        <v>46073</v>
      </c>
      <c r="M940" s="16">
        <v>2026</v>
      </c>
      <c r="S940" s="9"/>
    </row>
    <row r="941" spans="1:19" ht="41.4" hidden="1">
      <c r="A941" s="5">
        <v>940</v>
      </c>
      <c r="B941" s="18"/>
      <c r="C941" s="13"/>
      <c r="D941" s="22" t="s">
        <v>739</v>
      </c>
      <c r="E941" s="22">
        <v>3220123327</v>
      </c>
      <c r="F941" s="22" t="s">
        <v>734</v>
      </c>
      <c r="G941" s="18"/>
      <c r="H941" s="18"/>
      <c r="I941" s="19" t="s">
        <v>1477</v>
      </c>
      <c r="J941" s="14" t="s">
        <v>1478</v>
      </c>
      <c r="K941" s="14" t="s">
        <v>1563</v>
      </c>
      <c r="L941" s="15">
        <v>46074</v>
      </c>
      <c r="M941" s="16">
        <v>2026</v>
      </c>
      <c r="S941" s="9"/>
    </row>
    <row r="942" spans="1:19" ht="41.4" hidden="1">
      <c r="A942" s="5">
        <v>941</v>
      </c>
      <c r="B942" s="18"/>
      <c r="C942" s="13"/>
      <c r="D942" s="22" t="s">
        <v>738</v>
      </c>
      <c r="E942" s="22">
        <v>3220123373</v>
      </c>
      <c r="F942" s="22" t="s">
        <v>734</v>
      </c>
      <c r="G942" s="18"/>
      <c r="H942" s="18"/>
      <c r="I942" s="19" t="s">
        <v>1477</v>
      </c>
      <c r="J942" s="14" t="s">
        <v>1478</v>
      </c>
      <c r="K942" s="14" t="s">
        <v>1564</v>
      </c>
      <c r="L942" s="15">
        <v>46075</v>
      </c>
      <c r="M942" s="16">
        <v>2026</v>
      </c>
      <c r="S942" s="9"/>
    </row>
    <row r="943" spans="1:19" ht="41.4" hidden="1">
      <c r="A943" s="5">
        <v>942</v>
      </c>
      <c r="B943" s="18"/>
      <c r="C943" s="13" t="s">
        <v>1565</v>
      </c>
      <c r="D943" s="22" t="s">
        <v>686</v>
      </c>
      <c r="E943" s="22">
        <v>3220123039</v>
      </c>
      <c r="F943" s="22" t="s">
        <v>683</v>
      </c>
      <c r="G943" s="18"/>
      <c r="H943" s="18"/>
      <c r="I943" s="19" t="s">
        <v>1477</v>
      </c>
      <c r="J943" s="14" t="s">
        <v>1478</v>
      </c>
      <c r="K943" s="14" t="s">
        <v>1566</v>
      </c>
      <c r="L943" s="15">
        <v>46076</v>
      </c>
      <c r="M943" s="16">
        <v>2026</v>
      </c>
      <c r="S943" s="9"/>
    </row>
    <row r="944" spans="1:19" ht="41.4" hidden="1">
      <c r="A944" s="5">
        <v>943</v>
      </c>
      <c r="B944" s="18"/>
      <c r="C944" s="13"/>
      <c r="D944" s="22" t="s">
        <v>685</v>
      </c>
      <c r="E944" s="22">
        <v>3220123380</v>
      </c>
      <c r="F944" s="22" t="s">
        <v>683</v>
      </c>
      <c r="G944" s="18"/>
      <c r="H944" s="18"/>
      <c r="I944" s="19" t="s">
        <v>1477</v>
      </c>
      <c r="J944" s="14" t="s">
        <v>1478</v>
      </c>
      <c r="K944" s="14" t="s">
        <v>1567</v>
      </c>
      <c r="L944" s="15">
        <v>46077</v>
      </c>
      <c r="M944" s="16">
        <v>2026</v>
      </c>
      <c r="S944" s="9"/>
    </row>
    <row r="945" spans="1:19" ht="41.4" hidden="1">
      <c r="A945" s="5">
        <v>944</v>
      </c>
      <c r="B945" s="18"/>
      <c r="C945" s="13"/>
      <c r="D945" s="22" t="s">
        <v>1568</v>
      </c>
      <c r="E945" s="22">
        <v>3220123248</v>
      </c>
      <c r="F945" s="22" t="s">
        <v>683</v>
      </c>
      <c r="G945" s="18"/>
      <c r="H945" s="18"/>
      <c r="I945" s="19" t="s">
        <v>1477</v>
      </c>
      <c r="J945" s="14" t="s">
        <v>1478</v>
      </c>
      <c r="K945" s="14" t="s">
        <v>1569</v>
      </c>
      <c r="L945" s="15">
        <v>46078</v>
      </c>
      <c r="M945" s="16">
        <v>2026</v>
      </c>
      <c r="S945" s="9"/>
    </row>
    <row r="946" spans="1:19" ht="41.4" hidden="1">
      <c r="A946" s="5">
        <v>945</v>
      </c>
      <c r="B946" s="18"/>
      <c r="C946" s="13" t="s">
        <v>1570</v>
      </c>
      <c r="D946" s="22" t="s">
        <v>1571</v>
      </c>
      <c r="E946" s="22">
        <v>3220224012</v>
      </c>
      <c r="F946" s="22" t="s">
        <v>1485</v>
      </c>
      <c r="G946" s="18"/>
      <c r="H946" s="18"/>
      <c r="I946" s="19" t="s">
        <v>1477</v>
      </c>
      <c r="J946" s="14" t="s">
        <v>1478</v>
      </c>
      <c r="K946" s="14" t="s">
        <v>1572</v>
      </c>
      <c r="L946" s="15">
        <v>46079</v>
      </c>
      <c r="M946" s="16">
        <v>2026</v>
      </c>
      <c r="S946" s="9"/>
    </row>
    <row r="947" spans="1:19" ht="41.4" hidden="1">
      <c r="A947" s="5">
        <v>946</v>
      </c>
      <c r="B947" s="18"/>
      <c r="C947" s="13"/>
      <c r="D947" s="22" t="s">
        <v>1573</v>
      </c>
      <c r="E947" s="22">
        <v>3220224010</v>
      </c>
      <c r="F947" s="22" t="s">
        <v>1485</v>
      </c>
      <c r="G947" s="18"/>
      <c r="H947" s="18"/>
      <c r="I947" s="19" t="s">
        <v>1477</v>
      </c>
      <c r="J947" s="14" t="s">
        <v>1478</v>
      </c>
      <c r="K947" s="14" t="s">
        <v>1574</v>
      </c>
      <c r="L947" s="15">
        <v>46080</v>
      </c>
      <c r="M947" s="16">
        <v>2026</v>
      </c>
      <c r="S947" s="9"/>
    </row>
    <row r="948" spans="1:19" ht="41.4" hidden="1">
      <c r="A948" s="5">
        <v>947</v>
      </c>
      <c r="B948" s="18"/>
      <c r="C948" s="13"/>
      <c r="D948" s="22" t="s">
        <v>1575</v>
      </c>
      <c r="E948" s="22">
        <v>3220224016</v>
      </c>
      <c r="F948" s="22" t="s">
        <v>1485</v>
      </c>
      <c r="G948" s="18"/>
      <c r="H948" s="18"/>
      <c r="I948" s="19" t="s">
        <v>1477</v>
      </c>
      <c r="J948" s="14" t="s">
        <v>1478</v>
      </c>
      <c r="K948" s="14" t="s">
        <v>1576</v>
      </c>
      <c r="L948" s="15">
        <v>46081</v>
      </c>
      <c r="M948" s="16">
        <v>2026</v>
      </c>
      <c r="S948" s="9"/>
    </row>
    <row r="949" spans="1:19" ht="41.4" hidden="1">
      <c r="A949" s="5">
        <v>948</v>
      </c>
      <c r="B949" s="18"/>
      <c r="C949" s="13"/>
      <c r="D949" s="22" t="s">
        <v>1577</v>
      </c>
      <c r="E949" s="22">
        <v>3220224004</v>
      </c>
      <c r="F949" s="22" t="s">
        <v>1485</v>
      </c>
      <c r="G949" s="18"/>
      <c r="H949" s="18"/>
      <c r="I949" s="19" t="s">
        <v>1477</v>
      </c>
      <c r="J949" s="14" t="s">
        <v>1478</v>
      </c>
      <c r="K949" s="14" t="s">
        <v>1578</v>
      </c>
      <c r="L949" s="15">
        <v>46082</v>
      </c>
      <c r="M949" s="16">
        <v>2026</v>
      </c>
      <c r="S949" s="9"/>
    </row>
    <row r="950" spans="1:19" ht="41.4" hidden="1">
      <c r="A950" s="5">
        <v>949</v>
      </c>
      <c r="B950" s="18"/>
      <c r="C950" s="13"/>
      <c r="D950" s="22" t="s">
        <v>682</v>
      </c>
      <c r="E950" s="22">
        <v>3220123212</v>
      </c>
      <c r="F950" s="22" t="s">
        <v>683</v>
      </c>
      <c r="G950" s="18"/>
      <c r="H950" s="18"/>
      <c r="I950" s="19" t="s">
        <v>1477</v>
      </c>
      <c r="J950" s="14" t="s">
        <v>1478</v>
      </c>
      <c r="K950" s="14" t="s">
        <v>1579</v>
      </c>
      <c r="L950" s="15">
        <v>46083</v>
      </c>
      <c r="M950" s="16">
        <v>2026</v>
      </c>
      <c r="S950" s="9"/>
    </row>
    <row r="951" spans="1:19" ht="41.4" hidden="1">
      <c r="A951" s="5">
        <v>950</v>
      </c>
      <c r="B951" s="18"/>
      <c r="C951" s="13" t="s">
        <v>1580</v>
      </c>
      <c r="D951" s="22" t="s">
        <v>1581</v>
      </c>
      <c r="E951" s="22">
        <v>3220124170</v>
      </c>
      <c r="F951" s="22" t="s">
        <v>1496</v>
      </c>
      <c r="G951" s="18"/>
      <c r="H951" s="18"/>
      <c r="I951" s="19" t="s">
        <v>1477</v>
      </c>
      <c r="J951" s="14" t="s">
        <v>1478</v>
      </c>
      <c r="K951" s="14" t="s">
        <v>1582</v>
      </c>
      <c r="L951" s="15">
        <v>46084</v>
      </c>
      <c r="M951" s="16">
        <v>2026</v>
      </c>
      <c r="S951" s="9"/>
    </row>
    <row r="952" spans="1:19" ht="41.4" hidden="1">
      <c r="A952" s="5">
        <v>951</v>
      </c>
      <c r="B952" s="18"/>
      <c r="C952" s="13"/>
      <c r="D952" s="22" t="s">
        <v>1583</v>
      </c>
      <c r="E952" s="22">
        <v>3220124215</v>
      </c>
      <c r="F952" s="22" t="s">
        <v>1496</v>
      </c>
      <c r="G952" s="18"/>
      <c r="H952" s="18"/>
      <c r="I952" s="19" t="s">
        <v>1477</v>
      </c>
      <c r="J952" s="14" t="s">
        <v>1478</v>
      </c>
      <c r="K952" s="14" t="s">
        <v>1584</v>
      </c>
      <c r="L952" s="15">
        <v>46085</v>
      </c>
      <c r="M952" s="16">
        <v>2026</v>
      </c>
      <c r="S952" s="9"/>
    </row>
    <row r="953" spans="1:19" ht="41.4" hidden="1">
      <c r="A953" s="5">
        <v>952</v>
      </c>
      <c r="B953" s="18"/>
      <c r="C953" s="13"/>
      <c r="D953" s="22" t="s">
        <v>1585</v>
      </c>
      <c r="E953" s="22">
        <v>3220124246</v>
      </c>
      <c r="F953" s="22" t="s">
        <v>1496</v>
      </c>
      <c r="G953" s="18"/>
      <c r="H953" s="18"/>
      <c r="I953" s="19" t="s">
        <v>1477</v>
      </c>
      <c r="J953" s="14" t="s">
        <v>1478</v>
      </c>
      <c r="K953" s="14" t="s">
        <v>1586</v>
      </c>
      <c r="L953" s="15">
        <v>46086</v>
      </c>
      <c r="M953" s="16">
        <v>2026</v>
      </c>
      <c r="S953" s="9"/>
    </row>
    <row r="954" spans="1:19" ht="41.4" hidden="1">
      <c r="A954" s="5">
        <v>953</v>
      </c>
      <c r="B954" s="18"/>
      <c r="C954" s="13"/>
      <c r="D954" s="22" t="s">
        <v>1587</v>
      </c>
      <c r="E954" s="22">
        <v>3220124199</v>
      </c>
      <c r="F954" s="22" t="s">
        <v>1496</v>
      </c>
      <c r="G954" s="18"/>
      <c r="H954" s="18"/>
      <c r="I954" s="19" t="s">
        <v>1477</v>
      </c>
      <c r="J954" s="14" t="s">
        <v>1478</v>
      </c>
      <c r="K954" s="14" t="s">
        <v>1588</v>
      </c>
      <c r="L954" s="15">
        <v>46087</v>
      </c>
      <c r="M954" s="16">
        <v>2026</v>
      </c>
      <c r="S954" s="9"/>
    </row>
    <row r="955" spans="1:19" ht="41.4" hidden="1">
      <c r="A955" s="5">
        <v>954</v>
      </c>
      <c r="B955" s="18"/>
      <c r="C955" s="13" t="s">
        <v>1589</v>
      </c>
      <c r="D955" s="22" t="s">
        <v>1590</v>
      </c>
      <c r="E955" s="22">
        <v>3220124008</v>
      </c>
      <c r="F955" s="22" t="s">
        <v>1505</v>
      </c>
      <c r="G955" s="18"/>
      <c r="H955" s="18"/>
      <c r="I955" s="19" t="s">
        <v>1477</v>
      </c>
      <c r="J955" s="14" t="s">
        <v>1478</v>
      </c>
      <c r="K955" s="14" t="s">
        <v>1591</v>
      </c>
      <c r="L955" s="15">
        <v>46088</v>
      </c>
      <c r="M955" s="16">
        <v>2026</v>
      </c>
      <c r="S955" s="9"/>
    </row>
    <row r="956" spans="1:19" ht="41.4" hidden="1">
      <c r="A956" s="5">
        <v>955</v>
      </c>
      <c r="B956" s="18"/>
      <c r="C956" s="13"/>
      <c r="D956" s="22" t="s">
        <v>1592</v>
      </c>
      <c r="E956" s="22">
        <v>3220124162</v>
      </c>
      <c r="F956" s="22" t="s">
        <v>1505</v>
      </c>
      <c r="G956" s="18"/>
      <c r="H956" s="18"/>
      <c r="I956" s="19" t="s">
        <v>1477</v>
      </c>
      <c r="J956" s="14" t="s">
        <v>1478</v>
      </c>
      <c r="K956" s="14" t="s">
        <v>1593</v>
      </c>
      <c r="L956" s="15">
        <v>46089</v>
      </c>
      <c r="M956" s="16">
        <v>2026</v>
      </c>
      <c r="S956" s="9"/>
    </row>
    <row r="957" spans="1:19" ht="41.4" hidden="1">
      <c r="A957" s="5">
        <v>956</v>
      </c>
      <c r="B957" s="18"/>
      <c r="C957" s="13"/>
      <c r="D957" s="22" t="s">
        <v>1594</v>
      </c>
      <c r="E957" s="22">
        <v>3220124244</v>
      </c>
      <c r="F957" s="22" t="s">
        <v>1505</v>
      </c>
      <c r="G957" s="18"/>
      <c r="H957" s="18"/>
      <c r="I957" s="19" t="s">
        <v>1477</v>
      </c>
      <c r="J957" s="14" t="s">
        <v>1478</v>
      </c>
      <c r="K957" s="14" t="s">
        <v>1595</v>
      </c>
      <c r="L957" s="15">
        <v>46090</v>
      </c>
      <c r="M957" s="16">
        <v>2026</v>
      </c>
      <c r="S957" s="9"/>
    </row>
    <row r="958" spans="1:19" ht="41.4" hidden="1">
      <c r="A958" s="5">
        <v>957</v>
      </c>
      <c r="B958" s="18"/>
      <c r="C958" s="13"/>
      <c r="D958" s="22" t="s">
        <v>1596</v>
      </c>
      <c r="E958" s="22">
        <v>3220124133</v>
      </c>
      <c r="F958" s="22" t="s">
        <v>1505</v>
      </c>
      <c r="G958" s="18"/>
      <c r="H958" s="18"/>
      <c r="I958" s="19" t="s">
        <v>1477</v>
      </c>
      <c r="J958" s="14" t="s">
        <v>1478</v>
      </c>
      <c r="K958" s="14" t="s">
        <v>1597</v>
      </c>
      <c r="L958" s="15">
        <v>46091</v>
      </c>
      <c r="M958" s="16">
        <v>2026</v>
      </c>
      <c r="S958" s="9"/>
    </row>
    <row r="959" spans="1:19" ht="41.4" hidden="1">
      <c r="A959" s="5">
        <v>958</v>
      </c>
      <c r="B959" s="18"/>
      <c r="C959" s="13"/>
      <c r="D959" s="22" t="s">
        <v>1598</v>
      </c>
      <c r="E959" s="22">
        <v>3220124103</v>
      </c>
      <c r="F959" s="22" t="s">
        <v>1505</v>
      </c>
      <c r="G959" s="18"/>
      <c r="H959" s="18"/>
      <c r="I959" s="19" t="s">
        <v>1477</v>
      </c>
      <c r="J959" s="14" t="s">
        <v>1478</v>
      </c>
      <c r="K959" s="14" t="s">
        <v>1599</v>
      </c>
      <c r="L959" s="15">
        <v>46092</v>
      </c>
      <c r="M959" s="16">
        <v>2026</v>
      </c>
      <c r="S959" s="9"/>
    </row>
    <row r="960" spans="1:19" ht="41.4" hidden="1">
      <c r="A960" s="5">
        <v>959</v>
      </c>
      <c r="B960" s="18"/>
      <c r="C960" s="13" t="s">
        <v>1600</v>
      </c>
      <c r="D960" s="22" t="s">
        <v>1231</v>
      </c>
      <c r="E960" s="22">
        <v>3220123234</v>
      </c>
      <c r="F960" s="22" t="s">
        <v>734</v>
      </c>
      <c r="G960" s="18"/>
      <c r="H960" s="18"/>
      <c r="I960" s="19" t="s">
        <v>1477</v>
      </c>
      <c r="J960" s="14" t="s">
        <v>1478</v>
      </c>
      <c r="K960" s="14" t="s">
        <v>1601</v>
      </c>
      <c r="L960" s="15">
        <v>46093</v>
      </c>
      <c r="M960" s="16">
        <v>2026</v>
      </c>
      <c r="S960" s="9"/>
    </row>
    <row r="961" spans="1:19" ht="41.4" hidden="1">
      <c r="A961" s="5">
        <v>960</v>
      </c>
      <c r="B961" s="18"/>
      <c r="C961" s="13"/>
      <c r="D961" s="22" t="s">
        <v>1602</v>
      </c>
      <c r="E961" s="22">
        <v>3220123322</v>
      </c>
      <c r="F961" s="22" t="s">
        <v>734</v>
      </c>
      <c r="G961" s="18"/>
      <c r="H961" s="18"/>
      <c r="I961" s="19" t="s">
        <v>1477</v>
      </c>
      <c r="J961" s="14" t="s">
        <v>1478</v>
      </c>
      <c r="K961" s="14" t="s">
        <v>1603</v>
      </c>
      <c r="L961" s="15">
        <v>46094</v>
      </c>
      <c r="M961" s="16">
        <v>2026</v>
      </c>
      <c r="S961" s="9"/>
    </row>
    <row r="962" spans="1:19" ht="41.4" hidden="1">
      <c r="A962" s="5">
        <v>961</v>
      </c>
      <c r="B962" s="18"/>
      <c r="C962" s="13"/>
      <c r="D962" s="22" t="s">
        <v>1604</v>
      </c>
      <c r="E962" s="22">
        <v>3220123069</v>
      </c>
      <c r="F962" s="22" t="s">
        <v>734</v>
      </c>
      <c r="G962" s="18"/>
      <c r="H962" s="18"/>
      <c r="I962" s="19" t="s">
        <v>1477</v>
      </c>
      <c r="J962" s="14" t="s">
        <v>1478</v>
      </c>
      <c r="K962" s="14" t="s">
        <v>1605</v>
      </c>
      <c r="L962" s="15">
        <v>46095</v>
      </c>
      <c r="M962" s="16">
        <v>2026</v>
      </c>
      <c r="S962" s="9"/>
    </row>
    <row r="963" spans="1:19" ht="41.4" hidden="1">
      <c r="A963" s="5">
        <v>962</v>
      </c>
      <c r="B963" s="18"/>
      <c r="C963" s="13"/>
      <c r="D963" s="22" t="s">
        <v>1606</v>
      </c>
      <c r="E963" s="22">
        <v>3220123288</v>
      </c>
      <c r="F963" s="22" t="s">
        <v>734</v>
      </c>
      <c r="G963" s="18"/>
      <c r="H963" s="18"/>
      <c r="I963" s="19" t="s">
        <v>1477</v>
      </c>
      <c r="J963" s="14" t="s">
        <v>1478</v>
      </c>
      <c r="K963" s="14" t="s">
        <v>1607</v>
      </c>
      <c r="L963" s="15">
        <v>46096</v>
      </c>
      <c r="M963" s="16">
        <v>2026</v>
      </c>
      <c r="S963" s="9"/>
    </row>
    <row r="964" spans="1:19" ht="41.4" hidden="1">
      <c r="A964" s="5">
        <v>963</v>
      </c>
      <c r="B964" s="18"/>
      <c r="C964" s="13"/>
      <c r="D964" s="22" t="s">
        <v>1608</v>
      </c>
      <c r="E964" s="22">
        <v>3220123251</v>
      </c>
      <c r="F964" s="22" t="s">
        <v>683</v>
      </c>
      <c r="G964" s="18"/>
      <c r="H964" s="18"/>
      <c r="I964" s="19" t="s">
        <v>1477</v>
      </c>
      <c r="J964" s="14" t="s">
        <v>1478</v>
      </c>
      <c r="K964" s="14" t="s">
        <v>1609</v>
      </c>
      <c r="L964" s="15">
        <v>46097</v>
      </c>
      <c r="M964" s="16">
        <v>2026</v>
      </c>
      <c r="S964" s="9"/>
    </row>
    <row r="965" spans="1:19" ht="41.4" hidden="1">
      <c r="A965" s="5">
        <v>964</v>
      </c>
      <c r="B965" s="18"/>
      <c r="C965" s="13" t="s">
        <v>1610</v>
      </c>
      <c r="D965" s="22" t="s">
        <v>1611</v>
      </c>
      <c r="E965" s="22">
        <v>3220224043</v>
      </c>
      <c r="F965" s="22" t="s">
        <v>1485</v>
      </c>
      <c r="G965" s="18"/>
      <c r="H965" s="18"/>
      <c r="I965" s="19" t="s">
        <v>1477</v>
      </c>
      <c r="J965" s="14" t="s">
        <v>1478</v>
      </c>
      <c r="K965" s="14" t="s">
        <v>1612</v>
      </c>
      <c r="L965" s="15">
        <v>46098</v>
      </c>
      <c r="M965" s="16">
        <v>2026</v>
      </c>
      <c r="S965" s="9"/>
    </row>
    <row r="966" spans="1:19" ht="41.4" hidden="1">
      <c r="A966" s="5">
        <v>965</v>
      </c>
      <c r="B966" s="18"/>
      <c r="C966" s="13"/>
      <c r="D966" s="22" t="s">
        <v>1613</v>
      </c>
      <c r="E966" s="22">
        <v>3220224037</v>
      </c>
      <c r="F966" s="22" t="s">
        <v>1485</v>
      </c>
      <c r="G966" s="18"/>
      <c r="H966" s="18"/>
      <c r="I966" s="19" t="s">
        <v>1477</v>
      </c>
      <c r="J966" s="14" t="s">
        <v>1478</v>
      </c>
      <c r="K966" s="14" t="s">
        <v>1614</v>
      </c>
      <c r="L966" s="15">
        <v>46099</v>
      </c>
      <c r="M966" s="16">
        <v>2026</v>
      </c>
      <c r="S966" s="9"/>
    </row>
    <row r="967" spans="1:19" ht="41.4" hidden="1">
      <c r="A967" s="5">
        <v>966</v>
      </c>
      <c r="B967" s="18"/>
      <c r="C967" s="13"/>
      <c r="D967" s="22" t="s">
        <v>1268</v>
      </c>
      <c r="E967" s="22">
        <v>3220224047</v>
      </c>
      <c r="F967" s="22" t="s">
        <v>1485</v>
      </c>
      <c r="G967" s="18"/>
      <c r="H967" s="18"/>
      <c r="I967" s="19" t="s">
        <v>1477</v>
      </c>
      <c r="J967" s="14" t="s">
        <v>1478</v>
      </c>
      <c r="K967" s="14" t="s">
        <v>1615</v>
      </c>
      <c r="L967" s="15">
        <v>46100</v>
      </c>
      <c r="M967" s="16">
        <v>2026</v>
      </c>
      <c r="S967" s="9"/>
    </row>
    <row r="968" spans="1:19" ht="41.4" hidden="1">
      <c r="A968" s="5">
        <v>967</v>
      </c>
      <c r="B968" s="18"/>
      <c r="C968" s="13"/>
      <c r="D968" s="22" t="s">
        <v>1616</v>
      </c>
      <c r="E968" s="22">
        <v>3220224070</v>
      </c>
      <c r="F968" s="22" t="s">
        <v>1485</v>
      </c>
      <c r="G968" s="18"/>
      <c r="H968" s="18"/>
      <c r="I968" s="19" t="s">
        <v>1477</v>
      </c>
      <c r="J968" s="14" t="s">
        <v>1478</v>
      </c>
      <c r="K968" s="14" t="s">
        <v>1617</v>
      </c>
      <c r="L968" s="15">
        <v>46101</v>
      </c>
      <c r="M968" s="16">
        <v>2026</v>
      </c>
      <c r="S968" s="9"/>
    </row>
    <row r="969" spans="1:19" ht="41.4" hidden="1">
      <c r="A969" s="5">
        <v>968</v>
      </c>
      <c r="B969" s="18"/>
      <c r="C969" s="13"/>
      <c r="D969" s="22" t="s">
        <v>1618</v>
      </c>
      <c r="E969" s="22">
        <v>3220224078</v>
      </c>
      <c r="F969" s="22" t="s">
        <v>1485</v>
      </c>
      <c r="G969" s="18"/>
      <c r="H969" s="18"/>
      <c r="I969" s="19" t="s">
        <v>1477</v>
      </c>
      <c r="J969" s="14" t="s">
        <v>1478</v>
      </c>
      <c r="K969" s="14" t="s">
        <v>1619</v>
      </c>
      <c r="L969" s="15">
        <v>46102</v>
      </c>
      <c r="M969" s="16">
        <v>2026</v>
      </c>
      <c r="S969" s="9"/>
    </row>
    <row r="970" spans="1:19" ht="41.4" hidden="1">
      <c r="A970" s="5">
        <v>969</v>
      </c>
      <c r="B970" s="18"/>
      <c r="C970" s="13" t="s">
        <v>1620</v>
      </c>
      <c r="D970" s="22" t="s">
        <v>1621</v>
      </c>
      <c r="E970" s="22">
        <v>3220124181</v>
      </c>
      <c r="F970" s="22" t="s">
        <v>1622</v>
      </c>
      <c r="G970" s="18"/>
      <c r="H970" s="18"/>
      <c r="I970" s="19" t="s">
        <v>1477</v>
      </c>
      <c r="J970" s="14" t="s">
        <v>1478</v>
      </c>
      <c r="K970" s="14" t="s">
        <v>1623</v>
      </c>
      <c r="L970" s="15">
        <v>46103</v>
      </c>
      <c r="M970" s="16">
        <v>2026</v>
      </c>
      <c r="S970" s="9"/>
    </row>
    <row r="971" spans="1:19" ht="41.4" hidden="1">
      <c r="A971" s="5">
        <v>970</v>
      </c>
      <c r="B971" s="18"/>
      <c r="C971" s="13"/>
      <c r="D971" s="22" t="s">
        <v>1624</v>
      </c>
      <c r="E971" s="22">
        <v>3220124087</v>
      </c>
      <c r="F971" s="22" t="s">
        <v>1622</v>
      </c>
      <c r="G971" s="18"/>
      <c r="H971" s="18"/>
      <c r="I971" s="19" t="s">
        <v>1477</v>
      </c>
      <c r="J971" s="14" t="s">
        <v>1478</v>
      </c>
      <c r="K971" s="14" t="s">
        <v>1625</v>
      </c>
      <c r="L971" s="15">
        <v>46032</v>
      </c>
      <c r="M971" s="16">
        <v>2026</v>
      </c>
      <c r="S971" s="9"/>
    </row>
    <row r="972" spans="1:19" ht="41.4" hidden="1">
      <c r="A972" s="5">
        <v>971</v>
      </c>
      <c r="B972" s="18"/>
      <c r="C972" s="13"/>
      <c r="D972" s="22" t="s">
        <v>1626</v>
      </c>
      <c r="E972" s="22">
        <v>3220124081</v>
      </c>
      <c r="F972" s="22" t="s">
        <v>1622</v>
      </c>
      <c r="G972" s="18"/>
      <c r="H972" s="18"/>
      <c r="I972" s="19" t="s">
        <v>1477</v>
      </c>
      <c r="J972" s="14" t="s">
        <v>1478</v>
      </c>
      <c r="K972" s="14" t="s">
        <v>1627</v>
      </c>
      <c r="L972" s="15">
        <v>46033</v>
      </c>
      <c r="M972" s="16">
        <v>2026</v>
      </c>
      <c r="S972" s="9"/>
    </row>
    <row r="973" spans="1:19" ht="41.4" hidden="1">
      <c r="A973" s="5">
        <v>972</v>
      </c>
      <c r="B973" s="18"/>
      <c r="C973" s="13"/>
      <c r="D973" s="22" t="s">
        <v>1628</v>
      </c>
      <c r="E973" s="22">
        <v>3220124327</v>
      </c>
      <c r="F973" s="22" t="s">
        <v>1629</v>
      </c>
      <c r="G973" s="18"/>
      <c r="H973" s="18"/>
      <c r="I973" s="19" t="s">
        <v>1477</v>
      </c>
      <c r="J973" s="14" t="s">
        <v>1478</v>
      </c>
      <c r="K973" s="14" t="s">
        <v>1630</v>
      </c>
      <c r="L973" s="15">
        <v>46034</v>
      </c>
      <c r="M973" s="16">
        <v>2026</v>
      </c>
      <c r="S973" s="9"/>
    </row>
    <row r="974" spans="1:19" ht="41.4" hidden="1">
      <c r="A974" s="5">
        <v>973</v>
      </c>
      <c r="B974" s="18"/>
      <c r="C974" s="13"/>
      <c r="D974" s="22" t="s">
        <v>1631</v>
      </c>
      <c r="E974" s="22">
        <v>3220124088</v>
      </c>
      <c r="F974" s="22" t="s">
        <v>1629</v>
      </c>
      <c r="G974" s="18"/>
      <c r="H974" s="18"/>
      <c r="I974" s="19" t="s">
        <v>1477</v>
      </c>
      <c r="J974" s="14" t="s">
        <v>1478</v>
      </c>
      <c r="K974" s="14" t="s">
        <v>1632</v>
      </c>
      <c r="L974" s="15">
        <v>46035</v>
      </c>
      <c r="M974" s="16">
        <v>2026</v>
      </c>
      <c r="S974" s="9"/>
    </row>
    <row r="975" spans="1:19" ht="41.4" hidden="1">
      <c r="A975" s="5">
        <v>974</v>
      </c>
      <c r="B975" s="18"/>
      <c r="C975" s="13" t="s">
        <v>1633</v>
      </c>
      <c r="D975" s="22" t="s">
        <v>1247</v>
      </c>
      <c r="E975" s="22" t="s">
        <v>1634</v>
      </c>
      <c r="F975" s="22" t="s">
        <v>1222</v>
      </c>
      <c r="G975" s="18"/>
      <c r="H975" s="18"/>
      <c r="I975" s="19" t="s">
        <v>1477</v>
      </c>
      <c r="J975" s="14" t="s">
        <v>1478</v>
      </c>
      <c r="K975" s="14" t="s">
        <v>1635</v>
      </c>
      <c r="L975" s="15">
        <v>46036</v>
      </c>
      <c r="M975" s="16">
        <v>2026</v>
      </c>
      <c r="S975" s="9"/>
    </row>
    <row r="976" spans="1:19" ht="41.4" hidden="1">
      <c r="A976" s="5">
        <v>975</v>
      </c>
      <c r="B976" s="18"/>
      <c r="C976" s="13"/>
      <c r="D976" s="22" t="s">
        <v>1636</v>
      </c>
      <c r="E976" s="22">
        <v>3230124096</v>
      </c>
      <c r="F976" s="22" t="s">
        <v>1637</v>
      </c>
      <c r="G976" s="18"/>
      <c r="H976" s="18"/>
      <c r="I976" s="19" t="s">
        <v>1477</v>
      </c>
      <c r="J976" s="14" t="s">
        <v>1478</v>
      </c>
      <c r="K976" s="14" t="s">
        <v>1638</v>
      </c>
      <c r="L976" s="15">
        <v>46037</v>
      </c>
      <c r="M976" s="16">
        <v>2026</v>
      </c>
      <c r="S976" s="9"/>
    </row>
    <row r="977" spans="1:19" ht="41.4" hidden="1">
      <c r="A977" s="5">
        <v>976</v>
      </c>
      <c r="B977" s="18"/>
      <c r="C977" s="13"/>
      <c r="D977" s="22" t="s">
        <v>1639</v>
      </c>
      <c r="E977" s="22">
        <v>3230124097</v>
      </c>
      <c r="F977" s="22" t="s">
        <v>1640</v>
      </c>
      <c r="G977" s="18"/>
      <c r="H977" s="18"/>
      <c r="I977" s="19" t="s">
        <v>1477</v>
      </c>
      <c r="J977" s="14" t="s">
        <v>1478</v>
      </c>
      <c r="K977" s="14" t="s">
        <v>1641</v>
      </c>
      <c r="L977" s="15">
        <v>46038</v>
      </c>
      <c r="M977" s="16">
        <v>2026</v>
      </c>
      <c r="S977" s="9"/>
    </row>
    <row r="978" spans="1:19" ht="41.4" hidden="1">
      <c r="A978" s="5">
        <v>977</v>
      </c>
      <c r="B978" s="18"/>
      <c r="C978" s="13"/>
      <c r="D978" s="22" t="s">
        <v>1259</v>
      </c>
      <c r="E978" s="22">
        <v>3230123145</v>
      </c>
      <c r="F978" s="22" t="s">
        <v>1222</v>
      </c>
      <c r="G978" s="18"/>
      <c r="H978" s="18"/>
      <c r="I978" s="19" t="s">
        <v>1477</v>
      </c>
      <c r="J978" s="14" t="s">
        <v>1478</v>
      </c>
      <c r="K978" s="14" t="s">
        <v>1642</v>
      </c>
      <c r="L978" s="15">
        <v>46039</v>
      </c>
      <c r="M978" s="16">
        <v>2026</v>
      </c>
      <c r="S978" s="9"/>
    </row>
    <row r="979" spans="1:19" ht="41.4" hidden="1">
      <c r="A979" s="5">
        <v>978</v>
      </c>
      <c r="B979" s="18"/>
      <c r="C979" s="13"/>
      <c r="D979" s="22" t="s">
        <v>1643</v>
      </c>
      <c r="E979" s="22">
        <v>3230124219</v>
      </c>
      <c r="F979" s="22" t="s">
        <v>1273</v>
      </c>
      <c r="G979" s="18"/>
      <c r="H979" s="18"/>
      <c r="I979" s="19" t="s">
        <v>1477</v>
      </c>
      <c r="J979" s="14" t="s">
        <v>1478</v>
      </c>
      <c r="K979" s="14" t="s">
        <v>1644</v>
      </c>
      <c r="L979" s="15">
        <v>46040</v>
      </c>
      <c r="M979" s="16">
        <v>2026</v>
      </c>
      <c r="S979" s="9"/>
    </row>
    <row r="980" spans="1:19" ht="41.4" hidden="1">
      <c r="A980" s="5">
        <v>979</v>
      </c>
      <c r="B980" s="18"/>
      <c r="C980" s="13" t="s">
        <v>1645</v>
      </c>
      <c r="D980" s="22" t="s">
        <v>1225</v>
      </c>
      <c r="E980" s="22">
        <v>3230123017</v>
      </c>
      <c r="F980" s="22" t="s">
        <v>1222</v>
      </c>
      <c r="G980" s="18"/>
      <c r="H980" s="18"/>
      <c r="I980" s="19" t="s">
        <v>1477</v>
      </c>
      <c r="J980" s="14" t="s">
        <v>1478</v>
      </c>
      <c r="K980" s="14" t="s">
        <v>1646</v>
      </c>
      <c r="L980" s="15">
        <v>46041</v>
      </c>
      <c r="M980" s="16">
        <v>2026</v>
      </c>
      <c r="S980" s="9"/>
    </row>
    <row r="981" spans="1:19" ht="41.4" hidden="1">
      <c r="A981" s="5">
        <v>980</v>
      </c>
      <c r="B981" s="18"/>
      <c r="C981" s="13"/>
      <c r="D981" s="22" t="s">
        <v>1226</v>
      </c>
      <c r="E981" s="22">
        <v>3230123061</v>
      </c>
      <c r="F981" s="22" t="s">
        <v>1222</v>
      </c>
      <c r="G981" s="18"/>
      <c r="H981" s="18"/>
      <c r="I981" s="19" t="s">
        <v>1477</v>
      </c>
      <c r="J981" s="14" t="s">
        <v>1478</v>
      </c>
      <c r="K981" s="14" t="s">
        <v>1647</v>
      </c>
      <c r="L981" s="15">
        <v>46042</v>
      </c>
      <c r="M981" s="16">
        <v>2026</v>
      </c>
      <c r="S981" s="9"/>
    </row>
    <row r="982" spans="1:19" ht="41.4" hidden="1">
      <c r="A982" s="5">
        <v>981</v>
      </c>
      <c r="B982" s="18"/>
      <c r="C982" s="13"/>
      <c r="D982" s="22" t="s">
        <v>882</v>
      </c>
      <c r="E982" s="22">
        <v>3230123123</v>
      </c>
      <c r="F982" s="22" t="s">
        <v>1222</v>
      </c>
      <c r="G982" s="18"/>
      <c r="H982" s="18"/>
      <c r="I982" s="19" t="s">
        <v>1477</v>
      </c>
      <c r="J982" s="14" t="s">
        <v>1478</v>
      </c>
      <c r="K982" s="14" t="s">
        <v>1648</v>
      </c>
      <c r="L982" s="15">
        <v>46043</v>
      </c>
      <c r="M982" s="16">
        <v>2026</v>
      </c>
      <c r="S982" s="9"/>
    </row>
    <row r="983" spans="1:19" ht="41.4" hidden="1">
      <c r="A983" s="5">
        <v>982</v>
      </c>
      <c r="B983" s="18"/>
      <c r="C983" s="13"/>
      <c r="D983" s="22" t="s">
        <v>1237</v>
      </c>
      <c r="E983" s="22">
        <v>3230123177</v>
      </c>
      <c r="F983" s="22" t="s">
        <v>1222</v>
      </c>
      <c r="G983" s="18"/>
      <c r="H983" s="18"/>
      <c r="I983" s="19" t="s">
        <v>1477</v>
      </c>
      <c r="J983" s="14" t="s">
        <v>1478</v>
      </c>
      <c r="K983" s="14" t="s">
        <v>1649</v>
      </c>
      <c r="L983" s="15">
        <v>46044</v>
      </c>
      <c r="M983" s="16">
        <v>2026</v>
      </c>
      <c r="S983" s="9"/>
    </row>
    <row r="984" spans="1:19" ht="41.4" hidden="1">
      <c r="A984" s="5">
        <v>983</v>
      </c>
      <c r="B984" s="18"/>
      <c r="C984" s="13"/>
      <c r="D984" s="22" t="s">
        <v>1241</v>
      </c>
      <c r="E984" s="22">
        <v>3230123182</v>
      </c>
      <c r="F984" s="22" t="s">
        <v>1222</v>
      </c>
      <c r="G984" s="18"/>
      <c r="H984" s="18"/>
      <c r="I984" s="19" t="s">
        <v>1477</v>
      </c>
      <c r="J984" s="14" t="s">
        <v>1478</v>
      </c>
      <c r="K984" s="14" t="s">
        <v>1650</v>
      </c>
      <c r="L984" s="15">
        <v>46045</v>
      </c>
      <c r="M984" s="16">
        <v>2026</v>
      </c>
      <c r="S984" s="9"/>
    </row>
    <row r="985" spans="1:19" ht="41.4" hidden="1">
      <c r="A985" s="5">
        <v>984</v>
      </c>
      <c r="B985" s="18"/>
      <c r="C985" s="13" t="s">
        <v>1651</v>
      </c>
      <c r="D985" s="22" t="s">
        <v>1652</v>
      </c>
      <c r="E985" s="22">
        <v>3230123196</v>
      </c>
      <c r="F985" s="22" t="s">
        <v>1222</v>
      </c>
      <c r="G985" s="18"/>
      <c r="H985" s="18"/>
      <c r="I985" s="19" t="s">
        <v>1477</v>
      </c>
      <c r="J985" s="14" t="s">
        <v>1478</v>
      </c>
      <c r="K985" s="14" t="s">
        <v>1653</v>
      </c>
      <c r="L985" s="15">
        <v>46046</v>
      </c>
      <c r="M985" s="16">
        <v>2026</v>
      </c>
      <c r="S985" s="9"/>
    </row>
    <row r="986" spans="1:19" ht="41.4" hidden="1">
      <c r="A986" s="5">
        <v>985</v>
      </c>
      <c r="B986" s="18"/>
      <c r="C986" s="13"/>
      <c r="D986" s="22" t="s">
        <v>1230</v>
      </c>
      <c r="E986" s="22">
        <v>3230123113</v>
      </c>
      <c r="F986" s="22" t="s">
        <v>1222</v>
      </c>
      <c r="G986" s="18"/>
      <c r="H986" s="18"/>
      <c r="I986" s="19" t="s">
        <v>1477</v>
      </c>
      <c r="J986" s="14" t="s">
        <v>1478</v>
      </c>
      <c r="K986" s="14" t="s">
        <v>1654</v>
      </c>
      <c r="L986" s="15">
        <v>46047</v>
      </c>
      <c r="M986" s="16">
        <v>2026</v>
      </c>
      <c r="S986" s="9"/>
    </row>
    <row r="987" spans="1:19" ht="41.4" hidden="1">
      <c r="A987" s="5">
        <v>986</v>
      </c>
      <c r="B987" s="18"/>
      <c r="C987" s="13"/>
      <c r="D987" s="22" t="s">
        <v>1655</v>
      </c>
      <c r="E987" s="22">
        <v>3230123114</v>
      </c>
      <c r="F987" s="22" t="s">
        <v>1656</v>
      </c>
      <c r="G987" s="18"/>
      <c r="H987" s="18"/>
      <c r="I987" s="19" t="s">
        <v>1477</v>
      </c>
      <c r="J987" s="14" t="s">
        <v>1478</v>
      </c>
      <c r="K987" s="14" t="s">
        <v>1657</v>
      </c>
      <c r="L987" s="15">
        <v>46048</v>
      </c>
      <c r="M987" s="16">
        <v>2026</v>
      </c>
      <c r="S987" s="9"/>
    </row>
    <row r="988" spans="1:19" ht="41.4" hidden="1">
      <c r="A988" s="5">
        <v>987</v>
      </c>
      <c r="B988" s="18"/>
      <c r="C988" s="13" t="s">
        <v>1658</v>
      </c>
      <c r="D988" s="22" t="s">
        <v>1301</v>
      </c>
      <c r="E988" s="22">
        <v>3230123030</v>
      </c>
      <c r="F988" s="22" t="s">
        <v>1262</v>
      </c>
      <c r="G988" s="18"/>
      <c r="H988" s="18"/>
      <c r="I988" s="19" t="s">
        <v>1477</v>
      </c>
      <c r="J988" s="14" t="s">
        <v>1478</v>
      </c>
      <c r="K988" s="14" t="s">
        <v>1659</v>
      </c>
      <c r="L988" s="15">
        <v>46049</v>
      </c>
      <c r="M988" s="16">
        <v>2026</v>
      </c>
      <c r="S988" s="9"/>
    </row>
    <row r="989" spans="1:19" ht="41.4" hidden="1">
      <c r="A989" s="5">
        <v>988</v>
      </c>
      <c r="B989" s="18"/>
      <c r="C989" s="13"/>
      <c r="D989" s="22" t="s">
        <v>1299</v>
      </c>
      <c r="E989" s="22">
        <v>3230123075</v>
      </c>
      <c r="F989" s="22" t="s">
        <v>1262</v>
      </c>
      <c r="G989" s="18"/>
      <c r="H989" s="18"/>
      <c r="I989" s="19" t="s">
        <v>1477</v>
      </c>
      <c r="J989" s="14" t="s">
        <v>1478</v>
      </c>
      <c r="K989" s="14" t="s">
        <v>1660</v>
      </c>
      <c r="L989" s="15">
        <v>46050</v>
      </c>
      <c r="M989" s="16">
        <v>2026</v>
      </c>
      <c r="S989" s="9"/>
    </row>
    <row r="990" spans="1:19" ht="41.4" hidden="1">
      <c r="A990" s="5">
        <v>989</v>
      </c>
      <c r="B990" s="18"/>
      <c r="C990" s="13"/>
      <c r="D990" s="22" t="s">
        <v>1302</v>
      </c>
      <c r="E990" s="22">
        <v>3230123090</v>
      </c>
      <c r="F990" s="22" t="s">
        <v>1262</v>
      </c>
      <c r="G990" s="18"/>
      <c r="H990" s="18"/>
      <c r="I990" s="19" t="s">
        <v>1477</v>
      </c>
      <c r="J990" s="14" t="s">
        <v>1478</v>
      </c>
      <c r="K990" s="14" t="s">
        <v>1661</v>
      </c>
      <c r="L990" s="15">
        <v>46051</v>
      </c>
      <c r="M990" s="16">
        <v>2026</v>
      </c>
      <c r="S990" s="9"/>
    </row>
    <row r="991" spans="1:19" ht="41.4" hidden="1">
      <c r="A991" s="5">
        <v>990</v>
      </c>
      <c r="B991" s="18"/>
      <c r="C991" s="13"/>
      <c r="D991" s="22" t="s">
        <v>1662</v>
      </c>
      <c r="E991" s="22">
        <v>323012088</v>
      </c>
      <c r="F991" s="22" t="s">
        <v>1235</v>
      </c>
      <c r="G991" s="18"/>
      <c r="H991" s="18"/>
      <c r="I991" s="19" t="s">
        <v>1477</v>
      </c>
      <c r="J991" s="14" t="s">
        <v>1478</v>
      </c>
      <c r="K991" s="14" t="s">
        <v>1663</v>
      </c>
      <c r="L991" s="15">
        <v>46052</v>
      </c>
      <c r="M991" s="16">
        <v>2026</v>
      </c>
      <c r="S991" s="9"/>
    </row>
    <row r="992" spans="1:19" ht="41.4" hidden="1">
      <c r="A992" s="5">
        <v>991</v>
      </c>
      <c r="B992" s="18"/>
      <c r="C992" s="13" t="s">
        <v>1664</v>
      </c>
      <c r="D992" s="22" t="s">
        <v>1665</v>
      </c>
      <c r="E992" s="22">
        <v>3230123189</v>
      </c>
      <c r="F992" s="22" t="s">
        <v>1235</v>
      </c>
      <c r="G992" s="18"/>
      <c r="H992" s="18"/>
      <c r="I992" s="19" t="s">
        <v>1477</v>
      </c>
      <c r="J992" s="14" t="s">
        <v>1478</v>
      </c>
      <c r="K992" s="14" t="s">
        <v>1666</v>
      </c>
      <c r="L992" s="15">
        <v>46053</v>
      </c>
      <c r="M992" s="16">
        <v>2026</v>
      </c>
      <c r="S992" s="9"/>
    </row>
    <row r="993" spans="1:19" ht="41.4" hidden="1">
      <c r="A993" s="5">
        <v>992</v>
      </c>
      <c r="B993" s="18"/>
      <c r="C993" s="13"/>
      <c r="D993" s="22" t="s">
        <v>1667</v>
      </c>
      <c r="E993" s="22">
        <v>3230123122</v>
      </c>
      <c r="F993" s="22" t="s">
        <v>1235</v>
      </c>
      <c r="G993" s="18"/>
      <c r="H993" s="18"/>
      <c r="I993" s="19" t="s">
        <v>1477</v>
      </c>
      <c r="J993" s="14" t="s">
        <v>1478</v>
      </c>
      <c r="K993" s="14" t="s">
        <v>1668</v>
      </c>
      <c r="L993" s="15">
        <v>46054</v>
      </c>
      <c r="M993" s="16">
        <v>2026</v>
      </c>
      <c r="S993" s="9"/>
    </row>
    <row r="994" spans="1:19" ht="41.4" hidden="1">
      <c r="A994" s="5">
        <v>993</v>
      </c>
      <c r="B994" s="18"/>
      <c r="C994" s="13"/>
      <c r="D994" s="22" t="s">
        <v>1669</v>
      </c>
      <c r="E994" s="22">
        <v>3230123203</v>
      </c>
      <c r="F994" s="22" t="s">
        <v>1235</v>
      </c>
      <c r="G994" s="18"/>
      <c r="H994" s="18"/>
      <c r="I994" s="19" t="s">
        <v>1477</v>
      </c>
      <c r="J994" s="14" t="s">
        <v>1478</v>
      </c>
      <c r="K994" s="14" t="s">
        <v>1670</v>
      </c>
      <c r="L994" s="15">
        <v>46055</v>
      </c>
      <c r="M994" s="16">
        <v>2026</v>
      </c>
      <c r="S994" s="9"/>
    </row>
    <row r="995" spans="1:19" ht="41.4" hidden="1">
      <c r="A995" s="5">
        <v>994</v>
      </c>
      <c r="B995" s="18"/>
      <c r="C995" s="13"/>
      <c r="D995" s="22" t="s">
        <v>1671</v>
      </c>
      <c r="E995" s="22">
        <v>3230123072</v>
      </c>
      <c r="F995" s="22" t="s">
        <v>1235</v>
      </c>
      <c r="G995" s="18"/>
      <c r="H995" s="18"/>
      <c r="I995" s="19" t="s">
        <v>1477</v>
      </c>
      <c r="J995" s="14" t="s">
        <v>1478</v>
      </c>
      <c r="K995" s="14" t="s">
        <v>1672</v>
      </c>
      <c r="L995" s="15">
        <v>46056</v>
      </c>
      <c r="M995" s="16">
        <v>2026</v>
      </c>
      <c r="S995" s="9"/>
    </row>
    <row r="996" spans="1:19" ht="41.4" hidden="1">
      <c r="A996" s="5">
        <v>995</v>
      </c>
      <c r="B996" s="18"/>
      <c r="C996" s="13"/>
      <c r="D996" s="22" t="s">
        <v>1673</v>
      </c>
      <c r="E996" s="22">
        <v>3230123124</v>
      </c>
      <c r="F996" s="22" t="s">
        <v>1235</v>
      </c>
      <c r="G996" s="18"/>
      <c r="H996" s="18"/>
      <c r="I996" s="19" t="s">
        <v>1477</v>
      </c>
      <c r="J996" s="14" t="s">
        <v>1478</v>
      </c>
      <c r="K996" s="14" t="s">
        <v>1674</v>
      </c>
      <c r="L996" s="15">
        <v>46057</v>
      </c>
      <c r="M996" s="16">
        <v>2026</v>
      </c>
      <c r="S996" s="9"/>
    </row>
    <row r="997" spans="1:19" ht="41.4" hidden="1">
      <c r="A997" s="5">
        <v>996</v>
      </c>
      <c r="B997" s="18"/>
      <c r="C997" s="13" t="s">
        <v>1675</v>
      </c>
      <c r="D997" s="22" t="s">
        <v>1278</v>
      </c>
      <c r="E997" s="22">
        <v>3230123178</v>
      </c>
      <c r="F997" s="22" t="s">
        <v>1279</v>
      </c>
      <c r="G997" s="18"/>
      <c r="H997" s="18"/>
      <c r="I997" s="19" t="s">
        <v>1477</v>
      </c>
      <c r="J997" s="14" t="s">
        <v>1478</v>
      </c>
      <c r="K997" s="14" t="s">
        <v>1676</v>
      </c>
      <c r="L997" s="15">
        <v>46058</v>
      </c>
      <c r="M997" s="16">
        <v>2026</v>
      </c>
      <c r="S997" s="9"/>
    </row>
    <row r="998" spans="1:19" ht="41.4" hidden="1">
      <c r="A998" s="5">
        <v>997</v>
      </c>
      <c r="B998" s="18"/>
      <c r="C998" s="13"/>
      <c r="D998" s="22" t="s">
        <v>1281</v>
      </c>
      <c r="E998" s="22">
        <v>3230123085</v>
      </c>
      <c r="F998" s="22" t="s">
        <v>1279</v>
      </c>
      <c r="G998" s="18"/>
      <c r="H998" s="18"/>
      <c r="I998" s="19" t="s">
        <v>1477</v>
      </c>
      <c r="J998" s="14" t="s">
        <v>1478</v>
      </c>
      <c r="K998" s="14" t="s">
        <v>1677</v>
      </c>
      <c r="L998" s="15">
        <v>46059</v>
      </c>
      <c r="M998" s="16">
        <v>2026</v>
      </c>
      <c r="S998" s="9"/>
    </row>
    <row r="999" spans="1:19" ht="41.4" hidden="1">
      <c r="A999" s="5">
        <v>998</v>
      </c>
      <c r="B999" s="18"/>
      <c r="C999" s="13"/>
      <c r="D999" s="22" t="s">
        <v>1283</v>
      </c>
      <c r="E999" s="22">
        <v>3230123006</v>
      </c>
      <c r="F999" s="22" t="s">
        <v>1279</v>
      </c>
      <c r="G999" s="18"/>
      <c r="H999" s="18"/>
      <c r="I999" s="19" t="s">
        <v>1477</v>
      </c>
      <c r="J999" s="14" t="s">
        <v>1478</v>
      </c>
      <c r="K999" s="14" t="s">
        <v>1678</v>
      </c>
      <c r="L999" s="15">
        <v>46060</v>
      </c>
      <c r="M999" s="16">
        <v>2026</v>
      </c>
      <c r="S999" s="9"/>
    </row>
    <row r="1000" spans="1:19" ht="41.4" hidden="1">
      <c r="A1000" s="5">
        <v>999</v>
      </c>
      <c r="B1000" s="18"/>
      <c r="C1000" s="13"/>
      <c r="D1000" s="22" t="s">
        <v>1679</v>
      </c>
      <c r="E1000" s="22">
        <v>3230123098</v>
      </c>
      <c r="F1000" s="22" t="s">
        <v>1279</v>
      </c>
      <c r="G1000" s="18"/>
      <c r="H1000" s="18"/>
      <c r="I1000" s="19" t="s">
        <v>1477</v>
      </c>
      <c r="J1000" s="14" t="s">
        <v>1478</v>
      </c>
      <c r="K1000" s="14" t="s">
        <v>1680</v>
      </c>
      <c r="L1000" s="15">
        <v>46061</v>
      </c>
      <c r="M1000" s="16">
        <v>2026</v>
      </c>
      <c r="S1000" s="9"/>
    </row>
    <row r="1001" spans="1:19" ht="41.4" hidden="1">
      <c r="A1001" s="5">
        <v>1000</v>
      </c>
      <c r="B1001" s="18"/>
      <c r="C1001" s="13" t="s">
        <v>1681</v>
      </c>
      <c r="D1001" s="22" t="s">
        <v>1288</v>
      </c>
      <c r="E1001" s="22">
        <v>3230123099</v>
      </c>
      <c r="F1001" s="22" t="s">
        <v>1262</v>
      </c>
      <c r="G1001" s="18"/>
      <c r="H1001" s="18"/>
      <c r="I1001" s="19" t="s">
        <v>1477</v>
      </c>
      <c r="J1001" s="14" t="s">
        <v>1478</v>
      </c>
      <c r="K1001" s="14" t="s">
        <v>1682</v>
      </c>
      <c r="L1001" s="15">
        <v>46062</v>
      </c>
      <c r="M1001" s="16">
        <v>2026</v>
      </c>
      <c r="S1001" s="9"/>
    </row>
    <row r="1002" spans="1:19" ht="41.4" hidden="1">
      <c r="A1002" s="5">
        <v>1001</v>
      </c>
      <c r="B1002" s="18"/>
      <c r="C1002" s="13"/>
      <c r="D1002" s="22" t="s">
        <v>1285</v>
      </c>
      <c r="E1002" s="22">
        <v>3230123003</v>
      </c>
      <c r="F1002" s="22" t="s">
        <v>1262</v>
      </c>
      <c r="G1002" s="18"/>
      <c r="H1002" s="18"/>
      <c r="I1002" s="19" t="s">
        <v>1477</v>
      </c>
      <c r="J1002" s="14" t="s">
        <v>1478</v>
      </c>
      <c r="K1002" s="14" t="s">
        <v>1683</v>
      </c>
      <c r="L1002" s="15">
        <v>46063</v>
      </c>
      <c r="M1002" s="16">
        <v>2026</v>
      </c>
      <c r="S1002" s="9"/>
    </row>
    <row r="1003" spans="1:19" ht="41.4" hidden="1">
      <c r="A1003" s="5">
        <v>1002</v>
      </c>
      <c r="B1003" s="18"/>
      <c r="C1003" s="13"/>
      <c r="D1003" s="22" t="s">
        <v>1287</v>
      </c>
      <c r="E1003" s="22">
        <v>3230123009</v>
      </c>
      <c r="F1003" s="22" t="s">
        <v>1262</v>
      </c>
      <c r="G1003" s="18"/>
      <c r="H1003" s="18"/>
      <c r="I1003" s="19" t="s">
        <v>1477</v>
      </c>
      <c r="J1003" s="14" t="s">
        <v>1478</v>
      </c>
      <c r="K1003" s="14" t="s">
        <v>1684</v>
      </c>
      <c r="L1003" s="15">
        <v>46064</v>
      </c>
      <c r="M1003" s="16">
        <v>2026</v>
      </c>
      <c r="S1003" s="9"/>
    </row>
    <row r="1004" spans="1:19" ht="41.4" hidden="1">
      <c r="A1004" s="5">
        <v>1003</v>
      </c>
      <c r="B1004" s="18"/>
      <c r="C1004" s="13"/>
      <c r="D1004" s="22" t="s">
        <v>455</v>
      </c>
      <c r="E1004" s="22">
        <v>3230123111</v>
      </c>
      <c r="F1004" s="22" t="s">
        <v>1262</v>
      </c>
      <c r="G1004" s="18"/>
      <c r="H1004" s="18"/>
      <c r="I1004" s="19" t="s">
        <v>1477</v>
      </c>
      <c r="J1004" s="14" t="s">
        <v>1478</v>
      </c>
      <c r="K1004" s="14" t="s">
        <v>1685</v>
      </c>
      <c r="L1004" s="15">
        <v>46065</v>
      </c>
      <c r="M1004" s="16">
        <v>2026</v>
      </c>
      <c r="S1004" s="9"/>
    </row>
    <row r="1005" spans="1:19" ht="41.4" hidden="1">
      <c r="A1005" s="5">
        <v>1004</v>
      </c>
      <c r="B1005" s="18"/>
      <c r="C1005" s="13"/>
      <c r="D1005" s="22" t="s">
        <v>1289</v>
      </c>
      <c r="E1005" s="22">
        <v>3230123211</v>
      </c>
      <c r="F1005" s="22" t="s">
        <v>1262</v>
      </c>
      <c r="G1005" s="18"/>
      <c r="H1005" s="18"/>
      <c r="I1005" s="19" t="s">
        <v>1477</v>
      </c>
      <c r="J1005" s="14" t="s">
        <v>1478</v>
      </c>
      <c r="K1005" s="14" t="s">
        <v>1686</v>
      </c>
      <c r="L1005" s="15">
        <v>46066</v>
      </c>
      <c r="M1005" s="16">
        <v>2026</v>
      </c>
      <c r="S1005" s="9"/>
    </row>
    <row r="1006" spans="1:19" ht="41.4" hidden="1">
      <c r="A1006" s="5">
        <v>1005</v>
      </c>
      <c r="B1006" s="18"/>
      <c r="C1006" s="13" t="s">
        <v>1687</v>
      </c>
      <c r="D1006" s="22" t="s">
        <v>1227</v>
      </c>
      <c r="E1006" s="22">
        <v>3230123053</v>
      </c>
      <c r="F1006" s="22" t="s">
        <v>1222</v>
      </c>
      <c r="G1006" s="18"/>
      <c r="H1006" s="18"/>
      <c r="I1006" s="19" t="s">
        <v>1477</v>
      </c>
      <c r="J1006" s="14" t="s">
        <v>1478</v>
      </c>
      <c r="K1006" s="14" t="s">
        <v>1688</v>
      </c>
      <c r="L1006" s="15">
        <v>46067</v>
      </c>
      <c r="M1006" s="16">
        <v>2026</v>
      </c>
      <c r="S1006" s="9"/>
    </row>
    <row r="1007" spans="1:19" ht="41.4" hidden="1">
      <c r="A1007" s="5">
        <v>1006</v>
      </c>
      <c r="B1007" s="18"/>
      <c r="C1007" s="13"/>
      <c r="D1007" s="22" t="s">
        <v>1689</v>
      </c>
      <c r="E1007" s="22">
        <v>3230123042</v>
      </c>
      <c r="F1007" s="22" t="s">
        <v>1279</v>
      </c>
      <c r="G1007" s="18"/>
      <c r="H1007" s="18"/>
      <c r="I1007" s="19" t="s">
        <v>1477</v>
      </c>
      <c r="J1007" s="14" t="s">
        <v>1478</v>
      </c>
      <c r="K1007" s="14" t="s">
        <v>1690</v>
      </c>
      <c r="L1007" s="15">
        <v>46068</v>
      </c>
      <c r="M1007" s="16">
        <v>2026</v>
      </c>
      <c r="S1007" s="9"/>
    </row>
    <row r="1008" spans="1:19" ht="41.4" hidden="1">
      <c r="A1008" s="5">
        <v>1007</v>
      </c>
      <c r="B1008" s="18"/>
      <c r="C1008" s="13"/>
      <c r="D1008" s="22" t="s">
        <v>1293</v>
      </c>
      <c r="E1008" s="22">
        <v>3230123051</v>
      </c>
      <c r="F1008" s="22" t="s">
        <v>1262</v>
      </c>
      <c r="G1008" s="18"/>
      <c r="H1008" s="18"/>
      <c r="I1008" s="19" t="s">
        <v>1477</v>
      </c>
      <c r="J1008" s="14" t="s">
        <v>1478</v>
      </c>
      <c r="K1008" s="14" t="s">
        <v>1691</v>
      </c>
      <c r="L1008" s="15">
        <v>46069</v>
      </c>
      <c r="M1008" s="16">
        <v>2026</v>
      </c>
      <c r="S1008" s="9"/>
    </row>
    <row r="1009" spans="1:19" ht="41.4" hidden="1">
      <c r="A1009" s="5">
        <v>1008</v>
      </c>
      <c r="B1009" s="18"/>
      <c r="C1009" s="13"/>
      <c r="D1009" s="22" t="s">
        <v>1692</v>
      </c>
      <c r="E1009" s="22">
        <v>3230123128</v>
      </c>
      <c r="F1009" s="22" t="s">
        <v>1235</v>
      </c>
      <c r="G1009" s="18"/>
      <c r="H1009" s="18"/>
      <c r="I1009" s="19" t="s">
        <v>1477</v>
      </c>
      <c r="J1009" s="14" t="s">
        <v>1478</v>
      </c>
      <c r="K1009" s="14" t="s">
        <v>1693</v>
      </c>
      <c r="L1009" s="15">
        <v>46070</v>
      </c>
      <c r="M1009" s="16">
        <v>2026</v>
      </c>
      <c r="S1009" s="9"/>
    </row>
    <row r="1010" spans="1:19" ht="41.4" hidden="1">
      <c r="A1010" s="5">
        <v>1009</v>
      </c>
      <c r="B1010" s="18"/>
      <c r="C1010" s="13"/>
      <c r="D1010" s="22" t="s">
        <v>1694</v>
      </c>
      <c r="E1010" s="22">
        <v>3230123160</v>
      </c>
      <c r="F1010" s="22" t="s">
        <v>1235</v>
      </c>
      <c r="G1010" s="18"/>
      <c r="H1010" s="18"/>
      <c r="I1010" s="19" t="s">
        <v>1477</v>
      </c>
      <c r="J1010" s="14" t="s">
        <v>1478</v>
      </c>
      <c r="K1010" s="14" t="s">
        <v>1695</v>
      </c>
      <c r="L1010" s="15">
        <v>46071</v>
      </c>
      <c r="M1010" s="16">
        <v>2026</v>
      </c>
      <c r="S1010" s="9"/>
    </row>
    <row r="1011" spans="1:19" ht="41.4" hidden="1">
      <c r="A1011" s="5">
        <v>1010</v>
      </c>
      <c r="B1011" s="18"/>
      <c r="C1011" s="13" t="s">
        <v>1696</v>
      </c>
      <c r="D1011" s="22" t="s">
        <v>253</v>
      </c>
      <c r="E1011" s="22">
        <v>3230123078</v>
      </c>
      <c r="F1011" s="22" t="s">
        <v>1279</v>
      </c>
      <c r="G1011" s="18"/>
      <c r="H1011" s="18"/>
      <c r="I1011" s="19" t="s">
        <v>1477</v>
      </c>
      <c r="J1011" s="14" t="s">
        <v>1478</v>
      </c>
      <c r="K1011" s="14" t="s">
        <v>1697</v>
      </c>
      <c r="L1011" s="15">
        <v>46072</v>
      </c>
      <c r="M1011" s="16">
        <v>2026</v>
      </c>
      <c r="S1011" s="9"/>
    </row>
    <row r="1012" spans="1:19" ht="41.4" hidden="1">
      <c r="A1012" s="5">
        <v>1011</v>
      </c>
      <c r="B1012" s="18"/>
      <c r="C1012" s="13"/>
      <c r="D1012" s="22" t="s">
        <v>1698</v>
      </c>
      <c r="E1012" s="22">
        <v>3230123102</v>
      </c>
      <c r="F1012" s="22" t="s">
        <v>1279</v>
      </c>
      <c r="G1012" s="18"/>
      <c r="H1012" s="18"/>
      <c r="I1012" s="19" t="s">
        <v>1477</v>
      </c>
      <c r="J1012" s="14" t="s">
        <v>1478</v>
      </c>
      <c r="K1012" s="14" t="s">
        <v>1699</v>
      </c>
      <c r="L1012" s="15">
        <v>46073</v>
      </c>
      <c r="M1012" s="16">
        <v>2026</v>
      </c>
      <c r="S1012" s="9"/>
    </row>
    <row r="1013" spans="1:19" ht="41.4" hidden="1">
      <c r="A1013" s="5">
        <v>1012</v>
      </c>
      <c r="B1013" s="18"/>
      <c r="C1013" s="13" t="s">
        <v>1700</v>
      </c>
      <c r="D1013" s="22" t="s">
        <v>1701</v>
      </c>
      <c r="E1013" s="22">
        <v>3230123192</v>
      </c>
      <c r="F1013" s="22" t="s">
        <v>1235</v>
      </c>
      <c r="G1013" s="18"/>
      <c r="H1013" s="18"/>
      <c r="I1013" s="19" t="s">
        <v>1477</v>
      </c>
      <c r="J1013" s="14" t="s">
        <v>1478</v>
      </c>
      <c r="K1013" s="14" t="s">
        <v>1702</v>
      </c>
      <c r="L1013" s="15">
        <v>46074</v>
      </c>
      <c r="M1013" s="16">
        <v>2026</v>
      </c>
      <c r="S1013" s="9"/>
    </row>
    <row r="1014" spans="1:19" ht="41.4" hidden="1">
      <c r="A1014" s="5">
        <v>1013</v>
      </c>
      <c r="B1014" s="18"/>
      <c r="C1014" s="13"/>
      <c r="D1014" s="22" t="s">
        <v>1703</v>
      </c>
      <c r="E1014" s="22">
        <v>3230123108</v>
      </c>
      <c r="F1014" s="22" t="s">
        <v>1235</v>
      </c>
      <c r="G1014" s="18"/>
      <c r="H1014" s="18"/>
      <c r="I1014" s="19" t="s">
        <v>1477</v>
      </c>
      <c r="J1014" s="14" t="s">
        <v>1478</v>
      </c>
      <c r="K1014" s="14" t="s">
        <v>1704</v>
      </c>
      <c r="L1014" s="15">
        <v>46075</v>
      </c>
      <c r="M1014" s="16">
        <v>2026</v>
      </c>
      <c r="S1014" s="9"/>
    </row>
    <row r="1015" spans="1:19" ht="41.4" hidden="1">
      <c r="A1015" s="5">
        <v>1014</v>
      </c>
      <c r="B1015" s="18"/>
      <c r="C1015" s="13"/>
      <c r="D1015" s="22" t="s">
        <v>1705</v>
      </c>
      <c r="E1015" s="22">
        <v>3230123132</v>
      </c>
      <c r="F1015" s="22" t="s">
        <v>1235</v>
      </c>
      <c r="G1015" s="18"/>
      <c r="H1015" s="18"/>
      <c r="I1015" s="19" t="s">
        <v>1477</v>
      </c>
      <c r="J1015" s="14" t="s">
        <v>1478</v>
      </c>
      <c r="K1015" s="14" t="s">
        <v>1706</v>
      </c>
      <c r="L1015" s="15">
        <v>46076</v>
      </c>
      <c r="M1015" s="16">
        <v>2026</v>
      </c>
      <c r="S1015" s="9"/>
    </row>
    <row r="1016" spans="1:19" ht="41.4" hidden="1">
      <c r="A1016" s="5">
        <v>1015</v>
      </c>
      <c r="B1016" s="18"/>
      <c r="C1016" s="13"/>
      <c r="D1016" s="22" t="s">
        <v>1707</v>
      </c>
      <c r="E1016" s="22">
        <v>3230123067</v>
      </c>
      <c r="F1016" s="22" t="s">
        <v>1262</v>
      </c>
      <c r="G1016" s="18"/>
      <c r="H1016" s="18"/>
      <c r="I1016" s="19" t="s">
        <v>1477</v>
      </c>
      <c r="J1016" s="14" t="s">
        <v>1478</v>
      </c>
      <c r="K1016" s="14" t="s">
        <v>1708</v>
      </c>
      <c r="L1016" s="15">
        <v>46077</v>
      </c>
      <c r="M1016" s="16">
        <v>2026</v>
      </c>
      <c r="S1016" s="9"/>
    </row>
    <row r="1017" spans="1:19" ht="41.4" hidden="1">
      <c r="A1017" s="5">
        <v>1016</v>
      </c>
      <c r="B1017" s="18"/>
      <c r="C1017" s="13"/>
      <c r="D1017" s="22" t="s">
        <v>1709</v>
      </c>
      <c r="E1017" s="22">
        <v>3230123135</v>
      </c>
      <c r="F1017" s="22" t="s">
        <v>1262</v>
      </c>
      <c r="G1017" s="18"/>
      <c r="H1017" s="18"/>
      <c r="I1017" s="19" t="s">
        <v>1477</v>
      </c>
      <c r="J1017" s="14" t="s">
        <v>1478</v>
      </c>
      <c r="K1017" s="14" t="s">
        <v>1710</v>
      </c>
      <c r="L1017" s="15">
        <v>46078</v>
      </c>
      <c r="M1017" s="16">
        <v>2026</v>
      </c>
      <c r="S1017" s="9"/>
    </row>
    <row r="1018" spans="1:19" ht="41.4" hidden="1">
      <c r="A1018" s="5">
        <v>1017</v>
      </c>
      <c r="B1018" s="18"/>
      <c r="C1018" s="13" t="s">
        <v>1711</v>
      </c>
      <c r="D1018" s="22" t="s">
        <v>1712</v>
      </c>
      <c r="E1018" s="22">
        <v>3230124080</v>
      </c>
      <c r="F1018" s="22" t="s">
        <v>1637</v>
      </c>
      <c r="G1018" s="18"/>
      <c r="H1018" s="18"/>
      <c r="I1018" s="19" t="s">
        <v>1477</v>
      </c>
      <c r="J1018" s="14" t="s">
        <v>1478</v>
      </c>
      <c r="K1018" s="14" t="s">
        <v>1713</v>
      </c>
      <c r="L1018" s="15">
        <v>46079</v>
      </c>
      <c r="M1018" s="16">
        <v>2026</v>
      </c>
      <c r="S1018" s="9"/>
    </row>
    <row r="1019" spans="1:19" ht="41.4" hidden="1">
      <c r="A1019" s="5">
        <v>1018</v>
      </c>
      <c r="B1019" s="18"/>
      <c r="C1019" s="13"/>
      <c r="D1019" s="22" t="s">
        <v>1714</v>
      </c>
      <c r="E1019" s="22">
        <v>3230124015</v>
      </c>
      <c r="F1019" s="22" t="s">
        <v>1637</v>
      </c>
      <c r="G1019" s="18"/>
      <c r="H1019" s="18"/>
      <c r="I1019" s="19" t="s">
        <v>1477</v>
      </c>
      <c r="J1019" s="14" t="s">
        <v>1478</v>
      </c>
      <c r="K1019" s="14" t="s">
        <v>1715</v>
      </c>
      <c r="L1019" s="15">
        <v>46080</v>
      </c>
      <c r="M1019" s="16">
        <v>2026</v>
      </c>
      <c r="S1019" s="9"/>
    </row>
    <row r="1020" spans="1:19" ht="41.4" hidden="1">
      <c r="A1020" s="5">
        <v>1019</v>
      </c>
      <c r="B1020" s="18"/>
      <c r="C1020" s="13"/>
      <c r="D1020" s="22" t="s">
        <v>1716</v>
      </c>
      <c r="E1020" s="22">
        <v>3230124063</v>
      </c>
      <c r="F1020" s="22" t="s">
        <v>1637</v>
      </c>
      <c r="G1020" s="18"/>
      <c r="H1020" s="18"/>
      <c r="I1020" s="19" t="s">
        <v>1477</v>
      </c>
      <c r="J1020" s="14" t="s">
        <v>1478</v>
      </c>
      <c r="K1020" s="14" t="s">
        <v>1717</v>
      </c>
      <c r="L1020" s="15">
        <v>46081</v>
      </c>
      <c r="M1020" s="16">
        <v>2026</v>
      </c>
      <c r="S1020" s="9"/>
    </row>
    <row r="1021" spans="1:19" ht="41.4" hidden="1">
      <c r="A1021" s="5">
        <v>1020</v>
      </c>
      <c r="B1021" s="18"/>
      <c r="C1021" s="13"/>
      <c r="D1021" s="22" t="s">
        <v>1718</v>
      </c>
      <c r="E1021" s="22">
        <v>3230124205</v>
      </c>
      <c r="F1021" s="22" t="s">
        <v>1637</v>
      </c>
      <c r="G1021" s="18"/>
      <c r="H1021" s="18"/>
      <c r="I1021" s="19" t="s">
        <v>1477</v>
      </c>
      <c r="J1021" s="14" t="s">
        <v>1478</v>
      </c>
      <c r="K1021" s="14" t="s">
        <v>1719</v>
      </c>
      <c r="L1021" s="15">
        <v>46082</v>
      </c>
      <c r="M1021" s="16">
        <v>2026</v>
      </c>
      <c r="S1021" s="9"/>
    </row>
    <row r="1022" spans="1:19" ht="41.4" hidden="1">
      <c r="A1022" s="5">
        <v>1021</v>
      </c>
      <c r="B1022" s="18"/>
      <c r="C1022" s="13"/>
      <c r="D1022" s="22" t="s">
        <v>1720</v>
      </c>
      <c r="E1022" s="22">
        <v>3230124011</v>
      </c>
      <c r="F1022" s="22" t="s">
        <v>1637</v>
      </c>
      <c r="G1022" s="18"/>
      <c r="H1022" s="18"/>
      <c r="I1022" s="19" t="s">
        <v>1477</v>
      </c>
      <c r="J1022" s="14" t="s">
        <v>1478</v>
      </c>
      <c r="K1022" s="14" t="s">
        <v>1721</v>
      </c>
      <c r="L1022" s="15">
        <v>46083</v>
      </c>
      <c r="M1022" s="16">
        <v>2026</v>
      </c>
      <c r="S1022" s="9"/>
    </row>
    <row r="1023" spans="1:19" ht="41.4" hidden="1">
      <c r="A1023" s="5">
        <v>1022</v>
      </c>
      <c r="B1023" s="18"/>
      <c r="C1023" s="13" t="s">
        <v>1722</v>
      </c>
      <c r="D1023" s="22" t="s">
        <v>1723</v>
      </c>
      <c r="E1023" s="22">
        <v>3230124110</v>
      </c>
      <c r="F1023" s="22" t="s">
        <v>1273</v>
      </c>
      <c r="G1023" s="18"/>
      <c r="H1023" s="18"/>
      <c r="I1023" s="19" t="s">
        <v>1477</v>
      </c>
      <c r="J1023" s="14" t="s">
        <v>1478</v>
      </c>
      <c r="K1023" s="14" t="s">
        <v>1724</v>
      </c>
      <c r="L1023" s="15">
        <v>46084</v>
      </c>
      <c r="M1023" s="16">
        <v>2026</v>
      </c>
      <c r="S1023" s="9"/>
    </row>
    <row r="1024" spans="1:19" ht="41.4" hidden="1">
      <c r="A1024" s="5">
        <v>1023</v>
      </c>
      <c r="B1024" s="18"/>
      <c r="C1024" s="13"/>
      <c r="D1024" s="22" t="s">
        <v>1725</v>
      </c>
      <c r="E1024" s="22">
        <v>3230124090</v>
      </c>
      <c r="F1024" s="22" t="s">
        <v>1273</v>
      </c>
      <c r="G1024" s="18"/>
      <c r="H1024" s="18"/>
      <c r="I1024" s="19" t="s">
        <v>1477</v>
      </c>
      <c r="J1024" s="14" t="s">
        <v>1478</v>
      </c>
      <c r="K1024" s="14" t="s">
        <v>1726</v>
      </c>
      <c r="L1024" s="15">
        <v>46085</v>
      </c>
      <c r="M1024" s="16">
        <v>2026</v>
      </c>
      <c r="S1024" s="9"/>
    </row>
    <row r="1025" spans="1:19" ht="41.4" hidden="1">
      <c r="A1025" s="5">
        <v>1024</v>
      </c>
      <c r="B1025" s="18"/>
      <c r="C1025" s="13"/>
      <c r="D1025" s="22" t="s">
        <v>1727</v>
      </c>
      <c r="E1025" s="22">
        <v>3230124102</v>
      </c>
      <c r="F1025" s="22" t="s">
        <v>1273</v>
      </c>
      <c r="G1025" s="18"/>
      <c r="H1025" s="18"/>
      <c r="I1025" s="19" t="s">
        <v>1477</v>
      </c>
      <c r="J1025" s="14" t="s">
        <v>1478</v>
      </c>
      <c r="K1025" s="14" t="s">
        <v>1728</v>
      </c>
      <c r="L1025" s="15">
        <v>46086</v>
      </c>
      <c r="M1025" s="16">
        <v>2026</v>
      </c>
      <c r="S1025" s="9"/>
    </row>
    <row r="1026" spans="1:19" ht="41.4" hidden="1">
      <c r="A1026" s="5">
        <v>1025</v>
      </c>
      <c r="B1026" s="18"/>
      <c r="C1026" s="13"/>
      <c r="D1026" s="22" t="s">
        <v>1729</v>
      </c>
      <c r="E1026" s="22">
        <v>3230124094</v>
      </c>
      <c r="F1026" s="22" t="s">
        <v>1273</v>
      </c>
      <c r="G1026" s="18"/>
      <c r="H1026" s="18"/>
      <c r="I1026" s="19" t="s">
        <v>1477</v>
      </c>
      <c r="J1026" s="14" t="s">
        <v>1478</v>
      </c>
      <c r="K1026" s="14" t="s">
        <v>1730</v>
      </c>
      <c r="L1026" s="15">
        <v>46087</v>
      </c>
      <c r="M1026" s="16">
        <v>2026</v>
      </c>
      <c r="S1026" s="9"/>
    </row>
    <row r="1027" spans="1:19" ht="41.4" hidden="1">
      <c r="A1027" s="5">
        <v>1026</v>
      </c>
      <c r="B1027" s="18"/>
      <c r="C1027" s="13" t="s">
        <v>1731</v>
      </c>
      <c r="D1027" s="22" t="s">
        <v>1298</v>
      </c>
      <c r="E1027" s="22">
        <v>3230123168</v>
      </c>
      <c r="F1027" s="22" t="s">
        <v>1262</v>
      </c>
      <c r="G1027" s="18"/>
      <c r="H1027" s="18"/>
      <c r="I1027" s="19" t="s">
        <v>1477</v>
      </c>
      <c r="J1027" s="14" t="s">
        <v>1478</v>
      </c>
      <c r="K1027" s="14" t="s">
        <v>1732</v>
      </c>
      <c r="L1027" s="15">
        <v>46088</v>
      </c>
      <c r="M1027" s="16">
        <v>2026</v>
      </c>
      <c r="S1027" s="9"/>
    </row>
    <row r="1028" spans="1:19" ht="41.4" hidden="1">
      <c r="A1028" s="5">
        <v>1027</v>
      </c>
      <c r="B1028" s="18"/>
      <c r="C1028" s="13"/>
      <c r="D1028" s="22" t="s">
        <v>1296</v>
      </c>
      <c r="E1028" s="22">
        <v>3230123119</v>
      </c>
      <c r="F1028" s="22" t="s">
        <v>1262</v>
      </c>
      <c r="G1028" s="18"/>
      <c r="H1028" s="18"/>
      <c r="I1028" s="19" t="s">
        <v>1477</v>
      </c>
      <c r="J1028" s="14" t="s">
        <v>1478</v>
      </c>
      <c r="K1028" s="14" t="s">
        <v>1733</v>
      </c>
      <c r="L1028" s="15">
        <v>46089</v>
      </c>
      <c r="M1028" s="16">
        <v>2026</v>
      </c>
      <c r="S1028" s="9"/>
    </row>
    <row r="1029" spans="1:19" ht="41.4" hidden="1">
      <c r="A1029" s="5">
        <v>1028</v>
      </c>
      <c r="B1029" s="18"/>
      <c r="C1029" s="13"/>
      <c r="D1029" s="22" t="s">
        <v>1734</v>
      </c>
      <c r="E1029" s="22">
        <v>3230123179</v>
      </c>
      <c r="F1029" s="22" t="s">
        <v>1262</v>
      </c>
      <c r="G1029" s="18"/>
      <c r="H1029" s="18"/>
      <c r="I1029" s="19" t="s">
        <v>1477</v>
      </c>
      <c r="J1029" s="14" t="s">
        <v>1478</v>
      </c>
      <c r="K1029" s="14" t="s">
        <v>1735</v>
      </c>
      <c r="L1029" s="15">
        <v>46090</v>
      </c>
      <c r="M1029" s="16">
        <v>2026</v>
      </c>
      <c r="S1029" s="9"/>
    </row>
    <row r="1030" spans="1:19" ht="41.4" hidden="1">
      <c r="A1030" s="5">
        <v>1029</v>
      </c>
      <c r="B1030" s="18"/>
      <c r="C1030" s="13"/>
      <c r="D1030" s="22" t="s">
        <v>1736</v>
      </c>
      <c r="E1030" s="22">
        <v>3230123055</v>
      </c>
      <c r="F1030" s="22" t="s">
        <v>1262</v>
      </c>
      <c r="G1030" s="18"/>
      <c r="H1030" s="18"/>
      <c r="I1030" s="19" t="s">
        <v>1477</v>
      </c>
      <c r="J1030" s="14" t="s">
        <v>1478</v>
      </c>
      <c r="K1030" s="14" t="s">
        <v>1737</v>
      </c>
      <c r="L1030" s="15">
        <v>46091</v>
      </c>
      <c r="M1030" s="16">
        <v>2026</v>
      </c>
      <c r="S1030" s="9"/>
    </row>
    <row r="1031" spans="1:19" ht="41.4" hidden="1">
      <c r="A1031" s="5">
        <v>1030</v>
      </c>
      <c r="B1031" s="18"/>
      <c r="C1031" s="13" t="s">
        <v>1738</v>
      </c>
      <c r="D1031" s="22" t="s">
        <v>1255</v>
      </c>
      <c r="E1031" s="22">
        <v>3230123181</v>
      </c>
      <c r="F1031" s="22" t="s">
        <v>1222</v>
      </c>
      <c r="G1031" s="18"/>
      <c r="H1031" s="18"/>
      <c r="I1031" s="19" t="s">
        <v>1477</v>
      </c>
      <c r="J1031" s="14" t="s">
        <v>1478</v>
      </c>
      <c r="K1031" s="14" t="s">
        <v>1739</v>
      </c>
      <c r="L1031" s="15">
        <v>46092</v>
      </c>
      <c r="M1031" s="16">
        <v>2026</v>
      </c>
      <c r="S1031" s="9"/>
    </row>
    <row r="1032" spans="1:19" ht="41.4" hidden="1">
      <c r="A1032" s="5">
        <v>1031</v>
      </c>
      <c r="B1032" s="18"/>
      <c r="C1032" s="13"/>
      <c r="D1032" s="22" t="s">
        <v>1740</v>
      </c>
      <c r="E1032" s="22">
        <v>3230123170</v>
      </c>
      <c r="F1032" s="22" t="s">
        <v>1222</v>
      </c>
      <c r="G1032" s="18"/>
      <c r="H1032" s="18"/>
      <c r="I1032" s="19" t="s">
        <v>1477</v>
      </c>
      <c r="J1032" s="14" t="s">
        <v>1478</v>
      </c>
      <c r="K1032" s="14" t="s">
        <v>1741</v>
      </c>
      <c r="L1032" s="15">
        <v>46093</v>
      </c>
      <c r="M1032" s="16">
        <v>2026</v>
      </c>
      <c r="S1032" s="9"/>
    </row>
    <row r="1033" spans="1:19" ht="41.4" hidden="1">
      <c r="A1033" s="5">
        <v>1032</v>
      </c>
      <c r="B1033" s="18"/>
      <c r="C1033" s="13"/>
      <c r="D1033" s="22" t="s">
        <v>1229</v>
      </c>
      <c r="E1033" s="22">
        <v>3230123117</v>
      </c>
      <c r="F1033" s="22" t="s">
        <v>1222</v>
      </c>
      <c r="G1033" s="18"/>
      <c r="H1033" s="18"/>
      <c r="I1033" s="19" t="s">
        <v>1477</v>
      </c>
      <c r="J1033" s="14" t="s">
        <v>1478</v>
      </c>
      <c r="K1033" s="14" t="s">
        <v>1742</v>
      </c>
      <c r="L1033" s="15">
        <v>46094</v>
      </c>
      <c r="M1033" s="16">
        <v>2026</v>
      </c>
      <c r="S1033" s="9"/>
    </row>
    <row r="1034" spans="1:19" ht="41.4" hidden="1">
      <c r="A1034" s="5">
        <v>1033</v>
      </c>
      <c r="B1034" s="18"/>
      <c r="C1034" s="13"/>
      <c r="D1034" s="22" t="s">
        <v>1264</v>
      </c>
      <c r="E1034" s="22">
        <v>3230123087</v>
      </c>
      <c r="F1034" s="22" t="s">
        <v>1262</v>
      </c>
      <c r="G1034" s="18"/>
      <c r="H1034" s="18"/>
      <c r="I1034" s="19" t="s">
        <v>1477</v>
      </c>
      <c r="J1034" s="14" t="s">
        <v>1478</v>
      </c>
      <c r="K1034" s="14" t="s">
        <v>1743</v>
      </c>
      <c r="L1034" s="15">
        <v>46095</v>
      </c>
      <c r="M1034" s="16">
        <v>2026</v>
      </c>
      <c r="S1034" s="9"/>
    </row>
    <row r="1035" spans="1:19" ht="41.4" hidden="1">
      <c r="A1035" s="5">
        <v>1034</v>
      </c>
      <c r="B1035" s="18"/>
      <c r="C1035" s="13" t="s">
        <v>1744</v>
      </c>
      <c r="D1035" s="22" t="s">
        <v>1261</v>
      </c>
      <c r="E1035" s="22">
        <v>3230123043</v>
      </c>
      <c r="F1035" s="22" t="s">
        <v>1262</v>
      </c>
      <c r="G1035" s="18"/>
      <c r="H1035" s="18"/>
      <c r="I1035" s="19" t="s">
        <v>1477</v>
      </c>
      <c r="J1035" s="14" t="s">
        <v>1478</v>
      </c>
      <c r="K1035" s="14" t="s">
        <v>1745</v>
      </c>
      <c r="L1035" s="15">
        <v>46096</v>
      </c>
      <c r="M1035" s="16">
        <v>2026</v>
      </c>
      <c r="S1035" s="9"/>
    </row>
    <row r="1036" spans="1:19" ht="41.4" hidden="1">
      <c r="A1036" s="5">
        <v>1035</v>
      </c>
      <c r="B1036" s="18"/>
      <c r="C1036" s="13"/>
      <c r="D1036" s="22" t="s">
        <v>1746</v>
      </c>
      <c r="E1036" s="22">
        <v>3230123195</v>
      </c>
      <c r="F1036" s="22" t="s">
        <v>1262</v>
      </c>
      <c r="G1036" s="18"/>
      <c r="H1036" s="18"/>
      <c r="I1036" s="19" t="s">
        <v>1477</v>
      </c>
      <c r="J1036" s="14" t="s">
        <v>1478</v>
      </c>
      <c r="K1036" s="14" t="s">
        <v>1747</v>
      </c>
      <c r="L1036" s="15">
        <v>46097</v>
      </c>
      <c r="M1036" s="16">
        <v>2026</v>
      </c>
      <c r="S1036" s="9"/>
    </row>
    <row r="1037" spans="1:19" ht="41.4" hidden="1">
      <c r="A1037" s="5">
        <v>1036</v>
      </c>
      <c r="B1037" s="18"/>
      <c r="C1037" s="13"/>
      <c r="D1037" s="22" t="s">
        <v>1263</v>
      </c>
      <c r="E1037" s="22">
        <v>3230123035</v>
      </c>
      <c r="F1037" s="22" t="s">
        <v>1262</v>
      </c>
      <c r="G1037" s="18"/>
      <c r="H1037" s="18"/>
      <c r="I1037" s="19" t="s">
        <v>1477</v>
      </c>
      <c r="J1037" s="14" t="s">
        <v>1478</v>
      </c>
      <c r="K1037" s="14" t="s">
        <v>1748</v>
      </c>
      <c r="L1037" s="15">
        <v>46098</v>
      </c>
      <c r="M1037" s="16">
        <v>2026</v>
      </c>
      <c r="S1037" s="9"/>
    </row>
    <row r="1038" spans="1:19" ht="41.4" hidden="1">
      <c r="A1038" s="5">
        <v>1037</v>
      </c>
      <c r="B1038" s="18"/>
      <c r="C1038" s="13"/>
      <c r="D1038" s="22" t="s">
        <v>1300</v>
      </c>
      <c r="E1038" s="22">
        <v>3230123100</v>
      </c>
      <c r="F1038" s="22" t="s">
        <v>1262</v>
      </c>
      <c r="G1038" s="18"/>
      <c r="H1038" s="18"/>
      <c r="I1038" s="19" t="s">
        <v>1477</v>
      </c>
      <c r="J1038" s="14" t="s">
        <v>1478</v>
      </c>
      <c r="K1038" s="14" t="s">
        <v>1749</v>
      </c>
      <c r="L1038" s="15">
        <v>46099</v>
      </c>
      <c r="M1038" s="16">
        <v>2026</v>
      </c>
      <c r="S1038" s="9"/>
    </row>
    <row r="1039" spans="1:19" ht="41.4" hidden="1">
      <c r="A1039" s="5">
        <v>1038</v>
      </c>
      <c r="B1039" s="18"/>
      <c r="C1039" s="13"/>
      <c r="D1039" s="22" t="s">
        <v>1265</v>
      </c>
      <c r="E1039" s="22">
        <v>3230123015</v>
      </c>
      <c r="F1039" s="22" t="s">
        <v>1262</v>
      </c>
      <c r="G1039" s="18"/>
      <c r="H1039" s="18"/>
      <c r="I1039" s="19" t="s">
        <v>1477</v>
      </c>
      <c r="J1039" s="14" t="s">
        <v>1478</v>
      </c>
      <c r="K1039" s="14" t="s">
        <v>1750</v>
      </c>
      <c r="L1039" s="15">
        <v>46100</v>
      </c>
      <c r="M1039" s="16">
        <v>2026</v>
      </c>
      <c r="S1039" s="9"/>
    </row>
    <row r="1040" spans="1:19" ht="41.4" hidden="1">
      <c r="A1040" s="5">
        <v>1039</v>
      </c>
      <c r="B1040" s="18"/>
      <c r="C1040" s="13" t="s">
        <v>1751</v>
      </c>
      <c r="D1040" s="22" t="s">
        <v>1752</v>
      </c>
      <c r="E1040" s="22">
        <v>3230123101</v>
      </c>
      <c r="F1040" s="22" t="s">
        <v>1235</v>
      </c>
      <c r="G1040" s="18"/>
      <c r="H1040" s="18"/>
      <c r="I1040" s="19" t="s">
        <v>1477</v>
      </c>
      <c r="J1040" s="14" t="s">
        <v>1478</v>
      </c>
      <c r="K1040" s="14" t="s">
        <v>1753</v>
      </c>
      <c r="L1040" s="15">
        <v>46101</v>
      </c>
      <c r="M1040" s="16">
        <v>2026</v>
      </c>
      <c r="S1040" s="9"/>
    </row>
    <row r="1041" spans="1:19" ht="41.4" hidden="1">
      <c r="A1041" s="5">
        <v>1040</v>
      </c>
      <c r="B1041" s="18"/>
      <c r="C1041" s="13"/>
      <c r="D1041" s="22" t="s">
        <v>1754</v>
      </c>
      <c r="E1041" s="22">
        <v>3230123040</v>
      </c>
      <c r="F1041" s="22" t="s">
        <v>1235</v>
      </c>
      <c r="G1041" s="18"/>
      <c r="H1041" s="18"/>
      <c r="I1041" s="19" t="s">
        <v>1477</v>
      </c>
      <c r="J1041" s="14" t="s">
        <v>1478</v>
      </c>
      <c r="K1041" s="14" t="s">
        <v>1755</v>
      </c>
      <c r="L1041" s="15">
        <v>46102</v>
      </c>
      <c r="M1041" s="16">
        <v>2026</v>
      </c>
      <c r="S1041" s="9"/>
    </row>
    <row r="1042" spans="1:19" ht="41.4" hidden="1">
      <c r="A1042" s="5">
        <v>1041</v>
      </c>
      <c r="B1042" s="18"/>
      <c r="C1042" s="13"/>
      <c r="D1042" s="22" t="s">
        <v>1756</v>
      </c>
      <c r="E1042" s="22">
        <v>3230123136</v>
      </c>
      <c r="F1042" s="22" t="s">
        <v>1235</v>
      </c>
      <c r="G1042" s="18"/>
      <c r="H1042" s="18"/>
      <c r="I1042" s="19" t="s">
        <v>1477</v>
      </c>
      <c r="J1042" s="14" t="s">
        <v>1478</v>
      </c>
      <c r="K1042" s="14" t="s">
        <v>1757</v>
      </c>
      <c r="L1042" s="15">
        <v>46103</v>
      </c>
      <c r="M1042" s="16">
        <v>2026</v>
      </c>
      <c r="S1042" s="9"/>
    </row>
    <row r="1043" spans="1:19" ht="41.4" hidden="1">
      <c r="A1043" s="5">
        <v>1042</v>
      </c>
      <c r="B1043" s="18"/>
      <c r="C1043" s="13"/>
      <c r="D1043" s="22" t="s">
        <v>1758</v>
      </c>
      <c r="E1043" s="22">
        <v>3230123091</v>
      </c>
      <c r="F1043" s="22" t="s">
        <v>1235</v>
      </c>
      <c r="G1043" s="18"/>
      <c r="H1043" s="18"/>
      <c r="I1043" s="19" t="s">
        <v>1477</v>
      </c>
      <c r="J1043" s="14" t="s">
        <v>1478</v>
      </c>
      <c r="K1043" s="14" t="s">
        <v>1759</v>
      </c>
      <c r="L1043" s="15">
        <v>46032</v>
      </c>
      <c r="M1043" s="16">
        <v>2026</v>
      </c>
      <c r="S1043" s="9"/>
    </row>
    <row r="1044" spans="1:19" ht="41.4" hidden="1">
      <c r="A1044" s="5">
        <v>1043</v>
      </c>
      <c r="B1044" s="18"/>
      <c r="C1044" s="13"/>
      <c r="D1044" s="22" t="s">
        <v>1760</v>
      </c>
      <c r="E1044" s="22">
        <v>3230123212</v>
      </c>
      <c r="F1044" s="22" t="s">
        <v>1235</v>
      </c>
      <c r="G1044" s="18"/>
      <c r="H1044" s="18"/>
      <c r="I1044" s="19" t="s">
        <v>1477</v>
      </c>
      <c r="J1044" s="14" t="s">
        <v>1478</v>
      </c>
      <c r="K1044" s="14" t="s">
        <v>1761</v>
      </c>
      <c r="L1044" s="15">
        <v>46033</v>
      </c>
      <c r="M1044" s="16">
        <v>2026</v>
      </c>
      <c r="S1044" s="9"/>
    </row>
    <row r="1045" spans="1:19" ht="41.4" hidden="1">
      <c r="A1045" s="5">
        <v>1044</v>
      </c>
      <c r="B1045" s="18"/>
      <c r="C1045" s="13" t="s">
        <v>1762</v>
      </c>
      <c r="D1045" s="22" t="s">
        <v>1763</v>
      </c>
      <c r="E1045" s="22">
        <v>3239124126</v>
      </c>
      <c r="F1045" s="22" t="s">
        <v>1273</v>
      </c>
      <c r="G1045" s="18"/>
      <c r="H1045" s="18"/>
      <c r="I1045" s="19" t="s">
        <v>1477</v>
      </c>
      <c r="J1045" s="14" t="s">
        <v>1478</v>
      </c>
      <c r="K1045" s="14" t="s">
        <v>1764</v>
      </c>
      <c r="L1045" s="15">
        <v>46034</v>
      </c>
      <c r="M1045" s="16">
        <v>2026</v>
      </c>
      <c r="S1045" s="9"/>
    </row>
    <row r="1046" spans="1:19" ht="41.4" hidden="1">
      <c r="A1046" s="5">
        <v>1045</v>
      </c>
      <c r="B1046" s="18"/>
      <c r="C1046" s="13"/>
      <c r="D1046" s="22" t="s">
        <v>1765</v>
      </c>
      <c r="E1046" s="22">
        <v>3230124118</v>
      </c>
      <c r="F1046" s="22" t="s">
        <v>1640</v>
      </c>
      <c r="G1046" s="18"/>
      <c r="H1046" s="18"/>
      <c r="I1046" s="19" t="s">
        <v>1477</v>
      </c>
      <c r="J1046" s="14" t="s">
        <v>1478</v>
      </c>
      <c r="K1046" s="14" t="s">
        <v>1766</v>
      </c>
      <c r="L1046" s="15">
        <v>46035</v>
      </c>
      <c r="M1046" s="16">
        <v>2026</v>
      </c>
      <c r="S1046" s="9"/>
    </row>
    <row r="1047" spans="1:19" ht="41.4" hidden="1">
      <c r="A1047" s="5">
        <v>1046</v>
      </c>
      <c r="B1047" s="18"/>
      <c r="C1047" s="13"/>
      <c r="D1047" s="22" t="s">
        <v>1767</v>
      </c>
      <c r="E1047" s="22">
        <v>3230124012</v>
      </c>
      <c r="F1047" s="22" t="s">
        <v>1640</v>
      </c>
      <c r="G1047" s="18"/>
      <c r="H1047" s="18"/>
      <c r="I1047" s="19" t="s">
        <v>1477</v>
      </c>
      <c r="J1047" s="14" t="s">
        <v>1478</v>
      </c>
      <c r="K1047" s="14" t="s">
        <v>1768</v>
      </c>
      <c r="L1047" s="15">
        <v>46036</v>
      </c>
      <c r="M1047" s="16">
        <v>2026</v>
      </c>
      <c r="S1047" s="9"/>
    </row>
    <row r="1048" spans="1:19" ht="41.4" hidden="1">
      <c r="A1048" s="5">
        <v>1047</v>
      </c>
      <c r="B1048" s="18"/>
      <c r="C1048" s="13"/>
      <c r="D1048" s="22" t="s">
        <v>1769</v>
      </c>
      <c r="E1048" s="22">
        <v>3230124020</v>
      </c>
      <c r="F1048" s="22" t="s">
        <v>1640</v>
      </c>
      <c r="G1048" s="18"/>
      <c r="H1048" s="18"/>
      <c r="I1048" s="19" t="s">
        <v>1477</v>
      </c>
      <c r="J1048" s="14" t="s">
        <v>1478</v>
      </c>
      <c r="K1048" s="14" t="s">
        <v>1770</v>
      </c>
      <c r="L1048" s="15">
        <v>46037</v>
      </c>
      <c r="M1048" s="16">
        <v>2026</v>
      </c>
      <c r="S1048" s="9"/>
    </row>
    <row r="1049" spans="1:19" ht="41.4" hidden="1">
      <c r="A1049" s="5">
        <v>1048</v>
      </c>
      <c r="B1049" s="18"/>
      <c r="C1049" s="13" t="s">
        <v>1771</v>
      </c>
      <c r="D1049" s="22" t="s">
        <v>1772</v>
      </c>
      <c r="E1049" s="22">
        <v>3230123022</v>
      </c>
      <c r="F1049" s="22" t="s">
        <v>1235</v>
      </c>
      <c r="G1049" s="18"/>
      <c r="H1049" s="18"/>
      <c r="I1049" s="19" t="s">
        <v>1477</v>
      </c>
      <c r="J1049" s="14" t="s">
        <v>1478</v>
      </c>
      <c r="K1049" s="14" t="s">
        <v>1773</v>
      </c>
      <c r="L1049" s="15">
        <v>46038</v>
      </c>
      <c r="M1049" s="16">
        <v>2026</v>
      </c>
      <c r="S1049" s="9"/>
    </row>
    <row r="1050" spans="1:19" ht="41.4" hidden="1">
      <c r="A1050" s="5">
        <v>1049</v>
      </c>
      <c r="B1050" s="18"/>
      <c r="C1050" s="13"/>
      <c r="D1050" s="22" t="s">
        <v>1774</v>
      </c>
      <c r="E1050" s="22">
        <v>3230123011</v>
      </c>
      <c r="F1050" s="22" t="s">
        <v>1235</v>
      </c>
      <c r="G1050" s="18"/>
      <c r="H1050" s="18"/>
      <c r="I1050" s="19" t="s">
        <v>1477</v>
      </c>
      <c r="J1050" s="14" t="s">
        <v>1478</v>
      </c>
      <c r="K1050" s="14" t="s">
        <v>1775</v>
      </c>
      <c r="L1050" s="15">
        <v>46039</v>
      </c>
      <c r="M1050" s="16">
        <v>2026</v>
      </c>
      <c r="S1050" s="9"/>
    </row>
    <row r="1051" spans="1:19" ht="41.4" hidden="1">
      <c r="A1051" s="5">
        <v>1050</v>
      </c>
      <c r="B1051" s="18"/>
      <c r="C1051" s="13"/>
      <c r="D1051" s="22" t="s">
        <v>1776</v>
      </c>
      <c r="E1051" s="22">
        <v>3230123012</v>
      </c>
      <c r="F1051" s="22" t="s">
        <v>1235</v>
      </c>
      <c r="G1051" s="18"/>
      <c r="H1051" s="18"/>
      <c r="I1051" s="19" t="s">
        <v>1477</v>
      </c>
      <c r="J1051" s="14" t="s">
        <v>1478</v>
      </c>
      <c r="K1051" s="14" t="s">
        <v>1777</v>
      </c>
      <c r="L1051" s="15">
        <v>46040</v>
      </c>
      <c r="M1051" s="16">
        <v>2026</v>
      </c>
      <c r="S1051" s="9"/>
    </row>
    <row r="1052" spans="1:19" ht="41.4" hidden="1">
      <c r="A1052" s="5">
        <v>1051</v>
      </c>
      <c r="B1052" s="18"/>
      <c r="C1052" s="13"/>
      <c r="D1052" s="22" t="s">
        <v>1778</v>
      </c>
      <c r="E1052" s="22">
        <v>3230123200</v>
      </c>
      <c r="F1052" s="22" t="s">
        <v>1235</v>
      </c>
      <c r="G1052" s="18"/>
      <c r="H1052" s="18"/>
      <c r="I1052" s="19" t="s">
        <v>1477</v>
      </c>
      <c r="J1052" s="14" t="s">
        <v>1478</v>
      </c>
      <c r="K1052" s="14" t="s">
        <v>1779</v>
      </c>
      <c r="L1052" s="15">
        <v>46041</v>
      </c>
      <c r="M1052" s="16">
        <v>2026</v>
      </c>
      <c r="S1052" s="9"/>
    </row>
    <row r="1053" spans="1:19" ht="41.4" hidden="1">
      <c r="A1053" s="5">
        <v>1052</v>
      </c>
      <c r="B1053" s="18"/>
      <c r="C1053" s="13"/>
      <c r="D1053" s="22" t="s">
        <v>1780</v>
      </c>
      <c r="E1053" s="22">
        <v>3230123188</v>
      </c>
      <c r="F1053" s="22" t="s">
        <v>1235</v>
      </c>
      <c r="G1053" s="18"/>
      <c r="H1053" s="18"/>
      <c r="I1053" s="19" t="s">
        <v>1477</v>
      </c>
      <c r="J1053" s="14" t="s">
        <v>1478</v>
      </c>
      <c r="K1053" s="14" t="s">
        <v>1781</v>
      </c>
      <c r="L1053" s="15">
        <v>46042</v>
      </c>
      <c r="M1053" s="16">
        <v>2026</v>
      </c>
      <c r="S1053" s="9"/>
    </row>
    <row r="1054" spans="1:19" ht="41.4" hidden="1">
      <c r="A1054" s="5">
        <v>1053</v>
      </c>
      <c r="B1054" s="18"/>
      <c r="C1054" s="13" t="s">
        <v>1782</v>
      </c>
      <c r="D1054" s="22" t="s">
        <v>1221</v>
      </c>
      <c r="E1054" s="22">
        <v>3230123137</v>
      </c>
      <c r="F1054" s="22" t="s">
        <v>1222</v>
      </c>
      <c r="G1054" s="18"/>
      <c r="H1054" s="18"/>
      <c r="I1054" s="19" t="s">
        <v>1477</v>
      </c>
      <c r="J1054" s="14" t="s">
        <v>1478</v>
      </c>
      <c r="K1054" s="14" t="s">
        <v>1783</v>
      </c>
      <c r="L1054" s="15">
        <v>46043</v>
      </c>
      <c r="M1054" s="16">
        <v>2026</v>
      </c>
      <c r="S1054" s="9"/>
    </row>
    <row r="1055" spans="1:19" ht="41.4" hidden="1">
      <c r="A1055" s="5">
        <v>1054</v>
      </c>
      <c r="B1055" s="18"/>
      <c r="C1055" s="13"/>
      <c r="D1055" s="22" t="s">
        <v>1784</v>
      </c>
      <c r="E1055" s="22">
        <v>3230123105</v>
      </c>
      <c r="F1055" s="22" t="s">
        <v>1222</v>
      </c>
      <c r="G1055" s="18"/>
      <c r="H1055" s="18"/>
      <c r="I1055" s="19" t="s">
        <v>1477</v>
      </c>
      <c r="J1055" s="14" t="s">
        <v>1478</v>
      </c>
      <c r="K1055" s="14" t="s">
        <v>1785</v>
      </c>
      <c r="L1055" s="15">
        <v>46044</v>
      </c>
      <c r="M1055" s="16">
        <v>2026</v>
      </c>
      <c r="S1055" s="9"/>
    </row>
    <row r="1056" spans="1:19" ht="41.4" hidden="1">
      <c r="A1056" s="5">
        <v>1055</v>
      </c>
      <c r="B1056" s="18"/>
      <c r="C1056" s="13"/>
      <c r="D1056" s="22" t="s">
        <v>1253</v>
      </c>
      <c r="E1056" s="22">
        <v>3230123081</v>
      </c>
      <c r="F1056" s="22" t="s">
        <v>1222</v>
      </c>
      <c r="G1056" s="18"/>
      <c r="H1056" s="18"/>
      <c r="I1056" s="19" t="s">
        <v>1477</v>
      </c>
      <c r="J1056" s="14" t="s">
        <v>1478</v>
      </c>
      <c r="K1056" s="14" t="s">
        <v>1786</v>
      </c>
      <c r="L1056" s="15">
        <v>46045</v>
      </c>
      <c r="M1056" s="16">
        <v>2026</v>
      </c>
      <c r="S1056" s="9"/>
    </row>
    <row r="1057" spans="1:19" ht="41.4" hidden="1">
      <c r="A1057" s="5">
        <v>1056</v>
      </c>
      <c r="B1057" s="18"/>
      <c r="C1057" s="13"/>
      <c r="D1057" s="22" t="s">
        <v>1239</v>
      </c>
      <c r="E1057" s="22">
        <v>3230123153</v>
      </c>
      <c r="F1057" s="22" t="s">
        <v>1222</v>
      </c>
      <c r="G1057" s="18"/>
      <c r="H1057" s="18"/>
      <c r="I1057" s="19" t="s">
        <v>1477</v>
      </c>
      <c r="J1057" s="14" t="s">
        <v>1478</v>
      </c>
      <c r="K1057" s="14" t="s">
        <v>1787</v>
      </c>
      <c r="L1057" s="15">
        <v>46046</v>
      </c>
      <c r="M1057" s="16">
        <v>2026</v>
      </c>
      <c r="S1057" s="9"/>
    </row>
    <row r="1058" spans="1:19" ht="41.4" hidden="1">
      <c r="A1058" s="5">
        <v>1057</v>
      </c>
      <c r="B1058" s="18"/>
      <c r="C1058" s="13"/>
      <c r="D1058" s="22" t="s">
        <v>1240</v>
      </c>
      <c r="E1058" s="22">
        <v>3230123001</v>
      </c>
      <c r="F1058" s="22" t="s">
        <v>1222</v>
      </c>
      <c r="G1058" s="18"/>
      <c r="H1058" s="18"/>
      <c r="I1058" s="19" t="s">
        <v>1477</v>
      </c>
      <c r="J1058" s="14" t="s">
        <v>1478</v>
      </c>
      <c r="K1058" s="14" t="s">
        <v>1788</v>
      </c>
      <c r="L1058" s="15">
        <v>46047</v>
      </c>
      <c r="M1058" s="16">
        <v>2026</v>
      </c>
      <c r="S1058" s="9"/>
    </row>
    <row r="1059" spans="1:19" ht="41.4" hidden="1">
      <c r="A1059" s="5">
        <v>1058</v>
      </c>
      <c r="B1059" s="18"/>
      <c r="C1059" s="13" t="s">
        <v>1789</v>
      </c>
      <c r="D1059" s="22" t="s">
        <v>1790</v>
      </c>
      <c r="E1059" s="22">
        <v>3220123233</v>
      </c>
      <c r="F1059" s="22" t="s">
        <v>662</v>
      </c>
      <c r="G1059" s="18"/>
      <c r="H1059" s="18"/>
      <c r="I1059" s="19" t="s">
        <v>1477</v>
      </c>
      <c r="J1059" s="14" t="s">
        <v>1478</v>
      </c>
      <c r="K1059" s="14" t="s">
        <v>1791</v>
      </c>
      <c r="L1059" s="15">
        <v>46048</v>
      </c>
      <c r="M1059" s="16">
        <v>2026</v>
      </c>
      <c r="S1059" s="9"/>
    </row>
    <row r="1060" spans="1:19" ht="41.4" hidden="1">
      <c r="A1060" s="5">
        <v>1059</v>
      </c>
      <c r="B1060" s="18"/>
      <c r="C1060" s="13"/>
      <c r="D1060" s="22" t="s">
        <v>1792</v>
      </c>
      <c r="E1060" s="22">
        <v>3220123273</v>
      </c>
      <c r="F1060" s="22" t="s">
        <v>662</v>
      </c>
      <c r="G1060" s="18"/>
      <c r="H1060" s="18"/>
      <c r="I1060" s="19" t="s">
        <v>1477</v>
      </c>
      <c r="J1060" s="14" t="s">
        <v>1478</v>
      </c>
      <c r="K1060" s="14" t="s">
        <v>1793</v>
      </c>
      <c r="L1060" s="15">
        <v>46049</v>
      </c>
      <c r="M1060" s="16">
        <v>2026</v>
      </c>
      <c r="S1060" s="9"/>
    </row>
    <row r="1061" spans="1:19" ht="41.4" hidden="1">
      <c r="A1061" s="5">
        <v>1060</v>
      </c>
      <c r="B1061" s="18"/>
      <c r="C1061" s="13"/>
      <c r="D1061" s="22" t="s">
        <v>1794</v>
      </c>
      <c r="E1061" s="22">
        <v>3220123348</v>
      </c>
      <c r="F1061" s="22" t="s">
        <v>662</v>
      </c>
      <c r="G1061" s="18"/>
      <c r="H1061" s="18"/>
      <c r="I1061" s="19" t="s">
        <v>1477</v>
      </c>
      <c r="J1061" s="14" t="s">
        <v>1478</v>
      </c>
      <c r="K1061" s="14" t="s">
        <v>1795</v>
      </c>
      <c r="L1061" s="15">
        <v>46050</v>
      </c>
      <c r="M1061" s="16">
        <v>2026</v>
      </c>
      <c r="S1061" s="9"/>
    </row>
    <row r="1062" spans="1:19" ht="41.4" hidden="1">
      <c r="A1062" s="5">
        <v>1061</v>
      </c>
      <c r="B1062" s="18"/>
      <c r="C1062" s="13"/>
      <c r="D1062" s="22" t="s">
        <v>1796</v>
      </c>
      <c r="E1062" s="22">
        <v>3220123374</v>
      </c>
      <c r="F1062" s="22" t="s">
        <v>742</v>
      </c>
      <c r="G1062" s="18"/>
      <c r="H1062" s="18"/>
      <c r="I1062" s="19" t="s">
        <v>1477</v>
      </c>
      <c r="J1062" s="14" t="s">
        <v>1478</v>
      </c>
      <c r="K1062" s="14" t="s">
        <v>1797</v>
      </c>
      <c r="L1062" s="15">
        <v>46051</v>
      </c>
      <c r="M1062" s="16">
        <v>2026</v>
      </c>
      <c r="S1062" s="9"/>
    </row>
    <row r="1063" spans="1:19" ht="41.4" hidden="1">
      <c r="A1063" s="5">
        <v>1062</v>
      </c>
      <c r="B1063" s="18"/>
      <c r="C1063" s="13"/>
      <c r="D1063" s="22" t="s">
        <v>1798</v>
      </c>
      <c r="E1063" s="22">
        <v>3220123067</v>
      </c>
      <c r="F1063" s="22" t="s">
        <v>742</v>
      </c>
      <c r="G1063" s="18"/>
      <c r="H1063" s="18"/>
      <c r="I1063" s="19" t="s">
        <v>1477</v>
      </c>
      <c r="J1063" s="14" t="s">
        <v>1478</v>
      </c>
      <c r="K1063" s="14" t="s">
        <v>1799</v>
      </c>
      <c r="L1063" s="15">
        <v>46052</v>
      </c>
      <c r="M1063" s="16">
        <v>2026</v>
      </c>
      <c r="S1063" s="9"/>
    </row>
    <row r="1064" spans="1:19" ht="41.4" hidden="1">
      <c r="A1064" s="5">
        <v>1063</v>
      </c>
      <c r="B1064" s="18"/>
      <c r="C1064" s="13" t="s">
        <v>1800</v>
      </c>
      <c r="D1064" s="22" t="s">
        <v>1801</v>
      </c>
      <c r="E1064" s="22">
        <v>3220224057</v>
      </c>
      <c r="F1064" s="22" t="s">
        <v>1482</v>
      </c>
      <c r="G1064" s="18"/>
      <c r="H1064" s="18"/>
      <c r="I1064" s="19" t="s">
        <v>1477</v>
      </c>
      <c r="J1064" s="14" t="s">
        <v>1478</v>
      </c>
      <c r="K1064" s="14" t="s">
        <v>1802</v>
      </c>
      <c r="L1064" s="15">
        <v>46053</v>
      </c>
      <c r="M1064" s="16">
        <v>2026</v>
      </c>
      <c r="S1064" s="9"/>
    </row>
    <row r="1065" spans="1:19" ht="41.4" hidden="1">
      <c r="A1065" s="5">
        <v>1064</v>
      </c>
      <c r="B1065" s="18"/>
      <c r="C1065" s="13"/>
      <c r="D1065" s="22" t="s">
        <v>1803</v>
      </c>
      <c r="E1065" s="22">
        <v>3220224044</v>
      </c>
      <c r="F1065" s="22" t="s">
        <v>1482</v>
      </c>
      <c r="G1065" s="18"/>
      <c r="H1065" s="18"/>
      <c r="I1065" s="19" t="s">
        <v>1477</v>
      </c>
      <c r="J1065" s="14" t="s">
        <v>1478</v>
      </c>
      <c r="K1065" s="14" t="s">
        <v>1804</v>
      </c>
      <c r="L1065" s="15">
        <v>46054</v>
      </c>
      <c r="M1065" s="16">
        <v>2026</v>
      </c>
      <c r="S1065" s="9"/>
    </row>
    <row r="1066" spans="1:19" ht="41.4" hidden="1">
      <c r="A1066" s="5">
        <v>1065</v>
      </c>
      <c r="B1066" s="18"/>
      <c r="C1066" s="13"/>
      <c r="D1066" s="22" t="s">
        <v>1805</v>
      </c>
      <c r="E1066" s="22">
        <v>3220224054</v>
      </c>
      <c r="F1066" s="22" t="s">
        <v>1482</v>
      </c>
      <c r="G1066" s="18"/>
      <c r="H1066" s="18"/>
      <c r="I1066" s="19" t="s">
        <v>1477</v>
      </c>
      <c r="J1066" s="14" t="s">
        <v>1478</v>
      </c>
      <c r="K1066" s="14" t="s">
        <v>1806</v>
      </c>
      <c r="L1066" s="15">
        <v>46055</v>
      </c>
      <c r="M1066" s="16">
        <v>2026</v>
      </c>
      <c r="S1066" s="9"/>
    </row>
    <row r="1067" spans="1:19" ht="41.4" hidden="1">
      <c r="A1067" s="5">
        <v>1066</v>
      </c>
      <c r="B1067" s="18"/>
      <c r="C1067" s="13" t="s">
        <v>1807</v>
      </c>
      <c r="D1067" s="22" t="s">
        <v>1808</v>
      </c>
      <c r="E1067" s="22">
        <v>3220224046</v>
      </c>
      <c r="F1067" s="22" t="s">
        <v>1482</v>
      </c>
      <c r="G1067" s="18"/>
      <c r="H1067" s="18"/>
      <c r="I1067" s="19" t="s">
        <v>1477</v>
      </c>
      <c r="J1067" s="14" t="s">
        <v>1478</v>
      </c>
      <c r="K1067" s="14" t="s">
        <v>1809</v>
      </c>
      <c r="L1067" s="15">
        <v>46056</v>
      </c>
      <c r="M1067" s="16">
        <v>2026</v>
      </c>
      <c r="S1067" s="9"/>
    </row>
    <row r="1068" spans="1:19" ht="41.4" hidden="1">
      <c r="A1068" s="5">
        <v>1067</v>
      </c>
      <c r="B1068" s="18"/>
      <c r="C1068" s="13"/>
      <c r="D1068" s="22" t="s">
        <v>1810</v>
      </c>
      <c r="E1068" s="22">
        <v>3220224039</v>
      </c>
      <c r="F1068" s="22" t="s">
        <v>1482</v>
      </c>
      <c r="G1068" s="18"/>
      <c r="H1068" s="18"/>
      <c r="I1068" s="19" t="s">
        <v>1477</v>
      </c>
      <c r="J1068" s="14" t="s">
        <v>1478</v>
      </c>
      <c r="K1068" s="14" t="s">
        <v>1811</v>
      </c>
      <c r="L1068" s="15">
        <v>46057</v>
      </c>
      <c r="M1068" s="16">
        <v>2026</v>
      </c>
      <c r="S1068" s="9"/>
    </row>
    <row r="1069" spans="1:19" ht="41.4" hidden="1">
      <c r="A1069" s="5">
        <v>1068</v>
      </c>
      <c r="B1069" s="18"/>
      <c r="C1069" s="13"/>
      <c r="D1069" s="22" t="s">
        <v>1812</v>
      </c>
      <c r="E1069" s="22">
        <v>3220224033</v>
      </c>
      <c r="F1069" s="22" t="s">
        <v>1482</v>
      </c>
      <c r="G1069" s="18"/>
      <c r="H1069" s="18"/>
      <c r="I1069" s="19" t="s">
        <v>1477</v>
      </c>
      <c r="J1069" s="14" t="s">
        <v>1478</v>
      </c>
      <c r="K1069" s="14" t="s">
        <v>1813</v>
      </c>
      <c r="L1069" s="15">
        <v>46058</v>
      </c>
      <c r="M1069" s="16">
        <v>2026</v>
      </c>
      <c r="S1069" s="9"/>
    </row>
    <row r="1070" spans="1:19" ht="41.4" hidden="1">
      <c r="A1070" s="5">
        <v>1069</v>
      </c>
      <c r="B1070" s="18"/>
      <c r="C1070" s="13"/>
      <c r="D1070" s="22" t="s">
        <v>1814</v>
      </c>
      <c r="E1070" s="22">
        <v>3220224007</v>
      </c>
      <c r="F1070" s="22" t="s">
        <v>1482</v>
      </c>
      <c r="G1070" s="18"/>
      <c r="H1070" s="18"/>
      <c r="I1070" s="19" t="s">
        <v>1477</v>
      </c>
      <c r="J1070" s="14" t="s">
        <v>1478</v>
      </c>
      <c r="K1070" s="14" t="s">
        <v>1815</v>
      </c>
      <c r="L1070" s="15">
        <v>46059</v>
      </c>
      <c r="M1070" s="16">
        <v>2026</v>
      </c>
      <c r="S1070" s="9"/>
    </row>
    <row r="1071" spans="1:19" ht="41.4" hidden="1">
      <c r="A1071" s="5">
        <v>1070</v>
      </c>
      <c r="B1071" s="18"/>
      <c r="C1071" s="13"/>
      <c r="D1071" s="22" t="s">
        <v>1816</v>
      </c>
      <c r="E1071" s="22">
        <v>3220224065</v>
      </c>
      <c r="F1071" s="22" t="s">
        <v>1482</v>
      </c>
      <c r="G1071" s="18"/>
      <c r="H1071" s="18"/>
      <c r="I1071" s="19" t="s">
        <v>1477</v>
      </c>
      <c r="J1071" s="14" t="s">
        <v>1478</v>
      </c>
      <c r="K1071" s="14" t="s">
        <v>1817</v>
      </c>
      <c r="L1071" s="15">
        <v>46060</v>
      </c>
      <c r="M1071" s="16">
        <v>2026</v>
      </c>
      <c r="S1071" s="9"/>
    </row>
    <row r="1072" spans="1:19" ht="62.4" hidden="1">
      <c r="A1072" s="5">
        <v>1071</v>
      </c>
      <c r="B1072" s="18"/>
      <c r="C1072" s="13" t="s">
        <v>1818</v>
      </c>
      <c r="D1072" s="22" t="s">
        <v>1077</v>
      </c>
      <c r="E1072" s="22">
        <v>3200223047</v>
      </c>
      <c r="F1072" s="22" t="s">
        <v>1008</v>
      </c>
      <c r="G1072" s="18"/>
      <c r="H1072" s="18"/>
      <c r="I1072" s="22" t="s">
        <v>1819</v>
      </c>
      <c r="J1072" s="14" t="s">
        <v>1820</v>
      </c>
      <c r="K1072" s="14" t="s">
        <v>1462</v>
      </c>
      <c r="L1072" s="15">
        <v>46061</v>
      </c>
      <c r="M1072" s="16">
        <v>2026</v>
      </c>
      <c r="S1072" s="9"/>
    </row>
    <row r="1073" spans="1:19" ht="62.4" hidden="1">
      <c r="A1073" s="5">
        <v>1072</v>
      </c>
      <c r="B1073" s="18"/>
      <c r="C1073" s="13" t="s">
        <v>1821</v>
      </c>
      <c r="D1073" s="22" t="s">
        <v>1822</v>
      </c>
      <c r="E1073" s="22">
        <v>3200223129</v>
      </c>
      <c r="F1073" s="22" t="s">
        <v>1008</v>
      </c>
      <c r="G1073" s="18"/>
      <c r="H1073" s="18"/>
      <c r="I1073" s="22" t="s">
        <v>1819</v>
      </c>
      <c r="J1073" s="14" t="s">
        <v>1820</v>
      </c>
      <c r="K1073" s="14" t="s">
        <v>1465</v>
      </c>
      <c r="L1073" s="15">
        <v>46062</v>
      </c>
      <c r="M1073" s="16">
        <v>2026</v>
      </c>
      <c r="S1073" s="9"/>
    </row>
    <row r="1074" spans="1:19" ht="62.4" hidden="1">
      <c r="A1074" s="5">
        <v>1073</v>
      </c>
      <c r="B1074" s="18"/>
      <c r="C1074" s="13"/>
      <c r="D1074" s="22" t="s">
        <v>231</v>
      </c>
      <c r="E1074" s="22">
        <v>3200224045</v>
      </c>
      <c r="F1074" s="22" t="s">
        <v>1823</v>
      </c>
      <c r="G1074" s="18"/>
      <c r="H1074" s="18"/>
      <c r="I1074" s="22" t="s">
        <v>1819</v>
      </c>
      <c r="J1074" s="14" t="s">
        <v>1820</v>
      </c>
      <c r="K1074" s="14" t="s">
        <v>1469</v>
      </c>
      <c r="L1074" s="15">
        <v>46063</v>
      </c>
      <c r="M1074" s="16">
        <v>2026</v>
      </c>
      <c r="S1074" s="9"/>
    </row>
    <row r="1075" spans="1:19" ht="62.4" hidden="1">
      <c r="A1075" s="5">
        <v>1074</v>
      </c>
      <c r="B1075" s="18"/>
      <c r="C1075" s="13"/>
      <c r="D1075" s="22" t="s">
        <v>1824</v>
      </c>
      <c r="E1075" s="22">
        <v>3200224055</v>
      </c>
      <c r="F1075" s="22" t="s">
        <v>1823</v>
      </c>
      <c r="G1075" s="18"/>
      <c r="H1075" s="18"/>
      <c r="I1075" s="22" t="s">
        <v>1819</v>
      </c>
      <c r="J1075" s="14" t="s">
        <v>1820</v>
      </c>
      <c r="K1075" s="14" t="s">
        <v>1471</v>
      </c>
      <c r="L1075" s="15">
        <v>46064</v>
      </c>
      <c r="M1075" s="16">
        <v>2026</v>
      </c>
      <c r="S1075" s="9"/>
    </row>
    <row r="1076" spans="1:19" ht="62.4" hidden="1">
      <c r="A1076" s="5">
        <v>1075</v>
      </c>
      <c r="B1076" s="18"/>
      <c r="C1076" s="13" t="s">
        <v>1825</v>
      </c>
      <c r="D1076" s="22" t="s">
        <v>1826</v>
      </c>
      <c r="E1076" s="22">
        <v>3200224005</v>
      </c>
      <c r="F1076" s="22" t="s">
        <v>1823</v>
      </c>
      <c r="G1076" s="18"/>
      <c r="H1076" s="18"/>
      <c r="I1076" s="22" t="s">
        <v>1819</v>
      </c>
      <c r="J1076" s="14" t="s">
        <v>1820</v>
      </c>
      <c r="K1076" s="14" t="s">
        <v>1474</v>
      </c>
      <c r="L1076" s="15">
        <v>46065</v>
      </c>
      <c r="M1076" s="16">
        <v>2026</v>
      </c>
      <c r="S1076" s="9"/>
    </row>
    <row r="1077" spans="1:19" ht="62.4" hidden="1">
      <c r="A1077" s="5">
        <v>1076</v>
      </c>
      <c r="B1077" s="18"/>
      <c r="C1077" s="13" t="s">
        <v>1827</v>
      </c>
      <c r="D1077" s="22" t="s">
        <v>1007</v>
      </c>
      <c r="E1077" s="22">
        <v>3200223098</v>
      </c>
      <c r="F1077" s="22" t="s">
        <v>1008</v>
      </c>
      <c r="G1077" s="18"/>
      <c r="H1077" s="18"/>
      <c r="I1077" s="22" t="s">
        <v>1819</v>
      </c>
      <c r="J1077" s="14" t="s">
        <v>1820</v>
      </c>
      <c r="K1077" s="14" t="s">
        <v>1500</v>
      </c>
      <c r="L1077" s="15">
        <v>46066</v>
      </c>
      <c r="M1077" s="16">
        <v>2026</v>
      </c>
      <c r="S1077" s="9"/>
    </row>
    <row r="1078" spans="1:19" ht="62.4" hidden="1">
      <c r="A1078" s="5">
        <v>1077</v>
      </c>
      <c r="B1078" s="18"/>
      <c r="C1078" s="13"/>
      <c r="D1078" s="22" t="s">
        <v>1828</v>
      </c>
      <c r="E1078" s="22">
        <v>3200223144</v>
      </c>
      <c r="F1078" s="22" t="s">
        <v>1008</v>
      </c>
      <c r="G1078" s="18"/>
      <c r="H1078" s="18"/>
      <c r="I1078" s="22" t="s">
        <v>1819</v>
      </c>
      <c r="J1078" s="14" t="s">
        <v>1820</v>
      </c>
      <c r="K1078" s="14" t="s">
        <v>1502</v>
      </c>
      <c r="L1078" s="15">
        <v>46067</v>
      </c>
      <c r="M1078" s="16">
        <v>2026</v>
      </c>
      <c r="S1078" s="9"/>
    </row>
    <row r="1079" spans="1:19" ht="62.4" hidden="1">
      <c r="A1079" s="5">
        <v>1078</v>
      </c>
      <c r="B1079" s="18"/>
      <c r="C1079" s="13"/>
      <c r="D1079" s="22" t="s">
        <v>1013</v>
      </c>
      <c r="E1079" s="22">
        <v>3200223090</v>
      </c>
      <c r="F1079" s="22" t="s">
        <v>1829</v>
      </c>
      <c r="G1079" s="18"/>
      <c r="H1079" s="18"/>
      <c r="I1079" s="22" t="s">
        <v>1819</v>
      </c>
      <c r="J1079" s="14" t="s">
        <v>1820</v>
      </c>
      <c r="K1079" s="14" t="s">
        <v>1506</v>
      </c>
      <c r="L1079" s="15">
        <v>46068</v>
      </c>
      <c r="M1079" s="16">
        <v>2026</v>
      </c>
      <c r="S1079" s="9"/>
    </row>
    <row r="1080" spans="1:19" ht="62.4" hidden="1">
      <c r="A1080" s="5">
        <v>1079</v>
      </c>
      <c r="B1080" s="18"/>
      <c r="C1080" s="13" t="s">
        <v>1830</v>
      </c>
      <c r="D1080" s="22" t="s">
        <v>1665</v>
      </c>
      <c r="E1080" s="22">
        <v>320023132</v>
      </c>
      <c r="F1080" s="22" t="s">
        <v>1016</v>
      </c>
      <c r="G1080" s="18"/>
      <c r="H1080" s="18"/>
      <c r="I1080" s="22" t="s">
        <v>1819</v>
      </c>
      <c r="J1080" s="14" t="s">
        <v>1820</v>
      </c>
      <c r="K1080" s="14" t="s">
        <v>1508</v>
      </c>
      <c r="L1080" s="15">
        <v>46069</v>
      </c>
      <c r="M1080" s="16">
        <v>2026</v>
      </c>
      <c r="S1080" s="9"/>
    </row>
    <row r="1081" spans="1:19" ht="62.4" hidden="1">
      <c r="A1081" s="5">
        <v>1080</v>
      </c>
      <c r="B1081" s="18"/>
      <c r="C1081" s="13"/>
      <c r="D1081" s="22" t="s">
        <v>1077</v>
      </c>
      <c r="E1081" s="22">
        <v>3200223047</v>
      </c>
      <c r="F1081" s="22" t="s">
        <v>1008</v>
      </c>
      <c r="G1081" s="18"/>
      <c r="H1081" s="18"/>
      <c r="I1081" s="22" t="s">
        <v>1819</v>
      </c>
      <c r="J1081" s="14" t="s">
        <v>1820</v>
      </c>
      <c r="K1081" s="14" t="s">
        <v>1510</v>
      </c>
      <c r="L1081" s="15">
        <v>46070</v>
      </c>
      <c r="M1081" s="16">
        <v>2026</v>
      </c>
      <c r="S1081" s="9"/>
    </row>
    <row r="1082" spans="1:19" ht="62.4" hidden="1">
      <c r="A1082" s="5">
        <v>1081</v>
      </c>
      <c r="B1082" s="18"/>
      <c r="C1082" s="13"/>
      <c r="D1082" s="22" t="s">
        <v>1831</v>
      </c>
      <c r="E1082" s="22">
        <v>3200223058</v>
      </c>
      <c r="F1082" s="22" t="s">
        <v>1008</v>
      </c>
      <c r="G1082" s="18"/>
      <c r="H1082" s="18"/>
      <c r="I1082" s="22" t="s">
        <v>1819</v>
      </c>
      <c r="J1082" s="14" t="s">
        <v>1820</v>
      </c>
      <c r="K1082" s="14" t="s">
        <v>1512</v>
      </c>
      <c r="L1082" s="15">
        <v>46071</v>
      </c>
      <c r="M1082" s="16">
        <v>2026</v>
      </c>
      <c r="S1082" s="9"/>
    </row>
    <row r="1083" spans="1:19" ht="62.4" hidden="1">
      <c r="A1083" s="5">
        <v>1082</v>
      </c>
      <c r="B1083" s="18"/>
      <c r="C1083" s="13" t="s">
        <v>1832</v>
      </c>
      <c r="D1083" s="22" t="s">
        <v>1833</v>
      </c>
      <c r="E1083" s="22">
        <v>3200224004</v>
      </c>
      <c r="F1083" s="22" t="s">
        <v>1118</v>
      </c>
      <c r="G1083" s="18"/>
      <c r="H1083" s="18"/>
      <c r="I1083" s="22" t="s">
        <v>1819</v>
      </c>
      <c r="J1083" s="14" t="s">
        <v>1820</v>
      </c>
      <c r="K1083" s="14" t="s">
        <v>1514</v>
      </c>
      <c r="L1083" s="15">
        <v>46072</v>
      </c>
      <c r="M1083" s="16">
        <v>2026</v>
      </c>
      <c r="S1083" s="9"/>
    </row>
    <row r="1084" spans="1:19" ht="62.4" hidden="1">
      <c r="A1084" s="5">
        <v>1083</v>
      </c>
      <c r="B1084" s="18"/>
      <c r="C1084" s="13"/>
      <c r="D1084" s="22" t="s">
        <v>1834</v>
      </c>
      <c r="E1084" s="22">
        <v>3200224020</v>
      </c>
      <c r="F1084" s="22" t="s">
        <v>1118</v>
      </c>
      <c r="G1084" s="18"/>
      <c r="H1084" s="18"/>
      <c r="I1084" s="22" t="s">
        <v>1819</v>
      </c>
      <c r="J1084" s="14" t="s">
        <v>1820</v>
      </c>
      <c r="K1084" s="14" t="s">
        <v>1516</v>
      </c>
      <c r="L1084" s="15">
        <v>46073</v>
      </c>
      <c r="M1084" s="16">
        <v>2026</v>
      </c>
      <c r="S1084" s="9"/>
    </row>
    <row r="1085" spans="1:19" ht="62.4" hidden="1">
      <c r="A1085" s="5">
        <v>1084</v>
      </c>
      <c r="B1085" s="18"/>
      <c r="C1085" s="13" t="s">
        <v>1835</v>
      </c>
      <c r="D1085" s="22" t="s">
        <v>1171</v>
      </c>
      <c r="E1085" s="22">
        <v>3200224013</v>
      </c>
      <c r="F1085" s="22" t="s">
        <v>1118</v>
      </c>
      <c r="G1085" s="18"/>
      <c r="H1085" s="18"/>
      <c r="I1085" s="22" t="s">
        <v>1819</v>
      </c>
      <c r="J1085" s="14" t="s">
        <v>1820</v>
      </c>
      <c r="K1085" s="14" t="s">
        <v>1518</v>
      </c>
      <c r="L1085" s="15">
        <v>46074</v>
      </c>
      <c r="M1085" s="16">
        <v>2026</v>
      </c>
      <c r="S1085" s="9"/>
    </row>
    <row r="1086" spans="1:19" ht="62.4" hidden="1">
      <c r="A1086" s="5">
        <v>1085</v>
      </c>
      <c r="B1086" s="18"/>
      <c r="C1086" s="13"/>
      <c r="D1086" s="22" t="s">
        <v>253</v>
      </c>
      <c r="E1086" s="22">
        <v>3200224046</v>
      </c>
      <c r="F1086" s="22" t="s">
        <v>1118</v>
      </c>
      <c r="G1086" s="18"/>
      <c r="H1086" s="18"/>
      <c r="I1086" s="22" t="s">
        <v>1819</v>
      </c>
      <c r="J1086" s="14" t="s">
        <v>1820</v>
      </c>
      <c r="K1086" s="14" t="s">
        <v>1519</v>
      </c>
      <c r="L1086" s="15">
        <v>46075</v>
      </c>
      <c r="M1086" s="16">
        <v>2026</v>
      </c>
      <c r="S1086" s="9"/>
    </row>
    <row r="1087" spans="1:19" ht="62.4" hidden="1">
      <c r="A1087" s="5">
        <v>1086</v>
      </c>
      <c r="B1087" s="18"/>
      <c r="C1087" s="13" t="s">
        <v>1836</v>
      </c>
      <c r="D1087" s="22" t="s">
        <v>1837</v>
      </c>
      <c r="E1087" s="22">
        <v>3200224068</v>
      </c>
      <c r="F1087" s="22" t="s">
        <v>1118</v>
      </c>
      <c r="G1087" s="18"/>
      <c r="H1087" s="18"/>
      <c r="I1087" s="22" t="s">
        <v>1819</v>
      </c>
      <c r="J1087" s="14" t="s">
        <v>1820</v>
      </c>
      <c r="K1087" s="14" t="s">
        <v>1520</v>
      </c>
      <c r="L1087" s="15">
        <v>46076</v>
      </c>
      <c r="M1087" s="16">
        <v>2026</v>
      </c>
      <c r="S1087" s="9"/>
    </row>
    <row r="1088" spans="1:19" ht="62.4" hidden="1">
      <c r="A1088" s="5">
        <v>1087</v>
      </c>
      <c r="B1088" s="18"/>
      <c r="C1088" s="13"/>
      <c r="D1088" s="22" t="s">
        <v>1838</v>
      </c>
      <c r="E1088" s="22">
        <v>3200224022</v>
      </c>
      <c r="F1088" s="22" t="s">
        <v>1118</v>
      </c>
      <c r="G1088" s="18"/>
      <c r="H1088" s="18"/>
      <c r="I1088" s="22" t="s">
        <v>1819</v>
      </c>
      <c r="J1088" s="14" t="s">
        <v>1820</v>
      </c>
      <c r="K1088" s="14" t="s">
        <v>1521</v>
      </c>
      <c r="L1088" s="15">
        <v>46077</v>
      </c>
      <c r="M1088" s="16">
        <v>2026</v>
      </c>
      <c r="S1088" s="9"/>
    </row>
    <row r="1089" spans="1:19" ht="62.4" hidden="1">
      <c r="A1089" s="5">
        <v>1088</v>
      </c>
      <c r="B1089" s="18"/>
      <c r="C1089" s="13"/>
      <c r="D1089" s="22" t="s">
        <v>1839</v>
      </c>
      <c r="E1089" s="22">
        <v>3200224073</v>
      </c>
      <c r="F1089" s="22" t="s">
        <v>1118</v>
      </c>
      <c r="G1089" s="18"/>
      <c r="H1089" s="18"/>
      <c r="I1089" s="22" t="s">
        <v>1819</v>
      </c>
      <c r="J1089" s="14" t="s">
        <v>1820</v>
      </c>
      <c r="K1089" s="14" t="s">
        <v>1524</v>
      </c>
      <c r="L1089" s="15">
        <v>46078</v>
      </c>
      <c r="M1089" s="16">
        <v>2026</v>
      </c>
      <c r="S1089" s="9"/>
    </row>
    <row r="1090" spans="1:19" ht="62.4" hidden="1">
      <c r="A1090" s="5">
        <v>1089</v>
      </c>
      <c r="B1090" s="18"/>
      <c r="C1090" s="13"/>
      <c r="D1090" s="22" t="s">
        <v>1840</v>
      </c>
      <c r="E1090" s="22">
        <v>3200224035</v>
      </c>
      <c r="F1090" s="22" t="s">
        <v>1823</v>
      </c>
      <c r="G1090" s="18"/>
      <c r="H1090" s="18"/>
      <c r="I1090" s="22" t="s">
        <v>1819</v>
      </c>
      <c r="J1090" s="14" t="s">
        <v>1820</v>
      </c>
      <c r="K1090" s="14" t="s">
        <v>1526</v>
      </c>
      <c r="L1090" s="15">
        <v>46079</v>
      </c>
      <c r="M1090" s="16">
        <v>2026</v>
      </c>
      <c r="S1090" s="9"/>
    </row>
    <row r="1091" spans="1:19" ht="62.4" hidden="1">
      <c r="A1091" s="5">
        <v>1090</v>
      </c>
      <c r="B1091" s="18"/>
      <c r="C1091" s="13" t="s">
        <v>1841</v>
      </c>
      <c r="D1091" s="22" t="s">
        <v>1842</v>
      </c>
      <c r="E1091" s="22">
        <v>3200223101</v>
      </c>
      <c r="F1091" s="22" t="s">
        <v>1016</v>
      </c>
      <c r="G1091" s="18"/>
      <c r="H1091" s="18"/>
      <c r="I1091" s="22" t="s">
        <v>1819</v>
      </c>
      <c r="J1091" s="14" t="s">
        <v>1820</v>
      </c>
      <c r="K1091" s="14" t="s">
        <v>1528</v>
      </c>
      <c r="L1091" s="15">
        <v>46080</v>
      </c>
      <c r="M1091" s="16">
        <v>2026</v>
      </c>
      <c r="S1091" s="9"/>
    </row>
    <row r="1092" spans="1:19" ht="62.4" hidden="1">
      <c r="A1092" s="5">
        <v>1091</v>
      </c>
      <c r="B1092" s="18"/>
      <c r="C1092" s="13"/>
      <c r="D1092" s="22" t="s">
        <v>1843</v>
      </c>
      <c r="E1092" s="22">
        <v>3200223093</v>
      </c>
      <c r="F1092" s="22" t="s">
        <v>1016</v>
      </c>
      <c r="G1092" s="18"/>
      <c r="H1092" s="18"/>
      <c r="I1092" s="22" t="s">
        <v>1819</v>
      </c>
      <c r="J1092" s="14" t="s">
        <v>1820</v>
      </c>
      <c r="K1092" s="14" t="s">
        <v>1530</v>
      </c>
      <c r="L1092" s="15">
        <v>46081</v>
      </c>
      <c r="M1092" s="16">
        <v>2026</v>
      </c>
      <c r="S1092" s="9"/>
    </row>
    <row r="1093" spans="1:19" ht="62.4" hidden="1">
      <c r="A1093" s="5">
        <v>1092</v>
      </c>
      <c r="B1093" s="18"/>
      <c r="C1093" s="13"/>
      <c r="D1093" s="22" t="s">
        <v>1844</v>
      </c>
      <c r="E1093" s="22">
        <v>3200223042</v>
      </c>
      <c r="F1093" s="22" t="s">
        <v>1008</v>
      </c>
      <c r="G1093" s="18"/>
      <c r="H1093" s="18"/>
      <c r="I1093" s="22" t="s">
        <v>1819</v>
      </c>
      <c r="J1093" s="14" t="s">
        <v>1820</v>
      </c>
      <c r="K1093" s="14" t="s">
        <v>1532</v>
      </c>
      <c r="L1093" s="15">
        <v>46082</v>
      </c>
      <c r="M1093" s="16">
        <v>2026</v>
      </c>
      <c r="S1093" s="9"/>
    </row>
    <row r="1094" spans="1:19" ht="62.4" hidden="1">
      <c r="A1094" s="5">
        <v>1093</v>
      </c>
      <c r="B1094" s="18"/>
      <c r="C1094" s="13" t="s">
        <v>1845</v>
      </c>
      <c r="D1094" s="22" t="s">
        <v>1846</v>
      </c>
      <c r="E1094" s="22">
        <v>3200224014</v>
      </c>
      <c r="F1094" s="22" t="s">
        <v>1823</v>
      </c>
      <c r="G1094" s="18"/>
      <c r="H1094" s="18"/>
      <c r="I1094" s="22" t="s">
        <v>1819</v>
      </c>
      <c r="J1094" s="14" t="s">
        <v>1820</v>
      </c>
      <c r="K1094" s="14" t="s">
        <v>1535</v>
      </c>
      <c r="L1094" s="15">
        <v>46083</v>
      </c>
      <c r="M1094" s="16">
        <v>2026</v>
      </c>
      <c r="S1094" s="9"/>
    </row>
    <row r="1095" spans="1:19" ht="62.4" hidden="1">
      <c r="A1095" s="5">
        <v>1094</v>
      </c>
      <c r="B1095" s="18"/>
      <c r="C1095" s="13"/>
      <c r="D1095" s="22" t="s">
        <v>1847</v>
      </c>
      <c r="E1095" s="22">
        <v>3200224094</v>
      </c>
      <c r="F1095" s="22" t="s">
        <v>1823</v>
      </c>
      <c r="G1095" s="18"/>
      <c r="H1095" s="18"/>
      <c r="I1095" s="22" t="s">
        <v>1819</v>
      </c>
      <c r="J1095" s="14" t="s">
        <v>1820</v>
      </c>
      <c r="K1095" s="14" t="s">
        <v>1537</v>
      </c>
      <c r="L1095" s="15">
        <v>46084</v>
      </c>
      <c r="M1095" s="16">
        <v>2026</v>
      </c>
      <c r="S1095" s="9"/>
    </row>
    <row r="1096" spans="1:19" ht="62.4" hidden="1">
      <c r="A1096" s="5">
        <v>1095</v>
      </c>
      <c r="B1096" s="18"/>
      <c r="C1096" s="13"/>
      <c r="D1096" s="22" t="s">
        <v>1848</v>
      </c>
      <c r="E1096" s="22">
        <v>3200224066</v>
      </c>
      <c r="F1096" s="22" t="s">
        <v>1823</v>
      </c>
      <c r="G1096" s="18"/>
      <c r="H1096" s="18"/>
      <c r="I1096" s="22" t="s">
        <v>1819</v>
      </c>
      <c r="J1096" s="14" t="s">
        <v>1820</v>
      </c>
      <c r="K1096" s="14" t="s">
        <v>1539</v>
      </c>
      <c r="L1096" s="15">
        <v>46085</v>
      </c>
      <c r="M1096" s="16">
        <v>2026</v>
      </c>
      <c r="S1096" s="9"/>
    </row>
    <row r="1097" spans="1:19" ht="62.4" hidden="1">
      <c r="A1097" s="5">
        <v>1096</v>
      </c>
      <c r="B1097" s="18"/>
      <c r="C1097" s="13"/>
      <c r="D1097" s="22" t="s">
        <v>1849</v>
      </c>
      <c r="E1097" s="22">
        <v>3200224028</v>
      </c>
      <c r="F1097" s="22" t="s">
        <v>1118</v>
      </c>
      <c r="G1097" s="18"/>
      <c r="H1097" s="18"/>
      <c r="I1097" s="22" t="s">
        <v>1819</v>
      </c>
      <c r="J1097" s="14" t="s">
        <v>1820</v>
      </c>
      <c r="K1097" s="14" t="s">
        <v>1541</v>
      </c>
      <c r="L1097" s="15">
        <v>46086</v>
      </c>
      <c r="M1097" s="16">
        <v>2026</v>
      </c>
      <c r="S1097" s="9"/>
    </row>
    <row r="1098" spans="1:19" ht="62.4" hidden="1">
      <c r="A1098" s="5">
        <v>1097</v>
      </c>
      <c r="B1098" s="18"/>
      <c r="C1098" s="13" t="s">
        <v>1850</v>
      </c>
      <c r="D1098" s="22" t="s">
        <v>1019</v>
      </c>
      <c r="E1098" s="22">
        <v>3200223122</v>
      </c>
      <c r="F1098" s="22" t="s">
        <v>1008</v>
      </c>
      <c r="G1098" s="18"/>
      <c r="H1098" s="18"/>
      <c r="I1098" s="22" t="s">
        <v>1819</v>
      </c>
      <c r="J1098" s="14" t="s">
        <v>1820</v>
      </c>
      <c r="K1098" s="14" t="s">
        <v>1543</v>
      </c>
      <c r="L1098" s="15">
        <v>46087</v>
      </c>
      <c r="M1098" s="16">
        <v>2026</v>
      </c>
      <c r="S1098" s="9"/>
    </row>
    <row r="1099" spans="1:19" ht="62.4" hidden="1">
      <c r="A1099" s="5">
        <v>1098</v>
      </c>
      <c r="B1099" s="18"/>
      <c r="C1099" s="13"/>
      <c r="D1099" s="22" t="s">
        <v>1017</v>
      </c>
      <c r="E1099" s="22">
        <v>3200223007</v>
      </c>
      <c r="F1099" s="22" t="s">
        <v>1008</v>
      </c>
      <c r="G1099" s="18"/>
      <c r="H1099" s="18"/>
      <c r="I1099" s="22" t="s">
        <v>1819</v>
      </c>
      <c r="J1099" s="14" t="s">
        <v>1820</v>
      </c>
      <c r="K1099" s="14" t="s">
        <v>1546</v>
      </c>
      <c r="L1099" s="15">
        <v>46088</v>
      </c>
      <c r="M1099" s="16">
        <v>2026</v>
      </c>
      <c r="S1099" s="9"/>
    </row>
    <row r="1100" spans="1:19" ht="62.4" hidden="1">
      <c r="A1100" s="5">
        <v>1099</v>
      </c>
      <c r="B1100" s="18"/>
      <c r="C1100" s="13"/>
      <c r="D1100" s="22" t="s">
        <v>1020</v>
      </c>
      <c r="E1100" s="22">
        <v>3200223070</v>
      </c>
      <c r="F1100" s="22" t="s">
        <v>1008</v>
      </c>
      <c r="G1100" s="18"/>
      <c r="H1100" s="18"/>
      <c r="I1100" s="22" t="s">
        <v>1819</v>
      </c>
      <c r="J1100" s="14" t="s">
        <v>1820</v>
      </c>
      <c r="K1100" s="14" t="s">
        <v>1548</v>
      </c>
      <c r="L1100" s="15">
        <v>46089</v>
      </c>
      <c r="M1100" s="16">
        <v>2026</v>
      </c>
      <c r="S1100" s="9"/>
    </row>
    <row r="1101" spans="1:19" ht="62.4" hidden="1">
      <c r="A1101" s="5">
        <v>1100</v>
      </c>
      <c r="B1101" s="18"/>
      <c r="C1101" s="13"/>
      <c r="D1101" s="22" t="s">
        <v>1151</v>
      </c>
      <c r="E1101" s="22">
        <v>3200223147</v>
      </c>
      <c r="F1101" s="22" t="s">
        <v>1016</v>
      </c>
      <c r="G1101" s="18"/>
      <c r="H1101" s="18"/>
      <c r="I1101" s="22" t="s">
        <v>1819</v>
      </c>
      <c r="J1101" s="14" t="s">
        <v>1820</v>
      </c>
      <c r="K1101" s="14" t="s">
        <v>1550</v>
      </c>
      <c r="L1101" s="15">
        <v>46090</v>
      </c>
      <c r="M1101" s="16">
        <v>2026</v>
      </c>
      <c r="S1101" s="9"/>
    </row>
    <row r="1102" spans="1:19" ht="62.4" hidden="1">
      <c r="A1102" s="5">
        <v>1101</v>
      </c>
      <c r="B1102" s="18"/>
      <c r="C1102" s="13" t="s">
        <v>1851</v>
      </c>
      <c r="D1102" s="22" t="s">
        <v>1852</v>
      </c>
      <c r="E1102" s="22">
        <v>3200223112</v>
      </c>
      <c r="F1102" s="22" t="s">
        <v>1016</v>
      </c>
      <c r="G1102" s="18"/>
      <c r="H1102" s="18"/>
      <c r="I1102" s="22" t="s">
        <v>1819</v>
      </c>
      <c r="J1102" s="14" t="s">
        <v>1820</v>
      </c>
      <c r="K1102" s="14" t="s">
        <v>1552</v>
      </c>
      <c r="L1102" s="15">
        <v>46091</v>
      </c>
      <c r="M1102" s="16">
        <v>2026</v>
      </c>
      <c r="S1102" s="9"/>
    </row>
    <row r="1103" spans="1:19" ht="62.4" hidden="1">
      <c r="A1103" s="5">
        <v>1102</v>
      </c>
      <c r="B1103" s="18"/>
      <c r="C1103" s="13" t="s">
        <v>1853</v>
      </c>
      <c r="D1103" s="22" t="s">
        <v>1854</v>
      </c>
      <c r="E1103" s="22">
        <v>3200223068</v>
      </c>
      <c r="F1103" s="22" t="s">
        <v>1016</v>
      </c>
      <c r="G1103" s="18"/>
      <c r="H1103" s="18"/>
      <c r="I1103" s="22" t="s">
        <v>1819</v>
      </c>
      <c r="J1103" s="14" t="s">
        <v>1820</v>
      </c>
      <c r="K1103" s="14" t="s">
        <v>1554</v>
      </c>
      <c r="L1103" s="15">
        <v>46092</v>
      </c>
      <c r="M1103" s="16">
        <v>2026</v>
      </c>
      <c r="S1103" s="9"/>
    </row>
    <row r="1104" spans="1:19" ht="62.4" hidden="1">
      <c r="A1104" s="5">
        <v>1103</v>
      </c>
      <c r="B1104" s="18"/>
      <c r="C1104" s="13"/>
      <c r="D1104" s="22" t="s">
        <v>1855</v>
      </c>
      <c r="E1104" s="22">
        <v>3200223062</v>
      </c>
      <c r="F1104" s="22" t="s">
        <v>1016</v>
      </c>
      <c r="G1104" s="18"/>
      <c r="H1104" s="18"/>
      <c r="I1104" s="22" t="s">
        <v>1819</v>
      </c>
      <c r="J1104" s="14" t="s">
        <v>1820</v>
      </c>
      <c r="K1104" s="14" t="s">
        <v>1555</v>
      </c>
      <c r="L1104" s="15">
        <v>46093</v>
      </c>
      <c r="M1104" s="16">
        <v>2026</v>
      </c>
      <c r="S1104" s="9"/>
    </row>
    <row r="1105" spans="1:19" ht="62.4" hidden="1">
      <c r="A1105" s="5">
        <v>1104</v>
      </c>
      <c r="B1105" s="18"/>
      <c r="C1105" s="13" t="s">
        <v>1856</v>
      </c>
      <c r="D1105" s="22" t="s">
        <v>1154</v>
      </c>
      <c r="E1105" s="22">
        <v>3200223012</v>
      </c>
      <c r="F1105" s="22" t="s">
        <v>1008</v>
      </c>
      <c r="G1105" s="18"/>
      <c r="H1105" s="18"/>
      <c r="I1105" s="22" t="s">
        <v>1819</v>
      </c>
      <c r="J1105" s="14" t="s">
        <v>1820</v>
      </c>
      <c r="K1105" s="14" t="s">
        <v>1556</v>
      </c>
      <c r="L1105" s="15">
        <v>46094</v>
      </c>
      <c r="M1105" s="16">
        <v>2026</v>
      </c>
      <c r="S1105" s="9"/>
    </row>
    <row r="1106" spans="1:19" ht="62.4" hidden="1">
      <c r="A1106" s="5">
        <v>1105</v>
      </c>
      <c r="B1106" s="18"/>
      <c r="C1106" s="13"/>
      <c r="D1106" s="22" t="s">
        <v>1857</v>
      </c>
      <c r="E1106" s="22">
        <v>3200223148</v>
      </c>
      <c r="F1106" s="22" t="s">
        <v>1008</v>
      </c>
      <c r="G1106" s="18"/>
      <c r="H1106" s="18"/>
      <c r="I1106" s="22" t="s">
        <v>1819</v>
      </c>
      <c r="J1106" s="14" t="s">
        <v>1820</v>
      </c>
      <c r="K1106" s="14" t="s">
        <v>1557</v>
      </c>
      <c r="L1106" s="15">
        <v>46095</v>
      </c>
      <c r="M1106" s="16">
        <v>2026</v>
      </c>
      <c r="S1106" s="9"/>
    </row>
    <row r="1107" spans="1:19" ht="62.4" hidden="1">
      <c r="A1107" s="5">
        <v>1106</v>
      </c>
      <c r="B1107" s="18"/>
      <c r="C1107" s="13"/>
      <c r="D1107" s="22" t="s">
        <v>1168</v>
      </c>
      <c r="E1107" s="22">
        <v>3200223017</v>
      </c>
      <c r="F1107" s="22" t="s">
        <v>1008</v>
      </c>
      <c r="G1107" s="18"/>
      <c r="H1107" s="18"/>
      <c r="I1107" s="22" t="s">
        <v>1819</v>
      </c>
      <c r="J1107" s="14" t="s">
        <v>1820</v>
      </c>
      <c r="K1107" s="14" t="s">
        <v>1558</v>
      </c>
      <c r="L1107" s="15">
        <v>46096</v>
      </c>
      <c r="M1107" s="16">
        <v>2026</v>
      </c>
      <c r="S1107" s="9"/>
    </row>
    <row r="1108" spans="1:19" ht="62.4" hidden="1">
      <c r="A1108" s="5">
        <v>1107</v>
      </c>
      <c r="B1108" s="18"/>
      <c r="C1108" s="13" t="s">
        <v>1858</v>
      </c>
      <c r="D1108" s="22" t="s">
        <v>1011</v>
      </c>
      <c r="E1108" s="22">
        <v>3200223085</v>
      </c>
      <c r="F1108" s="22" t="s">
        <v>1008</v>
      </c>
      <c r="G1108" s="18"/>
      <c r="H1108" s="18"/>
      <c r="I1108" s="22" t="s">
        <v>1819</v>
      </c>
      <c r="J1108" s="14" t="s">
        <v>1820</v>
      </c>
      <c r="K1108" s="14" t="s">
        <v>1560</v>
      </c>
      <c r="L1108" s="15">
        <v>46097</v>
      </c>
      <c r="M1108" s="16">
        <v>2026</v>
      </c>
      <c r="S1108" s="9"/>
    </row>
    <row r="1109" spans="1:19" ht="62.4" hidden="1">
      <c r="A1109" s="5">
        <v>1108</v>
      </c>
      <c r="B1109" s="18"/>
      <c r="C1109" s="13" t="s">
        <v>1859</v>
      </c>
      <c r="D1109" s="22" t="s">
        <v>1860</v>
      </c>
      <c r="E1109" s="22">
        <v>3200225082</v>
      </c>
      <c r="F1109" s="22" t="s">
        <v>1861</v>
      </c>
      <c r="G1109" s="18"/>
      <c r="H1109" s="18"/>
      <c r="I1109" s="22" t="s">
        <v>1819</v>
      </c>
      <c r="J1109" s="14" t="s">
        <v>1820</v>
      </c>
      <c r="K1109" s="14" t="s">
        <v>1561</v>
      </c>
      <c r="L1109" s="15">
        <v>46098</v>
      </c>
      <c r="M1109" s="16">
        <v>2026</v>
      </c>
      <c r="S1109" s="9"/>
    </row>
    <row r="1110" spans="1:19" ht="62.4" hidden="1">
      <c r="A1110" s="5">
        <v>1109</v>
      </c>
      <c r="B1110" s="18"/>
      <c r="C1110" s="13"/>
      <c r="D1110" s="22" t="s">
        <v>1117</v>
      </c>
      <c r="E1110" s="22">
        <v>3200224009</v>
      </c>
      <c r="F1110" s="22" t="s">
        <v>1118</v>
      </c>
      <c r="G1110" s="18"/>
      <c r="H1110" s="18"/>
      <c r="I1110" s="22" t="s">
        <v>1819</v>
      </c>
      <c r="J1110" s="14" t="s">
        <v>1820</v>
      </c>
      <c r="K1110" s="14" t="s">
        <v>1562</v>
      </c>
      <c r="L1110" s="15">
        <v>46099</v>
      </c>
      <c r="M1110" s="16">
        <v>2026</v>
      </c>
      <c r="S1110" s="9"/>
    </row>
    <row r="1111" spans="1:19" ht="62.4" hidden="1">
      <c r="A1111" s="5">
        <v>1110</v>
      </c>
      <c r="B1111" s="18"/>
      <c r="C1111" s="13"/>
      <c r="D1111" s="22" t="s">
        <v>1862</v>
      </c>
      <c r="E1111" s="22">
        <v>3200225108</v>
      </c>
      <c r="F1111" s="22" t="s">
        <v>1861</v>
      </c>
      <c r="G1111" s="18"/>
      <c r="H1111" s="18"/>
      <c r="I1111" s="22" t="s">
        <v>1819</v>
      </c>
      <c r="J1111" s="14" t="s">
        <v>1820</v>
      </c>
      <c r="K1111" s="14" t="s">
        <v>1563</v>
      </c>
      <c r="L1111" s="15">
        <v>46100</v>
      </c>
      <c r="M1111" s="16">
        <v>2026</v>
      </c>
      <c r="S1111" s="9"/>
    </row>
    <row r="1112" spans="1:19" ht="62.4" hidden="1">
      <c r="A1112" s="5">
        <v>1111</v>
      </c>
      <c r="B1112" s="18"/>
      <c r="C1112" s="13" t="s">
        <v>1863</v>
      </c>
      <c r="D1112" s="22" t="s">
        <v>1864</v>
      </c>
      <c r="E1112" s="22">
        <v>3200225118</v>
      </c>
      <c r="F1112" s="22" t="s">
        <v>1861</v>
      </c>
      <c r="G1112" s="18"/>
      <c r="H1112" s="18"/>
      <c r="I1112" s="22" t="s">
        <v>1819</v>
      </c>
      <c r="J1112" s="14" t="s">
        <v>1820</v>
      </c>
      <c r="K1112" s="14" t="s">
        <v>1564</v>
      </c>
      <c r="L1112" s="15">
        <v>46101</v>
      </c>
      <c r="M1112" s="16">
        <v>2026</v>
      </c>
      <c r="S1112" s="9"/>
    </row>
    <row r="1113" spans="1:19" ht="62.4" hidden="1">
      <c r="A1113" s="5">
        <v>1112</v>
      </c>
      <c r="B1113" s="18"/>
      <c r="C1113" s="13"/>
      <c r="D1113" s="22" t="s">
        <v>1865</v>
      </c>
      <c r="E1113" s="22">
        <v>3200225098</v>
      </c>
      <c r="F1113" s="22" t="s">
        <v>1861</v>
      </c>
      <c r="G1113" s="18"/>
      <c r="H1113" s="18"/>
      <c r="I1113" s="22" t="s">
        <v>1819</v>
      </c>
      <c r="J1113" s="14" t="s">
        <v>1820</v>
      </c>
      <c r="K1113" s="14" t="s">
        <v>1566</v>
      </c>
      <c r="L1113" s="15">
        <v>46102</v>
      </c>
      <c r="M1113" s="16">
        <v>2026</v>
      </c>
      <c r="S1113" s="9"/>
    </row>
    <row r="1114" spans="1:19" ht="62.4" hidden="1">
      <c r="A1114" s="5">
        <v>1113</v>
      </c>
      <c r="B1114" s="18"/>
      <c r="C1114" s="13"/>
      <c r="D1114" s="22" t="s">
        <v>1866</v>
      </c>
      <c r="E1114" s="22">
        <v>3200225100</v>
      </c>
      <c r="F1114" s="22" t="s">
        <v>1861</v>
      </c>
      <c r="G1114" s="18"/>
      <c r="H1114" s="18"/>
      <c r="I1114" s="22" t="s">
        <v>1819</v>
      </c>
      <c r="J1114" s="14" t="s">
        <v>1820</v>
      </c>
      <c r="K1114" s="14" t="s">
        <v>1567</v>
      </c>
      <c r="L1114" s="15">
        <v>46103</v>
      </c>
      <c r="M1114" s="16">
        <v>2026</v>
      </c>
      <c r="S1114" s="9"/>
    </row>
    <row r="1115" spans="1:19" ht="62.4" hidden="1">
      <c r="A1115" s="5">
        <v>1114</v>
      </c>
      <c r="B1115" s="18"/>
      <c r="C1115" s="13"/>
      <c r="D1115" s="22" t="s">
        <v>1867</v>
      </c>
      <c r="E1115" s="22">
        <v>3200225083</v>
      </c>
      <c r="F1115" s="22" t="s">
        <v>1868</v>
      </c>
      <c r="G1115" s="18"/>
      <c r="H1115" s="18"/>
      <c r="I1115" s="22" t="s">
        <v>1819</v>
      </c>
      <c r="J1115" s="14" t="s">
        <v>1820</v>
      </c>
      <c r="K1115" s="14" t="s">
        <v>1569</v>
      </c>
      <c r="L1115" s="15">
        <v>46032</v>
      </c>
      <c r="M1115" s="16">
        <v>2026</v>
      </c>
      <c r="S1115" s="9"/>
    </row>
    <row r="1116" spans="1:19" ht="62.4" hidden="1">
      <c r="A1116" s="5">
        <v>1115</v>
      </c>
      <c r="B1116" s="18"/>
      <c r="C1116" s="13"/>
      <c r="D1116" s="22" t="s">
        <v>1869</v>
      </c>
      <c r="E1116" s="22">
        <v>3200225023</v>
      </c>
      <c r="F1116" s="22" t="s">
        <v>1868</v>
      </c>
      <c r="G1116" s="18"/>
      <c r="H1116" s="18"/>
      <c r="I1116" s="22" t="s">
        <v>1819</v>
      </c>
      <c r="J1116" s="14" t="s">
        <v>1820</v>
      </c>
      <c r="K1116" s="14" t="s">
        <v>1572</v>
      </c>
      <c r="L1116" s="15">
        <v>46033</v>
      </c>
      <c r="M1116" s="16">
        <v>2026</v>
      </c>
      <c r="S1116" s="9"/>
    </row>
    <row r="1117" spans="1:19" ht="62.4" hidden="1">
      <c r="A1117" s="5">
        <v>1116</v>
      </c>
      <c r="B1117" s="18"/>
      <c r="C1117" s="13" t="s">
        <v>1870</v>
      </c>
      <c r="D1117" s="22" t="s">
        <v>1078</v>
      </c>
      <c r="E1117" s="22">
        <v>3200223045</v>
      </c>
      <c r="F1117" s="22" t="s">
        <v>1016</v>
      </c>
      <c r="G1117" s="18"/>
      <c r="H1117" s="18"/>
      <c r="I1117" s="22" t="s">
        <v>1819</v>
      </c>
      <c r="J1117" s="14" t="s">
        <v>1820</v>
      </c>
      <c r="K1117" s="14" t="s">
        <v>1574</v>
      </c>
      <c r="L1117" s="15">
        <v>46034</v>
      </c>
      <c r="M1117" s="16">
        <v>2026</v>
      </c>
      <c r="S1117" s="9"/>
    </row>
    <row r="1118" spans="1:19" ht="62.4" hidden="1">
      <c r="A1118" s="5">
        <v>1117</v>
      </c>
      <c r="B1118" s="18"/>
      <c r="C1118" s="13" t="s">
        <v>1871</v>
      </c>
      <c r="D1118" s="22" t="s">
        <v>1872</v>
      </c>
      <c r="E1118" s="22">
        <v>3200224006</v>
      </c>
      <c r="F1118" s="22" t="s">
        <v>1118</v>
      </c>
      <c r="G1118" s="18"/>
      <c r="H1118" s="18"/>
      <c r="I1118" s="22" t="s">
        <v>1819</v>
      </c>
      <c r="J1118" s="14" t="s">
        <v>1820</v>
      </c>
      <c r="K1118" s="14" t="s">
        <v>1576</v>
      </c>
      <c r="L1118" s="15">
        <v>46035</v>
      </c>
      <c r="M1118" s="16">
        <v>2026</v>
      </c>
      <c r="S1118" s="9"/>
    </row>
    <row r="1119" spans="1:19" ht="62.4" hidden="1">
      <c r="A1119" s="5">
        <v>1118</v>
      </c>
      <c r="B1119" s="18"/>
      <c r="C1119" s="13"/>
      <c r="D1119" s="22" t="s">
        <v>1873</v>
      </c>
      <c r="E1119" s="22">
        <v>3200224034</v>
      </c>
      <c r="F1119" s="22" t="s">
        <v>1118</v>
      </c>
      <c r="G1119" s="18"/>
      <c r="H1119" s="18"/>
      <c r="I1119" s="22" t="s">
        <v>1819</v>
      </c>
      <c r="J1119" s="14" t="s">
        <v>1820</v>
      </c>
      <c r="K1119" s="14" t="s">
        <v>1578</v>
      </c>
      <c r="L1119" s="15">
        <v>46036</v>
      </c>
      <c r="M1119" s="16">
        <v>2026</v>
      </c>
      <c r="S1119" s="9"/>
    </row>
    <row r="1120" spans="1:19" ht="62.4" hidden="1">
      <c r="A1120" s="5">
        <v>1119</v>
      </c>
      <c r="B1120" s="18"/>
      <c r="C1120" s="13"/>
      <c r="D1120" s="22" t="s">
        <v>529</v>
      </c>
      <c r="E1120" s="22">
        <v>3200224103</v>
      </c>
      <c r="F1120" s="22" t="s">
        <v>1118</v>
      </c>
      <c r="G1120" s="18"/>
      <c r="H1120" s="18"/>
      <c r="I1120" s="22" t="s">
        <v>1819</v>
      </c>
      <c r="J1120" s="14" t="s">
        <v>1820</v>
      </c>
      <c r="K1120" s="14" t="s">
        <v>1579</v>
      </c>
      <c r="L1120" s="15">
        <v>46037</v>
      </c>
      <c r="M1120" s="16">
        <v>2026</v>
      </c>
      <c r="S1120" s="9"/>
    </row>
    <row r="1121" spans="1:19" ht="62.4" hidden="1">
      <c r="A1121" s="5">
        <v>1120</v>
      </c>
      <c r="B1121" s="18"/>
      <c r="C1121" s="13" t="s">
        <v>1874</v>
      </c>
      <c r="D1121" s="22" t="s">
        <v>1875</v>
      </c>
      <c r="E1121" s="22">
        <v>3200222034</v>
      </c>
      <c r="F1121" s="22" t="s">
        <v>1051</v>
      </c>
      <c r="G1121" s="18"/>
      <c r="H1121" s="18"/>
      <c r="I1121" s="22" t="s">
        <v>1819</v>
      </c>
      <c r="J1121" s="14" t="s">
        <v>1820</v>
      </c>
      <c r="K1121" s="14" t="s">
        <v>1582</v>
      </c>
      <c r="L1121" s="15">
        <v>46038</v>
      </c>
      <c r="M1121" s="16">
        <v>2026</v>
      </c>
      <c r="S1121" s="9"/>
    </row>
    <row r="1122" spans="1:19" ht="62.4" hidden="1">
      <c r="A1122" s="5">
        <v>1121</v>
      </c>
      <c r="B1122" s="18"/>
      <c r="C1122" s="13"/>
      <c r="D1122" s="22" t="s">
        <v>1106</v>
      </c>
      <c r="E1122" s="22">
        <v>3200222018</v>
      </c>
      <c r="F1122" s="22" t="s">
        <v>1051</v>
      </c>
      <c r="G1122" s="18"/>
      <c r="H1122" s="18"/>
      <c r="I1122" s="22" t="s">
        <v>1819</v>
      </c>
      <c r="J1122" s="14" t="s">
        <v>1820</v>
      </c>
      <c r="K1122" s="14" t="s">
        <v>1584</v>
      </c>
      <c r="L1122" s="15">
        <v>46039</v>
      </c>
      <c r="M1122" s="16">
        <v>2026</v>
      </c>
      <c r="S1122" s="9"/>
    </row>
    <row r="1123" spans="1:19" ht="62.4" hidden="1">
      <c r="A1123" s="5">
        <v>1122</v>
      </c>
      <c r="B1123" s="18"/>
      <c r="C1123" s="13" t="s">
        <v>1876</v>
      </c>
      <c r="D1123" s="22" t="s">
        <v>1055</v>
      </c>
      <c r="E1123" s="22">
        <v>3200222004</v>
      </c>
      <c r="F1123" s="22" t="s">
        <v>1051</v>
      </c>
      <c r="G1123" s="18"/>
      <c r="H1123" s="18"/>
      <c r="I1123" s="22" t="s">
        <v>1819</v>
      </c>
      <c r="J1123" s="14" t="s">
        <v>1820</v>
      </c>
      <c r="K1123" s="14" t="s">
        <v>1586</v>
      </c>
      <c r="L1123" s="15">
        <v>46040</v>
      </c>
      <c r="M1123" s="16">
        <v>2026</v>
      </c>
      <c r="S1123" s="9"/>
    </row>
    <row r="1124" spans="1:19" ht="62.4" hidden="1">
      <c r="A1124" s="5">
        <v>1123</v>
      </c>
      <c r="B1124" s="18"/>
      <c r="C1124" s="13" t="s">
        <v>1877</v>
      </c>
      <c r="D1124" s="22" t="s">
        <v>1878</v>
      </c>
      <c r="E1124" s="22">
        <v>3200324052</v>
      </c>
      <c r="F1124" s="22" t="s">
        <v>1879</v>
      </c>
      <c r="G1124" s="18"/>
      <c r="H1124" s="18"/>
      <c r="I1124" s="22" t="s">
        <v>1819</v>
      </c>
      <c r="J1124" s="14" t="s">
        <v>1820</v>
      </c>
      <c r="K1124" s="14" t="s">
        <v>1588</v>
      </c>
      <c r="L1124" s="15">
        <v>46041</v>
      </c>
      <c r="M1124" s="16">
        <v>2026</v>
      </c>
      <c r="S1124" s="9"/>
    </row>
    <row r="1125" spans="1:19" ht="62.4" hidden="1">
      <c r="A1125" s="5">
        <v>1124</v>
      </c>
      <c r="B1125" s="18"/>
      <c r="C1125" s="13"/>
      <c r="D1125" s="22" t="s">
        <v>1880</v>
      </c>
      <c r="E1125" s="22">
        <v>3200324051</v>
      </c>
      <c r="F1125" s="22" t="s">
        <v>1879</v>
      </c>
      <c r="G1125" s="18"/>
      <c r="H1125" s="18"/>
      <c r="I1125" s="22" t="s">
        <v>1819</v>
      </c>
      <c r="J1125" s="14" t="s">
        <v>1820</v>
      </c>
      <c r="K1125" s="14" t="s">
        <v>1591</v>
      </c>
      <c r="L1125" s="15">
        <v>46042</v>
      </c>
      <c r="M1125" s="16">
        <v>2026</v>
      </c>
      <c r="S1125" s="9"/>
    </row>
    <row r="1126" spans="1:19" ht="62.4" hidden="1">
      <c r="A1126" s="5">
        <v>1125</v>
      </c>
      <c r="B1126" s="18"/>
      <c r="C1126" s="13"/>
      <c r="D1126" s="22" t="s">
        <v>1881</v>
      </c>
      <c r="E1126" s="22">
        <v>3200324075</v>
      </c>
      <c r="F1126" s="22" t="s">
        <v>1879</v>
      </c>
      <c r="G1126" s="18"/>
      <c r="H1126" s="18"/>
      <c r="I1126" s="22" t="s">
        <v>1819</v>
      </c>
      <c r="J1126" s="14" t="s">
        <v>1820</v>
      </c>
      <c r="K1126" s="14" t="s">
        <v>1593</v>
      </c>
      <c r="L1126" s="15">
        <v>46043</v>
      </c>
      <c r="M1126" s="16">
        <v>2026</v>
      </c>
      <c r="S1126" s="9"/>
    </row>
    <row r="1127" spans="1:19" ht="62.4" hidden="1">
      <c r="A1127" s="5">
        <v>1126</v>
      </c>
      <c r="B1127" s="18"/>
      <c r="C1127" s="13" t="s">
        <v>1882</v>
      </c>
      <c r="D1127" s="22" t="s">
        <v>1883</v>
      </c>
      <c r="E1127" s="22">
        <v>3200324082</v>
      </c>
      <c r="F1127" s="22" t="s">
        <v>1879</v>
      </c>
      <c r="G1127" s="18"/>
      <c r="H1127" s="18"/>
      <c r="I1127" s="22" t="s">
        <v>1819</v>
      </c>
      <c r="J1127" s="14" t="s">
        <v>1820</v>
      </c>
      <c r="K1127" s="14" t="s">
        <v>1595</v>
      </c>
      <c r="L1127" s="15">
        <v>46044</v>
      </c>
      <c r="M1127" s="16">
        <v>2026</v>
      </c>
      <c r="S1127" s="9"/>
    </row>
    <row r="1128" spans="1:19" ht="62.4" hidden="1">
      <c r="A1128" s="5">
        <v>1127</v>
      </c>
      <c r="B1128" s="18"/>
      <c r="C1128" s="13"/>
      <c r="D1128" s="22" t="s">
        <v>1884</v>
      </c>
      <c r="E1128" s="22">
        <v>3200324003</v>
      </c>
      <c r="F1128" s="22" t="s">
        <v>1879</v>
      </c>
      <c r="G1128" s="18"/>
      <c r="H1128" s="18"/>
      <c r="I1128" s="22" t="s">
        <v>1819</v>
      </c>
      <c r="J1128" s="14" t="s">
        <v>1820</v>
      </c>
      <c r="K1128" s="14" t="s">
        <v>1597</v>
      </c>
      <c r="L1128" s="15">
        <v>46045</v>
      </c>
      <c r="M1128" s="16">
        <v>2026</v>
      </c>
      <c r="S1128" s="9"/>
    </row>
    <row r="1129" spans="1:19" ht="62.4" hidden="1">
      <c r="A1129" s="5">
        <v>1128</v>
      </c>
      <c r="B1129" s="18"/>
      <c r="C1129" s="13"/>
      <c r="D1129" s="22" t="s">
        <v>1885</v>
      </c>
      <c r="E1129" s="22">
        <v>3200324073</v>
      </c>
      <c r="F1129" s="22" t="s">
        <v>1879</v>
      </c>
      <c r="G1129" s="18"/>
      <c r="H1129" s="18"/>
      <c r="I1129" s="22" t="s">
        <v>1819</v>
      </c>
      <c r="J1129" s="14" t="s">
        <v>1820</v>
      </c>
      <c r="K1129" s="14" t="s">
        <v>1599</v>
      </c>
      <c r="L1129" s="15">
        <v>46046</v>
      </c>
      <c r="M1129" s="16">
        <v>2026</v>
      </c>
      <c r="S1129" s="9"/>
    </row>
    <row r="1130" spans="1:19" ht="62.4" hidden="1">
      <c r="A1130" s="5">
        <v>1129</v>
      </c>
      <c r="B1130" s="18"/>
      <c r="C1130" s="13"/>
      <c r="D1130" s="22" t="s">
        <v>1886</v>
      </c>
      <c r="E1130" s="22">
        <v>3200324026</v>
      </c>
      <c r="F1130" s="22" t="s">
        <v>1879</v>
      </c>
      <c r="G1130" s="18"/>
      <c r="H1130" s="18"/>
      <c r="I1130" s="22" t="s">
        <v>1819</v>
      </c>
      <c r="J1130" s="14" t="s">
        <v>1820</v>
      </c>
      <c r="K1130" s="14" t="s">
        <v>1601</v>
      </c>
      <c r="L1130" s="15">
        <v>46047</v>
      </c>
      <c r="M1130" s="16">
        <v>2026</v>
      </c>
      <c r="S1130" s="9"/>
    </row>
    <row r="1131" spans="1:19" ht="62.4" hidden="1">
      <c r="A1131" s="5">
        <v>1130</v>
      </c>
      <c r="B1131" s="18"/>
      <c r="C1131" s="13" t="s">
        <v>1887</v>
      </c>
      <c r="D1131" s="22" t="s">
        <v>1035</v>
      </c>
      <c r="E1131" s="22">
        <v>3200323081</v>
      </c>
      <c r="F1131" s="22" t="s">
        <v>1032</v>
      </c>
      <c r="G1131" s="18"/>
      <c r="H1131" s="18"/>
      <c r="I1131" s="22" t="s">
        <v>1819</v>
      </c>
      <c r="J1131" s="14" t="s">
        <v>1820</v>
      </c>
      <c r="K1131" s="14" t="s">
        <v>1603</v>
      </c>
      <c r="L1131" s="15">
        <v>46048</v>
      </c>
      <c r="M1131" s="16">
        <v>2026</v>
      </c>
      <c r="S1131" s="9"/>
    </row>
    <row r="1132" spans="1:19" ht="62.4" hidden="1">
      <c r="A1132" s="5">
        <v>1131</v>
      </c>
      <c r="B1132" s="18"/>
      <c r="C1132" s="13"/>
      <c r="D1132" s="22" t="s">
        <v>1036</v>
      </c>
      <c r="E1132" s="22">
        <v>3200323041</v>
      </c>
      <c r="F1132" s="22" t="s">
        <v>1032</v>
      </c>
      <c r="G1132" s="18"/>
      <c r="H1132" s="18"/>
      <c r="I1132" s="22" t="s">
        <v>1819</v>
      </c>
      <c r="J1132" s="14" t="s">
        <v>1820</v>
      </c>
      <c r="K1132" s="14" t="s">
        <v>1605</v>
      </c>
      <c r="L1132" s="15">
        <v>46049</v>
      </c>
      <c r="M1132" s="16">
        <v>2026</v>
      </c>
      <c r="S1132" s="9"/>
    </row>
    <row r="1133" spans="1:19" ht="62.4" hidden="1">
      <c r="A1133" s="5">
        <v>1132</v>
      </c>
      <c r="B1133" s="18"/>
      <c r="C1133" s="13"/>
      <c r="D1133" s="22" t="s">
        <v>1888</v>
      </c>
      <c r="E1133" s="22">
        <v>3200323038</v>
      </c>
      <c r="F1133" s="22" t="s">
        <v>1032</v>
      </c>
      <c r="G1133" s="18"/>
      <c r="H1133" s="18"/>
      <c r="I1133" s="22" t="s">
        <v>1819</v>
      </c>
      <c r="J1133" s="14" t="s">
        <v>1820</v>
      </c>
      <c r="K1133" s="14" t="s">
        <v>1607</v>
      </c>
      <c r="L1133" s="15">
        <v>46050</v>
      </c>
      <c r="M1133" s="16">
        <v>2026</v>
      </c>
      <c r="S1133" s="9"/>
    </row>
    <row r="1134" spans="1:19" ht="62.4" hidden="1">
      <c r="A1134" s="5">
        <v>1133</v>
      </c>
      <c r="B1134" s="18"/>
      <c r="C1134" s="13"/>
      <c r="D1134" s="22" t="s">
        <v>1037</v>
      </c>
      <c r="E1134" s="22">
        <v>3200323013</v>
      </c>
      <c r="F1134" s="22" t="s">
        <v>1032</v>
      </c>
      <c r="G1134" s="18"/>
      <c r="H1134" s="18"/>
      <c r="I1134" s="22" t="s">
        <v>1819</v>
      </c>
      <c r="J1134" s="14" t="s">
        <v>1820</v>
      </c>
      <c r="K1134" s="14" t="s">
        <v>1609</v>
      </c>
      <c r="L1134" s="15">
        <v>46051</v>
      </c>
      <c r="M1134" s="16">
        <v>2026</v>
      </c>
      <c r="S1134" s="9"/>
    </row>
    <row r="1135" spans="1:19" ht="62.4" hidden="1">
      <c r="A1135" s="5">
        <v>1134</v>
      </c>
      <c r="B1135" s="18"/>
      <c r="C1135" s="13" t="s">
        <v>1889</v>
      </c>
      <c r="D1135" s="212" t="s">
        <v>1890</v>
      </c>
      <c r="E1135" s="212">
        <v>3200324074</v>
      </c>
      <c r="F1135" s="212" t="s">
        <v>1879</v>
      </c>
      <c r="G1135" s="18"/>
      <c r="H1135" s="18"/>
      <c r="I1135" s="22" t="s">
        <v>1819</v>
      </c>
      <c r="J1135" s="14" t="s">
        <v>1820</v>
      </c>
      <c r="K1135" s="14" t="s">
        <v>1612</v>
      </c>
      <c r="L1135" s="15">
        <v>46052</v>
      </c>
      <c r="M1135" s="16">
        <v>2026</v>
      </c>
      <c r="S1135" s="9"/>
    </row>
    <row r="1136" spans="1:19" ht="62.4" hidden="1">
      <c r="A1136" s="5">
        <v>1135</v>
      </c>
      <c r="B1136" s="18"/>
      <c r="C1136" s="13"/>
      <c r="D1136" s="213"/>
      <c r="E1136" s="213"/>
      <c r="F1136" s="213"/>
      <c r="G1136" s="18"/>
      <c r="H1136" s="18"/>
      <c r="I1136" s="22" t="s">
        <v>1819</v>
      </c>
      <c r="J1136" s="14" t="s">
        <v>1820</v>
      </c>
      <c r="K1136" s="14" t="s">
        <v>1614</v>
      </c>
      <c r="L1136" s="15">
        <v>46053</v>
      </c>
      <c r="M1136" s="16">
        <v>2026</v>
      </c>
      <c r="S1136" s="9"/>
    </row>
    <row r="1137" spans="1:19" ht="62.4" hidden="1">
      <c r="A1137" s="5">
        <v>1136</v>
      </c>
      <c r="B1137" s="18"/>
      <c r="C1137" s="13"/>
      <c r="D1137" s="213"/>
      <c r="E1137" s="213"/>
      <c r="F1137" s="213"/>
      <c r="G1137" s="18"/>
      <c r="H1137" s="18"/>
      <c r="I1137" s="22" t="s">
        <v>1819</v>
      </c>
      <c r="J1137" s="14" t="s">
        <v>1820</v>
      </c>
      <c r="K1137" s="14" t="s">
        <v>1615</v>
      </c>
      <c r="L1137" s="15">
        <v>46054</v>
      </c>
      <c r="M1137" s="16">
        <v>2026</v>
      </c>
      <c r="S1137" s="9"/>
    </row>
    <row r="1138" spans="1:19" ht="62.4" hidden="1">
      <c r="A1138" s="5">
        <v>1137</v>
      </c>
      <c r="B1138" s="18"/>
      <c r="C1138" s="13" t="s">
        <v>1891</v>
      </c>
      <c r="D1138" s="22" t="s">
        <v>1892</v>
      </c>
      <c r="E1138" s="22">
        <v>3200224036</v>
      </c>
      <c r="F1138" s="22" t="s">
        <v>1893</v>
      </c>
      <c r="G1138" s="18"/>
      <c r="H1138" s="18"/>
      <c r="I1138" s="22" t="s">
        <v>1819</v>
      </c>
      <c r="J1138" s="14" t="s">
        <v>1820</v>
      </c>
      <c r="K1138" s="14" t="s">
        <v>1617</v>
      </c>
      <c r="L1138" s="15">
        <v>46055</v>
      </c>
      <c r="M1138" s="16">
        <v>2026</v>
      </c>
      <c r="S1138" s="9"/>
    </row>
    <row r="1139" spans="1:19" ht="62.4" hidden="1">
      <c r="A1139" s="5">
        <v>1138</v>
      </c>
      <c r="B1139" s="18"/>
      <c r="C1139" s="13" t="s">
        <v>1894</v>
      </c>
      <c r="D1139" s="22" t="s">
        <v>1895</v>
      </c>
      <c r="E1139" s="22">
        <v>3200324047</v>
      </c>
      <c r="F1139" s="22" t="s">
        <v>1879</v>
      </c>
      <c r="G1139" s="18"/>
      <c r="H1139" s="18"/>
      <c r="I1139" s="22" t="s">
        <v>1819</v>
      </c>
      <c r="J1139" s="14" t="s">
        <v>1820</v>
      </c>
      <c r="K1139" s="14" t="s">
        <v>1619</v>
      </c>
      <c r="L1139" s="15">
        <v>46056</v>
      </c>
      <c r="M1139" s="16">
        <v>2026</v>
      </c>
      <c r="S1139" s="9"/>
    </row>
    <row r="1140" spans="1:19" ht="62.4" hidden="1">
      <c r="A1140" s="5">
        <v>1139</v>
      </c>
      <c r="B1140" s="18"/>
      <c r="C1140" s="13"/>
      <c r="D1140" s="22" t="s">
        <v>1896</v>
      </c>
      <c r="E1140" s="22">
        <v>3200324040</v>
      </c>
      <c r="F1140" s="22" t="s">
        <v>1879</v>
      </c>
      <c r="G1140" s="18"/>
      <c r="H1140" s="18"/>
      <c r="I1140" s="22" t="s">
        <v>1819</v>
      </c>
      <c r="J1140" s="14" t="s">
        <v>1820</v>
      </c>
      <c r="K1140" s="14" t="s">
        <v>1623</v>
      </c>
      <c r="L1140" s="15">
        <v>46057</v>
      </c>
      <c r="M1140" s="16">
        <v>2026</v>
      </c>
      <c r="S1140" s="9"/>
    </row>
    <row r="1141" spans="1:19" ht="62.4" hidden="1">
      <c r="A1141" s="5">
        <v>1140</v>
      </c>
      <c r="B1141" s="18"/>
      <c r="C1141" s="13"/>
      <c r="D1141" s="22" t="s">
        <v>1897</v>
      </c>
      <c r="E1141" s="22">
        <v>3200324034</v>
      </c>
      <c r="F1141" s="22" t="s">
        <v>1879</v>
      </c>
      <c r="G1141" s="18"/>
      <c r="H1141" s="18"/>
      <c r="I1141" s="22" t="s">
        <v>1819</v>
      </c>
      <c r="J1141" s="14" t="s">
        <v>1820</v>
      </c>
      <c r="K1141" s="14" t="s">
        <v>1625</v>
      </c>
      <c r="L1141" s="15">
        <v>46058</v>
      </c>
      <c r="M1141" s="16">
        <v>2026</v>
      </c>
      <c r="S1141" s="9"/>
    </row>
    <row r="1142" spans="1:19" ht="62.4" hidden="1">
      <c r="A1142" s="5">
        <v>1141</v>
      </c>
      <c r="B1142" s="18"/>
      <c r="C1142" s="13" t="s">
        <v>1898</v>
      </c>
      <c r="D1142" s="22" t="s">
        <v>1899</v>
      </c>
      <c r="E1142" s="22">
        <v>3200324069</v>
      </c>
      <c r="F1142" s="22" t="s">
        <v>1879</v>
      </c>
      <c r="G1142" s="18"/>
      <c r="H1142" s="18"/>
      <c r="I1142" s="22" t="s">
        <v>1819</v>
      </c>
      <c r="J1142" s="14" t="s">
        <v>1820</v>
      </c>
      <c r="K1142" s="14" t="s">
        <v>1627</v>
      </c>
      <c r="L1142" s="15">
        <v>46059</v>
      </c>
      <c r="M1142" s="16">
        <v>2026</v>
      </c>
      <c r="S1142" s="9"/>
    </row>
    <row r="1143" spans="1:19" ht="62.4" hidden="1">
      <c r="A1143" s="5">
        <v>1142</v>
      </c>
      <c r="B1143" s="18"/>
      <c r="C1143" s="13"/>
      <c r="D1143" s="22" t="s">
        <v>1900</v>
      </c>
      <c r="E1143" s="22">
        <v>3200324041</v>
      </c>
      <c r="F1143" s="22" t="s">
        <v>1879</v>
      </c>
      <c r="G1143" s="18"/>
      <c r="H1143" s="18"/>
      <c r="I1143" s="22" t="s">
        <v>1819</v>
      </c>
      <c r="J1143" s="14" t="s">
        <v>1820</v>
      </c>
      <c r="K1143" s="14" t="s">
        <v>1630</v>
      </c>
      <c r="L1143" s="15">
        <v>46060</v>
      </c>
      <c r="M1143" s="16">
        <v>2026</v>
      </c>
      <c r="S1143" s="9"/>
    </row>
    <row r="1144" spans="1:19" ht="62.4" hidden="1">
      <c r="A1144" s="5">
        <v>1143</v>
      </c>
      <c r="B1144" s="18"/>
      <c r="C1144" s="13"/>
      <c r="D1144" s="22" t="s">
        <v>1901</v>
      </c>
      <c r="E1144" s="22">
        <v>3200324019</v>
      </c>
      <c r="F1144" s="22" t="s">
        <v>1879</v>
      </c>
      <c r="G1144" s="18"/>
      <c r="H1144" s="18"/>
      <c r="I1144" s="22" t="s">
        <v>1819</v>
      </c>
      <c r="J1144" s="14" t="s">
        <v>1820</v>
      </c>
      <c r="K1144" s="14" t="s">
        <v>1632</v>
      </c>
      <c r="L1144" s="15">
        <v>46061</v>
      </c>
      <c r="M1144" s="16">
        <v>2026</v>
      </c>
      <c r="S1144" s="9"/>
    </row>
    <row r="1145" spans="1:19" ht="62.4" hidden="1">
      <c r="A1145" s="5">
        <v>1144</v>
      </c>
      <c r="B1145" s="18"/>
      <c r="C1145" s="13"/>
      <c r="D1145" s="22" t="s">
        <v>1902</v>
      </c>
      <c r="E1145" s="23">
        <v>3200324063</v>
      </c>
      <c r="F1145" s="22" t="s">
        <v>1879</v>
      </c>
      <c r="G1145" s="18"/>
      <c r="H1145" s="18"/>
      <c r="I1145" s="22" t="s">
        <v>1819</v>
      </c>
      <c r="J1145" s="14" t="s">
        <v>1820</v>
      </c>
      <c r="K1145" s="14" t="s">
        <v>1635</v>
      </c>
      <c r="L1145" s="15">
        <v>46062</v>
      </c>
      <c r="M1145" s="16">
        <v>2026</v>
      </c>
      <c r="S1145" s="9"/>
    </row>
    <row r="1146" spans="1:19" ht="62.4" hidden="1">
      <c r="A1146" s="5">
        <v>1145</v>
      </c>
      <c r="B1146" s="18"/>
      <c r="C1146" s="13"/>
      <c r="D1146" s="22" t="s">
        <v>1903</v>
      </c>
      <c r="E1146" s="22">
        <v>3200324057</v>
      </c>
      <c r="F1146" s="22" t="s">
        <v>1879</v>
      </c>
      <c r="G1146" s="18"/>
      <c r="H1146" s="18"/>
      <c r="I1146" s="22" t="s">
        <v>1819</v>
      </c>
      <c r="J1146" s="14" t="s">
        <v>1820</v>
      </c>
      <c r="K1146" s="14" t="s">
        <v>1638</v>
      </c>
      <c r="L1146" s="15">
        <v>46063</v>
      </c>
      <c r="M1146" s="16">
        <v>2026</v>
      </c>
      <c r="S1146" s="9"/>
    </row>
    <row r="1147" spans="1:19" ht="62.4" hidden="1">
      <c r="A1147" s="5">
        <v>1146</v>
      </c>
      <c r="B1147" s="18"/>
      <c r="C1147" s="13" t="s">
        <v>1904</v>
      </c>
      <c r="D1147" s="22" t="s">
        <v>1905</v>
      </c>
      <c r="E1147" s="22">
        <v>3200325024</v>
      </c>
      <c r="F1147" s="22" t="s">
        <v>1906</v>
      </c>
      <c r="G1147" s="18"/>
      <c r="H1147" s="18"/>
      <c r="I1147" s="22" t="s">
        <v>1819</v>
      </c>
      <c r="J1147" s="14" t="s">
        <v>1820</v>
      </c>
      <c r="K1147" s="14" t="s">
        <v>1641</v>
      </c>
      <c r="L1147" s="15">
        <v>46064</v>
      </c>
      <c r="M1147" s="16">
        <v>2026</v>
      </c>
      <c r="S1147" s="9"/>
    </row>
    <row r="1148" spans="1:19" ht="62.4" hidden="1">
      <c r="A1148" s="5">
        <v>1147</v>
      </c>
      <c r="B1148" s="18"/>
      <c r="C1148" s="13"/>
      <c r="D1148" s="22" t="s">
        <v>1907</v>
      </c>
      <c r="E1148" s="22">
        <v>3200325017</v>
      </c>
      <c r="F1148" s="22" t="s">
        <v>1906</v>
      </c>
      <c r="G1148" s="18"/>
      <c r="H1148" s="18"/>
      <c r="I1148" s="22" t="s">
        <v>1819</v>
      </c>
      <c r="J1148" s="14" t="s">
        <v>1820</v>
      </c>
      <c r="K1148" s="14" t="s">
        <v>1642</v>
      </c>
      <c r="L1148" s="15">
        <v>46065</v>
      </c>
      <c r="M1148" s="16">
        <v>2026</v>
      </c>
      <c r="S1148" s="9"/>
    </row>
    <row r="1149" spans="1:19" ht="62.4" hidden="1">
      <c r="A1149" s="5">
        <v>1148</v>
      </c>
      <c r="B1149" s="18"/>
      <c r="C1149" s="13"/>
      <c r="D1149" s="22" t="s">
        <v>1908</v>
      </c>
      <c r="E1149" s="22">
        <v>3200325053</v>
      </c>
      <c r="F1149" s="22" t="s">
        <v>1906</v>
      </c>
      <c r="G1149" s="18"/>
      <c r="H1149" s="18"/>
      <c r="I1149" s="22" t="s">
        <v>1819</v>
      </c>
      <c r="J1149" s="14" t="s">
        <v>1820</v>
      </c>
      <c r="K1149" s="14" t="s">
        <v>1644</v>
      </c>
      <c r="L1149" s="15">
        <v>46066</v>
      </c>
      <c r="M1149" s="16">
        <v>2026</v>
      </c>
      <c r="S1149" s="9"/>
    </row>
    <row r="1150" spans="1:19" ht="62.4" hidden="1">
      <c r="A1150" s="5">
        <v>1149</v>
      </c>
      <c r="B1150" s="18"/>
      <c r="C1150" s="13"/>
      <c r="D1150" s="22" t="s">
        <v>1909</v>
      </c>
      <c r="E1150" s="22">
        <v>3200325055</v>
      </c>
      <c r="F1150" s="22" t="s">
        <v>1906</v>
      </c>
      <c r="G1150" s="18"/>
      <c r="H1150" s="18"/>
      <c r="I1150" s="22" t="s">
        <v>1819</v>
      </c>
      <c r="J1150" s="14" t="s">
        <v>1820</v>
      </c>
      <c r="K1150" s="14" t="s">
        <v>1646</v>
      </c>
      <c r="L1150" s="15">
        <v>46067</v>
      </c>
      <c r="M1150" s="16">
        <v>2026</v>
      </c>
      <c r="S1150" s="9"/>
    </row>
    <row r="1151" spans="1:19" ht="62.4" hidden="1">
      <c r="A1151" s="5">
        <v>1150</v>
      </c>
      <c r="B1151" s="18"/>
      <c r="C1151" s="13"/>
      <c r="D1151" s="22" t="s">
        <v>1910</v>
      </c>
      <c r="E1151" s="22">
        <v>3200325044</v>
      </c>
      <c r="F1151" s="22" t="s">
        <v>1906</v>
      </c>
      <c r="G1151" s="18"/>
      <c r="H1151" s="18"/>
      <c r="I1151" s="22" t="s">
        <v>1819</v>
      </c>
      <c r="J1151" s="14" t="s">
        <v>1820</v>
      </c>
      <c r="K1151" s="14" t="s">
        <v>1647</v>
      </c>
      <c r="L1151" s="15">
        <v>46068</v>
      </c>
      <c r="M1151" s="16">
        <v>2026</v>
      </c>
      <c r="S1151" s="9"/>
    </row>
    <row r="1152" spans="1:19" ht="62.4" hidden="1">
      <c r="A1152" s="5">
        <v>1151</v>
      </c>
      <c r="B1152" s="18"/>
      <c r="C1152" s="13" t="s">
        <v>1911</v>
      </c>
      <c r="D1152" s="22" t="s">
        <v>1912</v>
      </c>
      <c r="E1152" s="22">
        <v>3200325041</v>
      </c>
      <c r="F1152" s="22" t="s">
        <v>1906</v>
      </c>
      <c r="G1152" s="18"/>
      <c r="H1152" s="18"/>
      <c r="I1152" s="22" t="s">
        <v>1819</v>
      </c>
      <c r="J1152" s="14" t="s">
        <v>1820</v>
      </c>
      <c r="K1152" s="14" t="s">
        <v>1648</v>
      </c>
      <c r="L1152" s="15">
        <v>46069</v>
      </c>
      <c r="M1152" s="16">
        <v>2026</v>
      </c>
      <c r="S1152" s="9"/>
    </row>
    <row r="1153" spans="1:19" ht="62.4" hidden="1">
      <c r="A1153" s="5">
        <v>1152</v>
      </c>
      <c r="B1153" s="18"/>
      <c r="C1153" s="13"/>
      <c r="D1153" s="22" t="s">
        <v>1913</v>
      </c>
      <c r="E1153" s="22">
        <v>3200325037</v>
      </c>
      <c r="F1153" s="22" t="s">
        <v>1906</v>
      </c>
      <c r="G1153" s="18"/>
      <c r="H1153" s="18"/>
      <c r="I1153" s="22" t="s">
        <v>1819</v>
      </c>
      <c r="J1153" s="14" t="s">
        <v>1820</v>
      </c>
      <c r="K1153" s="14" t="s">
        <v>1649</v>
      </c>
      <c r="L1153" s="15">
        <v>46070</v>
      </c>
      <c r="M1153" s="16">
        <v>2026</v>
      </c>
      <c r="S1153" s="9"/>
    </row>
    <row r="1154" spans="1:19" ht="62.4" hidden="1">
      <c r="A1154" s="5">
        <v>1153</v>
      </c>
      <c r="B1154" s="18"/>
      <c r="C1154" s="13"/>
      <c r="D1154" s="22" t="s">
        <v>1914</v>
      </c>
      <c r="E1154" s="22">
        <v>3200325016</v>
      </c>
      <c r="F1154" s="22" t="s">
        <v>1906</v>
      </c>
      <c r="G1154" s="18"/>
      <c r="H1154" s="18"/>
      <c r="I1154" s="22" t="s">
        <v>1819</v>
      </c>
      <c r="J1154" s="14" t="s">
        <v>1820</v>
      </c>
      <c r="K1154" s="14" t="s">
        <v>1650</v>
      </c>
      <c r="L1154" s="15">
        <v>46071</v>
      </c>
      <c r="M1154" s="16">
        <v>2026</v>
      </c>
      <c r="S1154" s="9"/>
    </row>
    <row r="1155" spans="1:19" ht="62.4" hidden="1">
      <c r="A1155" s="5">
        <v>1154</v>
      </c>
      <c r="B1155" s="18"/>
      <c r="C1155" s="13"/>
      <c r="D1155" s="22" t="s">
        <v>1915</v>
      </c>
      <c r="E1155" s="22">
        <v>3200325052</v>
      </c>
      <c r="F1155" s="22" t="s">
        <v>1906</v>
      </c>
      <c r="G1155" s="18"/>
      <c r="H1155" s="18"/>
      <c r="I1155" s="22" t="s">
        <v>1819</v>
      </c>
      <c r="J1155" s="14" t="s">
        <v>1820</v>
      </c>
      <c r="K1155" s="14" t="s">
        <v>1653</v>
      </c>
      <c r="L1155" s="15">
        <v>46072</v>
      </c>
      <c r="M1155" s="16">
        <v>2026</v>
      </c>
      <c r="S1155" s="9"/>
    </row>
    <row r="1156" spans="1:19" ht="62.4" hidden="1">
      <c r="A1156" s="5">
        <v>1155</v>
      </c>
      <c r="B1156" s="18"/>
      <c r="C1156" s="13" t="s">
        <v>1916</v>
      </c>
      <c r="D1156" s="22" t="s">
        <v>1134</v>
      </c>
      <c r="E1156" s="24">
        <v>3200325018</v>
      </c>
      <c r="F1156" s="22" t="s">
        <v>1906</v>
      </c>
      <c r="G1156" s="18"/>
      <c r="H1156" s="18"/>
      <c r="I1156" s="22" t="s">
        <v>1819</v>
      </c>
      <c r="J1156" s="14" t="s">
        <v>1820</v>
      </c>
      <c r="K1156" s="14" t="s">
        <v>1654</v>
      </c>
      <c r="L1156" s="15">
        <v>46073</v>
      </c>
      <c r="M1156" s="16">
        <v>2026</v>
      </c>
      <c r="S1156" s="9"/>
    </row>
    <row r="1157" spans="1:19" ht="62.4" hidden="1">
      <c r="A1157" s="5">
        <v>1156</v>
      </c>
      <c r="B1157" s="18"/>
      <c r="C1157" s="13"/>
      <c r="D1157" s="22" t="s">
        <v>1917</v>
      </c>
      <c r="E1157" s="22">
        <v>3200325001</v>
      </c>
      <c r="F1157" s="22" t="s">
        <v>1906</v>
      </c>
      <c r="G1157" s="18"/>
      <c r="H1157" s="18"/>
      <c r="I1157" s="22" t="s">
        <v>1819</v>
      </c>
      <c r="J1157" s="14" t="s">
        <v>1820</v>
      </c>
      <c r="K1157" s="14" t="s">
        <v>1657</v>
      </c>
      <c r="L1157" s="15">
        <v>46074</v>
      </c>
      <c r="M1157" s="16">
        <v>2026</v>
      </c>
      <c r="S1157" s="9"/>
    </row>
    <row r="1158" spans="1:19" ht="62.4" hidden="1">
      <c r="A1158" s="5">
        <v>1157</v>
      </c>
      <c r="B1158" s="18"/>
      <c r="C1158" s="13"/>
      <c r="D1158" s="22" t="s">
        <v>1918</v>
      </c>
      <c r="E1158" s="22">
        <v>3200325043</v>
      </c>
      <c r="F1158" s="22" t="s">
        <v>1906</v>
      </c>
      <c r="G1158" s="18"/>
      <c r="H1158" s="18"/>
      <c r="I1158" s="22" t="s">
        <v>1819</v>
      </c>
      <c r="J1158" s="14" t="s">
        <v>1820</v>
      </c>
      <c r="K1158" s="14" t="s">
        <v>1659</v>
      </c>
      <c r="L1158" s="15">
        <v>46075</v>
      </c>
      <c r="M1158" s="16">
        <v>2026</v>
      </c>
      <c r="S1158" s="9"/>
    </row>
    <row r="1159" spans="1:19" ht="62.4" hidden="1">
      <c r="A1159" s="5">
        <v>1158</v>
      </c>
      <c r="B1159" s="18"/>
      <c r="C1159" s="13"/>
      <c r="D1159" s="22" t="s">
        <v>1919</v>
      </c>
      <c r="E1159" s="22">
        <v>3200325059</v>
      </c>
      <c r="F1159" s="22" t="s">
        <v>1906</v>
      </c>
      <c r="G1159" s="18"/>
      <c r="H1159" s="18"/>
      <c r="I1159" s="22" t="s">
        <v>1819</v>
      </c>
      <c r="J1159" s="14" t="s">
        <v>1820</v>
      </c>
      <c r="K1159" s="14" t="s">
        <v>1660</v>
      </c>
      <c r="L1159" s="15">
        <v>46076</v>
      </c>
      <c r="M1159" s="16">
        <v>2026</v>
      </c>
      <c r="S1159" s="9"/>
    </row>
    <row r="1160" spans="1:19" ht="62.4" hidden="1">
      <c r="A1160" s="5">
        <v>1159</v>
      </c>
      <c r="B1160" s="18"/>
      <c r="C1160" s="13" t="s">
        <v>1920</v>
      </c>
      <c r="D1160" s="22" t="s">
        <v>1921</v>
      </c>
      <c r="E1160" s="22">
        <v>3200325056</v>
      </c>
      <c r="F1160" s="22" t="s">
        <v>1906</v>
      </c>
      <c r="G1160" s="18"/>
      <c r="H1160" s="18"/>
      <c r="I1160" s="22" t="s">
        <v>1819</v>
      </c>
      <c r="J1160" s="14" t="s">
        <v>1820</v>
      </c>
      <c r="K1160" s="14" t="s">
        <v>1661</v>
      </c>
      <c r="L1160" s="15">
        <v>46077</v>
      </c>
      <c r="M1160" s="16">
        <v>2026</v>
      </c>
      <c r="S1160" s="9"/>
    </row>
    <row r="1161" spans="1:19" ht="62.4" hidden="1">
      <c r="A1161" s="5">
        <v>1160</v>
      </c>
      <c r="B1161" s="18"/>
      <c r="C1161" s="13" t="s">
        <v>1922</v>
      </c>
      <c r="D1161" s="22" t="s">
        <v>1923</v>
      </c>
      <c r="E1161" s="22">
        <v>3200325033</v>
      </c>
      <c r="F1161" s="22" t="s">
        <v>1906</v>
      </c>
      <c r="G1161" s="18"/>
      <c r="H1161" s="18"/>
      <c r="I1161" s="22" t="s">
        <v>1819</v>
      </c>
      <c r="J1161" s="14" t="s">
        <v>1820</v>
      </c>
      <c r="K1161" s="14" t="s">
        <v>1663</v>
      </c>
      <c r="L1161" s="15">
        <v>46078</v>
      </c>
      <c r="M1161" s="16">
        <v>2026</v>
      </c>
      <c r="S1161" s="9"/>
    </row>
    <row r="1162" spans="1:19" ht="62.4" hidden="1">
      <c r="A1162" s="5">
        <v>1161</v>
      </c>
      <c r="B1162" s="18"/>
      <c r="C1162" s="13" t="s">
        <v>1924</v>
      </c>
      <c r="D1162" s="22" t="s">
        <v>1925</v>
      </c>
      <c r="E1162" s="22">
        <v>3200324018</v>
      </c>
      <c r="F1162" s="22" t="s">
        <v>1879</v>
      </c>
      <c r="G1162" s="18"/>
      <c r="H1162" s="18"/>
      <c r="I1162" s="22" t="s">
        <v>1819</v>
      </c>
      <c r="J1162" s="14" t="s">
        <v>1820</v>
      </c>
      <c r="K1162" s="14" t="s">
        <v>1666</v>
      </c>
      <c r="L1162" s="15">
        <v>46079</v>
      </c>
      <c r="M1162" s="16">
        <v>2026</v>
      </c>
      <c r="S1162" s="9"/>
    </row>
    <row r="1163" spans="1:19" ht="62.4" hidden="1">
      <c r="A1163" s="5">
        <v>1162</v>
      </c>
      <c r="B1163" s="18"/>
      <c r="C1163" s="13"/>
      <c r="D1163" s="22" t="s">
        <v>1926</v>
      </c>
      <c r="E1163" s="22">
        <v>3200324012</v>
      </c>
      <c r="F1163" s="22" t="s">
        <v>1879</v>
      </c>
      <c r="G1163" s="18"/>
      <c r="H1163" s="18"/>
      <c r="I1163" s="22" t="s">
        <v>1819</v>
      </c>
      <c r="J1163" s="14" t="s">
        <v>1820</v>
      </c>
      <c r="K1163" s="14" t="s">
        <v>1668</v>
      </c>
      <c r="L1163" s="15">
        <v>46080</v>
      </c>
      <c r="M1163" s="16">
        <v>2026</v>
      </c>
      <c r="S1163" s="9"/>
    </row>
    <row r="1164" spans="1:19" ht="62.4" hidden="1">
      <c r="A1164" s="5">
        <v>1163</v>
      </c>
      <c r="B1164" s="18"/>
      <c r="C1164" s="13"/>
      <c r="D1164" s="22" t="s">
        <v>1927</v>
      </c>
      <c r="E1164" s="22">
        <v>3200324039</v>
      </c>
      <c r="F1164" s="22" t="s">
        <v>1879</v>
      </c>
      <c r="G1164" s="18"/>
      <c r="H1164" s="18"/>
      <c r="I1164" s="22" t="s">
        <v>1819</v>
      </c>
      <c r="J1164" s="14" t="s">
        <v>1820</v>
      </c>
      <c r="K1164" s="14" t="s">
        <v>1670</v>
      </c>
      <c r="L1164" s="15">
        <v>46081</v>
      </c>
      <c r="M1164" s="16">
        <v>2026</v>
      </c>
      <c r="S1164" s="9"/>
    </row>
    <row r="1165" spans="1:19" ht="62.4" hidden="1">
      <c r="A1165" s="5">
        <v>1164</v>
      </c>
      <c r="B1165" s="18"/>
      <c r="C1165" s="13"/>
      <c r="D1165" s="22" t="s">
        <v>414</v>
      </c>
      <c r="E1165" s="22">
        <v>3200324042</v>
      </c>
      <c r="F1165" s="22" t="s">
        <v>1879</v>
      </c>
      <c r="G1165" s="18"/>
      <c r="H1165" s="18"/>
      <c r="I1165" s="22" t="s">
        <v>1819</v>
      </c>
      <c r="J1165" s="14" t="s">
        <v>1820</v>
      </c>
      <c r="K1165" s="14" t="s">
        <v>1672</v>
      </c>
      <c r="L1165" s="15">
        <v>46082</v>
      </c>
      <c r="M1165" s="16">
        <v>2026</v>
      </c>
      <c r="S1165" s="9"/>
    </row>
    <row r="1166" spans="1:19" ht="62.4" hidden="1">
      <c r="A1166" s="5">
        <v>1165</v>
      </c>
      <c r="B1166" s="18"/>
      <c r="C1166" s="13" t="s">
        <v>1928</v>
      </c>
      <c r="D1166" s="22" t="s">
        <v>1929</v>
      </c>
      <c r="E1166" s="22">
        <v>3200324004</v>
      </c>
      <c r="F1166" s="22" t="s">
        <v>1930</v>
      </c>
      <c r="G1166" s="18"/>
      <c r="H1166" s="18"/>
      <c r="I1166" s="22" t="s">
        <v>1819</v>
      </c>
      <c r="J1166" s="14" t="s">
        <v>1820</v>
      </c>
      <c r="K1166" s="14" t="s">
        <v>1674</v>
      </c>
      <c r="L1166" s="15">
        <v>46083</v>
      </c>
      <c r="M1166" s="16">
        <v>2026</v>
      </c>
      <c r="S1166" s="9"/>
    </row>
    <row r="1167" spans="1:19" ht="62.4" hidden="1">
      <c r="A1167" s="5">
        <v>1166</v>
      </c>
      <c r="B1167" s="18"/>
      <c r="C1167" s="13"/>
      <c r="D1167" s="22" t="s">
        <v>1931</v>
      </c>
      <c r="E1167" s="22">
        <v>3200324001</v>
      </c>
      <c r="F1167" s="22" t="s">
        <v>1930</v>
      </c>
      <c r="G1167" s="18"/>
      <c r="H1167" s="18"/>
      <c r="I1167" s="22" t="s">
        <v>1819</v>
      </c>
      <c r="J1167" s="14" t="s">
        <v>1820</v>
      </c>
      <c r="K1167" s="14" t="s">
        <v>1676</v>
      </c>
      <c r="L1167" s="15">
        <v>46084</v>
      </c>
      <c r="M1167" s="16">
        <v>2026</v>
      </c>
      <c r="S1167" s="9"/>
    </row>
    <row r="1168" spans="1:19" ht="62.4" hidden="1">
      <c r="A1168" s="5">
        <v>1167</v>
      </c>
      <c r="B1168" s="18"/>
      <c r="C1168" s="13"/>
      <c r="D1168" s="22" t="s">
        <v>1932</v>
      </c>
      <c r="E1168" s="22">
        <v>3200324038</v>
      </c>
      <c r="F1168" s="22" t="s">
        <v>1930</v>
      </c>
      <c r="G1168" s="18"/>
      <c r="H1168" s="18"/>
      <c r="I1168" s="22" t="s">
        <v>1819</v>
      </c>
      <c r="J1168" s="14" t="s">
        <v>1820</v>
      </c>
      <c r="K1168" s="14" t="s">
        <v>1677</v>
      </c>
      <c r="L1168" s="15">
        <v>46085</v>
      </c>
      <c r="M1168" s="16">
        <v>2026</v>
      </c>
      <c r="S1168" s="9"/>
    </row>
    <row r="1169" spans="1:19" ht="62.4" hidden="1">
      <c r="A1169" s="5">
        <v>1168</v>
      </c>
      <c r="B1169" s="18"/>
      <c r="C1169" s="13"/>
      <c r="D1169" s="22" t="s">
        <v>1933</v>
      </c>
      <c r="E1169" s="22">
        <v>3200324020</v>
      </c>
      <c r="F1169" s="22" t="s">
        <v>1930</v>
      </c>
      <c r="G1169" s="18"/>
      <c r="H1169" s="18"/>
      <c r="I1169" s="22" t="s">
        <v>1819</v>
      </c>
      <c r="J1169" s="14" t="s">
        <v>1820</v>
      </c>
      <c r="K1169" s="14" t="s">
        <v>1678</v>
      </c>
      <c r="L1169" s="15">
        <v>46086</v>
      </c>
      <c r="M1169" s="16">
        <v>2026</v>
      </c>
      <c r="S1169" s="9"/>
    </row>
    <row r="1170" spans="1:19" ht="62.4" hidden="1">
      <c r="A1170" s="5">
        <v>1169</v>
      </c>
      <c r="B1170" s="18"/>
      <c r="C1170" s="13"/>
      <c r="D1170" s="22" t="s">
        <v>1934</v>
      </c>
      <c r="E1170" s="22">
        <v>3200324076</v>
      </c>
      <c r="F1170" s="22" t="s">
        <v>1930</v>
      </c>
      <c r="G1170" s="18"/>
      <c r="H1170" s="18"/>
      <c r="I1170" s="22" t="s">
        <v>1819</v>
      </c>
      <c r="J1170" s="14" t="s">
        <v>1820</v>
      </c>
      <c r="K1170" s="14" t="s">
        <v>1680</v>
      </c>
      <c r="L1170" s="15">
        <v>46087</v>
      </c>
      <c r="M1170" s="16">
        <v>2026</v>
      </c>
      <c r="S1170" s="9"/>
    </row>
    <row r="1171" spans="1:19" ht="31.2" hidden="1">
      <c r="A1171" s="5">
        <v>1170</v>
      </c>
      <c r="B1171" s="18"/>
      <c r="C1171" s="13" t="s">
        <v>1935</v>
      </c>
      <c r="D1171" s="22" t="s">
        <v>1936</v>
      </c>
      <c r="E1171" s="22">
        <v>3180224011</v>
      </c>
      <c r="F1171" s="22" t="s">
        <v>1937</v>
      </c>
      <c r="G1171" s="18"/>
      <c r="H1171" s="18"/>
      <c r="I1171" s="22" t="s">
        <v>1938</v>
      </c>
      <c r="J1171" s="14" t="s">
        <v>1939</v>
      </c>
      <c r="K1171" s="14" t="s">
        <v>1512</v>
      </c>
      <c r="L1171" s="15">
        <v>46088</v>
      </c>
      <c r="M1171" s="16">
        <v>2026</v>
      </c>
      <c r="S1171" s="9"/>
    </row>
    <row r="1172" spans="1:19" ht="31.2" hidden="1">
      <c r="A1172" s="5">
        <v>1171</v>
      </c>
      <c r="B1172" s="18"/>
      <c r="C1172" s="13"/>
      <c r="D1172" s="22" t="s">
        <v>1304</v>
      </c>
      <c r="E1172" s="22">
        <v>3180224021</v>
      </c>
      <c r="F1172" s="22" t="s">
        <v>1937</v>
      </c>
      <c r="G1172" s="18"/>
      <c r="H1172" s="18"/>
      <c r="I1172" s="22" t="s">
        <v>1938</v>
      </c>
      <c r="J1172" s="14" t="s">
        <v>1939</v>
      </c>
      <c r="K1172" s="14" t="s">
        <v>1514</v>
      </c>
      <c r="L1172" s="15">
        <v>46089</v>
      </c>
      <c r="M1172" s="16">
        <v>2026</v>
      </c>
      <c r="S1172" s="9"/>
    </row>
    <row r="1173" spans="1:19" ht="31.2" hidden="1">
      <c r="A1173" s="5">
        <v>1172</v>
      </c>
      <c r="B1173" s="18"/>
      <c r="C1173" s="13"/>
      <c r="D1173" s="22" t="s">
        <v>1940</v>
      </c>
      <c r="E1173" s="22">
        <v>3180224045</v>
      </c>
      <c r="F1173" s="22" t="s">
        <v>1937</v>
      </c>
      <c r="G1173" s="18"/>
      <c r="H1173" s="18"/>
      <c r="I1173" s="22" t="s">
        <v>1938</v>
      </c>
      <c r="J1173" s="14" t="s">
        <v>1939</v>
      </c>
      <c r="K1173" s="14" t="s">
        <v>1516</v>
      </c>
      <c r="L1173" s="15">
        <v>46090</v>
      </c>
      <c r="M1173" s="16">
        <v>2026</v>
      </c>
      <c r="S1173" s="9"/>
    </row>
    <row r="1174" spans="1:19" ht="31.2" hidden="1">
      <c r="A1174" s="5">
        <v>1173</v>
      </c>
      <c r="B1174" s="18"/>
      <c r="C1174" s="13"/>
      <c r="D1174" s="22" t="s">
        <v>1941</v>
      </c>
      <c r="E1174" s="22">
        <v>3180224122</v>
      </c>
      <c r="F1174" s="22" t="s">
        <v>1937</v>
      </c>
      <c r="G1174" s="18"/>
      <c r="H1174" s="18"/>
      <c r="I1174" s="22" t="s">
        <v>1938</v>
      </c>
      <c r="J1174" s="14" t="s">
        <v>1939</v>
      </c>
      <c r="K1174" s="14" t="s">
        <v>1518</v>
      </c>
      <c r="L1174" s="15">
        <v>46091</v>
      </c>
      <c r="M1174" s="16">
        <v>2026</v>
      </c>
      <c r="S1174" s="9"/>
    </row>
    <row r="1175" spans="1:19" ht="31.2" hidden="1">
      <c r="A1175" s="5">
        <v>1174</v>
      </c>
      <c r="B1175" s="18"/>
      <c r="C1175" s="13" t="s">
        <v>1942</v>
      </c>
      <c r="D1175" s="22" t="s">
        <v>1943</v>
      </c>
      <c r="E1175" s="22">
        <v>3180225013</v>
      </c>
      <c r="F1175" s="22" t="s">
        <v>1944</v>
      </c>
      <c r="G1175" s="18"/>
      <c r="H1175" s="18"/>
      <c r="I1175" s="22" t="s">
        <v>1938</v>
      </c>
      <c r="J1175" s="14" t="s">
        <v>1939</v>
      </c>
      <c r="K1175" s="14" t="s">
        <v>1519</v>
      </c>
      <c r="L1175" s="15">
        <v>46092</v>
      </c>
      <c r="M1175" s="16">
        <v>2026</v>
      </c>
      <c r="S1175" s="9"/>
    </row>
    <row r="1176" spans="1:19" ht="31.2" hidden="1">
      <c r="A1176" s="5">
        <v>1175</v>
      </c>
      <c r="B1176" s="18"/>
      <c r="C1176" s="13"/>
      <c r="D1176" s="22" t="s">
        <v>744</v>
      </c>
      <c r="E1176" s="22">
        <v>3180225084</v>
      </c>
      <c r="F1176" s="22" t="s">
        <v>1944</v>
      </c>
      <c r="G1176" s="18"/>
      <c r="H1176" s="18"/>
      <c r="I1176" s="22" t="s">
        <v>1938</v>
      </c>
      <c r="J1176" s="14" t="s">
        <v>1939</v>
      </c>
      <c r="K1176" s="14" t="s">
        <v>1520</v>
      </c>
      <c r="L1176" s="15">
        <v>46093</v>
      </c>
      <c r="M1176" s="16">
        <v>2026</v>
      </c>
      <c r="S1176" s="9"/>
    </row>
    <row r="1177" spans="1:19" ht="31.2" hidden="1">
      <c r="A1177" s="5">
        <v>1176</v>
      </c>
      <c r="B1177" s="18"/>
      <c r="C1177" s="13"/>
      <c r="D1177" s="22" t="s">
        <v>1875</v>
      </c>
      <c r="E1177" s="22">
        <v>3180225026</v>
      </c>
      <c r="F1177" s="22" t="s">
        <v>1944</v>
      </c>
      <c r="G1177" s="18"/>
      <c r="H1177" s="18"/>
      <c r="I1177" s="22" t="s">
        <v>1938</v>
      </c>
      <c r="J1177" s="14" t="s">
        <v>1939</v>
      </c>
      <c r="K1177" s="14" t="s">
        <v>1521</v>
      </c>
      <c r="L1177" s="15">
        <v>46094</v>
      </c>
      <c r="M1177" s="16">
        <v>2026</v>
      </c>
      <c r="S1177" s="9"/>
    </row>
    <row r="1178" spans="1:19" ht="31.2" hidden="1">
      <c r="A1178" s="5">
        <v>1177</v>
      </c>
      <c r="B1178" s="18"/>
      <c r="C1178" s="13"/>
      <c r="D1178" s="22" t="s">
        <v>1945</v>
      </c>
      <c r="E1178" s="22">
        <v>3180225079</v>
      </c>
      <c r="F1178" s="22" t="s">
        <v>1944</v>
      </c>
      <c r="G1178" s="18"/>
      <c r="H1178" s="18"/>
      <c r="I1178" s="22" t="s">
        <v>1938</v>
      </c>
      <c r="J1178" s="14" t="s">
        <v>1939</v>
      </c>
      <c r="K1178" s="14" t="s">
        <v>1524</v>
      </c>
      <c r="L1178" s="15">
        <v>46095</v>
      </c>
      <c r="M1178" s="16">
        <v>2026</v>
      </c>
      <c r="S1178" s="9"/>
    </row>
    <row r="1179" spans="1:19" ht="31.2" hidden="1">
      <c r="A1179" s="5">
        <v>1178</v>
      </c>
      <c r="B1179" s="18"/>
      <c r="C1179" s="13" t="s">
        <v>1946</v>
      </c>
      <c r="D1179" s="22" t="s">
        <v>1947</v>
      </c>
      <c r="E1179" s="22">
        <v>3180225030</v>
      </c>
      <c r="F1179" s="22" t="s">
        <v>1944</v>
      </c>
      <c r="G1179" s="18"/>
      <c r="H1179" s="18"/>
      <c r="I1179" s="22" t="s">
        <v>1938</v>
      </c>
      <c r="J1179" s="14" t="s">
        <v>1939</v>
      </c>
      <c r="K1179" s="14" t="s">
        <v>1526</v>
      </c>
      <c r="L1179" s="15">
        <v>46096</v>
      </c>
      <c r="M1179" s="16">
        <v>2026</v>
      </c>
      <c r="S1179" s="9"/>
    </row>
    <row r="1180" spans="1:19" ht="31.2" hidden="1">
      <c r="A1180" s="5">
        <v>1179</v>
      </c>
      <c r="B1180" s="18"/>
      <c r="C1180" s="13"/>
      <c r="D1180" s="22" t="s">
        <v>1948</v>
      </c>
      <c r="E1180" s="22">
        <v>3180225001</v>
      </c>
      <c r="F1180" s="22" t="s">
        <v>1944</v>
      </c>
      <c r="G1180" s="18"/>
      <c r="H1180" s="18"/>
      <c r="I1180" s="22" t="s">
        <v>1938</v>
      </c>
      <c r="J1180" s="14" t="s">
        <v>1939</v>
      </c>
      <c r="K1180" s="14" t="s">
        <v>1528</v>
      </c>
      <c r="L1180" s="15">
        <v>46097</v>
      </c>
      <c r="M1180" s="16">
        <v>2026</v>
      </c>
      <c r="S1180" s="9"/>
    </row>
    <row r="1181" spans="1:19" ht="31.2" hidden="1">
      <c r="A1181" s="5">
        <v>1180</v>
      </c>
      <c r="B1181" s="18"/>
      <c r="C1181" s="13"/>
      <c r="D1181" s="22" t="s">
        <v>1949</v>
      </c>
      <c r="E1181" s="22">
        <v>3180225065</v>
      </c>
      <c r="F1181" s="22" t="s">
        <v>1944</v>
      </c>
      <c r="G1181" s="18"/>
      <c r="H1181" s="18"/>
      <c r="I1181" s="22" t="s">
        <v>1938</v>
      </c>
      <c r="J1181" s="14" t="s">
        <v>1939</v>
      </c>
      <c r="K1181" s="14" t="s">
        <v>1530</v>
      </c>
      <c r="L1181" s="15">
        <v>46098</v>
      </c>
      <c r="M1181" s="16">
        <v>2026</v>
      </c>
      <c r="S1181" s="9"/>
    </row>
    <row r="1182" spans="1:19" ht="31.2" hidden="1">
      <c r="A1182" s="5">
        <v>1181</v>
      </c>
      <c r="B1182" s="18"/>
      <c r="C1182" s="13"/>
      <c r="D1182" s="22" t="s">
        <v>1950</v>
      </c>
      <c r="E1182" s="22">
        <v>3190425036</v>
      </c>
      <c r="F1182" s="22" t="s">
        <v>1951</v>
      </c>
      <c r="G1182" s="18"/>
      <c r="H1182" s="18"/>
      <c r="I1182" s="22" t="s">
        <v>1938</v>
      </c>
      <c r="J1182" s="14" t="s">
        <v>1939</v>
      </c>
      <c r="K1182" s="14" t="s">
        <v>1532</v>
      </c>
      <c r="L1182" s="15">
        <v>46099</v>
      </c>
      <c r="M1182" s="16">
        <v>2026</v>
      </c>
      <c r="S1182" s="9"/>
    </row>
    <row r="1183" spans="1:19" ht="31.2" hidden="1">
      <c r="A1183" s="5">
        <v>1182</v>
      </c>
      <c r="B1183" s="18"/>
      <c r="C1183" s="13" t="s">
        <v>1952</v>
      </c>
      <c r="D1183" s="22" t="s">
        <v>1953</v>
      </c>
      <c r="E1183" s="22">
        <v>3190423013</v>
      </c>
      <c r="F1183" s="22" t="s">
        <v>1211</v>
      </c>
      <c r="G1183" s="18"/>
      <c r="H1183" s="18"/>
      <c r="I1183" s="22" t="s">
        <v>1938</v>
      </c>
      <c r="J1183" s="14" t="s">
        <v>1939</v>
      </c>
      <c r="K1183" s="14" t="s">
        <v>1535</v>
      </c>
      <c r="L1183" s="15">
        <v>46100</v>
      </c>
      <c r="M1183" s="16">
        <v>2026</v>
      </c>
      <c r="S1183" s="9"/>
    </row>
    <row r="1184" spans="1:19" ht="31.2" hidden="1">
      <c r="A1184" s="5">
        <v>1183</v>
      </c>
      <c r="B1184" s="18"/>
      <c r="C1184" s="13"/>
      <c r="D1184" s="22" t="s">
        <v>1954</v>
      </c>
      <c r="E1184" s="22">
        <v>3190423069</v>
      </c>
      <c r="F1184" s="22" t="s">
        <v>1211</v>
      </c>
      <c r="G1184" s="18"/>
      <c r="H1184" s="18"/>
      <c r="I1184" s="22" t="s">
        <v>1938</v>
      </c>
      <c r="J1184" s="14" t="s">
        <v>1939</v>
      </c>
      <c r="K1184" s="14" t="s">
        <v>1537</v>
      </c>
      <c r="L1184" s="15">
        <v>46101</v>
      </c>
      <c r="M1184" s="16">
        <v>2026</v>
      </c>
      <c r="S1184" s="9"/>
    </row>
    <row r="1185" spans="1:19" ht="31.2" hidden="1">
      <c r="A1185" s="5">
        <v>1184</v>
      </c>
      <c r="B1185" s="18"/>
      <c r="C1185" s="13"/>
      <c r="D1185" s="22" t="s">
        <v>1955</v>
      </c>
      <c r="E1185" s="22">
        <v>3190423017</v>
      </c>
      <c r="F1185" s="22" t="s">
        <v>1211</v>
      </c>
      <c r="G1185" s="18"/>
      <c r="H1185" s="18"/>
      <c r="I1185" s="22" t="s">
        <v>1938</v>
      </c>
      <c r="J1185" s="14" t="s">
        <v>1939</v>
      </c>
      <c r="K1185" s="14" t="s">
        <v>1539</v>
      </c>
      <c r="L1185" s="15">
        <v>46102</v>
      </c>
      <c r="M1185" s="16">
        <v>2026</v>
      </c>
      <c r="S1185" s="9"/>
    </row>
    <row r="1186" spans="1:19" ht="31.2" hidden="1">
      <c r="A1186" s="5">
        <v>1185</v>
      </c>
      <c r="B1186" s="18"/>
      <c r="C1186" s="13" t="s">
        <v>1956</v>
      </c>
      <c r="D1186" s="22" t="s">
        <v>1957</v>
      </c>
      <c r="E1186" s="22">
        <v>3190425017</v>
      </c>
      <c r="F1186" s="22" t="s">
        <v>1958</v>
      </c>
      <c r="G1186" s="18"/>
      <c r="H1186" s="18"/>
      <c r="I1186" s="22" t="s">
        <v>1938</v>
      </c>
      <c r="J1186" s="14" t="s">
        <v>1939</v>
      </c>
      <c r="K1186" s="14" t="s">
        <v>1541</v>
      </c>
      <c r="L1186" s="15">
        <v>46103</v>
      </c>
      <c r="M1186" s="16">
        <v>2026</v>
      </c>
      <c r="S1186" s="9"/>
    </row>
    <row r="1187" spans="1:19" ht="31.2" hidden="1">
      <c r="A1187" s="5">
        <v>1186</v>
      </c>
      <c r="B1187" s="18"/>
      <c r="C1187" s="13" t="s">
        <v>1959</v>
      </c>
      <c r="D1187" s="22" t="s">
        <v>1960</v>
      </c>
      <c r="E1187" s="22">
        <v>3190424003</v>
      </c>
      <c r="F1187" s="22" t="s">
        <v>1218</v>
      </c>
      <c r="G1187" s="18"/>
      <c r="H1187" s="18"/>
      <c r="I1187" s="22" t="s">
        <v>1938</v>
      </c>
      <c r="J1187" s="14" t="s">
        <v>1939</v>
      </c>
      <c r="K1187" s="14" t="s">
        <v>1543</v>
      </c>
      <c r="L1187" s="15">
        <v>46032</v>
      </c>
      <c r="M1187" s="16">
        <v>2026</v>
      </c>
      <c r="S1187" s="9"/>
    </row>
    <row r="1188" spans="1:19" ht="31.2" hidden="1">
      <c r="A1188" s="5">
        <v>1187</v>
      </c>
      <c r="B1188" s="18"/>
      <c r="C1188" s="13"/>
      <c r="D1188" s="22" t="s">
        <v>1961</v>
      </c>
      <c r="E1188" s="22">
        <v>3190424012</v>
      </c>
      <c r="F1188" s="22" t="s">
        <v>1218</v>
      </c>
      <c r="G1188" s="18"/>
      <c r="H1188" s="18"/>
      <c r="I1188" s="22" t="s">
        <v>1938</v>
      </c>
      <c r="J1188" s="14" t="s">
        <v>1939</v>
      </c>
      <c r="K1188" s="14" t="s">
        <v>1546</v>
      </c>
      <c r="L1188" s="15">
        <v>46033</v>
      </c>
      <c r="M1188" s="16">
        <v>2026</v>
      </c>
      <c r="S1188" s="9"/>
    </row>
    <row r="1189" spans="1:19" ht="31.2" hidden="1">
      <c r="A1189" s="5">
        <v>1188</v>
      </c>
      <c r="B1189" s="18"/>
      <c r="C1189" s="13"/>
      <c r="D1189" s="22" t="s">
        <v>1962</v>
      </c>
      <c r="E1189" s="22">
        <v>3190424066</v>
      </c>
      <c r="F1189" s="22" t="s">
        <v>1218</v>
      </c>
      <c r="G1189" s="18"/>
      <c r="H1189" s="18"/>
      <c r="I1189" s="22" t="s">
        <v>1938</v>
      </c>
      <c r="J1189" s="14" t="s">
        <v>1939</v>
      </c>
      <c r="K1189" s="14" t="s">
        <v>1548</v>
      </c>
      <c r="L1189" s="15">
        <v>46034</v>
      </c>
      <c r="M1189" s="16">
        <v>2026</v>
      </c>
      <c r="S1189" s="9"/>
    </row>
    <row r="1190" spans="1:19" ht="31.2" hidden="1">
      <c r="A1190" s="5">
        <v>1189</v>
      </c>
      <c r="B1190" s="18"/>
      <c r="C1190" s="13" t="s">
        <v>1963</v>
      </c>
      <c r="D1190" s="22" t="s">
        <v>1964</v>
      </c>
      <c r="E1190" s="22">
        <v>3190424006</v>
      </c>
      <c r="F1190" s="22" t="s">
        <v>1218</v>
      </c>
      <c r="G1190" s="18"/>
      <c r="H1190" s="18"/>
      <c r="I1190" s="22" t="s">
        <v>1938</v>
      </c>
      <c r="J1190" s="14" t="s">
        <v>1939</v>
      </c>
      <c r="K1190" s="14" t="s">
        <v>1550</v>
      </c>
      <c r="L1190" s="15">
        <v>46035</v>
      </c>
      <c r="M1190" s="16">
        <v>2026</v>
      </c>
      <c r="S1190" s="9"/>
    </row>
    <row r="1191" spans="1:19" ht="31.2" hidden="1">
      <c r="A1191" s="5">
        <v>1190</v>
      </c>
      <c r="B1191" s="18"/>
      <c r="C1191" s="13" t="s">
        <v>1965</v>
      </c>
      <c r="D1191" s="22" t="s">
        <v>1966</v>
      </c>
      <c r="E1191" s="22">
        <v>3190424016</v>
      </c>
      <c r="F1191" s="22" t="s">
        <v>1218</v>
      </c>
      <c r="G1191" s="18"/>
      <c r="H1191" s="18"/>
      <c r="I1191" s="22" t="s">
        <v>1938</v>
      </c>
      <c r="J1191" s="14" t="s">
        <v>1939</v>
      </c>
      <c r="K1191" s="14" t="s">
        <v>1552</v>
      </c>
      <c r="L1191" s="15">
        <v>46036</v>
      </c>
      <c r="M1191" s="16">
        <v>2026</v>
      </c>
      <c r="S1191" s="9"/>
    </row>
    <row r="1192" spans="1:19" ht="31.2" hidden="1">
      <c r="A1192" s="5">
        <v>1191</v>
      </c>
      <c r="B1192" s="18"/>
      <c r="C1192" s="13"/>
      <c r="D1192" s="22" t="s">
        <v>1967</v>
      </c>
      <c r="E1192" s="22">
        <v>3190424010</v>
      </c>
      <c r="F1192" s="22" t="s">
        <v>1218</v>
      </c>
      <c r="G1192" s="18"/>
      <c r="H1192" s="18"/>
      <c r="I1192" s="22" t="s">
        <v>1938</v>
      </c>
      <c r="J1192" s="14" t="s">
        <v>1939</v>
      </c>
      <c r="K1192" s="14" t="s">
        <v>1554</v>
      </c>
      <c r="L1192" s="15">
        <v>46037</v>
      </c>
      <c r="M1192" s="16">
        <v>2026</v>
      </c>
      <c r="S1192" s="9"/>
    </row>
    <row r="1193" spans="1:19" ht="31.2" hidden="1">
      <c r="A1193" s="5">
        <v>1192</v>
      </c>
      <c r="B1193" s="18"/>
      <c r="C1193" s="13"/>
      <c r="D1193" s="22" t="s">
        <v>1968</v>
      </c>
      <c r="E1193" s="22">
        <v>3190424045</v>
      </c>
      <c r="F1193" s="22" t="s">
        <v>1218</v>
      </c>
      <c r="G1193" s="18"/>
      <c r="H1193" s="18"/>
      <c r="I1193" s="22" t="s">
        <v>1938</v>
      </c>
      <c r="J1193" s="14" t="s">
        <v>1939</v>
      </c>
      <c r="K1193" s="14" t="s">
        <v>1555</v>
      </c>
      <c r="L1193" s="15">
        <v>46038</v>
      </c>
      <c r="M1193" s="16">
        <v>2026</v>
      </c>
      <c r="S1193" s="9"/>
    </row>
    <row r="1194" spans="1:19" ht="31.2" hidden="1">
      <c r="A1194" s="5">
        <v>1193</v>
      </c>
      <c r="B1194" s="18"/>
      <c r="C1194" s="13"/>
      <c r="D1194" s="22" t="s">
        <v>1969</v>
      </c>
      <c r="E1194" s="22">
        <v>3190424074</v>
      </c>
      <c r="F1194" s="22" t="s">
        <v>1218</v>
      </c>
      <c r="G1194" s="18"/>
      <c r="H1194" s="18"/>
      <c r="I1194" s="22" t="s">
        <v>1938</v>
      </c>
      <c r="J1194" s="14" t="s">
        <v>1939</v>
      </c>
      <c r="K1194" s="14" t="s">
        <v>1556</v>
      </c>
      <c r="L1194" s="15">
        <v>46039</v>
      </c>
      <c r="M1194" s="16">
        <v>2026</v>
      </c>
      <c r="S1194" s="9"/>
    </row>
    <row r="1195" spans="1:19" ht="31.2" hidden="1">
      <c r="A1195" s="5">
        <v>1194</v>
      </c>
      <c r="B1195" s="18"/>
      <c r="C1195" s="13" t="s">
        <v>1970</v>
      </c>
      <c r="D1195" s="22" t="s">
        <v>1971</v>
      </c>
      <c r="E1195" s="22">
        <v>3190124002</v>
      </c>
      <c r="F1195" s="22" t="s">
        <v>1972</v>
      </c>
      <c r="G1195" s="18"/>
      <c r="H1195" s="18"/>
      <c r="I1195" s="22" t="s">
        <v>1938</v>
      </c>
      <c r="J1195" s="14" t="s">
        <v>1939</v>
      </c>
      <c r="K1195" s="14" t="s">
        <v>1557</v>
      </c>
      <c r="L1195" s="15">
        <v>46040</v>
      </c>
      <c r="M1195" s="16">
        <v>2026</v>
      </c>
      <c r="S1195" s="9"/>
    </row>
    <row r="1196" spans="1:19" ht="15.6" hidden="1">
      <c r="A1196" s="5">
        <v>1195</v>
      </c>
      <c r="B1196" s="18"/>
      <c r="C1196" s="13"/>
      <c r="D1196" s="22" t="s">
        <v>1156</v>
      </c>
      <c r="E1196" s="22">
        <v>3140725058</v>
      </c>
      <c r="F1196" s="22" t="s">
        <v>1973</v>
      </c>
      <c r="G1196" s="18"/>
      <c r="H1196" s="18"/>
      <c r="I1196" s="22" t="s">
        <v>1974</v>
      </c>
      <c r="J1196" s="14" t="s">
        <v>1975</v>
      </c>
      <c r="K1196" s="14" t="s">
        <v>1352</v>
      </c>
      <c r="L1196" s="15">
        <v>46041</v>
      </c>
      <c r="M1196" s="16">
        <v>2026</v>
      </c>
      <c r="S1196" s="9"/>
    </row>
    <row r="1197" spans="1:19" ht="31.2" hidden="1">
      <c r="A1197" s="5">
        <v>1196</v>
      </c>
      <c r="B1197" s="18"/>
      <c r="C1197" s="13"/>
      <c r="D1197" s="22" t="s">
        <v>1976</v>
      </c>
      <c r="E1197" s="22">
        <v>3190123028</v>
      </c>
      <c r="F1197" s="22" t="s">
        <v>1177</v>
      </c>
      <c r="G1197" s="18"/>
      <c r="H1197" s="18"/>
      <c r="I1197" s="22" t="s">
        <v>1938</v>
      </c>
      <c r="J1197" s="14" t="s">
        <v>1939</v>
      </c>
      <c r="K1197" s="14" t="s">
        <v>1560</v>
      </c>
      <c r="L1197" s="15">
        <v>46042</v>
      </c>
      <c r="M1197" s="16">
        <v>2026</v>
      </c>
      <c r="S1197" s="9"/>
    </row>
    <row r="1198" spans="1:19" ht="31.2" hidden="1">
      <c r="A1198" s="5">
        <v>1197</v>
      </c>
      <c r="B1198" s="18"/>
      <c r="C1198" s="13"/>
      <c r="D1198" s="22" t="s">
        <v>1977</v>
      </c>
      <c r="E1198" s="22">
        <v>3190125025</v>
      </c>
      <c r="F1198" s="22" t="s">
        <v>1978</v>
      </c>
      <c r="G1198" s="18"/>
      <c r="H1198" s="18"/>
      <c r="I1198" s="22" t="s">
        <v>1938</v>
      </c>
      <c r="J1198" s="14" t="s">
        <v>1939</v>
      </c>
      <c r="K1198" s="14" t="s">
        <v>1561</v>
      </c>
      <c r="L1198" s="15">
        <v>46043</v>
      </c>
      <c r="M1198" s="16">
        <v>2026</v>
      </c>
      <c r="S1198" s="9"/>
    </row>
    <row r="1199" spans="1:19" ht="31.2" hidden="1">
      <c r="A1199" s="5">
        <v>1198</v>
      </c>
      <c r="B1199" s="18"/>
      <c r="C1199" s="13" t="s">
        <v>1979</v>
      </c>
      <c r="D1199" s="22" t="s">
        <v>1200</v>
      </c>
      <c r="E1199" s="22">
        <v>3190123007</v>
      </c>
      <c r="F1199" s="22" t="s">
        <v>1177</v>
      </c>
      <c r="G1199" s="18"/>
      <c r="H1199" s="18"/>
      <c r="I1199" s="22" t="s">
        <v>1938</v>
      </c>
      <c r="J1199" s="14" t="s">
        <v>1939</v>
      </c>
      <c r="K1199" s="14" t="s">
        <v>1562</v>
      </c>
      <c r="L1199" s="15">
        <v>46044</v>
      </c>
      <c r="M1199" s="16">
        <v>2026</v>
      </c>
      <c r="S1199" s="9"/>
    </row>
    <row r="1200" spans="1:19" ht="31.2" hidden="1">
      <c r="A1200" s="5">
        <v>1199</v>
      </c>
      <c r="B1200" s="18"/>
      <c r="C1200" s="13"/>
      <c r="D1200" s="22" t="s">
        <v>1204</v>
      </c>
      <c r="E1200" s="22">
        <v>3190123012</v>
      </c>
      <c r="F1200" s="22" t="s">
        <v>1177</v>
      </c>
      <c r="G1200" s="18"/>
      <c r="H1200" s="18"/>
      <c r="I1200" s="22" t="s">
        <v>1938</v>
      </c>
      <c r="J1200" s="14" t="s">
        <v>1939</v>
      </c>
      <c r="K1200" s="14" t="s">
        <v>1563</v>
      </c>
      <c r="L1200" s="15">
        <v>46045</v>
      </c>
      <c r="M1200" s="16">
        <v>2026</v>
      </c>
      <c r="S1200" s="9"/>
    </row>
    <row r="1201" spans="1:19" ht="31.2" hidden="1">
      <c r="A1201" s="5">
        <v>1200</v>
      </c>
      <c r="B1201" s="18"/>
      <c r="C1201" s="13"/>
      <c r="D1201" s="22" t="s">
        <v>1202</v>
      </c>
      <c r="E1201" s="22">
        <v>3190123038</v>
      </c>
      <c r="F1201" s="22" t="s">
        <v>1177</v>
      </c>
      <c r="G1201" s="18"/>
      <c r="H1201" s="18"/>
      <c r="I1201" s="22" t="s">
        <v>1938</v>
      </c>
      <c r="J1201" s="14" t="s">
        <v>1939</v>
      </c>
      <c r="K1201" s="14" t="s">
        <v>1564</v>
      </c>
      <c r="L1201" s="15">
        <v>46046</v>
      </c>
      <c r="M1201" s="16">
        <v>2026</v>
      </c>
      <c r="S1201" s="9"/>
    </row>
    <row r="1202" spans="1:19" ht="31.2" hidden="1">
      <c r="A1202" s="5">
        <v>1201</v>
      </c>
      <c r="B1202" s="18"/>
      <c r="C1202" s="13" t="s">
        <v>1980</v>
      </c>
      <c r="D1202" s="22" t="s">
        <v>1981</v>
      </c>
      <c r="E1202" s="22">
        <v>3190123002</v>
      </c>
      <c r="F1202" s="22" t="s">
        <v>1177</v>
      </c>
      <c r="G1202" s="18"/>
      <c r="H1202" s="18"/>
      <c r="I1202" s="22" t="s">
        <v>1938</v>
      </c>
      <c r="J1202" s="14" t="s">
        <v>1939</v>
      </c>
      <c r="K1202" s="14" t="s">
        <v>1566</v>
      </c>
      <c r="L1202" s="15">
        <v>46047</v>
      </c>
      <c r="M1202" s="16">
        <v>2026</v>
      </c>
      <c r="S1202" s="9"/>
    </row>
    <row r="1203" spans="1:19" ht="31.2" hidden="1">
      <c r="A1203" s="5">
        <v>1202</v>
      </c>
      <c r="B1203" s="18"/>
      <c r="C1203" s="13"/>
      <c r="D1203" s="22" t="s">
        <v>1982</v>
      </c>
      <c r="E1203" s="22">
        <v>3190123052</v>
      </c>
      <c r="F1203" s="22" t="s">
        <v>1177</v>
      </c>
      <c r="G1203" s="18"/>
      <c r="H1203" s="18"/>
      <c r="I1203" s="22" t="s">
        <v>1938</v>
      </c>
      <c r="J1203" s="14" t="s">
        <v>1939</v>
      </c>
      <c r="K1203" s="14" t="s">
        <v>1567</v>
      </c>
      <c r="L1203" s="15">
        <v>46048</v>
      </c>
      <c r="M1203" s="16">
        <v>2026</v>
      </c>
      <c r="S1203" s="9"/>
    </row>
    <row r="1204" spans="1:19" ht="31.2" hidden="1">
      <c r="A1204" s="5">
        <v>1203</v>
      </c>
      <c r="B1204" s="18"/>
      <c r="C1204" s="13"/>
      <c r="D1204" s="22" t="s">
        <v>1983</v>
      </c>
      <c r="E1204" s="22">
        <v>3190123015</v>
      </c>
      <c r="F1204" s="22" t="s">
        <v>1177</v>
      </c>
      <c r="G1204" s="18"/>
      <c r="H1204" s="18"/>
      <c r="I1204" s="22" t="s">
        <v>1938</v>
      </c>
      <c r="J1204" s="14" t="s">
        <v>1939</v>
      </c>
      <c r="K1204" s="14" t="s">
        <v>1569</v>
      </c>
      <c r="L1204" s="15">
        <v>46049</v>
      </c>
      <c r="M1204" s="16">
        <v>2026</v>
      </c>
      <c r="S1204" s="9"/>
    </row>
    <row r="1205" spans="1:19" ht="31.2" hidden="1">
      <c r="A1205" s="5">
        <v>1204</v>
      </c>
      <c r="B1205" s="18"/>
      <c r="C1205" s="13" t="s">
        <v>1984</v>
      </c>
      <c r="D1205" s="22" t="s">
        <v>1197</v>
      </c>
      <c r="E1205" s="22">
        <v>3190123029</v>
      </c>
      <c r="F1205" s="22" t="s">
        <v>1177</v>
      </c>
      <c r="G1205" s="18"/>
      <c r="H1205" s="18"/>
      <c r="I1205" s="22" t="s">
        <v>1938</v>
      </c>
      <c r="J1205" s="14" t="s">
        <v>1939</v>
      </c>
      <c r="K1205" s="14" t="s">
        <v>1572</v>
      </c>
      <c r="L1205" s="15">
        <v>46050</v>
      </c>
      <c r="M1205" s="16">
        <v>2026</v>
      </c>
      <c r="S1205" s="9"/>
    </row>
    <row r="1206" spans="1:19" ht="31.2" hidden="1">
      <c r="A1206" s="5">
        <v>1205</v>
      </c>
      <c r="B1206" s="18"/>
      <c r="C1206" s="13"/>
      <c r="D1206" s="22" t="s">
        <v>1183</v>
      </c>
      <c r="E1206" s="22">
        <v>3190123061</v>
      </c>
      <c r="F1206" s="22" t="s">
        <v>1177</v>
      </c>
      <c r="G1206" s="18"/>
      <c r="H1206" s="18"/>
      <c r="I1206" s="22" t="s">
        <v>1938</v>
      </c>
      <c r="J1206" s="14" t="s">
        <v>1939</v>
      </c>
      <c r="K1206" s="14" t="s">
        <v>1574</v>
      </c>
      <c r="L1206" s="15">
        <v>46051</v>
      </c>
      <c r="M1206" s="16">
        <v>2026</v>
      </c>
      <c r="S1206" s="9"/>
    </row>
    <row r="1207" spans="1:19" ht="31.2" hidden="1">
      <c r="A1207" s="5">
        <v>1206</v>
      </c>
      <c r="B1207" s="18"/>
      <c r="C1207" s="13"/>
      <c r="D1207" s="22" t="s">
        <v>1195</v>
      </c>
      <c r="E1207" s="22">
        <v>3190123042</v>
      </c>
      <c r="F1207" s="22" t="s">
        <v>1177</v>
      </c>
      <c r="G1207" s="18"/>
      <c r="H1207" s="18"/>
      <c r="I1207" s="22" t="s">
        <v>1938</v>
      </c>
      <c r="J1207" s="14" t="s">
        <v>1939</v>
      </c>
      <c r="K1207" s="14" t="s">
        <v>1576</v>
      </c>
      <c r="L1207" s="15">
        <v>46052</v>
      </c>
      <c r="M1207" s="16">
        <v>2026</v>
      </c>
      <c r="S1207" s="9"/>
    </row>
    <row r="1208" spans="1:19" ht="31.2" hidden="1">
      <c r="A1208" s="5">
        <v>1207</v>
      </c>
      <c r="B1208" s="18"/>
      <c r="C1208" s="13"/>
      <c r="D1208" s="22" t="s">
        <v>1188</v>
      </c>
      <c r="E1208" s="22">
        <v>3190123048</v>
      </c>
      <c r="F1208" s="22" t="s">
        <v>1177</v>
      </c>
      <c r="G1208" s="18"/>
      <c r="H1208" s="18"/>
      <c r="I1208" s="22" t="s">
        <v>1938</v>
      </c>
      <c r="J1208" s="14" t="s">
        <v>1939</v>
      </c>
      <c r="K1208" s="14" t="s">
        <v>1578</v>
      </c>
      <c r="L1208" s="15">
        <v>46053</v>
      </c>
      <c r="M1208" s="16">
        <v>2026</v>
      </c>
      <c r="S1208" s="9"/>
    </row>
    <row r="1209" spans="1:19" ht="31.2" hidden="1">
      <c r="A1209" s="5">
        <v>1208</v>
      </c>
      <c r="B1209" s="18"/>
      <c r="C1209" s="13" t="s">
        <v>1985</v>
      </c>
      <c r="D1209" s="22" t="s">
        <v>1986</v>
      </c>
      <c r="E1209" s="22">
        <v>3190125022</v>
      </c>
      <c r="F1209" s="22" t="s">
        <v>1978</v>
      </c>
      <c r="G1209" s="18"/>
      <c r="H1209" s="18"/>
      <c r="I1209" s="22" t="s">
        <v>1938</v>
      </c>
      <c r="J1209" s="14" t="s">
        <v>1939</v>
      </c>
      <c r="K1209" s="14" t="s">
        <v>1579</v>
      </c>
      <c r="L1209" s="15">
        <v>46054</v>
      </c>
      <c r="M1209" s="16">
        <v>2026</v>
      </c>
      <c r="S1209" s="9"/>
    </row>
    <row r="1210" spans="1:19" ht="31.2" hidden="1">
      <c r="A1210" s="5">
        <v>1209</v>
      </c>
      <c r="B1210" s="18"/>
      <c r="C1210" s="13"/>
      <c r="D1210" s="22" t="s">
        <v>1987</v>
      </c>
      <c r="E1210" s="22">
        <v>3190125005</v>
      </c>
      <c r="F1210" s="22" t="s">
        <v>1978</v>
      </c>
      <c r="G1210" s="18"/>
      <c r="H1210" s="18"/>
      <c r="I1210" s="22" t="s">
        <v>1938</v>
      </c>
      <c r="J1210" s="14" t="s">
        <v>1939</v>
      </c>
      <c r="K1210" s="14" t="s">
        <v>1582</v>
      </c>
      <c r="L1210" s="15">
        <v>46055</v>
      </c>
      <c r="M1210" s="16">
        <v>2026</v>
      </c>
      <c r="S1210" s="9"/>
    </row>
    <row r="1211" spans="1:19" ht="31.2" hidden="1">
      <c r="A1211" s="5">
        <v>1210</v>
      </c>
      <c r="B1211" s="18"/>
      <c r="C1211" s="13"/>
      <c r="D1211" s="22" t="s">
        <v>1988</v>
      </c>
      <c r="E1211" s="22">
        <v>3190125020</v>
      </c>
      <c r="F1211" s="22" t="s">
        <v>1978</v>
      </c>
      <c r="G1211" s="18"/>
      <c r="H1211" s="18"/>
      <c r="I1211" s="22" t="s">
        <v>1938</v>
      </c>
      <c r="J1211" s="14" t="s">
        <v>1939</v>
      </c>
      <c r="K1211" s="14" t="s">
        <v>1584</v>
      </c>
      <c r="L1211" s="15">
        <v>46056</v>
      </c>
      <c r="M1211" s="16">
        <v>2026</v>
      </c>
      <c r="S1211" s="9"/>
    </row>
    <row r="1212" spans="1:19" ht="31.2" hidden="1">
      <c r="A1212" s="5">
        <v>1211</v>
      </c>
      <c r="B1212" s="18"/>
      <c r="C1212" s="13"/>
      <c r="D1212" s="22" t="s">
        <v>1989</v>
      </c>
      <c r="E1212" s="22">
        <v>3190125015</v>
      </c>
      <c r="F1212" s="22" t="s">
        <v>1978</v>
      </c>
      <c r="G1212" s="18"/>
      <c r="H1212" s="18"/>
      <c r="I1212" s="22" t="s">
        <v>1938</v>
      </c>
      <c r="J1212" s="14" t="s">
        <v>1939</v>
      </c>
      <c r="K1212" s="14" t="s">
        <v>1586</v>
      </c>
      <c r="L1212" s="15">
        <v>46057</v>
      </c>
      <c r="M1212" s="16">
        <v>2026</v>
      </c>
      <c r="S1212" s="9"/>
    </row>
    <row r="1213" spans="1:19" ht="31.2" hidden="1">
      <c r="A1213" s="5">
        <v>1212</v>
      </c>
      <c r="B1213" s="18"/>
      <c r="C1213" s="13" t="s">
        <v>1990</v>
      </c>
      <c r="D1213" s="22" t="s">
        <v>1991</v>
      </c>
      <c r="E1213" s="22">
        <v>3190124009</v>
      </c>
      <c r="F1213" s="22" t="s">
        <v>1972</v>
      </c>
      <c r="G1213" s="18"/>
      <c r="H1213" s="18"/>
      <c r="I1213" s="22" t="s">
        <v>1938</v>
      </c>
      <c r="J1213" s="14" t="s">
        <v>1939</v>
      </c>
      <c r="K1213" s="14" t="s">
        <v>1588</v>
      </c>
      <c r="L1213" s="15">
        <v>46058</v>
      </c>
      <c r="M1213" s="16">
        <v>2026</v>
      </c>
      <c r="S1213" s="9"/>
    </row>
    <row r="1214" spans="1:19" ht="31.2" hidden="1">
      <c r="A1214" s="5">
        <v>1213</v>
      </c>
      <c r="B1214" s="18"/>
      <c r="C1214" s="13"/>
      <c r="D1214" s="22" t="s">
        <v>1573</v>
      </c>
      <c r="E1214" s="22">
        <v>3190124003</v>
      </c>
      <c r="F1214" s="22" t="s">
        <v>1972</v>
      </c>
      <c r="G1214" s="18"/>
      <c r="H1214" s="18"/>
      <c r="I1214" s="22" t="s">
        <v>1938</v>
      </c>
      <c r="J1214" s="14" t="s">
        <v>1939</v>
      </c>
      <c r="K1214" s="14" t="s">
        <v>1591</v>
      </c>
      <c r="L1214" s="15">
        <v>46059</v>
      </c>
      <c r="M1214" s="16">
        <v>2026</v>
      </c>
      <c r="S1214" s="9"/>
    </row>
    <row r="1215" spans="1:19" ht="31.2" hidden="1">
      <c r="A1215" s="5">
        <v>1214</v>
      </c>
      <c r="B1215" s="18"/>
      <c r="C1215" s="13"/>
      <c r="D1215" s="22" t="s">
        <v>1992</v>
      </c>
      <c r="E1215" s="22">
        <v>3190124010</v>
      </c>
      <c r="F1215" s="22" t="s">
        <v>1972</v>
      </c>
      <c r="G1215" s="18"/>
      <c r="H1215" s="18"/>
      <c r="I1215" s="22" t="s">
        <v>1938</v>
      </c>
      <c r="J1215" s="14" t="s">
        <v>1939</v>
      </c>
      <c r="K1215" s="14" t="s">
        <v>1593</v>
      </c>
      <c r="L1215" s="15">
        <v>46060</v>
      </c>
      <c r="M1215" s="16">
        <v>2026</v>
      </c>
      <c r="S1215" s="9"/>
    </row>
    <row r="1216" spans="1:19" ht="31.2" hidden="1">
      <c r="A1216" s="5">
        <v>1215</v>
      </c>
      <c r="B1216" s="18"/>
      <c r="C1216" s="13" t="s">
        <v>1993</v>
      </c>
      <c r="D1216" s="22" t="s">
        <v>1994</v>
      </c>
      <c r="E1216" s="22">
        <v>3190125010</v>
      </c>
      <c r="F1216" s="22" t="s">
        <v>1978</v>
      </c>
      <c r="G1216" s="18"/>
      <c r="H1216" s="18"/>
      <c r="I1216" s="22" t="s">
        <v>1938</v>
      </c>
      <c r="J1216" s="14" t="s">
        <v>1939</v>
      </c>
      <c r="K1216" s="14" t="s">
        <v>1595</v>
      </c>
      <c r="L1216" s="15">
        <v>46061</v>
      </c>
      <c r="M1216" s="16">
        <v>2026</v>
      </c>
      <c r="S1216" s="9"/>
    </row>
    <row r="1217" spans="1:19" ht="31.2" hidden="1">
      <c r="A1217" s="5">
        <v>1216</v>
      </c>
      <c r="B1217" s="18"/>
      <c r="C1217" s="13"/>
      <c r="D1217" s="22" t="s">
        <v>1995</v>
      </c>
      <c r="E1217" s="22">
        <v>3190125024</v>
      </c>
      <c r="F1217" s="22" t="s">
        <v>1978</v>
      </c>
      <c r="G1217" s="18"/>
      <c r="H1217" s="18"/>
      <c r="I1217" s="22" t="s">
        <v>1938</v>
      </c>
      <c r="J1217" s="14" t="s">
        <v>1939</v>
      </c>
      <c r="K1217" s="14" t="s">
        <v>1597</v>
      </c>
      <c r="L1217" s="15">
        <v>46062</v>
      </c>
      <c r="M1217" s="16">
        <v>2026</v>
      </c>
      <c r="S1217" s="9"/>
    </row>
    <row r="1218" spans="1:19" ht="31.2" hidden="1">
      <c r="A1218" s="5">
        <v>1217</v>
      </c>
      <c r="B1218" s="18"/>
      <c r="C1218" s="13"/>
      <c r="D1218" s="22" t="s">
        <v>1996</v>
      </c>
      <c r="E1218" s="22">
        <v>3190125016</v>
      </c>
      <c r="F1218" s="22" t="s">
        <v>1978</v>
      </c>
      <c r="G1218" s="18"/>
      <c r="H1218" s="18"/>
      <c r="I1218" s="22" t="s">
        <v>1938</v>
      </c>
      <c r="J1218" s="14" t="s">
        <v>1939</v>
      </c>
      <c r="K1218" s="14" t="s">
        <v>1599</v>
      </c>
      <c r="L1218" s="15">
        <v>46063</v>
      </c>
      <c r="M1218" s="16">
        <v>2026</v>
      </c>
      <c r="S1218" s="9"/>
    </row>
    <row r="1219" spans="1:19" ht="31.2" hidden="1">
      <c r="A1219" s="5">
        <v>1218</v>
      </c>
      <c r="B1219" s="18"/>
      <c r="C1219" s="13" t="s">
        <v>1997</v>
      </c>
      <c r="D1219" s="22" t="s">
        <v>1998</v>
      </c>
      <c r="E1219" s="22">
        <v>3180724003</v>
      </c>
      <c r="F1219" s="22" t="s">
        <v>1999</v>
      </c>
      <c r="G1219" s="18"/>
      <c r="H1219" s="18"/>
      <c r="I1219" s="22" t="s">
        <v>1938</v>
      </c>
      <c r="J1219" s="14" t="s">
        <v>1939</v>
      </c>
      <c r="K1219" s="14" t="s">
        <v>1601</v>
      </c>
      <c r="L1219" s="15">
        <v>46064</v>
      </c>
      <c r="M1219" s="16">
        <v>2026</v>
      </c>
      <c r="S1219" s="9"/>
    </row>
    <row r="1220" spans="1:19" ht="31.2" hidden="1">
      <c r="A1220" s="5">
        <v>1219</v>
      </c>
      <c r="B1220" s="18"/>
      <c r="C1220" s="13"/>
      <c r="D1220" s="22" t="s">
        <v>2000</v>
      </c>
      <c r="E1220" s="22">
        <v>3180724036</v>
      </c>
      <c r="F1220" s="22" t="s">
        <v>2001</v>
      </c>
      <c r="G1220" s="18"/>
      <c r="H1220" s="18"/>
      <c r="I1220" s="22" t="s">
        <v>1938</v>
      </c>
      <c r="J1220" s="14" t="s">
        <v>1939</v>
      </c>
      <c r="K1220" s="14" t="s">
        <v>1603</v>
      </c>
      <c r="L1220" s="15">
        <v>46065</v>
      </c>
      <c r="M1220" s="16">
        <v>2026</v>
      </c>
      <c r="S1220" s="9"/>
    </row>
    <row r="1221" spans="1:19" ht="31.2" hidden="1">
      <c r="A1221" s="5">
        <v>1220</v>
      </c>
      <c r="B1221" s="18"/>
      <c r="C1221" s="13"/>
      <c r="D1221" s="22" t="s">
        <v>2002</v>
      </c>
      <c r="E1221" s="22">
        <v>3180724087</v>
      </c>
      <c r="F1221" s="22" t="s">
        <v>2003</v>
      </c>
      <c r="G1221" s="18"/>
      <c r="H1221" s="18"/>
      <c r="I1221" s="22" t="s">
        <v>1938</v>
      </c>
      <c r="J1221" s="14" t="s">
        <v>1939</v>
      </c>
      <c r="K1221" s="14" t="s">
        <v>1605</v>
      </c>
      <c r="L1221" s="15">
        <v>46066</v>
      </c>
      <c r="M1221" s="16">
        <v>2026</v>
      </c>
      <c r="S1221" s="9"/>
    </row>
    <row r="1222" spans="1:19" ht="31.2" hidden="1">
      <c r="A1222" s="5">
        <v>1221</v>
      </c>
      <c r="B1222" s="18"/>
      <c r="C1222" s="13" t="s">
        <v>2004</v>
      </c>
      <c r="D1222" s="22" t="s">
        <v>2005</v>
      </c>
      <c r="E1222" s="22">
        <v>3180723064</v>
      </c>
      <c r="F1222" s="22" t="s">
        <v>2006</v>
      </c>
      <c r="G1222" s="18"/>
      <c r="H1222" s="18"/>
      <c r="I1222" s="22" t="s">
        <v>1938</v>
      </c>
      <c r="J1222" s="14" t="s">
        <v>1939</v>
      </c>
      <c r="K1222" s="14" t="s">
        <v>1607</v>
      </c>
      <c r="L1222" s="15">
        <v>46067</v>
      </c>
      <c r="M1222" s="16">
        <v>2026</v>
      </c>
      <c r="S1222" s="9"/>
    </row>
    <row r="1223" spans="1:19" ht="31.2" hidden="1">
      <c r="A1223" s="5">
        <v>1222</v>
      </c>
      <c r="B1223" s="18"/>
      <c r="C1223" s="13"/>
      <c r="D1223" s="22" t="s">
        <v>2007</v>
      </c>
      <c r="E1223" s="22">
        <v>3180723062</v>
      </c>
      <c r="F1223" s="22" t="s">
        <v>2006</v>
      </c>
      <c r="G1223" s="18"/>
      <c r="H1223" s="18"/>
      <c r="I1223" s="22" t="s">
        <v>1938</v>
      </c>
      <c r="J1223" s="14" t="s">
        <v>1939</v>
      </c>
      <c r="K1223" s="14" t="s">
        <v>1609</v>
      </c>
      <c r="L1223" s="15">
        <v>46068</v>
      </c>
      <c r="M1223" s="16">
        <v>2026</v>
      </c>
      <c r="S1223" s="9"/>
    </row>
    <row r="1224" spans="1:19" ht="31.2" hidden="1">
      <c r="A1224" s="5">
        <v>1223</v>
      </c>
      <c r="B1224" s="18"/>
      <c r="C1224" s="13"/>
      <c r="D1224" s="22" t="s">
        <v>2008</v>
      </c>
      <c r="E1224" s="22">
        <v>3180723059</v>
      </c>
      <c r="F1224" s="22" t="s">
        <v>2006</v>
      </c>
      <c r="G1224" s="18"/>
      <c r="H1224" s="18"/>
      <c r="I1224" s="22" t="s">
        <v>1938</v>
      </c>
      <c r="J1224" s="14" t="s">
        <v>1939</v>
      </c>
      <c r="K1224" s="14" t="s">
        <v>1612</v>
      </c>
      <c r="L1224" s="15">
        <v>46069</v>
      </c>
      <c r="M1224" s="16">
        <v>2026</v>
      </c>
      <c r="S1224" s="9"/>
    </row>
    <row r="1225" spans="1:19" ht="31.2" hidden="1">
      <c r="A1225" s="5">
        <v>1224</v>
      </c>
      <c r="B1225" s="18"/>
      <c r="C1225" s="13"/>
      <c r="D1225" s="22" t="s">
        <v>2009</v>
      </c>
      <c r="E1225" s="22">
        <v>3180723088</v>
      </c>
      <c r="F1225" s="22" t="s">
        <v>2006</v>
      </c>
      <c r="G1225" s="18"/>
      <c r="H1225" s="18"/>
      <c r="I1225" s="22" t="s">
        <v>1938</v>
      </c>
      <c r="J1225" s="14" t="s">
        <v>1939</v>
      </c>
      <c r="K1225" s="14" t="s">
        <v>1614</v>
      </c>
      <c r="L1225" s="15">
        <v>46070</v>
      </c>
      <c r="M1225" s="16">
        <v>2026</v>
      </c>
      <c r="S1225" s="9"/>
    </row>
    <row r="1226" spans="1:19" ht="31.2" hidden="1">
      <c r="A1226" s="5">
        <v>1225</v>
      </c>
      <c r="B1226" s="18"/>
      <c r="C1226" s="13"/>
      <c r="D1226" s="22" t="s">
        <v>2010</v>
      </c>
      <c r="E1226" s="22">
        <v>3180723119</v>
      </c>
      <c r="F1226" s="22" t="s">
        <v>2006</v>
      </c>
      <c r="G1226" s="18"/>
      <c r="H1226" s="18"/>
      <c r="I1226" s="22" t="s">
        <v>1938</v>
      </c>
      <c r="J1226" s="14" t="s">
        <v>1939</v>
      </c>
      <c r="K1226" s="14" t="s">
        <v>1615</v>
      </c>
      <c r="L1226" s="15">
        <v>46071</v>
      </c>
      <c r="M1226" s="16">
        <v>2026</v>
      </c>
      <c r="S1226" s="9"/>
    </row>
    <row r="1227" spans="1:19" ht="31.2" hidden="1">
      <c r="A1227" s="5">
        <v>1226</v>
      </c>
      <c r="B1227" s="18"/>
      <c r="C1227" s="13" t="s">
        <v>2011</v>
      </c>
      <c r="D1227" s="22" t="s">
        <v>2012</v>
      </c>
      <c r="E1227" s="22">
        <v>3180724020</v>
      </c>
      <c r="F1227" s="22" t="s">
        <v>2001</v>
      </c>
      <c r="G1227" s="18"/>
      <c r="H1227" s="18"/>
      <c r="I1227" s="22" t="s">
        <v>1938</v>
      </c>
      <c r="J1227" s="14" t="s">
        <v>1939</v>
      </c>
      <c r="K1227" s="14" t="s">
        <v>1617</v>
      </c>
      <c r="L1227" s="15">
        <v>46072</v>
      </c>
      <c r="M1227" s="16">
        <v>2026</v>
      </c>
      <c r="S1227" s="9"/>
    </row>
    <row r="1228" spans="1:19" ht="31.2" hidden="1">
      <c r="A1228" s="5">
        <v>1227</v>
      </c>
      <c r="B1228" s="18"/>
      <c r="C1228" s="13"/>
      <c r="D1228" s="22" t="s">
        <v>2013</v>
      </c>
      <c r="E1228" s="22">
        <v>3180724048</v>
      </c>
      <c r="F1228" s="22" t="s">
        <v>2001</v>
      </c>
      <c r="G1228" s="18"/>
      <c r="H1228" s="18"/>
      <c r="I1228" s="22" t="s">
        <v>1938</v>
      </c>
      <c r="J1228" s="14" t="s">
        <v>1939</v>
      </c>
      <c r="K1228" s="14" t="s">
        <v>1619</v>
      </c>
      <c r="L1228" s="15">
        <v>46073</v>
      </c>
      <c r="M1228" s="16">
        <v>2026</v>
      </c>
      <c r="S1228" s="9"/>
    </row>
    <row r="1229" spans="1:19" ht="31.2" hidden="1">
      <c r="A1229" s="5">
        <v>1228</v>
      </c>
      <c r="B1229" s="18"/>
      <c r="C1229" s="13"/>
      <c r="D1229" s="22" t="s">
        <v>2014</v>
      </c>
      <c r="E1229" s="22">
        <v>3180724063</v>
      </c>
      <c r="F1229" s="22" t="s">
        <v>2001</v>
      </c>
      <c r="G1229" s="18"/>
      <c r="H1229" s="18"/>
      <c r="I1229" s="22" t="s">
        <v>1938</v>
      </c>
      <c r="J1229" s="14" t="s">
        <v>1939</v>
      </c>
      <c r="K1229" s="14" t="s">
        <v>1623</v>
      </c>
      <c r="L1229" s="15">
        <v>46074</v>
      </c>
      <c r="M1229" s="16">
        <v>2026</v>
      </c>
      <c r="S1229" s="9"/>
    </row>
    <row r="1230" spans="1:19" ht="31.2" hidden="1">
      <c r="A1230" s="5">
        <v>1229</v>
      </c>
      <c r="B1230" s="18"/>
      <c r="C1230" s="13"/>
      <c r="D1230" s="22" t="s">
        <v>2015</v>
      </c>
      <c r="E1230" s="22">
        <v>3180724031</v>
      </c>
      <c r="F1230" s="22" t="s">
        <v>2001</v>
      </c>
      <c r="G1230" s="18"/>
      <c r="H1230" s="18"/>
      <c r="I1230" s="22" t="s">
        <v>1938</v>
      </c>
      <c r="J1230" s="14" t="s">
        <v>1939</v>
      </c>
      <c r="K1230" s="14" t="s">
        <v>1625</v>
      </c>
      <c r="L1230" s="15">
        <v>46075</v>
      </c>
      <c r="M1230" s="16">
        <v>2026</v>
      </c>
      <c r="S1230" s="9"/>
    </row>
    <row r="1231" spans="1:19" ht="31.2" hidden="1">
      <c r="A1231" s="5">
        <v>1230</v>
      </c>
      <c r="B1231" s="18"/>
      <c r="C1231" s="13"/>
      <c r="D1231" s="22" t="s">
        <v>1451</v>
      </c>
      <c r="E1231" s="22">
        <v>3180724046</v>
      </c>
      <c r="F1231" s="22" t="s">
        <v>2001</v>
      </c>
      <c r="G1231" s="18"/>
      <c r="H1231" s="18"/>
      <c r="I1231" s="22" t="s">
        <v>1938</v>
      </c>
      <c r="J1231" s="14" t="s">
        <v>1939</v>
      </c>
      <c r="K1231" s="14" t="s">
        <v>1627</v>
      </c>
      <c r="L1231" s="15">
        <v>46076</v>
      </c>
      <c r="M1231" s="16">
        <v>2026</v>
      </c>
      <c r="S1231" s="9"/>
    </row>
    <row r="1232" spans="1:19" ht="31.2" hidden="1">
      <c r="A1232" s="5">
        <v>1231</v>
      </c>
      <c r="B1232" s="18"/>
      <c r="C1232" s="13" t="s">
        <v>2016</v>
      </c>
      <c r="D1232" s="22" t="s">
        <v>2017</v>
      </c>
      <c r="E1232" s="22">
        <v>3180724042</v>
      </c>
      <c r="F1232" s="22" t="s">
        <v>2018</v>
      </c>
      <c r="G1232" s="18"/>
      <c r="H1232" s="18"/>
      <c r="I1232" s="22" t="s">
        <v>1938</v>
      </c>
      <c r="J1232" s="14" t="s">
        <v>1939</v>
      </c>
      <c r="K1232" s="14" t="s">
        <v>1630</v>
      </c>
      <c r="L1232" s="15">
        <v>46077</v>
      </c>
      <c r="M1232" s="16">
        <v>2026</v>
      </c>
      <c r="S1232" s="9"/>
    </row>
    <row r="1233" spans="1:19" ht="31.2" hidden="1">
      <c r="A1233" s="5">
        <v>1232</v>
      </c>
      <c r="B1233" s="18"/>
      <c r="C1233" s="13"/>
      <c r="D1233" s="22" t="s">
        <v>2019</v>
      </c>
      <c r="E1233" s="22">
        <v>3180724038</v>
      </c>
      <c r="F1233" s="22" t="s">
        <v>2018</v>
      </c>
      <c r="G1233" s="18"/>
      <c r="H1233" s="18"/>
      <c r="I1233" s="22" t="s">
        <v>1938</v>
      </c>
      <c r="J1233" s="14" t="s">
        <v>1939</v>
      </c>
      <c r="K1233" s="14" t="s">
        <v>1632</v>
      </c>
      <c r="L1233" s="15">
        <v>46078</v>
      </c>
      <c r="M1233" s="16">
        <v>2026</v>
      </c>
      <c r="S1233" s="9"/>
    </row>
    <row r="1234" spans="1:19" ht="31.2" hidden="1">
      <c r="A1234" s="5">
        <v>1233</v>
      </c>
      <c r="B1234" s="18"/>
      <c r="C1234" s="13"/>
      <c r="D1234" s="22" t="s">
        <v>2020</v>
      </c>
      <c r="E1234" s="22">
        <v>3180724080</v>
      </c>
      <c r="F1234" s="22" t="s">
        <v>2018</v>
      </c>
      <c r="G1234" s="18"/>
      <c r="H1234" s="18"/>
      <c r="I1234" s="22" t="s">
        <v>1938</v>
      </c>
      <c r="J1234" s="14" t="s">
        <v>1939</v>
      </c>
      <c r="K1234" s="14" t="s">
        <v>1635</v>
      </c>
      <c r="L1234" s="15">
        <v>46079</v>
      </c>
      <c r="M1234" s="16">
        <v>2026</v>
      </c>
      <c r="S1234" s="9"/>
    </row>
    <row r="1235" spans="1:19" ht="31.2" hidden="1">
      <c r="A1235" s="5">
        <v>1234</v>
      </c>
      <c r="B1235" s="18"/>
      <c r="C1235" s="13"/>
      <c r="D1235" s="22" t="s">
        <v>2021</v>
      </c>
      <c r="E1235" s="22">
        <v>3180724024</v>
      </c>
      <c r="F1235" s="22" t="s">
        <v>2018</v>
      </c>
      <c r="G1235" s="18"/>
      <c r="H1235" s="18"/>
      <c r="I1235" s="22" t="s">
        <v>1938</v>
      </c>
      <c r="J1235" s="14" t="s">
        <v>1939</v>
      </c>
      <c r="K1235" s="14" t="s">
        <v>1638</v>
      </c>
      <c r="L1235" s="15">
        <v>46080</v>
      </c>
      <c r="M1235" s="16">
        <v>2026</v>
      </c>
      <c r="S1235" s="9"/>
    </row>
    <row r="1236" spans="1:19" ht="31.2" hidden="1">
      <c r="A1236" s="5">
        <v>1235</v>
      </c>
      <c r="B1236" s="18"/>
      <c r="C1236" s="13"/>
      <c r="D1236" s="22" t="s">
        <v>2022</v>
      </c>
      <c r="E1236" s="22">
        <v>3180724028</v>
      </c>
      <c r="F1236" s="22" t="s">
        <v>2018</v>
      </c>
      <c r="G1236" s="18"/>
      <c r="H1236" s="18"/>
      <c r="I1236" s="22" t="s">
        <v>1938</v>
      </c>
      <c r="J1236" s="14" t="s">
        <v>1939</v>
      </c>
      <c r="K1236" s="14" t="s">
        <v>1641</v>
      </c>
      <c r="L1236" s="15">
        <v>46081</v>
      </c>
      <c r="M1236" s="16">
        <v>2026</v>
      </c>
      <c r="S1236" s="9"/>
    </row>
    <row r="1237" spans="1:19" ht="31.2" hidden="1">
      <c r="A1237" s="5">
        <v>1236</v>
      </c>
      <c r="B1237" s="18"/>
      <c r="C1237" s="13" t="s">
        <v>2023</v>
      </c>
      <c r="D1237" s="22" t="s">
        <v>501</v>
      </c>
      <c r="E1237" s="22">
        <v>3180723087</v>
      </c>
      <c r="F1237" s="22" t="s">
        <v>502</v>
      </c>
      <c r="G1237" s="18"/>
      <c r="H1237" s="18"/>
      <c r="I1237" s="22" t="s">
        <v>1938</v>
      </c>
      <c r="J1237" s="14" t="s">
        <v>1939</v>
      </c>
      <c r="K1237" s="14" t="s">
        <v>1642</v>
      </c>
      <c r="L1237" s="15">
        <v>46082</v>
      </c>
      <c r="M1237" s="16">
        <v>2026</v>
      </c>
      <c r="S1237" s="9"/>
    </row>
    <row r="1238" spans="1:19" ht="31.2" hidden="1">
      <c r="A1238" s="5">
        <v>1237</v>
      </c>
      <c r="B1238" s="18"/>
      <c r="C1238" s="13"/>
      <c r="D1238" s="22" t="s">
        <v>504</v>
      </c>
      <c r="E1238" s="22">
        <v>3180723074</v>
      </c>
      <c r="F1238" s="22" t="s">
        <v>2024</v>
      </c>
      <c r="G1238" s="18"/>
      <c r="H1238" s="18"/>
      <c r="I1238" s="22" t="s">
        <v>1938</v>
      </c>
      <c r="J1238" s="14" t="s">
        <v>1939</v>
      </c>
      <c r="K1238" s="14" t="s">
        <v>1644</v>
      </c>
      <c r="L1238" s="15">
        <v>46083</v>
      </c>
      <c r="M1238" s="16">
        <v>2026</v>
      </c>
      <c r="S1238" s="9"/>
    </row>
    <row r="1239" spans="1:19" ht="31.2" hidden="1">
      <c r="A1239" s="5">
        <v>1238</v>
      </c>
      <c r="B1239" s="18"/>
      <c r="C1239" s="13" t="s">
        <v>2025</v>
      </c>
      <c r="D1239" s="22" t="s">
        <v>495</v>
      </c>
      <c r="E1239" s="22">
        <v>3180123008</v>
      </c>
      <c r="F1239" s="22" t="s">
        <v>489</v>
      </c>
      <c r="G1239" s="18"/>
      <c r="H1239" s="18"/>
      <c r="I1239" s="22" t="s">
        <v>1938</v>
      </c>
      <c r="J1239" s="14" t="s">
        <v>1939</v>
      </c>
      <c r="K1239" s="14" t="s">
        <v>1646</v>
      </c>
      <c r="L1239" s="15">
        <v>46084</v>
      </c>
      <c r="M1239" s="16">
        <v>2026</v>
      </c>
      <c r="S1239" s="9"/>
    </row>
    <row r="1240" spans="1:19" ht="31.2" hidden="1">
      <c r="A1240" s="5">
        <v>1239</v>
      </c>
      <c r="B1240" s="18"/>
      <c r="C1240" s="13"/>
      <c r="D1240" s="22" t="s">
        <v>2026</v>
      </c>
      <c r="E1240" s="22">
        <v>3180123022</v>
      </c>
      <c r="F1240" s="22" t="s">
        <v>489</v>
      </c>
      <c r="G1240" s="18"/>
      <c r="H1240" s="18"/>
      <c r="I1240" s="22" t="s">
        <v>1938</v>
      </c>
      <c r="J1240" s="14" t="s">
        <v>1939</v>
      </c>
      <c r="K1240" s="14" t="s">
        <v>1647</v>
      </c>
      <c r="L1240" s="15">
        <v>46085</v>
      </c>
      <c r="M1240" s="16">
        <v>2026</v>
      </c>
      <c r="S1240" s="9"/>
    </row>
    <row r="1241" spans="1:19" ht="31.2" hidden="1">
      <c r="A1241" s="5">
        <v>1240</v>
      </c>
      <c r="B1241" s="18"/>
      <c r="C1241" s="13" t="s">
        <v>2027</v>
      </c>
      <c r="D1241" s="22" t="s">
        <v>488</v>
      </c>
      <c r="E1241" s="22">
        <v>3180123001</v>
      </c>
      <c r="F1241" s="22" t="s">
        <v>489</v>
      </c>
      <c r="G1241" s="18"/>
      <c r="H1241" s="18"/>
      <c r="I1241" s="22" t="s">
        <v>1938</v>
      </c>
      <c r="J1241" s="14" t="s">
        <v>1939</v>
      </c>
      <c r="K1241" s="14" t="s">
        <v>1648</v>
      </c>
      <c r="L1241" s="15">
        <v>46086</v>
      </c>
      <c r="M1241" s="16">
        <v>2026</v>
      </c>
      <c r="S1241" s="9"/>
    </row>
    <row r="1242" spans="1:19" ht="31.2" hidden="1">
      <c r="A1242" s="5">
        <v>1241</v>
      </c>
      <c r="B1242" s="18"/>
      <c r="C1242" s="13"/>
      <c r="D1242" s="22" t="s">
        <v>491</v>
      </c>
      <c r="E1242" s="22">
        <v>3180123007</v>
      </c>
      <c r="F1242" s="22" t="s">
        <v>489</v>
      </c>
      <c r="G1242" s="18"/>
      <c r="H1242" s="18"/>
      <c r="I1242" s="22" t="s">
        <v>1938</v>
      </c>
      <c r="J1242" s="14" t="s">
        <v>1939</v>
      </c>
      <c r="K1242" s="14" t="s">
        <v>1649</v>
      </c>
      <c r="L1242" s="15">
        <v>46087</v>
      </c>
      <c r="M1242" s="16">
        <v>2026</v>
      </c>
      <c r="S1242" s="9"/>
    </row>
    <row r="1243" spans="1:19" ht="31.2" hidden="1">
      <c r="A1243" s="5">
        <v>1242</v>
      </c>
      <c r="B1243" s="18"/>
      <c r="C1243" s="13"/>
      <c r="D1243" s="22" t="s">
        <v>2028</v>
      </c>
      <c r="E1243" s="22">
        <v>3180123017</v>
      </c>
      <c r="F1243" s="22" t="s">
        <v>489</v>
      </c>
      <c r="G1243" s="18"/>
      <c r="H1243" s="18"/>
      <c r="I1243" s="22" t="s">
        <v>1938</v>
      </c>
      <c r="J1243" s="14" t="s">
        <v>1939</v>
      </c>
      <c r="K1243" s="14" t="s">
        <v>1650</v>
      </c>
      <c r="L1243" s="15">
        <v>46088</v>
      </c>
      <c r="M1243" s="16">
        <v>2026</v>
      </c>
      <c r="S1243" s="9"/>
    </row>
    <row r="1244" spans="1:19" ht="31.2" hidden="1">
      <c r="A1244" s="5">
        <v>1243</v>
      </c>
      <c r="B1244" s="18"/>
      <c r="C1244" s="13" t="s">
        <v>2029</v>
      </c>
      <c r="D1244" s="22" t="s">
        <v>2030</v>
      </c>
      <c r="E1244" s="22">
        <v>3180522006</v>
      </c>
      <c r="F1244" s="22" t="s">
        <v>476</v>
      </c>
      <c r="G1244" s="18"/>
      <c r="H1244" s="18"/>
      <c r="I1244" s="22" t="s">
        <v>1938</v>
      </c>
      <c r="J1244" s="14" t="s">
        <v>1939</v>
      </c>
      <c r="K1244" s="14" t="s">
        <v>1653</v>
      </c>
      <c r="L1244" s="15">
        <v>46089</v>
      </c>
      <c r="M1244" s="16">
        <v>2026</v>
      </c>
      <c r="S1244" s="9"/>
    </row>
    <row r="1245" spans="1:19" ht="31.2" hidden="1">
      <c r="A1245" s="5">
        <v>1244</v>
      </c>
      <c r="B1245" s="18"/>
      <c r="C1245" s="13"/>
      <c r="D1245" s="22" t="s">
        <v>2031</v>
      </c>
      <c r="E1245" s="22">
        <v>3180523001</v>
      </c>
      <c r="F1245" s="22" t="s">
        <v>483</v>
      </c>
      <c r="G1245" s="18"/>
      <c r="H1245" s="18"/>
      <c r="I1245" s="22" t="s">
        <v>1938</v>
      </c>
      <c r="J1245" s="14" t="s">
        <v>1939</v>
      </c>
      <c r="K1245" s="14" t="s">
        <v>1654</v>
      </c>
      <c r="L1245" s="15">
        <v>46090</v>
      </c>
      <c r="M1245" s="16">
        <v>2026</v>
      </c>
      <c r="S1245" s="9"/>
    </row>
    <row r="1246" spans="1:19" ht="31.2" hidden="1">
      <c r="A1246" s="5">
        <v>1245</v>
      </c>
      <c r="B1246" s="18"/>
      <c r="C1246" s="13"/>
      <c r="D1246" s="22" t="s">
        <v>2032</v>
      </c>
      <c r="E1246" s="22">
        <v>3180523030</v>
      </c>
      <c r="F1246" s="22" t="s">
        <v>483</v>
      </c>
      <c r="G1246" s="18"/>
      <c r="H1246" s="18"/>
      <c r="I1246" s="22" t="s">
        <v>1938</v>
      </c>
      <c r="J1246" s="14" t="s">
        <v>1939</v>
      </c>
      <c r="K1246" s="14" t="s">
        <v>1657</v>
      </c>
      <c r="L1246" s="15">
        <v>46091</v>
      </c>
      <c r="M1246" s="16">
        <v>2026</v>
      </c>
      <c r="S1246" s="9"/>
    </row>
    <row r="1247" spans="1:19" ht="31.2" hidden="1">
      <c r="A1247" s="5">
        <v>1246</v>
      </c>
      <c r="B1247" s="18"/>
      <c r="C1247" s="13" t="s">
        <v>2033</v>
      </c>
      <c r="D1247" s="22" t="s">
        <v>2034</v>
      </c>
      <c r="E1247" s="22">
        <v>3180524004</v>
      </c>
      <c r="F1247" s="22" t="s">
        <v>2035</v>
      </c>
      <c r="G1247" s="18"/>
      <c r="H1247" s="18"/>
      <c r="I1247" s="22" t="s">
        <v>1938</v>
      </c>
      <c r="J1247" s="14" t="s">
        <v>1939</v>
      </c>
      <c r="K1247" s="14" t="s">
        <v>1659</v>
      </c>
      <c r="L1247" s="15">
        <v>46092</v>
      </c>
      <c r="M1247" s="16">
        <v>2026</v>
      </c>
      <c r="S1247" s="9"/>
    </row>
    <row r="1248" spans="1:19" ht="31.2" hidden="1">
      <c r="A1248" s="5">
        <v>1247</v>
      </c>
      <c r="B1248" s="18"/>
      <c r="C1248" s="13"/>
      <c r="D1248" s="22" t="s">
        <v>2036</v>
      </c>
      <c r="E1248" s="22">
        <v>3180524067</v>
      </c>
      <c r="F1248" s="22" t="s">
        <v>2035</v>
      </c>
      <c r="G1248" s="18"/>
      <c r="H1248" s="18"/>
      <c r="I1248" s="22" t="s">
        <v>1938</v>
      </c>
      <c r="J1248" s="14" t="s">
        <v>1939</v>
      </c>
      <c r="K1248" s="14" t="s">
        <v>1660</v>
      </c>
      <c r="L1248" s="15">
        <v>46093</v>
      </c>
      <c r="M1248" s="16">
        <v>2026</v>
      </c>
      <c r="S1248" s="9"/>
    </row>
    <row r="1249" spans="1:19" ht="31.2" hidden="1">
      <c r="A1249" s="5">
        <v>1248</v>
      </c>
      <c r="B1249" s="18"/>
      <c r="C1249" s="13" t="s">
        <v>2037</v>
      </c>
      <c r="D1249" s="22" t="s">
        <v>2038</v>
      </c>
      <c r="E1249" s="22">
        <v>3180524042</v>
      </c>
      <c r="F1249" s="22" t="s">
        <v>2035</v>
      </c>
      <c r="G1249" s="18"/>
      <c r="H1249" s="18"/>
      <c r="I1249" s="22" t="s">
        <v>1938</v>
      </c>
      <c r="J1249" s="14" t="s">
        <v>1939</v>
      </c>
      <c r="K1249" s="14" t="s">
        <v>1661</v>
      </c>
      <c r="L1249" s="15">
        <v>46094</v>
      </c>
      <c r="M1249" s="16">
        <v>2026</v>
      </c>
      <c r="S1249" s="9"/>
    </row>
    <row r="1250" spans="1:19" ht="31.2" hidden="1">
      <c r="A1250" s="5">
        <v>1249</v>
      </c>
      <c r="B1250" s="18"/>
      <c r="C1250" s="13"/>
      <c r="D1250" s="22" t="s">
        <v>2039</v>
      </c>
      <c r="E1250" s="22">
        <v>3180524043</v>
      </c>
      <c r="F1250" s="22" t="s">
        <v>2035</v>
      </c>
      <c r="G1250" s="18"/>
      <c r="H1250" s="18"/>
      <c r="I1250" s="22" t="s">
        <v>1938</v>
      </c>
      <c r="J1250" s="14" t="s">
        <v>1939</v>
      </c>
      <c r="K1250" s="14" t="s">
        <v>1663</v>
      </c>
      <c r="L1250" s="15">
        <v>46095</v>
      </c>
      <c r="M1250" s="16">
        <v>2026</v>
      </c>
      <c r="S1250" s="9"/>
    </row>
    <row r="1251" spans="1:19" ht="31.2" hidden="1">
      <c r="A1251" s="5">
        <v>1250</v>
      </c>
      <c r="B1251" s="18"/>
      <c r="C1251" s="13" t="s">
        <v>2040</v>
      </c>
      <c r="D1251" s="22" t="s">
        <v>2041</v>
      </c>
      <c r="E1251" s="22">
        <v>3180525059</v>
      </c>
      <c r="F1251" s="22" t="s">
        <v>2042</v>
      </c>
      <c r="G1251" s="18"/>
      <c r="H1251" s="18"/>
      <c r="I1251" s="22" t="s">
        <v>1938</v>
      </c>
      <c r="J1251" s="14" t="s">
        <v>1939</v>
      </c>
      <c r="K1251" s="14" t="s">
        <v>1666</v>
      </c>
      <c r="L1251" s="15">
        <v>46096</v>
      </c>
      <c r="M1251" s="16">
        <v>2026</v>
      </c>
      <c r="S1251" s="9"/>
    </row>
    <row r="1252" spans="1:19" ht="31.2" hidden="1">
      <c r="A1252" s="5">
        <v>1251</v>
      </c>
      <c r="B1252" s="18"/>
      <c r="C1252" s="13"/>
      <c r="D1252" s="22" t="s">
        <v>2043</v>
      </c>
      <c r="E1252" s="22">
        <v>3180525014</v>
      </c>
      <c r="F1252" s="22" t="s">
        <v>2042</v>
      </c>
      <c r="G1252" s="18"/>
      <c r="H1252" s="18"/>
      <c r="I1252" s="22" t="s">
        <v>1938</v>
      </c>
      <c r="J1252" s="14" t="s">
        <v>1939</v>
      </c>
      <c r="K1252" s="14" t="s">
        <v>1668</v>
      </c>
      <c r="L1252" s="15">
        <v>46097</v>
      </c>
      <c r="M1252" s="16">
        <v>2026</v>
      </c>
      <c r="S1252" s="9"/>
    </row>
    <row r="1253" spans="1:19" ht="31.2" hidden="1">
      <c r="A1253" s="5">
        <v>1252</v>
      </c>
      <c r="B1253" s="18"/>
      <c r="C1253" s="13"/>
      <c r="D1253" s="22" t="s">
        <v>2044</v>
      </c>
      <c r="E1253" s="22">
        <v>3180525063</v>
      </c>
      <c r="F1253" s="22" t="s">
        <v>2042</v>
      </c>
      <c r="G1253" s="18"/>
      <c r="H1253" s="18"/>
      <c r="I1253" s="22" t="s">
        <v>1938</v>
      </c>
      <c r="J1253" s="14" t="s">
        <v>1939</v>
      </c>
      <c r="K1253" s="14" t="s">
        <v>1670</v>
      </c>
      <c r="L1253" s="15">
        <v>46098</v>
      </c>
      <c r="M1253" s="16">
        <v>2026</v>
      </c>
      <c r="S1253" s="9"/>
    </row>
    <row r="1254" spans="1:19" ht="31.2" hidden="1">
      <c r="A1254" s="5">
        <v>1253</v>
      </c>
      <c r="B1254" s="18"/>
      <c r="C1254" s="13"/>
      <c r="D1254" s="22" t="s">
        <v>2045</v>
      </c>
      <c r="E1254" s="22">
        <v>3180525045</v>
      </c>
      <c r="F1254" s="22" t="s">
        <v>2042</v>
      </c>
      <c r="G1254" s="18"/>
      <c r="H1254" s="18"/>
      <c r="I1254" s="22" t="s">
        <v>1938</v>
      </c>
      <c r="J1254" s="14" t="s">
        <v>1939</v>
      </c>
      <c r="K1254" s="14" t="s">
        <v>1672</v>
      </c>
      <c r="L1254" s="15">
        <v>46099</v>
      </c>
      <c r="M1254" s="16">
        <v>2026</v>
      </c>
      <c r="S1254" s="9"/>
    </row>
    <row r="1255" spans="1:19" ht="31.2" hidden="1">
      <c r="A1255" s="5">
        <v>1254</v>
      </c>
      <c r="B1255" s="18"/>
      <c r="C1255" s="13" t="s">
        <v>2046</v>
      </c>
      <c r="D1255" s="22" t="s">
        <v>2047</v>
      </c>
      <c r="E1255" s="22">
        <v>3180523011</v>
      </c>
      <c r="F1255" s="22" t="s">
        <v>483</v>
      </c>
      <c r="G1255" s="18"/>
      <c r="H1255" s="18"/>
      <c r="I1255" s="22" t="s">
        <v>1938</v>
      </c>
      <c r="J1255" s="14" t="s">
        <v>1939</v>
      </c>
      <c r="K1255" s="14" t="s">
        <v>1674</v>
      </c>
      <c r="L1255" s="15">
        <v>46100</v>
      </c>
      <c r="M1255" s="16">
        <v>2026</v>
      </c>
      <c r="S1255" s="9"/>
    </row>
    <row r="1256" spans="1:19" ht="31.2" hidden="1">
      <c r="A1256" s="5">
        <v>1255</v>
      </c>
      <c r="B1256" s="18"/>
      <c r="C1256" s="13"/>
      <c r="D1256" s="22" t="s">
        <v>2048</v>
      </c>
      <c r="E1256" s="22">
        <v>3180523029</v>
      </c>
      <c r="F1256" s="22" t="s">
        <v>483</v>
      </c>
      <c r="G1256" s="18"/>
      <c r="H1256" s="18"/>
      <c r="I1256" s="22" t="s">
        <v>1938</v>
      </c>
      <c r="J1256" s="14" t="s">
        <v>1939</v>
      </c>
      <c r="K1256" s="14" t="s">
        <v>1676</v>
      </c>
      <c r="L1256" s="15">
        <v>46101</v>
      </c>
      <c r="M1256" s="16">
        <v>2026</v>
      </c>
      <c r="S1256" s="9"/>
    </row>
    <row r="1257" spans="1:19" ht="31.2" hidden="1">
      <c r="A1257" s="5">
        <v>1256</v>
      </c>
      <c r="B1257" s="18"/>
      <c r="C1257" s="13"/>
      <c r="D1257" s="22" t="s">
        <v>2049</v>
      </c>
      <c r="E1257" s="22">
        <v>3180524035</v>
      </c>
      <c r="F1257" s="22" t="s">
        <v>2035</v>
      </c>
      <c r="G1257" s="18"/>
      <c r="H1257" s="18"/>
      <c r="I1257" s="22" t="s">
        <v>1938</v>
      </c>
      <c r="J1257" s="14" t="s">
        <v>1939</v>
      </c>
      <c r="K1257" s="14" t="s">
        <v>1677</v>
      </c>
      <c r="L1257" s="15">
        <v>46102</v>
      </c>
      <c r="M1257" s="16">
        <v>2026</v>
      </c>
      <c r="S1257" s="9"/>
    </row>
    <row r="1258" spans="1:19" ht="31.2" hidden="1">
      <c r="A1258" s="5">
        <v>1257</v>
      </c>
      <c r="B1258" s="18"/>
      <c r="C1258" s="13" t="s">
        <v>2050</v>
      </c>
      <c r="D1258" s="22" t="s">
        <v>482</v>
      </c>
      <c r="E1258" s="22">
        <v>3180523012</v>
      </c>
      <c r="F1258" s="22" t="s">
        <v>483</v>
      </c>
      <c r="G1258" s="18"/>
      <c r="H1258" s="18"/>
      <c r="I1258" s="22" t="s">
        <v>1938</v>
      </c>
      <c r="J1258" s="14" t="s">
        <v>1939</v>
      </c>
      <c r="K1258" s="14" t="s">
        <v>1678</v>
      </c>
      <c r="L1258" s="15">
        <v>46103</v>
      </c>
      <c r="M1258" s="16">
        <v>2026</v>
      </c>
      <c r="S1258" s="9"/>
    </row>
    <row r="1259" spans="1:19" ht="31.2" hidden="1">
      <c r="A1259" s="5">
        <v>1258</v>
      </c>
      <c r="B1259" s="18"/>
      <c r="C1259" s="13"/>
      <c r="D1259" s="22" t="s">
        <v>484</v>
      </c>
      <c r="E1259" s="22">
        <v>3180523020</v>
      </c>
      <c r="F1259" s="22" t="s">
        <v>483</v>
      </c>
      <c r="G1259" s="18"/>
      <c r="H1259" s="18"/>
      <c r="I1259" s="22" t="s">
        <v>1938</v>
      </c>
      <c r="J1259" s="14" t="s">
        <v>1939</v>
      </c>
      <c r="K1259" s="14" t="s">
        <v>1680</v>
      </c>
      <c r="L1259" s="15">
        <v>46032</v>
      </c>
      <c r="M1259" s="16">
        <v>2026</v>
      </c>
      <c r="S1259" s="9"/>
    </row>
    <row r="1260" spans="1:19" ht="31.2" hidden="1">
      <c r="A1260" s="5">
        <v>1259</v>
      </c>
      <c r="B1260" s="18"/>
      <c r="C1260" s="13"/>
      <c r="D1260" s="22" t="s">
        <v>485</v>
      </c>
      <c r="E1260" s="22">
        <v>3180523065</v>
      </c>
      <c r="F1260" s="22" t="s">
        <v>483</v>
      </c>
      <c r="G1260" s="18"/>
      <c r="H1260" s="18"/>
      <c r="I1260" s="22" t="s">
        <v>1938</v>
      </c>
      <c r="J1260" s="14" t="s">
        <v>1939</v>
      </c>
      <c r="K1260" s="14" t="s">
        <v>1682</v>
      </c>
      <c r="L1260" s="15">
        <v>46033</v>
      </c>
      <c r="M1260" s="16">
        <v>2026</v>
      </c>
      <c r="S1260" s="9"/>
    </row>
    <row r="1261" spans="1:19" ht="31.2" hidden="1">
      <c r="A1261" s="5">
        <v>1260</v>
      </c>
      <c r="B1261" s="18"/>
      <c r="C1261" s="13" t="s">
        <v>2051</v>
      </c>
      <c r="D1261" s="22" t="s">
        <v>209</v>
      </c>
      <c r="E1261" s="22">
        <v>3180523038</v>
      </c>
      <c r="F1261" s="22" t="s">
        <v>483</v>
      </c>
      <c r="G1261" s="18"/>
      <c r="H1261" s="18"/>
      <c r="I1261" s="22" t="s">
        <v>1938</v>
      </c>
      <c r="J1261" s="14" t="s">
        <v>1939</v>
      </c>
      <c r="K1261" s="14" t="s">
        <v>1683</v>
      </c>
      <c r="L1261" s="15">
        <v>46034</v>
      </c>
      <c r="M1261" s="16">
        <v>2026</v>
      </c>
      <c r="S1261" s="9"/>
    </row>
    <row r="1262" spans="1:19" ht="31.2" hidden="1">
      <c r="A1262" s="5">
        <v>1261</v>
      </c>
      <c r="B1262" s="18"/>
      <c r="C1262" s="13"/>
      <c r="D1262" s="22" t="s">
        <v>2052</v>
      </c>
      <c r="E1262" s="22">
        <v>3180523025</v>
      </c>
      <c r="F1262" s="22" t="s">
        <v>483</v>
      </c>
      <c r="G1262" s="18"/>
      <c r="H1262" s="18"/>
      <c r="I1262" s="22" t="s">
        <v>1938</v>
      </c>
      <c r="J1262" s="14" t="s">
        <v>1939</v>
      </c>
      <c r="K1262" s="14" t="s">
        <v>1684</v>
      </c>
      <c r="L1262" s="15">
        <v>46035</v>
      </c>
      <c r="M1262" s="16">
        <v>2026</v>
      </c>
      <c r="S1262" s="9"/>
    </row>
    <row r="1263" spans="1:19" ht="31.2" hidden="1">
      <c r="A1263" s="5">
        <v>1262</v>
      </c>
      <c r="B1263" s="18"/>
      <c r="C1263" s="13"/>
      <c r="D1263" s="22" t="s">
        <v>2053</v>
      </c>
      <c r="E1263" s="22">
        <v>3180523049</v>
      </c>
      <c r="F1263" s="22" t="s">
        <v>483</v>
      </c>
      <c r="G1263" s="18"/>
      <c r="H1263" s="18"/>
      <c r="I1263" s="22" t="s">
        <v>1938</v>
      </c>
      <c r="J1263" s="14" t="s">
        <v>1939</v>
      </c>
      <c r="K1263" s="14" t="s">
        <v>1685</v>
      </c>
      <c r="L1263" s="15">
        <v>46036</v>
      </c>
      <c r="M1263" s="16">
        <v>2026</v>
      </c>
      <c r="S1263" s="9"/>
    </row>
    <row r="1264" spans="1:19" ht="31.2" hidden="1">
      <c r="A1264" s="5">
        <v>1263</v>
      </c>
      <c r="B1264" s="18"/>
      <c r="C1264" s="13"/>
      <c r="D1264" s="22" t="s">
        <v>2054</v>
      </c>
      <c r="E1264" s="22">
        <v>3180523072</v>
      </c>
      <c r="F1264" s="22" t="s">
        <v>483</v>
      </c>
      <c r="G1264" s="18"/>
      <c r="H1264" s="18"/>
      <c r="I1264" s="22" t="s">
        <v>1938</v>
      </c>
      <c r="J1264" s="14" t="s">
        <v>1939</v>
      </c>
      <c r="K1264" s="14" t="s">
        <v>1686</v>
      </c>
      <c r="L1264" s="15">
        <v>46037</v>
      </c>
      <c r="M1264" s="16">
        <v>2026</v>
      </c>
      <c r="S1264" s="9"/>
    </row>
    <row r="1265" spans="1:19" ht="31.2" hidden="1">
      <c r="A1265" s="5">
        <v>1264</v>
      </c>
      <c r="B1265" s="18"/>
      <c r="C1265" s="13" t="s">
        <v>2055</v>
      </c>
      <c r="D1265" s="22" t="s">
        <v>2056</v>
      </c>
      <c r="E1265" s="22">
        <v>3160524045</v>
      </c>
      <c r="F1265" s="22" t="s">
        <v>2057</v>
      </c>
      <c r="G1265" s="18"/>
      <c r="H1265" s="18"/>
      <c r="I1265" s="22" t="s">
        <v>1938</v>
      </c>
      <c r="J1265" s="14" t="s">
        <v>1939</v>
      </c>
      <c r="K1265" s="14" t="s">
        <v>1688</v>
      </c>
      <c r="L1265" s="15">
        <v>46038</v>
      </c>
      <c r="M1265" s="16">
        <v>2026</v>
      </c>
      <c r="S1265" s="9"/>
    </row>
    <row r="1266" spans="1:19" ht="31.2" hidden="1">
      <c r="A1266" s="5">
        <v>1265</v>
      </c>
      <c r="B1266" s="18"/>
      <c r="C1266" s="13"/>
      <c r="D1266" s="22" t="s">
        <v>2058</v>
      </c>
      <c r="E1266" s="22">
        <v>3160524012</v>
      </c>
      <c r="F1266" s="22" t="s">
        <v>2057</v>
      </c>
      <c r="G1266" s="18"/>
      <c r="H1266" s="18"/>
      <c r="I1266" s="22" t="s">
        <v>1938</v>
      </c>
      <c r="J1266" s="14" t="s">
        <v>1939</v>
      </c>
      <c r="K1266" s="14" t="s">
        <v>1690</v>
      </c>
      <c r="L1266" s="15">
        <v>46039</v>
      </c>
      <c r="M1266" s="16">
        <v>2026</v>
      </c>
      <c r="S1266" s="9"/>
    </row>
    <row r="1267" spans="1:19" ht="31.2" hidden="1">
      <c r="A1267" s="5">
        <v>1266</v>
      </c>
      <c r="B1267" s="18"/>
      <c r="C1267" s="13" t="s">
        <v>2059</v>
      </c>
      <c r="D1267" s="22" t="s">
        <v>2060</v>
      </c>
      <c r="E1267" s="22">
        <v>3160524001</v>
      </c>
      <c r="F1267" s="22" t="s">
        <v>2057</v>
      </c>
      <c r="G1267" s="18"/>
      <c r="H1267" s="18"/>
      <c r="I1267" s="22" t="s">
        <v>1938</v>
      </c>
      <c r="J1267" s="14" t="s">
        <v>1939</v>
      </c>
      <c r="K1267" s="14" t="s">
        <v>1691</v>
      </c>
      <c r="L1267" s="15">
        <v>46040</v>
      </c>
      <c r="M1267" s="16">
        <v>2026</v>
      </c>
      <c r="S1267" s="9"/>
    </row>
    <row r="1268" spans="1:19" ht="31.2" hidden="1">
      <c r="A1268" s="5">
        <v>1267</v>
      </c>
      <c r="B1268" s="18"/>
      <c r="C1268" s="13"/>
      <c r="D1268" s="22" t="s">
        <v>2061</v>
      </c>
      <c r="E1268" s="22">
        <v>3160524019</v>
      </c>
      <c r="F1268" s="22" t="s">
        <v>2057</v>
      </c>
      <c r="G1268" s="18"/>
      <c r="H1268" s="18"/>
      <c r="I1268" s="22" t="s">
        <v>1938</v>
      </c>
      <c r="J1268" s="14" t="s">
        <v>1939</v>
      </c>
      <c r="K1268" s="14" t="s">
        <v>1693</v>
      </c>
      <c r="L1268" s="15">
        <v>46041</v>
      </c>
      <c r="M1268" s="16">
        <v>2026</v>
      </c>
      <c r="S1268" s="9"/>
    </row>
    <row r="1269" spans="1:19" ht="31.2" hidden="1">
      <c r="A1269" s="5">
        <v>1268</v>
      </c>
      <c r="B1269" s="18"/>
      <c r="C1269" s="13"/>
      <c r="D1269" s="22" t="s">
        <v>2062</v>
      </c>
      <c r="E1269" s="22">
        <v>3160524033</v>
      </c>
      <c r="F1269" s="22" t="s">
        <v>2057</v>
      </c>
      <c r="G1269" s="18"/>
      <c r="H1269" s="18"/>
      <c r="I1269" s="22" t="s">
        <v>1938</v>
      </c>
      <c r="J1269" s="14" t="s">
        <v>1939</v>
      </c>
      <c r="K1269" s="14" t="s">
        <v>1695</v>
      </c>
      <c r="L1269" s="15">
        <v>46042</v>
      </c>
      <c r="M1269" s="16">
        <v>2026</v>
      </c>
      <c r="S1269" s="9"/>
    </row>
    <row r="1270" spans="1:19" ht="31.2" hidden="1">
      <c r="A1270" s="5">
        <v>1269</v>
      </c>
      <c r="B1270" s="18"/>
      <c r="C1270" s="13" t="s">
        <v>2063</v>
      </c>
      <c r="D1270" s="22" t="s">
        <v>2064</v>
      </c>
      <c r="E1270" s="22">
        <v>3160524049</v>
      </c>
      <c r="F1270" s="22" t="s">
        <v>2057</v>
      </c>
      <c r="G1270" s="18"/>
      <c r="H1270" s="18"/>
      <c r="I1270" s="22" t="s">
        <v>1938</v>
      </c>
      <c r="J1270" s="14" t="s">
        <v>1939</v>
      </c>
      <c r="K1270" s="14" t="s">
        <v>1697</v>
      </c>
      <c r="L1270" s="15">
        <v>46043</v>
      </c>
      <c r="M1270" s="16">
        <v>2026</v>
      </c>
      <c r="S1270" s="9"/>
    </row>
    <row r="1271" spans="1:19" ht="31.2" hidden="1">
      <c r="A1271" s="5">
        <v>1270</v>
      </c>
      <c r="B1271" s="18"/>
      <c r="C1271" s="13"/>
      <c r="D1271" s="22" t="s">
        <v>2065</v>
      </c>
      <c r="E1271" s="22">
        <v>3106524022</v>
      </c>
      <c r="F1271" s="22" t="s">
        <v>2057</v>
      </c>
      <c r="G1271" s="18"/>
      <c r="H1271" s="18"/>
      <c r="I1271" s="22" t="s">
        <v>1938</v>
      </c>
      <c r="J1271" s="14" t="s">
        <v>1939</v>
      </c>
      <c r="K1271" s="14" t="s">
        <v>1699</v>
      </c>
      <c r="L1271" s="15">
        <v>46044</v>
      </c>
      <c r="M1271" s="16">
        <v>2026</v>
      </c>
      <c r="S1271" s="9"/>
    </row>
    <row r="1272" spans="1:19" ht="31.2" hidden="1">
      <c r="A1272" s="5">
        <v>1271</v>
      </c>
      <c r="B1272" s="18"/>
      <c r="C1272" s="13"/>
      <c r="D1272" s="22" t="s">
        <v>2066</v>
      </c>
      <c r="E1272" s="22">
        <v>3106524052</v>
      </c>
      <c r="F1272" s="22" t="s">
        <v>2057</v>
      </c>
      <c r="G1272" s="18"/>
      <c r="H1272" s="18"/>
      <c r="I1272" s="22" t="s">
        <v>1938</v>
      </c>
      <c r="J1272" s="14" t="s">
        <v>1939</v>
      </c>
      <c r="K1272" s="14" t="s">
        <v>1702</v>
      </c>
      <c r="L1272" s="15">
        <v>46045</v>
      </c>
      <c r="M1272" s="16">
        <v>2026</v>
      </c>
      <c r="S1272" s="9"/>
    </row>
    <row r="1273" spans="1:19" ht="31.2" hidden="1">
      <c r="A1273" s="5">
        <v>1272</v>
      </c>
      <c r="B1273" s="18"/>
      <c r="C1273" s="13"/>
      <c r="D1273" s="22" t="s">
        <v>2067</v>
      </c>
      <c r="E1273" s="22">
        <v>3106524002</v>
      </c>
      <c r="F1273" s="22" t="s">
        <v>2057</v>
      </c>
      <c r="G1273" s="18"/>
      <c r="H1273" s="18"/>
      <c r="I1273" s="22" t="s">
        <v>1938</v>
      </c>
      <c r="J1273" s="14" t="s">
        <v>1939</v>
      </c>
      <c r="K1273" s="14" t="s">
        <v>1704</v>
      </c>
      <c r="L1273" s="15">
        <v>46046</v>
      </c>
      <c r="M1273" s="16">
        <v>2026</v>
      </c>
      <c r="S1273" s="9"/>
    </row>
    <row r="1274" spans="1:19" ht="31.2" hidden="1">
      <c r="A1274" s="5">
        <v>1273</v>
      </c>
      <c r="B1274" s="18"/>
      <c r="C1274" s="13"/>
      <c r="D1274" s="22" t="s">
        <v>2068</v>
      </c>
      <c r="E1274" s="22">
        <v>3106524027</v>
      </c>
      <c r="F1274" s="22" t="s">
        <v>2057</v>
      </c>
      <c r="G1274" s="18"/>
      <c r="H1274" s="18"/>
      <c r="I1274" s="22" t="s">
        <v>1938</v>
      </c>
      <c r="J1274" s="14" t="s">
        <v>1939</v>
      </c>
      <c r="K1274" s="14" t="s">
        <v>1706</v>
      </c>
      <c r="L1274" s="15">
        <v>46047</v>
      </c>
      <c r="M1274" s="16">
        <v>2026</v>
      </c>
      <c r="S1274" s="9"/>
    </row>
    <row r="1275" spans="1:19" ht="31.2" hidden="1">
      <c r="A1275" s="5">
        <v>1274</v>
      </c>
      <c r="B1275" s="18"/>
      <c r="C1275" s="13" t="s">
        <v>2069</v>
      </c>
      <c r="D1275" s="22" t="s">
        <v>622</v>
      </c>
      <c r="E1275" s="22">
        <v>3160523054</v>
      </c>
      <c r="F1275" s="22" t="s">
        <v>545</v>
      </c>
      <c r="G1275" s="18"/>
      <c r="H1275" s="18"/>
      <c r="I1275" s="22" t="s">
        <v>1938</v>
      </c>
      <c r="J1275" s="14" t="s">
        <v>1939</v>
      </c>
      <c r="K1275" s="14" t="s">
        <v>1708</v>
      </c>
      <c r="L1275" s="15">
        <v>46048</v>
      </c>
      <c r="M1275" s="16">
        <v>2026</v>
      </c>
      <c r="S1275" s="9"/>
    </row>
    <row r="1276" spans="1:19" ht="31.2" hidden="1">
      <c r="A1276" s="5">
        <v>1275</v>
      </c>
      <c r="B1276" s="18"/>
      <c r="C1276" s="13"/>
      <c r="D1276" s="22" t="s">
        <v>624</v>
      </c>
      <c r="E1276" s="22">
        <v>3160523033</v>
      </c>
      <c r="F1276" s="22" t="s">
        <v>2070</v>
      </c>
      <c r="G1276" s="18"/>
      <c r="H1276" s="18"/>
      <c r="I1276" s="22" t="s">
        <v>1938</v>
      </c>
      <c r="J1276" s="14" t="s">
        <v>1939</v>
      </c>
      <c r="K1276" s="14" t="s">
        <v>1710</v>
      </c>
      <c r="L1276" s="15">
        <v>46049</v>
      </c>
      <c r="M1276" s="16">
        <v>2026</v>
      </c>
      <c r="S1276" s="9"/>
    </row>
    <row r="1277" spans="1:19" ht="31.2" hidden="1">
      <c r="A1277" s="5">
        <v>1276</v>
      </c>
      <c r="B1277" s="18"/>
      <c r="C1277" s="13"/>
      <c r="D1277" s="22" t="s">
        <v>2071</v>
      </c>
      <c r="E1277" s="22">
        <v>3160725012</v>
      </c>
      <c r="F1277" s="22" t="s">
        <v>2072</v>
      </c>
      <c r="G1277" s="18"/>
      <c r="H1277" s="18"/>
      <c r="I1277" s="22" t="s">
        <v>1938</v>
      </c>
      <c r="J1277" s="14" t="s">
        <v>1939</v>
      </c>
      <c r="K1277" s="14" t="s">
        <v>1713</v>
      </c>
      <c r="L1277" s="15">
        <v>46050</v>
      </c>
      <c r="M1277" s="16">
        <v>2026</v>
      </c>
      <c r="S1277" s="9"/>
    </row>
    <row r="1278" spans="1:19" ht="31.2" hidden="1">
      <c r="A1278" s="5">
        <v>1277</v>
      </c>
      <c r="B1278" s="18"/>
      <c r="C1278" s="13"/>
      <c r="D1278" s="22" t="s">
        <v>2073</v>
      </c>
      <c r="E1278" s="22">
        <v>3160725022</v>
      </c>
      <c r="F1278" s="22" t="s">
        <v>2072</v>
      </c>
      <c r="G1278" s="18"/>
      <c r="H1278" s="18"/>
      <c r="I1278" s="22" t="s">
        <v>1938</v>
      </c>
      <c r="J1278" s="14" t="s">
        <v>1939</v>
      </c>
      <c r="K1278" s="14" t="s">
        <v>1715</v>
      </c>
      <c r="L1278" s="15">
        <v>46051</v>
      </c>
      <c r="M1278" s="16">
        <v>2026</v>
      </c>
      <c r="S1278" s="9"/>
    </row>
    <row r="1279" spans="1:19" ht="31.2" hidden="1">
      <c r="A1279" s="5">
        <v>1278</v>
      </c>
      <c r="B1279" s="18"/>
      <c r="C1279" s="13"/>
      <c r="D1279" s="22" t="s">
        <v>2074</v>
      </c>
      <c r="E1279" s="22">
        <v>3160725010</v>
      </c>
      <c r="F1279" s="22" t="s">
        <v>2072</v>
      </c>
      <c r="G1279" s="18"/>
      <c r="H1279" s="18"/>
      <c r="I1279" s="22" t="s">
        <v>1938</v>
      </c>
      <c r="J1279" s="14" t="s">
        <v>1939</v>
      </c>
      <c r="K1279" s="14" t="s">
        <v>1717</v>
      </c>
      <c r="L1279" s="15">
        <v>46052</v>
      </c>
      <c r="M1279" s="16">
        <v>2026</v>
      </c>
      <c r="S1279" s="9"/>
    </row>
    <row r="1280" spans="1:19" ht="31.2" hidden="1">
      <c r="A1280" s="5">
        <v>1279</v>
      </c>
      <c r="B1280" s="18"/>
      <c r="C1280" s="13" t="s">
        <v>2075</v>
      </c>
      <c r="D1280" s="22" t="s">
        <v>2076</v>
      </c>
      <c r="E1280" s="22">
        <v>3160523045</v>
      </c>
      <c r="F1280" s="22" t="s">
        <v>545</v>
      </c>
      <c r="G1280" s="18"/>
      <c r="H1280" s="18"/>
      <c r="I1280" s="22" t="s">
        <v>1938</v>
      </c>
      <c r="J1280" s="14" t="s">
        <v>1939</v>
      </c>
      <c r="K1280" s="14" t="s">
        <v>1719</v>
      </c>
      <c r="L1280" s="15">
        <v>46053</v>
      </c>
      <c r="M1280" s="16">
        <v>2026</v>
      </c>
      <c r="S1280" s="9"/>
    </row>
    <row r="1281" spans="1:19" ht="31.2" hidden="1">
      <c r="A1281" s="5">
        <v>1280</v>
      </c>
      <c r="B1281" s="18"/>
      <c r="C1281" s="13"/>
      <c r="D1281" s="22" t="s">
        <v>578</v>
      </c>
      <c r="E1281" s="22">
        <v>3160523038</v>
      </c>
      <c r="F1281" s="22" t="s">
        <v>545</v>
      </c>
      <c r="G1281" s="18"/>
      <c r="H1281" s="18"/>
      <c r="I1281" s="22" t="s">
        <v>1938</v>
      </c>
      <c r="J1281" s="14" t="s">
        <v>1939</v>
      </c>
      <c r="K1281" s="14" t="s">
        <v>1721</v>
      </c>
      <c r="L1281" s="15">
        <v>46054</v>
      </c>
      <c r="M1281" s="16">
        <v>2026</v>
      </c>
      <c r="S1281" s="9"/>
    </row>
    <row r="1282" spans="1:19" ht="31.2" hidden="1">
      <c r="A1282" s="5">
        <v>1281</v>
      </c>
      <c r="B1282" s="18"/>
      <c r="C1282" s="13"/>
      <c r="D1282" s="22" t="s">
        <v>581</v>
      </c>
      <c r="E1282" s="22">
        <v>3160523014</v>
      </c>
      <c r="F1282" s="22" t="s">
        <v>545</v>
      </c>
      <c r="G1282" s="18"/>
      <c r="H1282" s="18"/>
      <c r="I1282" s="22" t="s">
        <v>1938</v>
      </c>
      <c r="J1282" s="14" t="s">
        <v>1939</v>
      </c>
      <c r="K1282" s="14" t="s">
        <v>1724</v>
      </c>
      <c r="L1282" s="15">
        <v>46055</v>
      </c>
      <c r="M1282" s="16">
        <v>2026</v>
      </c>
      <c r="S1282" s="9"/>
    </row>
    <row r="1283" spans="1:19" ht="31.2" hidden="1">
      <c r="A1283" s="5">
        <v>1282</v>
      </c>
      <c r="B1283" s="18"/>
      <c r="C1283" s="13"/>
      <c r="D1283" s="22" t="s">
        <v>2077</v>
      </c>
      <c r="E1283" s="22">
        <v>3160725015</v>
      </c>
      <c r="F1283" s="22" t="s">
        <v>2078</v>
      </c>
      <c r="G1283" s="18"/>
      <c r="H1283" s="18"/>
      <c r="I1283" s="22" t="s">
        <v>1938</v>
      </c>
      <c r="J1283" s="14" t="s">
        <v>1939</v>
      </c>
      <c r="K1283" s="14" t="s">
        <v>1726</v>
      </c>
      <c r="L1283" s="15">
        <v>46056</v>
      </c>
      <c r="M1283" s="16">
        <v>2026</v>
      </c>
      <c r="S1283" s="9"/>
    </row>
    <row r="1284" spans="1:19" ht="31.2" hidden="1">
      <c r="A1284" s="5">
        <v>1283</v>
      </c>
      <c r="B1284" s="18"/>
      <c r="C1284" s="13"/>
      <c r="D1284" s="22" t="s">
        <v>2079</v>
      </c>
      <c r="E1284" s="22">
        <v>3160725017</v>
      </c>
      <c r="F1284" s="22" t="s">
        <v>2078</v>
      </c>
      <c r="G1284" s="18"/>
      <c r="H1284" s="18"/>
      <c r="I1284" s="22" t="s">
        <v>1938</v>
      </c>
      <c r="J1284" s="14" t="s">
        <v>1939</v>
      </c>
      <c r="K1284" s="14" t="s">
        <v>1728</v>
      </c>
      <c r="L1284" s="15">
        <v>46057</v>
      </c>
      <c r="M1284" s="16">
        <v>2026</v>
      </c>
      <c r="S1284" s="9"/>
    </row>
    <row r="1285" spans="1:19" ht="31.2" hidden="1">
      <c r="A1285" s="5">
        <v>1284</v>
      </c>
      <c r="B1285" s="18"/>
      <c r="C1285" s="13" t="s">
        <v>2080</v>
      </c>
      <c r="D1285" s="22" t="s">
        <v>544</v>
      </c>
      <c r="E1285" s="22">
        <v>3160523026</v>
      </c>
      <c r="F1285" s="22" t="s">
        <v>545</v>
      </c>
      <c r="G1285" s="18"/>
      <c r="H1285" s="18"/>
      <c r="I1285" s="22" t="s">
        <v>1938</v>
      </c>
      <c r="J1285" s="14" t="s">
        <v>1939</v>
      </c>
      <c r="K1285" s="14" t="s">
        <v>1730</v>
      </c>
      <c r="L1285" s="15">
        <v>46058</v>
      </c>
      <c r="M1285" s="16">
        <v>2026</v>
      </c>
      <c r="S1285" s="9"/>
    </row>
    <row r="1286" spans="1:19" ht="31.2" hidden="1">
      <c r="A1286" s="5">
        <v>1285</v>
      </c>
      <c r="B1286" s="18"/>
      <c r="C1286" s="13"/>
      <c r="D1286" s="22" t="s">
        <v>548</v>
      </c>
      <c r="E1286" s="22">
        <v>3160523011</v>
      </c>
      <c r="F1286" s="22" t="s">
        <v>545</v>
      </c>
      <c r="G1286" s="18"/>
      <c r="H1286" s="18"/>
      <c r="I1286" s="22" t="s">
        <v>1938</v>
      </c>
      <c r="J1286" s="14" t="s">
        <v>1939</v>
      </c>
      <c r="K1286" s="14" t="s">
        <v>1732</v>
      </c>
      <c r="L1286" s="15">
        <v>46059</v>
      </c>
      <c r="M1286" s="16">
        <v>2026</v>
      </c>
      <c r="S1286" s="9"/>
    </row>
    <row r="1287" spans="1:19" ht="31.2" hidden="1">
      <c r="A1287" s="5">
        <v>1286</v>
      </c>
      <c r="B1287" s="18"/>
      <c r="C1287" s="13"/>
      <c r="D1287" s="22" t="s">
        <v>559</v>
      </c>
      <c r="E1287" s="22">
        <v>3160523024</v>
      </c>
      <c r="F1287" s="22" t="s">
        <v>545</v>
      </c>
      <c r="G1287" s="18"/>
      <c r="H1287" s="18"/>
      <c r="I1287" s="22" t="s">
        <v>1938</v>
      </c>
      <c r="J1287" s="14" t="s">
        <v>1939</v>
      </c>
      <c r="K1287" s="14" t="s">
        <v>1733</v>
      </c>
      <c r="L1287" s="15">
        <v>46060</v>
      </c>
      <c r="M1287" s="16">
        <v>2026</v>
      </c>
      <c r="S1287" s="9"/>
    </row>
    <row r="1288" spans="1:19" ht="31.2" hidden="1">
      <c r="A1288" s="5">
        <v>1287</v>
      </c>
      <c r="B1288" s="18"/>
      <c r="C1288" s="13"/>
      <c r="D1288" s="22" t="s">
        <v>620</v>
      </c>
      <c r="E1288" s="22">
        <v>3160523003</v>
      </c>
      <c r="F1288" s="22" t="s">
        <v>545</v>
      </c>
      <c r="G1288" s="18"/>
      <c r="H1288" s="18"/>
      <c r="I1288" s="22" t="s">
        <v>1938</v>
      </c>
      <c r="J1288" s="14" t="s">
        <v>1939</v>
      </c>
      <c r="K1288" s="14" t="s">
        <v>1735</v>
      </c>
      <c r="L1288" s="15">
        <v>46061</v>
      </c>
      <c r="M1288" s="16">
        <v>2026</v>
      </c>
      <c r="S1288" s="9"/>
    </row>
    <row r="1289" spans="1:19" ht="31.2" hidden="1">
      <c r="A1289" s="5">
        <v>1288</v>
      </c>
      <c r="B1289" s="18"/>
      <c r="C1289" s="13"/>
      <c r="D1289" s="22" t="s">
        <v>560</v>
      </c>
      <c r="E1289" s="22">
        <v>3160523017</v>
      </c>
      <c r="F1289" s="22" t="s">
        <v>545</v>
      </c>
      <c r="G1289" s="18"/>
      <c r="H1289" s="18"/>
      <c r="I1289" s="22" t="s">
        <v>1938</v>
      </c>
      <c r="J1289" s="14" t="s">
        <v>1939</v>
      </c>
      <c r="K1289" s="14" t="s">
        <v>1737</v>
      </c>
      <c r="L1289" s="15">
        <v>46062</v>
      </c>
      <c r="M1289" s="16">
        <v>2026</v>
      </c>
      <c r="S1289" s="9"/>
    </row>
    <row r="1290" spans="1:19" ht="31.2" hidden="1">
      <c r="A1290" s="5">
        <v>1289</v>
      </c>
      <c r="B1290" s="18"/>
      <c r="C1290" s="13" t="s">
        <v>2081</v>
      </c>
      <c r="D1290" s="22" t="s">
        <v>2082</v>
      </c>
      <c r="E1290" s="22">
        <v>3160123009</v>
      </c>
      <c r="F1290" s="22" t="s">
        <v>563</v>
      </c>
      <c r="G1290" s="18"/>
      <c r="H1290" s="18"/>
      <c r="I1290" s="22" t="s">
        <v>1938</v>
      </c>
      <c r="J1290" s="14" t="s">
        <v>1939</v>
      </c>
      <c r="K1290" s="14" t="s">
        <v>1739</v>
      </c>
      <c r="L1290" s="15">
        <v>46063</v>
      </c>
      <c r="M1290" s="16">
        <v>2026</v>
      </c>
      <c r="S1290" s="9"/>
    </row>
    <row r="1291" spans="1:19" ht="31.2" hidden="1">
      <c r="A1291" s="5">
        <v>1290</v>
      </c>
      <c r="B1291" s="18"/>
      <c r="C1291" s="13"/>
      <c r="D1291" s="22" t="s">
        <v>570</v>
      </c>
      <c r="E1291" s="22">
        <v>3160223002</v>
      </c>
      <c r="F1291" s="22" t="s">
        <v>563</v>
      </c>
      <c r="G1291" s="18"/>
      <c r="H1291" s="18"/>
      <c r="I1291" s="22" t="s">
        <v>1938</v>
      </c>
      <c r="J1291" s="14" t="s">
        <v>1939</v>
      </c>
      <c r="K1291" s="14" t="s">
        <v>1741</v>
      </c>
      <c r="L1291" s="15">
        <v>46064</v>
      </c>
      <c r="M1291" s="16">
        <v>2026</v>
      </c>
      <c r="S1291" s="9"/>
    </row>
    <row r="1292" spans="1:19" ht="31.2" hidden="1">
      <c r="A1292" s="5">
        <v>1291</v>
      </c>
      <c r="B1292" s="18"/>
      <c r="C1292" s="13"/>
      <c r="D1292" s="22" t="s">
        <v>564</v>
      </c>
      <c r="E1292" s="22">
        <v>3160123021</v>
      </c>
      <c r="F1292" s="22" t="s">
        <v>563</v>
      </c>
      <c r="G1292" s="18"/>
      <c r="H1292" s="18"/>
      <c r="I1292" s="22" t="s">
        <v>1938</v>
      </c>
      <c r="J1292" s="14" t="s">
        <v>1939</v>
      </c>
      <c r="K1292" s="14" t="s">
        <v>1742</v>
      </c>
      <c r="L1292" s="15">
        <v>46065</v>
      </c>
      <c r="M1292" s="16">
        <v>2026</v>
      </c>
      <c r="S1292" s="9"/>
    </row>
    <row r="1293" spans="1:19" ht="31.2" hidden="1">
      <c r="A1293" s="5">
        <v>1292</v>
      </c>
      <c r="B1293" s="18"/>
      <c r="C1293" s="13"/>
      <c r="D1293" s="22" t="s">
        <v>350</v>
      </c>
      <c r="E1293" s="22">
        <v>3160123022</v>
      </c>
      <c r="F1293" s="22" t="s">
        <v>563</v>
      </c>
      <c r="G1293" s="18"/>
      <c r="H1293" s="18"/>
      <c r="I1293" s="22" t="s">
        <v>1938</v>
      </c>
      <c r="J1293" s="14" t="s">
        <v>1939</v>
      </c>
      <c r="K1293" s="14" t="s">
        <v>1743</v>
      </c>
      <c r="L1293" s="15">
        <v>46066</v>
      </c>
      <c r="M1293" s="16">
        <v>2026</v>
      </c>
      <c r="S1293" s="9"/>
    </row>
    <row r="1294" spans="1:19" ht="31.2" hidden="1">
      <c r="A1294" s="5">
        <v>1293</v>
      </c>
      <c r="B1294" s="18"/>
      <c r="C1294" s="13"/>
      <c r="D1294" s="22" t="s">
        <v>2083</v>
      </c>
      <c r="E1294" s="22">
        <v>3160123016</v>
      </c>
      <c r="F1294" s="22" t="s">
        <v>563</v>
      </c>
      <c r="G1294" s="18"/>
      <c r="H1294" s="18"/>
      <c r="I1294" s="22" t="s">
        <v>1938</v>
      </c>
      <c r="J1294" s="14" t="s">
        <v>1939</v>
      </c>
      <c r="K1294" s="14" t="s">
        <v>1745</v>
      </c>
      <c r="L1294" s="15">
        <v>46067</v>
      </c>
      <c r="M1294" s="16">
        <v>2026</v>
      </c>
      <c r="S1294" s="9"/>
    </row>
    <row r="1295" spans="1:19" ht="31.2" hidden="1">
      <c r="A1295" s="5">
        <v>1294</v>
      </c>
      <c r="B1295" s="18"/>
      <c r="C1295" s="13" t="s">
        <v>2084</v>
      </c>
      <c r="D1295" s="22" t="s">
        <v>2085</v>
      </c>
      <c r="E1295" s="22">
        <v>3160124001</v>
      </c>
      <c r="F1295" s="22" t="s">
        <v>2086</v>
      </c>
      <c r="G1295" s="18"/>
      <c r="H1295" s="18"/>
      <c r="I1295" s="22" t="s">
        <v>1938</v>
      </c>
      <c r="J1295" s="14" t="s">
        <v>1939</v>
      </c>
      <c r="K1295" s="14" t="s">
        <v>1747</v>
      </c>
      <c r="L1295" s="15">
        <v>46068</v>
      </c>
      <c r="M1295" s="16">
        <v>2026</v>
      </c>
      <c r="S1295" s="9"/>
    </row>
    <row r="1296" spans="1:19" ht="31.2" hidden="1">
      <c r="A1296" s="5">
        <v>1295</v>
      </c>
      <c r="B1296" s="18"/>
      <c r="C1296" s="13"/>
      <c r="D1296" s="22" t="s">
        <v>2087</v>
      </c>
      <c r="E1296" s="22">
        <v>3160124012</v>
      </c>
      <c r="F1296" s="22" t="s">
        <v>2086</v>
      </c>
      <c r="G1296" s="18"/>
      <c r="H1296" s="18"/>
      <c r="I1296" s="22" t="s">
        <v>1938</v>
      </c>
      <c r="J1296" s="14" t="s">
        <v>1939</v>
      </c>
      <c r="K1296" s="14" t="s">
        <v>1748</v>
      </c>
      <c r="L1296" s="15">
        <v>46069</v>
      </c>
      <c r="M1296" s="16">
        <v>2026</v>
      </c>
      <c r="S1296" s="9"/>
    </row>
    <row r="1297" spans="1:19" ht="31.2" hidden="1">
      <c r="A1297" s="5">
        <v>1296</v>
      </c>
      <c r="B1297" s="18"/>
      <c r="C1297" s="13"/>
      <c r="D1297" s="22" t="s">
        <v>2088</v>
      </c>
      <c r="E1297" s="22">
        <v>3160124005</v>
      </c>
      <c r="F1297" s="22" t="s">
        <v>2086</v>
      </c>
      <c r="G1297" s="18"/>
      <c r="H1297" s="18"/>
      <c r="I1297" s="22" t="s">
        <v>1938</v>
      </c>
      <c r="J1297" s="14" t="s">
        <v>1939</v>
      </c>
      <c r="K1297" s="14" t="s">
        <v>1749</v>
      </c>
      <c r="L1297" s="15">
        <v>46070</v>
      </c>
      <c r="M1297" s="16">
        <v>2026</v>
      </c>
      <c r="S1297" s="9"/>
    </row>
    <row r="1298" spans="1:19" ht="31.2" hidden="1">
      <c r="A1298" s="5">
        <v>1297</v>
      </c>
      <c r="B1298" s="18"/>
      <c r="C1298" s="13"/>
      <c r="D1298" s="22" t="s">
        <v>529</v>
      </c>
      <c r="E1298" s="22">
        <v>3160124017</v>
      </c>
      <c r="F1298" s="22" t="s">
        <v>2086</v>
      </c>
      <c r="G1298" s="18"/>
      <c r="H1298" s="18"/>
      <c r="I1298" s="22" t="s">
        <v>1938</v>
      </c>
      <c r="J1298" s="14" t="s">
        <v>1939</v>
      </c>
      <c r="K1298" s="14" t="s">
        <v>1750</v>
      </c>
      <c r="L1298" s="15">
        <v>46071</v>
      </c>
      <c r="M1298" s="16">
        <v>2026</v>
      </c>
      <c r="S1298" s="9"/>
    </row>
    <row r="1299" spans="1:19" ht="31.2" hidden="1">
      <c r="A1299" s="5">
        <v>1298</v>
      </c>
      <c r="B1299" s="18"/>
      <c r="C1299" s="13" t="s">
        <v>2089</v>
      </c>
      <c r="D1299" s="22" t="s">
        <v>2090</v>
      </c>
      <c r="E1299" s="22">
        <v>3160122007</v>
      </c>
      <c r="F1299" s="22" t="s">
        <v>628</v>
      </c>
      <c r="G1299" s="18"/>
      <c r="H1299" s="18"/>
      <c r="I1299" s="22" t="s">
        <v>1938</v>
      </c>
      <c r="J1299" s="14" t="s">
        <v>1939</v>
      </c>
      <c r="K1299" s="14" t="s">
        <v>1753</v>
      </c>
      <c r="L1299" s="15">
        <v>46072</v>
      </c>
      <c r="M1299" s="16">
        <v>2026</v>
      </c>
      <c r="S1299" s="9"/>
    </row>
    <row r="1300" spans="1:19" ht="31.2" hidden="1">
      <c r="A1300" s="5">
        <v>1299</v>
      </c>
      <c r="B1300" s="18"/>
      <c r="C1300" s="13" t="s">
        <v>2091</v>
      </c>
      <c r="D1300" s="22" t="s">
        <v>2092</v>
      </c>
      <c r="E1300" s="22">
        <v>3160124002</v>
      </c>
      <c r="F1300" s="22" t="s">
        <v>2086</v>
      </c>
      <c r="G1300" s="18"/>
      <c r="H1300" s="18"/>
      <c r="I1300" s="22" t="s">
        <v>1938</v>
      </c>
      <c r="J1300" s="14" t="s">
        <v>1939</v>
      </c>
      <c r="K1300" s="14" t="s">
        <v>1755</v>
      </c>
      <c r="L1300" s="15">
        <v>46073</v>
      </c>
      <c r="M1300" s="16">
        <v>2026</v>
      </c>
      <c r="S1300" s="9"/>
    </row>
    <row r="1301" spans="1:19" ht="31.2" hidden="1">
      <c r="A1301" s="5">
        <v>1300</v>
      </c>
      <c r="B1301" s="18"/>
      <c r="C1301" s="13"/>
      <c r="D1301" s="22" t="s">
        <v>2093</v>
      </c>
      <c r="E1301" s="22">
        <v>3160524031</v>
      </c>
      <c r="F1301" s="22" t="s">
        <v>2057</v>
      </c>
      <c r="G1301" s="18"/>
      <c r="H1301" s="18"/>
      <c r="I1301" s="22" t="s">
        <v>1938</v>
      </c>
      <c r="J1301" s="14" t="s">
        <v>1939</v>
      </c>
      <c r="K1301" s="14" t="s">
        <v>1757</v>
      </c>
      <c r="L1301" s="15">
        <v>46074</v>
      </c>
      <c r="M1301" s="16">
        <v>2026</v>
      </c>
      <c r="S1301" s="9"/>
    </row>
    <row r="1302" spans="1:19" ht="31.2" hidden="1">
      <c r="A1302" s="5">
        <v>1301</v>
      </c>
      <c r="B1302" s="18"/>
      <c r="C1302" s="13"/>
      <c r="D1302" s="22" t="s">
        <v>2094</v>
      </c>
      <c r="E1302" s="22">
        <v>3160524007</v>
      </c>
      <c r="F1302" s="22" t="s">
        <v>2057</v>
      </c>
      <c r="G1302" s="18"/>
      <c r="H1302" s="18"/>
      <c r="I1302" s="22" t="s">
        <v>1938</v>
      </c>
      <c r="J1302" s="14" t="s">
        <v>1939</v>
      </c>
      <c r="K1302" s="14" t="s">
        <v>1759</v>
      </c>
      <c r="L1302" s="15">
        <v>46075</v>
      </c>
      <c r="M1302" s="16">
        <v>2026</v>
      </c>
      <c r="S1302" s="9"/>
    </row>
    <row r="1303" spans="1:19" ht="31.2" hidden="1">
      <c r="A1303" s="5">
        <v>1302</v>
      </c>
      <c r="B1303" s="18"/>
      <c r="C1303" s="13"/>
      <c r="D1303" s="22" t="s">
        <v>2095</v>
      </c>
      <c r="E1303" s="22">
        <v>3160124004</v>
      </c>
      <c r="F1303" s="22" t="s">
        <v>2086</v>
      </c>
      <c r="G1303" s="18"/>
      <c r="H1303" s="18"/>
      <c r="I1303" s="22" t="s">
        <v>1938</v>
      </c>
      <c r="J1303" s="14" t="s">
        <v>1939</v>
      </c>
      <c r="K1303" s="14" t="s">
        <v>1761</v>
      </c>
      <c r="L1303" s="15">
        <v>46076</v>
      </c>
      <c r="M1303" s="16">
        <v>2026</v>
      </c>
      <c r="S1303" s="9"/>
    </row>
    <row r="1304" spans="1:19" ht="31.2" hidden="1">
      <c r="A1304" s="5">
        <v>1303</v>
      </c>
      <c r="B1304" s="18"/>
      <c r="C1304" s="13" t="s">
        <v>2096</v>
      </c>
      <c r="D1304" s="22" t="s">
        <v>2097</v>
      </c>
      <c r="E1304" s="22">
        <v>3160124022</v>
      </c>
      <c r="F1304" s="22" t="s">
        <v>2086</v>
      </c>
      <c r="G1304" s="18"/>
      <c r="H1304" s="18"/>
      <c r="I1304" s="22" t="s">
        <v>1938</v>
      </c>
      <c r="J1304" s="14" t="s">
        <v>1939</v>
      </c>
      <c r="K1304" s="14" t="s">
        <v>1764</v>
      </c>
      <c r="L1304" s="15">
        <v>46077</v>
      </c>
      <c r="M1304" s="16">
        <v>2026</v>
      </c>
      <c r="S1304" s="9"/>
    </row>
    <row r="1305" spans="1:19" ht="31.2" hidden="1">
      <c r="A1305" s="5">
        <v>1304</v>
      </c>
      <c r="B1305" s="18"/>
      <c r="C1305" s="13"/>
      <c r="D1305" s="22" t="s">
        <v>2098</v>
      </c>
      <c r="E1305" s="22">
        <v>3180124023</v>
      </c>
      <c r="F1305" s="22" t="s">
        <v>2099</v>
      </c>
      <c r="G1305" s="18"/>
      <c r="H1305" s="18"/>
      <c r="I1305" s="22" t="s">
        <v>1938</v>
      </c>
      <c r="J1305" s="14" t="s">
        <v>1939</v>
      </c>
      <c r="K1305" s="14" t="s">
        <v>1766</v>
      </c>
      <c r="L1305" s="15">
        <v>46078</v>
      </c>
      <c r="M1305" s="16">
        <v>2026</v>
      </c>
      <c r="S1305" s="9"/>
    </row>
    <row r="1306" spans="1:19" ht="31.2" hidden="1">
      <c r="A1306" s="5">
        <v>1305</v>
      </c>
      <c r="B1306" s="18"/>
      <c r="C1306" s="13" t="s">
        <v>2100</v>
      </c>
      <c r="D1306" s="22" t="s">
        <v>2101</v>
      </c>
      <c r="E1306" s="22">
        <v>3160725023</v>
      </c>
      <c r="F1306" s="22" t="s">
        <v>2078</v>
      </c>
      <c r="G1306" s="18"/>
      <c r="H1306" s="18"/>
      <c r="I1306" s="22" t="s">
        <v>1938</v>
      </c>
      <c r="J1306" s="14" t="s">
        <v>1939</v>
      </c>
      <c r="K1306" s="14" t="s">
        <v>1768</v>
      </c>
      <c r="L1306" s="15">
        <v>46079</v>
      </c>
      <c r="M1306" s="16">
        <v>2026</v>
      </c>
      <c r="S1306" s="9"/>
    </row>
    <row r="1307" spans="1:19" ht="31.2" hidden="1">
      <c r="A1307" s="5">
        <v>1306</v>
      </c>
      <c r="B1307" s="18"/>
      <c r="C1307" s="13"/>
      <c r="D1307" s="22" t="s">
        <v>2102</v>
      </c>
      <c r="E1307" s="22">
        <v>3160725021</v>
      </c>
      <c r="F1307" s="22" t="s">
        <v>2078</v>
      </c>
      <c r="G1307" s="18"/>
      <c r="H1307" s="18"/>
      <c r="I1307" s="22" t="s">
        <v>1938</v>
      </c>
      <c r="J1307" s="14" t="s">
        <v>1939</v>
      </c>
      <c r="K1307" s="14" t="s">
        <v>1770</v>
      </c>
      <c r="L1307" s="15">
        <v>46080</v>
      </c>
      <c r="M1307" s="16">
        <v>2026</v>
      </c>
      <c r="S1307" s="9"/>
    </row>
    <row r="1308" spans="1:19" ht="31.2" hidden="1">
      <c r="A1308" s="5">
        <v>1307</v>
      </c>
      <c r="B1308" s="18"/>
      <c r="C1308" s="13"/>
      <c r="D1308" s="22" t="s">
        <v>2103</v>
      </c>
      <c r="E1308" s="22">
        <v>3160725025</v>
      </c>
      <c r="F1308" s="22" t="s">
        <v>2078</v>
      </c>
      <c r="G1308" s="18"/>
      <c r="H1308" s="18"/>
      <c r="I1308" s="22" t="s">
        <v>1938</v>
      </c>
      <c r="J1308" s="14" t="s">
        <v>1939</v>
      </c>
      <c r="K1308" s="14" t="s">
        <v>1773</v>
      </c>
      <c r="L1308" s="15">
        <v>46081</v>
      </c>
      <c r="M1308" s="16">
        <v>2026</v>
      </c>
      <c r="S1308" s="9"/>
    </row>
    <row r="1309" spans="1:19" ht="31.2" hidden="1">
      <c r="A1309" s="5">
        <v>1308</v>
      </c>
      <c r="B1309" s="18"/>
      <c r="C1309" s="13"/>
      <c r="D1309" s="22" t="s">
        <v>2104</v>
      </c>
      <c r="E1309" s="22">
        <v>3160725013</v>
      </c>
      <c r="F1309" s="22" t="s">
        <v>2078</v>
      </c>
      <c r="G1309" s="18"/>
      <c r="H1309" s="18"/>
      <c r="I1309" s="22" t="s">
        <v>1938</v>
      </c>
      <c r="J1309" s="14" t="s">
        <v>1939</v>
      </c>
      <c r="K1309" s="14" t="s">
        <v>1775</v>
      </c>
      <c r="L1309" s="15">
        <v>46082</v>
      </c>
      <c r="M1309" s="16">
        <v>2026</v>
      </c>
      <c r="S1309" s="9"/>
    </row>
    <row r="1310" spans="1:19" ht="31.2" hidden="1">
      <c r="A1310" s="5">
        <v>1309</v>
      </c>
      <c r="B1310" s="18"/>
      <c r="C1310" s="13" t="s">
        <v>2105</v>
      </c>
      <c r="D1310" s="22" t="s">
        <v>2106</v>
      </c>
      <c r="E1310" s="22">
        <v>3160725005</v>
      </c>
      <c r="F1310" s="22" t="s">
        <v>2078</v>
      </c>
      <c r="G1310" s="18"/>
      <c r="H1310" s="18"/>
      <c r="I1310" s="22" t="s">
        <v>1938</v>
      </c>
      <c r="J1310" s="14" t="s">
        <v>1939</v>
      </c>
      <c r="K1310" s="14" t="s">
        <v>1777</v>
      </c>
      <c r="L1310" s="15">
        <v>46083</v>
      </c>
      <c r="M1310" s="16">
        <v>2026</v>
      </c>
      <c r="S1310" s="9"/>
    </row>
    <row r="1311" spans="1:19" ht="31.2" hidden="1">
      <c r="A1311" s="5">
        <v>1310</v>
      </c>
      <c r="B1311" s="18"/>
      <c r="C1311" s="13"/>
      <c r="D1311" s="22" t="s">
        <v>2107</v>
      </c>
      <c r="E1311" s="22">
        <v>3160725028</v>
      </c>
      <c r="F1311" s="22" t="s">
        <v>2078</v>
      </c>
      <c r="G1311" s="18"/>
      <c r="H1311" s="18"/>
      <c r="I1311" s="22" t="s">
        <v>1938</v>
      </c>
      <c r="J1311" s="14" t="s">
        <v>1939</v>
      </c>
      <c r="K1311" s="14" t="s">
        <v>1779</v>
      </c>
      <c r="L1311" s="15">
        <v>46084</v>
      </c>
      <c r="M1311" s="16">
        <v>2026</v>
      </c>
      <c r="S1311" s="9"/>
    </row>
    <row r="1312" spans="1:19" ht="31.2" hidden="1">
      <c r="A1312" s="5">
        <v>1311</v>
      </c>
      <c r="B1312" s="18"/>
      <c r="C1312" s="13" t="s">
        <v>2108</v>
      </c>
      <c r="D1312" s="22" t="s">
        <v>280</v>
      </c>
      <c r="E1312" s="22">
        <v>3190123045</v>
      </c>
      <c r="F1312" s="22" t="s">
        <v>1177</v>
      </c>
      <c r="G1312" s="18"/>
      <c r="H1312" s="18"/>
      <c r="I1312" s="22" t="s">
        <v>1938</v>
      </c>
      <c r="J1312" s="14" t="s">
        <v>1939</v>
      </c>
      <c r="K1312" s="14" t="s">
        <v>1781</v>
      </c>
      <c r="L1312" s="15">
        <v>46085</v>
      </c>
      <c r="M1312" s="16">
        <v>2026</v>
      </c>
      <c r="S1312" s="9"/>
    </row>
    <row r="1313" spans="1:19" ht="31.2" hidden="1">
      <c r="A1313" s="5">
        <v>1312</v>
      </c>
      <c r="B1313" s="18"/>
      <c r="C1313" s="13"/>
      <c r="D1313" s="22" t="s">
        <v>2109</v>
      </c>
      <c r="E1313" s="22">
        <v>3190124015</v>
      </c>
      <c r="F1313" s="22" t="s">
        <v>1972</v>
      </c>
      <c r="G1313" s="18"/>
      <c r="H1313" s="18"/>
      <c r="I1313" s="22" t="s">
        <v>1938</v>
      </c>
      <c r="J1313" s="14" t="s">
        <v>1939</v>
      </c>
      <c r="K1313" s="14" t="s">
        <v>1783</v>
      </c>
      <c r="L1313" s="15">
        <v>46086</v>
      </c>
      <c r="M1313" s="16">
        <v>2026</v>
      </c>
      <c r="S1313" s="9"/>
    </row>
    <row r="1314" spans="1:19" ht="31.2" hidden="1">
      <c r="A1314" s="5">
        <v>1313</v>
      </c>
      <c r="B1314" s="18"/>
      <c r="C1314" s="13"/>
      <c r="D1314" s="22" t="s">
        <v>1765</v>
      </c>
      <c r="E1314" s="22">
        <v>3190424046</v>
      </c>
      <c r="F1314" s="22" t="s">
        <v>1218</v>
      </c>
      <c r="G1314" s="18"/>
      <c r="H1314" s="18"/>
      <c r="I1314" s="22" t="s">
        <v>1938</v>
      </c>
      <c r="J1314" s="14" t="s">
        <v>1939</v>
      </c>
      <c r="K1314" s="14" t="s">
        <v>1785</v>
      </c>
      <c r="L1314" s="15">
        <v>46087</v>
      </c>
      <c r="M1314" s="16">
        <v>2026</v>
      </c>
      <c r="S1314" s="9"/>
    </row>
    <row r="1315" spans="1:19" ht="31.2" hidden="1">
      <c r="A1315" s="5">
        <v>1314</v>
      </c>
      <c r="B1315" s="18"/>
      <c r="C1315" s="13"/>
      <c r="D1315" s="22" t="s">
        <v>2110</v>
      </c>
      <c r="E1315" s="22">
        <v>3190124022</v>
      </c>
      <c r="F1315" s="22" t="s">
        <v>1972</v>
      </c>
      <c r="G1315" s="18"/>
      <c r="H1315" s="18"/>
      <c r="I1315" s="22" t="s">
        <v>1938</v>
      </c>
      <c r="J1315" s="14" t="s">
        <v>1939</v>
      </c>
      <c r="K1315" s="14" t="s">
        <v>1786</v>
      </c>
      <c r="L1315" s="15">
        <v>46088</v>
      </c>
      <c r="M1315" s="16">
        <v>2026</v>
      </c>
      <c r="S1315" s="9"/>
    </row>
    <row r="1316" spans="1:19" ht="31.2" hidden="1">
      <c r="A1316" s="5">
        <v>1315</v>
      </c>
      <c r="B1316" s="18"/>
      <c r="C1316" s="13"/>
      <c r="D1316" s="22" t="s">
        <v>2111</v>
      </c>
      <c r="E1316" s="22">
        <v>3190423018</v>
      </c>
      <c r="F1316" s="22" t="s">
        <v>1211</v>
      </c>
      <c r="G1316" s="18"/>
      <c r="H1316" s="18"/>
      <c r="I1316" s="22" t="s">
        <v>1938</v>
      </c>
      <c r="J1316" s="14" t="s">
        <v>1939</v>
      </c>
      <c r="K1316" s="14" t="s">
        <v>1787</v>
      </c>
      <c r="L1316" s="15">
        <v>46089</v>
      </c>
      <c r="M1316" s="16">
        <v>2026</v>
      </c>
      <c r="S1316" s="9"/>
    </row>
    <row r="1317" spans="1:19" ht="31.2" hidden="1">
      <c r="A1317" s="5">
        <v>1316</v>
      </c>
      <c r="B1317" s="18"/>
      <c r="C1317" s="13" t="s">
        <v>2112</v>
      </c>
      <c r="D1317" s="22" t="s">
        <v>2113</v>
      </c>
      <c r="E1317" s="22">
        <v>3180524052</v>
      </c>
      <c r="F1317" s="22" t="s">
        <v>2035</v>
      </c>
      <c r="G1317" s="18"/>
      <c r="H1317" s="18"/>
      <c r="I1317" s="22" t="s">
        <v>1938</v>
      </c>
      <c r="J1317" s="14" t="s">
        <v>1939</v>
      </c>
      <c r="K1317" s="14" t="s">
        <v>1788</v>
      </c>
      <c r="L1317" s="15">
        <v>46090</v>
      </c>
      <c r="M1317" s="16">
        <v>2026</v>
      </c>
      <c r="S1317" s="9"/>
    </row>
    <row r="1318" spans="1:19" ht="31.2" hidden="1">
      <c r="A1318" s="5">
        <v>1317</v>
      </c>
      <c r="B1318" s="18"/>
      <c r="C1318" s="13"/>
      <c r="D1318" s="22" t="s">
        <v>2114</v>
      </c>
      <c r="E1318" s="22">
        <v>3180524072</v>
      </c>
      <c r="F1318" s="22" t="s">
        <v>2035</v>
      </c>
      <c r="G1318" s="18"/>
      <c r="H1318" s="18"/>
      <c r="I1318" s="22" t="s">
        <v>1938</v>
      </c>
      <c r="J1318" s="14" t="s">
        <v>1939</v>
      </c>
      <c r="K1318" s="14" t="s">
        <v>1791</v>
      </c>
      <c r="L1318" s="15">
        <v>46091</v>
      </c>
      <c r="M1318" s="16">
        <v>2026</v>
      </c>
      <c r="S1318" s="9"/>
    </row>
    <row r="1319" spans="1:19" ht="31.2" hidden="1">
      <c r="A1319" s="5">
        <v>1318</v>
      </c>
      <c r="B1319" s="18"/>
      <c r="C1319" s="13"/>
      <c r="D1319" s="22" t="s">
        <v>2115</v>
      </c>
      <c r="E1319" s="25">
        <v>3180524019</v>
      </c>
      <c r="F1319" s="22" t="s">
        <v>2035</v>
      </c>
      <c r="G1319" s="18"/>
      <c r="H1319" s="18"/>
      <c r="I1319" s="22" t="s">
        <v>1938</v>
      </c>
      <c r="J1319" s="14" t="s">
        <v>1939</v>
      </c>
      <c r="K1319" s="14" t="s">
        <v>1793</v>
      </c>
      <c r="L1319" s="15">
        <v>46092</v>
      </c>
      <c r="M1319" s="16">
        <v>2026</v>
      </c>
      <c r="S1319" s="9"/>
    </row>
    <row r="1320" spans="1:19" ht="31.2" hidden="1">
      <c r="A1320" s="5">
        <v>1319</v>
      </c>
      <c r="B1320" s="18"/>
      <c r="C1320" s="13"/>
      <c r="D1320" s="22" t="s">
        <v>2116</v>
      </c>
      <c r="E1320" s="22">
        <v>3180524017</v>
      </c>
      <c r="F1320" s="22" t="s">
        <v>2035</v>
      </c>
      <c r="G1320" s="18"/>
      <c r="H1320" s="18"/>
      <c r="I1320" s="22" t="s">
        <v>1938</v>
      </c>
      <c r="J1320" s="14" t="s">
        <v>1939</v>
      </c>
      <c r="K1320" s="14" t="s">
        <v>1795</v>
      </c>
      <c r="L1320" s="15">
        <v>46093</v>
      </c>
      <c r="M1320" s="16">
        <v>2026</v>
      </c>
      <c r="S1320" s="9"/>
    </row>
    <row r="1321" spans="1:19" ht="31.2" hidden="1">
      <c r="A1321" s="5">
        <v>1320</v>
      </c>
      <c r="B1321" s="18"/>
      <c r="C1321" s="13" t="s">
        <v>2117</v>
      </c>
      <c r="D1321" s="22" t="s">
        <v>2118</v>
      </c>
      <c r="E1321" s="22">
        <v>3190123019</v>
      </c>
      <c r="F1321" s="22" t="s">
        <v>1177</v>
      </c>
      <c r="G1321" s="18"/>
      <c r="H1321" s="18"/>
      <c r="I1321" s="22" t="s">
        <v>1938</v>
      </c>
      <c r="J1321" s="14" t="s">
        <v>1939</v>
      </c>
      <c r="K1321" s="14" t="s">
        <v>1797</v>
      </c>
      <c r="L1321" s="15">
        <v>46094</v>
      </c>
      <c r="M1321" s="16">
        <v>2026</v>
      </c>
      <c r="S1321" s="9"/>
    </row>
    <row r="1322" spans="1:19" ht="31.2" hidden="1">
      <c r="A1322" s="5">
        <v>1321</v>
      </c>
      <c r="B1322" s="18"/>
      <c r="C1322" s="13"/>
      <c r="D1322" s="22" t="s">
        <v>2119</v>
      </c>
      <c r="E1322" s="22">
        <v>3190123051</v>
      </c>
      <c r="F1322" s="22" t="s">
        <v>1177</v>
      </c>
      <c r="G1322" s="18"/>
      <c r="H1322" s="18"/>
      <c r="I1322" s="22" t="s">
        <v>1938</v>
      </c>
      <c r="J1322" s="14" t="s">
        <v>1939</v>
      </c>
      <c r="K1322" s="14" t="s">
        <v>1799</v>
      </c>
      <c r="L1322" s="15">
        <v>46095</v>
      </c>
      <c r="M1322" s="16">
        <v>2026</v>
      </c>
      <c r="S1322" s="9"/>
    </row>
    <row r="1323" spans="1:19" ht="31.2" hidden="1">
      <c r="A1323" s="5">
        <v>1322</v>
      </c>
      <c r="B1323" s="18"/>
      <c r="C1323" s="13"/>
      <c r="D1323" s="22" t="s">
        <v>2120</v>
      </c>
      <c r="E1323" s="22">
        <v>3190123039</v>
      </c>
      <c r="F1323" s="22" t="s">
        <v>1177</v>
      </c>
      <c r="G1323" s="18"/>
      <c r="H1323" s="18"/>
      <c r="I1323" s="22" t="s">
        <v>1938</v>
      </c>
      <c r="J1323" s="14" t="s">
        <v>1939</v>
      </c>
      <c r="K1323" s="14" t="s">
        <v>1802</v>
      </c>
      <c r="L1323" s="15">
        <v>46096</v>
      </c>
      <c r="M1323" s="16">
        <v>2026</v>
      </c>
      <c r="S1323" s="9"/>
    </row>
    <row r="1324" spans="1:19" ht="31.2" hidden="1">
      <c r="A1324" s="5">
        <v>1323</v>
      </c>
      <c r="B1324" s="18"/>
      <c r="C1324" s="13"/>
      <c r="D1324" s="22" t="s">
        <v>2121</v>
      </c>
      <c r="E1324" s="22">
        <v>3190124007</v>
      </c>
      <c r="F1324" s="22" t="s">
        <v>1972</v>
      </c>
      <c r="G1324" s="18"/>
      <c r="H1324" s="18"/>
      <c r="I1324" s="22" t="s">
        <v>1938</v>
      </c>
      <c r="J1324" s="14" t="s">
        <v>1939</v>
      </c>
      <c r="K1324" s="14" t="s">
        <v>1804</v>
      </c>
      <c r="L1324" s="15">
        <v>46097</v>
      </c>
      <c r="M1324" s="16">
        <v>2026</v>
      </c>
      <c r="S1324" s="9"/>
    </row>
    <row r="1325" spans="1:19" ht="31.2" hidden="1">
      <c r="A1325" s="5">
        <v>1324</v>
      </c>
      <c r="B1325" s="18"/>
      <c r="C1325" s="13"/>
      <c r="D1325" s="22" t="s">
        <v>2122</v>
      </c>
      <c r="E1325" s="22">
        <v>3180724079</v>
      </c>
      <c r="F1325" s="22" t="s">
        <v>2001</v>
      </c>
      <c r="G1325" s="18"/>
      <c r="H1325" s="18"/>
      <c r="I1325" s="22" t="s">
        <v>1938</v>
      </c>
      <c r="J1325" s="14" t="s">
        <v>1939</v>
      </c>
      <c r="K1325" s="14" t="s">
        <v>1806</v>
      </c>
      <c r="L1325" s="15">
        <v>46098</v>
      </c>
      <c r="M1325" s="16">
        <v>2026</v>
      </c>
      <c r="S1325" s="9"/>
    </row>
    <row r="1326" spans="1:19" ht="31.2" hidden="1">
      <c r="A1326" s="5">
        <v>1325</v>
      </c>
      <c r="B1326" s="18"/>
      <c r="C1326" s="13" t="s">
        <v>2123</v>
      </c>
      <c r="D1326" s="22" t="s">
        <v>2124</v>
      </c>
      <c r="E1326" s="22">
        <v>3180223151</v>
      </c>
      <c r="F1326" s="22" t="s">
        <v>2125</v>
      </c>
      <c r="G1326" s="18"/>
      <c r="H1326" s="18"/>
      <c r="I1326" s="22" t="s">
        <v>1938</v>
      </c>
      <c r="J1326" s="14" t="s">
        <v>1939</v>
      </c>
      <c r="K1326" s="14" t="s">
        <v>1809</v>
      </c>
      <c r="L1326" s="15">
        <v>46099</v>
      </c>
      <c r="M1326" s="16">
        <v>2026</v>
      </c>
      <c r="S1326" s="9"/>
    </row>
    <row r="1327" spans="1:19" ht="31.2" hidden="1">
      <c r="A1327" s="5">
        <v>1326</v>
      </c>
      <c r="B1327" s="18"/>
      <c r="C1327" s="13"/>
      <c r="D1327" s="22" t="s">
        <v>2126</v>
      </c>
      <c r="E1327" s="22">
        <v>3180223137</v>
      </c>
      <c r="F1327" s="22" t="s">
        <v>2125</v>
      </c>
      <c r="G1327" s="18"/>
      <c r="H1327" s="18"/>
      <c r="I1327" s="22" t="s">
        <v>1938</v>
      </c>
      <c r="J1327" s="14" t="s">
        <v>1939</v>
      </c>
      <c r="K1327" s="14" t="s">
        <v>1811</v>
      </c>
      <c r="L1327" s="15">
        <v>46100</v>
      </c>
      <c r="M1327" s="16">
        <v>2026</v>
      </c>
      <c r="S1327" s="9"/>
    </row>
    <row r="1328" spans="1:19" ht="31.2" hidden="1">
      <c r="A1328" s="5">
        <v>1327</v>
      </c>
      <c r="B1328" s="18"/>
      <c r="C1328" s="13"/>
      <c r="D1328" s="22" t="s">
        <v>2127</v>
      </c>
      <c r="E1328" s="22">
        <v>3180223148</v>
      </c>
      <c r="F1328" s="22" t="s">
        <v>2125</v>
      </c>
      <c r="G1328" s="18"/>
      <c r="H1328" s="18"/>
      <c r="I1328" s="22" t="s">
        <v>1938</v>
      </c>
      <c r="J1328" s="14" t="s">
        <v>1939</v>
      </c>
      <c r="K1328" s="14" t="s">
        <v>1813</v>
      </c>
      <c r="L1328" s="15">
        <v>46101</v>
      </c>
      <c r="M1328" s="16">
        <v>2026</v>
      </c>
      <c r="S1328" s="9"/>
    </row>
    <row r="1329" spans="1:19" ht="31.2" hidden="1">
      <c r="A1329" s="5">
        <v>1328</v>
      </c>
      <c r="B1329" s="18"/>
      <c r="C1329" s="13"/>
      <c r="D1329" s="22" t="s">
        <v>516</v>
      </c>
      <c r="E1329" s="22">
        <v>3180223004</v>
      </c>
      <c r="F1329" s="22" t="s">
        <v>2128</v>
      </c>
      <c r="G1329" s="18"/>
      <c r="H1329" s="18"/>
      <c r="I1329" s="22" t="s">
        <v>1938</v>
      </c>
      <c r="J1329" s="14" t="s">
        <v>1939</v>
      </c>
      <c r="K1329" s="14" t="s">
        <v>1815</v>
      </c>
      <c r="L1329" s="15">
        <v>46102</v>
      </c>
      <c r="M1329" s="16">
        <v>2026</v>
      </c>
      <c r="S1329" s="9"/>
    </row>
    <row r="1330" spans="1:19" ht="31.2" hidden="1">
      <c r="A1330" s="5">
        <v>1329</v>
      </c>
      <c r="B1330" s="18"/>
      <c r="C1330" s="13"/>
      <c r="D1330" s="22" t="s">
        <v>518</v>
      </c>
      <c r="E1330" s="22">
        <v>3180223126</v>
      </c>
      <c r="F1330" s="22" t="s">
        <v>2128</v>
      </c>
      <c r="G1330" s="18"/>
      <c r="H1330" s="18"/>
      <c r="I1330" s="22" t="s">
        <v>1938</v>
      </c>
      <c r="J1330" s="14" t="s">
        <v>1939</v>
      </c>
      <c r="K1330" s="14" t="s">
        <v>1817</v>
      </c>
      <c r="L1330" s="15">
        <v>46103</v>
      </c>
      <c r="M1330" s="16">
        <v>2026</v>
      </c>
      <c r="S1330" s="9"/>
    </row>
    <row r="1331" spans="1:19" ht="31.2" hidden="1">
      <c r="A1331" s="5">
        <v>1330</v>
      </c>
      <c r="B1331" s="18"/>
      <c r="C1331" s="13" t="s">
        <v>2129</v>
      </c>
      <c r="D1331" s="22" t="s">
        <v>1296</v>
      </c>
      <c r="E1331" s="22">
        <v>3180723066</v>
      </c>
      <c r="F1331" s="22" t="s">
        <v>2006</v>
      </c>
      <c r="G1331" s="18"/>
      <c r="H1331" s="18"/>
      <c r="I1331" s="22" t="s">
        <v>1938</v>
      </c>
      <c r="J1331" s="14" t="s">
        <v>1939</v>
      </c>
      <c r="K1331" s="14" t="s">
        <v>2130</v>
      </c>
      <c r="L1331" s="15">
        <v>46032</v>
      </c>
      <c r="M1331" s="16">
        <v>2026</v>
      </c>
      <c r="S1331" s="9"/>
    </row>
    <row r="1332" spans="1:19" ht="31.2" hidden="1">
      <c r="A1332" s="5">
        <v>1331</v>
      </c>
      <c r="B1332" s="18"/>
      <c r="C1332" s="13"/>
      <c r="D1332" s="22" t="s">
        <v>2131</v>
      </c>
      <c r="E1332" s="22">
        <v>3180723056</v>
      </c>
      <c r="F1332" s="22" t="s">
        <v>2006</v>
      </c>
      <c r="G1332" s="18"/>
      <c r="H1332" s="18"/>
      <c r="I1332" s="22" t="s">
        <v>1938</v>
      </c>
      <c r="J1332" s="14" t="s">
        <v>1939</v>
      </c>
      <c r="K1332" s="14" t="s">
        <v>2132</v>
      </c>
      <c r="L1332" s="15">
        <v>46033</v>
      </c>
      <c r="M1332" s="16">
        <v>2026</v>
      </c>
      <c r="S1332" s="9"/>
    </row>
    <row r="1333" spans="1:19" ht="31.2" hidden="1">
      <c r="A1333" s="5">
        <v>1332</v>
      </c>
      <c r="B1333" s="18"/>
      <c r="C1333" s="13"/>
      <c r="D1333" s="22" t="s">
        <v>2133</v>
      </c>
      <c r="E1333" s="22">
        <v>3180723079</v>
      </c>
      <c r="F1333" s="22" t="s">
        <v>2134</v>
      </c>
      <c r="G1333" s="18"/>
      <c r="H1333" s="18"/>
      <c r="I1333" s="22" t="s">
        <v>1938</v>
      </c>
      <c r="J1333" s="14" t="s">
        <v>1939</v>
      </c>
      <c r="K1333" s="14" t="s">
        <v>2135</v>
      </c>
      <c r="L1333" s="15">
        <v>46034</v>
      </c>
      <c r="M1333" s="16">
        <v>2026</v>
      </c>
      <c r="S1333" s="9"/>
    </row>
    <row r="1334" spans="1:19" ht="31.2" hidden="1">
      <c r="A1334" s="5">
        <v>1333</v>
      </c>
      <c r="B1334" s="18"/>
      <c r="C1334" s="13" t="s">
        <v>2136</v>
      </c>
      <c r="D1334" s="22" t="s">
        <v>2137</v>
      </c>
      <c r="E1334" s="22">
        <v>3160524018</v>
      </c>
      <c r="F1334" s="22" t="s">
        <v>2057</v>
      </c>
      <c r="G1334" s="18"/>
      <c r="H1334" s="18"/>
      <c r="I1334" s="22" t="s">
        <v>1938</v>
      </c>
      <c r="J1334" s="14" t="s">
        <v>1939</v>
      </c>
      <c r="K1334" s="14" t="s">
        <v>2138</v>
      </c>
      <c r="L1334" s="15">
        <v>46035</v>
      </c>
      <c r="M1334" s="16">
        <v>2026</v>
      </c>
      <c r="S1334" s="9"/>
    </row>
    <row r="1335" spans="1:19" ht="31.2" hidden="1">
      <c r="A1335" s="5">
        <v>1334</v>
      </c>
      <c r="B1335" s="18"/>
      <c r="C1335" s="13"/>
      <c r="D1335" s="22" t="s">
        <v>2139</v>
      </c>
      <c r="E1335" s="22">
        <v>3160524011</v>
      </c>
      <c r="F1335" s="22" t="s">
        <v>2057</v>
      </c>
      <c r="G1335" s="18"/>
      <c r="H1335" s="18"/>
      <c r="I1335" s="22" t="s">
        <v>1938</v>
      </c>
      <c r="J1335" s="14" t="s">
        <v>1939</v>
      </c>
      <c r="K1335" s="14" t="s">
        <v>2140</v>
      </c>
      <c r="L1335" s="15">
        <v>46036</v>
      </c>
      <c r="M1335" s="16">
        <v>2026</v>
      </c>
      <c r="S1335" s="9"/>
    </row>
    <row r="1336" spans="1:19" ht="31.2" hidden="1">
      <c r="A1336" s="5">
        <v>1335</v>
      </c>
      <c r="B1336" s="18"/>
      <c r="C1336" s="13"/>
      <c r="D1336" s="22" t="s">
        <v>2141</v>
      </c>
      <c r="E1336" s="22">
        <v>3160524032</v>
      </c>
      <c r="F1336" s="22" t="s">
        <v>2057</v>
      </c>
      <c r="G1336" s="18"/>
      <c r="H1336" s="18"/>
      <c r="I1336" s="22" t="s">
        <v>1938</v>
      </c>
      <c r="J1336" s="14" t="s">
        <v>1939</v>
      </c>
      <c r="K1336" s="14" t="s">
        <v>2142</v>
      </c>
      <c r="L1336" s="15">
        <v>46037</v>
      </c>
      <c r="M1336" s="16">
        <v>2026</v>
      </c>
      <c r="S1336" s="9"/>
    </row>
    <row r="1337" spans="1:19" ht="31.2" hidden="1">
      <c r="A1337" s="5">
        <v>1336</v>
      </c>
      <c r="B1337" s="18"/>
      <c r="C1337" s="13"/>
      <c r="D1337" s="22" t="s">
        <v>2143</v>
      </c>
      <c r="E1337" s="22">
        <v>3160524006</v>
      </c>
      <c r="F1337" s="22" t="s">
        <v>2057</v>
      </c>
      <c r="G1337" s="18"/>
      <c r="H1337" s="18"/>
      <c r="I1337" s="22" t="s">
        <v>1938</v>
      </c>
      <c r="J1337" s="14" t="s">
        <v>1939</v>
      </c>
      <c r="K1337" s="14" t="s">
        <v>2144</v>
      </c>
      <c r="L1337" s="15">
        <v>46038</v>
      </c>
      <c r="M1337" s="16">
        <v>2026</v>
      </c>
      <c r="S1337" s="9"/>
    </row>
    <row r="1338" spans="1:19" ht="31.2" hidden="1">
      <c r="A1338" s="5">
        <v>1337</v>
      </c>
      <c r="B1338" s="18"/>
      <c r="C1338" s="13"/>
      <c r="D1338" s="22" t="s">
        <v>2145</v>
      </c>
      <c r="E1338" s="22">
        <v>3160524024</v>
      </c>
      <c r="F1338" s="22" t="s">
        <v>2057</v>
      </c>
      <c r="G1338" s="18"/>
      <c r="H1338" s="18"/>
      <c r="I1338" s="22" t="s">
        <v>1938</v>
      </c>
      <c r="J1338" s="14" t="s">
        <v>1939</v>
      </c>
      <c r="K1338" s="14" t="s">
        <v>2146</v>
      </c>
      <c r="L1338" s="15">
        <v>46039</v>
      </c>
      <c r="M1338" s="16">
        <v>2026</v>
      </c>
      <c r="S1338" s="9"/>
    </row>
    <row r="1339" spans="1:19" ht="31.2" hidden="1">
      <c r="A1339" s="5">
        <v>1338</v>
      </c>
      <c r="B1339" s="18"/>
      <c r="C1339" s="13" t="s">
        <v>2147</v>
      </c>
      <c r="D1339" s="22" t="s">
        <v>614</v>
      </c>
      <c r="E1339" s="22">
        <v>3160123017</v>
      </c>
      <c r="F1339" s="22" t="s">
        <v>563</v>
      </c>
      <c r="G1339" s="18"/>
      <c r="H1339" s="18"/>
      <c r="I1339" s="22" t="s">
        <v>1938</v>
      </c>
      <c r="J1339" s="14" t="s">
        <v>1939</v>
      </c>
      <c r="K1339" s="14" t="s">
        <v>2148</v>
      </c>
      <c r="L1339" s="15">
        <v>46040</v>
      </c>
      <c r="M1339" s="16">
        <v>2026</v>
      </c>
      <c r="S1339" s="9"/>
    </row>
    <row r="1340" spans="1:19" ht="31.2" hidden="1">
      <c r="A1340" s="5">
        <v>1339</v>
      </c>
      <c r="B1340" s="18"/>
      <c r="C1340" s="13"/>
      <c r="D1340" s="22" t="s">
        <v>618</v>
      </c>
      <c r="E1340" s="22">
        <v>3160123014</v>
      </c>
      <c r="F1340" s="22" t="s">
        <v>563</v>
      </c>
      <c r="G1340" s="18"/>
      <c r="H1340" s="18"/>
      <c r="I1340" s="22" t="s">
        <v>1938</v>
      </c>
      <c r="J1340" s="14" t="s">
        <v>1939</v>
      </c>
      <c r="K1340" s="14" t="s">
        <v>2149</v>
      </c>
      <c r="L1340" s="15">
        <v>46041</v>
      </c>
      <c r="M1340" s="16">
        <v>2026</v>
      </c>
      <c r="S1340" s="9"/>
    </row>
    <row r="1341" spans="1:19" ht="31.2" hidden="1">
      <c r="A1341" s="5">
        <v>1340</v>
      </c>
      <c r="B1341" s="18"/>
      <c r="C1341" s="13"/>
      <c r="D1341" s="22" t="s">
        <v>2150</v>
      </c>
      <c r="E1341" s="22">
        <v>3160123010</v>
      </c>
      <c r="F1341" s="22" t="s">
        <v>563</v>
      </c>
      <c r="G1341" s="18"/>
      <c r="H1341" s="18"/>
      <c r="I1341" s="22" t="s">
        <v>1938</v>
      </c>
      <c r="J1341" s="14" t="s">
        <v>1939</v>
      </c>
      <c r="K1341" s="14" t="s">
        <v>2151</v>
      </c>
      <c r="L1341" s="15">
        <v>46042</v>
      </c>
      <c r="M1341" s="16">
        <v>2026</v>
      </c>
      <c r="S1341" s="9"/>
    </row>
    <row r="1342" spans="1:19" ht="31.2" hidden="1">
      <c r="A1342" s="5">
        <v>1341</v>
      </c>
      <c r="B1342" s="18"/>
      <c r="C1342" s="13"/>
      <c r="D1342" s="22" t="s">
        <v>2152</v>
      </c>
      <c r="E1342" s="22">
        <v>3160123020</v>
      </c>
      <c r="F1342" s="22" t="s">
        <v>563</v>
      </c>
      <c r="G1342" s="18"/>
      <c r="H1342" s="18"/>
      <c r="I1342" s="22" t="s">
        <v>1938</v>
      </c>
      <c r="J1342" s="14" t="s">
        <v>1939</v>
      </c>
      <c r="K1342" s="14" t="s">
        <v>2153</v>
      </c>
      <c r="L1342" s="15">
        <v>46043</v>
      </c>
      <c r="M1342" s="16">
        <v>2026</v>
      </c>
      <c r="S1342" s="9"/>
    </row>
    <row r="1343" spans="1:19" ht="31.2" hidden="1">
      <c r="A1343" s="5">
        <v>1342</v>
      </c>
      <c r="B1343" s="18"/>
      <c r="C1343" s="13"/>
      <c r="D1343" s="22" t="s">
        <v>616</v>
      </c>
      <c r="E1343" s="22">
        <v>3160123012</v>
      </c>
      <c r="F1343" s="22" t="s">
        <v>563</v>
      </c>
      <c r="G1343" s="18"/>
      <c r="H1343" s="18"/>
      <c r="I1343" s="22" t="s">
        <v>1938</v>
      </c>
      <c r="J1343" s="14" t="s">
        <v>1939</v>
      </c>
      <c r="K1343" s="14" t="s">
        <v>2154</v>
      </c>
      <c r="L1343" s="15">
        <v>46044</v>
      </c>
      <c r="M1343" s="16">
        <v>2026</v>
      </c>
      <c r="S1343" s="9"/>
    </row>
    <row r="1344" spans="1:19" ht="46.8">
      <c r="A1344" s="5">
        <v>1343</v>
      </c>
      <c r="B1344" s="18"/>
      <c r="C1344" s="13" t="s">
        <v>2155</v>
      </c>
      <c r="D1344" s="22" t="s">
        <v>2156</v>
      </c>
      <c r="E1344" s="22">
        <v>3150123018</v>
      </c>
      <c r="F1344" s="26" t="s">
        <v>785</v>
      </c>
      <c r="G1344" s="18"/>
      <c r="H1344" s="18"/>
      <c r="I1344" s="22" t="s">
        <v>2157</v>
      </c>
      <c r="J1344" s="14" t="s">
        <v>2158</v>
      </c>
      <c r="K1344" s="14" t="s">
        <v>1393</v>
      </c>
      <c r="L1344" s="15">
        <v>46045</v>
      </c>
      <c r="M1344" s="16">
        <v>2026</v>
      </c>
      <c r="S1344" s="9"/>
    </row>
    <row r="1345" spans="1:19" ht="46.8">
      <c r="A1345" s="5">
        <v>1344</v>
      </c>
      <c r="B1345" s="18"/>
      <c r="C1345" s="13"/>
      <c r="D1345" s="22" t="s">
        <v>882</v>
      </c>
      <c r="E1345" s="22">
        <v>3150123026</v>
      </c>
      <c r="F1345" s="26" t="s">
        <v>785</v>
      </c>
      <c r="G1345" s="18"/>
      <c r="H1345" s="18"/>
      <c r="I1345" s="22" t="s">
        <v>2157</v>
      </c>
      <c r="J1345" s="14" t="s">
        <v>2158</v>
      </c>
      <c r="K1345" s="14" t="s">
        <v>1395</v>
      </c>
      <c r="L1345" s="15">
        <v>46046</v>
      </c>
      <c r="M1345" s="16">
        <v>2026</v>
      </c>
      <c r="S1345" s="9"/>
    </row>
    <row r="1346" spans="1:19" ht="46.8">
      <c r="A1346" s="5">
        <v>1345</v>
      </c>
      <c r="B1346" s="18"/>
      <c r="C1346" s="13"/>
      <c r="D1346" s="22" t="s">
        <v>881</v>
      </c>
      <c r="E1346" s="22">
        <v>3150123039</v>
      </c>
      <c r="F1346" s="26" t="s">
        <v>785</v>
      </c>
      <c r="G1346" s="18"/>
      <c r="H1346" s="18"/>
      <c r="I1346" s="22" t="s">
        <v>2157</v>
      </c>
      <c r="J1346" s="14" t="s">
        <v>2158</v>
      </c>
      <c r="K1346" s="14" t="s">
        <v>1397</v>
      </c>
      <c r="L1346" s="15">
        <v>46047</v>
      </c>
      <c r="M1346" s="16">
        <v>2026</v>
      </c>
      <c r="S1346" s="9"/>
    </row>
    <row r="1347" spans="1:19" ht="46.8">
      <c r="A1347" s="5">
        <v>1346</v>
      </c>
      <c r="B1347" s="18"/>
      <c r="C1347" s="13"/>
      <c r="D1347" s="22" t="s">
        <v>2159</v>
      </c>
      <c r="E1347" s="22">
        <v>3150123038</v>
      </c>
      <c r="F1347" s="26" t="s">
        <v>785</v>
      </c>
      <c r="G1347" s="18"/>
      <c r="H1347" s="18"/>
      <c r="I1347" s="22" t="s">
        <v>2157</v>
      </c>
      <c r="J1347" s="14" t="s">
        <v>2158</v>
      </c>
      <c r="K1347" s="14" t="s">
        <v>1400</v>
      </c>
      <c r="L1347" s="15">
        <v>46048</v>
      </c>
      <c r="M1347" s="16">
        <v>2026</v>
      </c>
      <c r="S1347" s="9"/>
    </row>
    <row r="1348" spans="1:19" ht="46.8">
      <c r="A1348" s="5">
        <v>1347</v>
      </c>
      <c r="B1348" s="18"/>
      <c r="C1348" s="13" t="s">
        <v>2160</v>
      </c>
      <c r="D1348" s="22" t="s">
        <v>877</v>
      </c>
      <c r="E1348" s="22">
        <v>3150123034</v>
      </c>
      <c r="F1348" s="22" t="s">
        <v>785</v>
      </c>
      <c r="G1348" s="18"/>
      <c r="H1348" s="18"/>
      <c r="I1348" s="22" t="s">
        <v>2157</v>
      </c>
      <c r="J1348" s="14" t="s">
        <v>2158</v>
      </c>
      <c r="K1348" s="14" t="s">
        <v>1403</v>
      </c>
      <c r="L1348" s="15">
        <v>46049</v>
      </c>
      <c r="M1348" s="16">
        <v>2026</v>
      </c>
      <c r="S1348" s="9"/>
    </row>
    <row r="1349" spans="1:19" ht="46.8">
      <c r="A1349" s="5">
        <v>1348</v>
      </c>
      <c r="B1349" s="18"/>
      <c r="C1349" s="13"/>
      <c r="D1349" s="22" t="s">
        <v>2161</v>
      </c>
      <c r="E1349" s="22">
        <v>3150123013</v>
      </c>
      <c r="F1349" s="22" t="s">
        <v>785</v>
      </c>
      <c r="G1349" s="18"/>
      <c r="H1349" s="18"/>
      <c r="I1349" s="22" t="s">
        <v>2157</v>
      </c>
      <c r="J1349" s="14" t="s">
        <v>2158</v>
      </c>
      <c r="K1349" s="14" t="s">
        <v>1405</v>
      </c>
      <c r="L1349" s="15">
        <v>46050</v>
      </c>
      <c r="M1349" s="16">
        <v>2026</v>
      </c>
      <c r="S1349" s="9"/>
    </row>
    <row r="1350" spans="1:19" ht="46.8">
      <c r="A1350" s="5">
        <v>1349</v>
      </c>
      <c r="B1350" s="18"/>
      <c r="C1350" s="13"/>
      <c r="D1350" s="22" t="s">
        <v>2162</v>
      </c>
      <c r="E1350" s="22">
        <v>3150123042</v>
      </c>
      <c r="F1350" s="22" t="s">
        <v>785</v>
      </c>
      <c r="G1350" s="18"/>
      <c r="H1350" s="18"/>
      <c r="I1350" s="22" t="s">
        <v>2157</v>
      </c>
      <c r="J1350" s="14" t="s">
        <v>2158</v>
      </c>
      <c r="K1350" s="14" t="s">
        <v>1407</v>
      </c>
      <c r="L1350" s="15">
        <v>46051</v>
      </c>
      <c r="M1350" s="16">
        <v>2026</v>
      </c>
      <c r="S1350" s="9"/>
    </row>
    <row r="1351" spans="1:19" ht="46.8">
      <c r="A1351" s="5">
        <v>1350</v>
      </c>
      <c r="B1351" s="18"/>
      <c r="C1351" s="13"/>
      <c r="D1351" s="22" t="s">
        <v>2163</v>
      </c>
      <c r="E1351" s="22">
        <v>3150123040</v>
      </c>
      <c r="F1351" s="22" t="s">
        <v>785</v>
      </c>
      <c r="G1351" s="18"/>
      <c r="H1351" s="18"/>
      <c r="I1351" s="22" t="s">
        <v>2157</v>
      </c>
      <c r="J1351" s="14" t="s">
        <v>2158</v>
      </c>
      <c r="K1351" s="14" t="s">
        <v>1409</v>
      </c>
      <c r="L1351" s="15">
        <v>46052</v>
      </c>
      <c r="M1351" s="16">
        <v>2026</v>
      </c>
      <c r="S1351" s="9"/>
    </row>
    <row r="1352" spans="1:19" ht="46.8">
      <c r="A1352" s="5">
        <v>1351</v>
      </c>
      <c r="B1352" s="18"/>
      <c r="C1352" s="13"/>
      <c r="D1352" s="22" t="s">
        <v>2164</v>
      </c>
      <c r="E1352" s="22">
        <v>3150125002</v>
      </c>
      <c r="F1352" s="22" t="s">
        <v>2165</v>
      </c>
      <c r="G1352" s="18"/>
      <c r="H1352" s="18"/>
      <c r="I1352" s="22" t="s">
        <v>2157</v>
      </c>
      <c r="J1352" s="14" t="s">
        <v>2158</v>
      </c>
      <c r="K1352" s="14" t="s">
        <v>1412</v>
      </c>
      <c r="L1352" s="15">
        <v>46053</v>
      </c>
      <c r="M1352" s="16">
        <v>2026</v>
      </c>
      <c r="S1352" s="9"/>
    </row>
    <row r="1353" spans="1:19" ht="46.8">
      <c r="A1353" s="5">
        <v>1352</v>
      </c>
      <c r="B1353" s="18"/>
      <c r="C1353" s="13" t="s">
        <v>2166</v>
      </c>
      <c r="D1353" s="22" t="s">
        <v>806</v>
      </c>
      <c r="E1353" s="22">
        <v>3150123003</v>
      </c>
      <c r="F1353" s="22" t="s">
        <v>785</v>
      </c>
      <c r="G1353" s="18"/>
      <c r="H1353" s="18"/>
      <c r="I1353" s="22" t="s">
        <v>2157</v>
      </c>
      <c r="J1353" s="14" t="s">
        <v>2158</v>
      </c>
      <c r="K1353" s="14" t="s">
        <v>1415</v>
      </c>
      <c r="L1353" s="15">
        <v>46054</v>
      </c>
      <c r="M1353" s="16">
        <v>2026</v>
      </c>
      <c r="S1353" s="9"/>
    </row>
    <row r="1354" spans="1:19" ht="46.8">
      <c r="A1354" s="5">
        <v>1353</v>
      </c>
      <c r="B1354" s="18"/>
      <c r="C1354" s="13"/>
      <c r="D1354" s="22" t="s">
        <v>805</v>
      </c>
      <c r="E1354" s="22">
        <v>3150123021</v>
      </c>
      <c r="F1354" s="22" t="s">
        <v>785</v>
      </c>
      <c r="G1354" s="18"/>
      <c r="H1354" s="18"/>
      <c r="I1354" s="22" t="s">
        <v>2157</v>
      </c>
      <c r="J1354" s="14" t="s">
        <v>2158</v>
      </c>
      <c r="K1354" s="14" t="s">
        <v>1417</v>
      </c>
      <c r="L1354" s="15">
        <v>46055</v>
      </c>
      <c r="M1354" s="16">
        <v>2026</v>
      </c>
      <c r="S1354" s="9"/>
    </row>
    <row r="1355" spans="1:19" ht="46.8">
      <c r="A1355" s="5">
        <v>1354</v>
      </c>
      <c r="B1355" s="18"/>
      <c r="C1355" s="13"/>
      <c r="D1355" s="22" t="s">
        <v>2167</v>
      </c>
      <c r="E1355" s="22">
        <v>3150123007</v>
      </c>
      <c r="F1355" s="22" t="s">
        <v>785</v>
      </c>
      <c r="G1355" s="18"/>
      <c r="H1355" s="18"/>
      <c r="I1355" s="22" t="s">
        <v>2157</v>
      </c>
      <c r="J1355" s="14" t="s">
        <v>2158</v>
      </c>
      <c r="K1355" s="14" t="s">
        <v>1419</v>
      </c>
      <c r="L1355" s="15">
        <v>46056</v>
      </c>
      <c r="M1355" s="16">
        <v>2026</v>
      </c>
      <c r="S1355" s="9"/>
    </row>
    <row r="1356" spans="1:19" ht="46.8">
      <c r="A1356" s="5">
        <v>1355</v>
      </c>
      <c r="B1356" s="18"/>
      <c r="C1356" s="13"/>
      <c r="D1356" s="22" t="s">
        <v>2168</v>
      </c>
      <c r="E1356" s="22">
        <v>3150123037</v>
      </c>
      <c r="F1356" s="22" t="s">
        <v>785</v>
      </c>
      <c r="G1356" s="18"/>
      <c r="H1356" s="18"/>
      <c r="I1356" s="22" t="s">
        <v>2157</v>
      </c>
      <c r="J1356" s="14" t="s">
        <v>2158</v>
      </c>
      <c r="K1356" s="14" t="s">
        <v>1421</v>
      </c>
      <c r="L1356" s="15">
        <v>46057</v>
      </c>
      <c r="M1356" s="16">
        <v>2026</v>
      </c>
      <c r="S1356" s="9"/>
    </row>
    <row r="1357" spans="1:19" ht="46.8">
      <c r="A1357" s="5">
        <v>1356</v>
      </c>
      <c r="B1357" s="18"/>
      <c r="C1357" s="13"/>
      <c r="D1357" s="22" t="s">
        <v>2169</v>
      </c>
      <c r="E1357" s="22">
        <v>3150125017</v>
      </c>
      <c r="F1357" s="22" t="s">
        <v>2165</v>
      </c>
      <c r="G1357" s="18"/>
      <c r="H1357" s="18"/>
      <c r="I1357" s="22" t="s">
        <v>2157</v>
      </c>
      <c r="J1357" s="14" t="s">
        <v>2158</v>
      </c>
      <c r="K1357" s="14" t="s">
        <v>1424</v>
      </c>
      <c r="L1357" s="15">
        <v>46058</v>
      </c>
      <c r="M1357" s="16">
        <v>2026</v>
      </c>
      <c r="S1357" s="9"/>
    </row>
    <row r="1358" spans="1:19" ht="46.8">
      <c r="A1358" s="5">
        <v>1357</v>
      </c>
      <c r="B1358" s="18"/>
      <c r="C1358" s="13" t="s">
        <v>2170</v>
      </c>
      <c r="D1358" s="22" t="s">
        <v>2171</v>
      </c>
      <c r="E1358" s="22">
        <v>3150124020</v>
      </c>
      <c r="F1358" s="22" t="s">
        <v>2172</v>
      </c>
      <c r="G1358" s="18"/>
      <c r="H1358" s="18"/>
      <c r="I1358" s="22" t="s">
        <v>2157</v>
      </c>
      <c r="J1358" s="14" t="s">
        <v>2158</v>
      </c>
      <c r="K1358" s="14" t="s">
        <v>1427</v>
      </c>
      <c r="L1358" s="15">
        <v>46059</v>
      </c>
      <c r="M1358" s="16">
        <v>2026</v>
      </c>
      <c r="S1358" s="9"/>
    </row>
    <row r="1359" spans="1:19" ht="46.8">
      <c r="A1359" s="5">
        <v>1358</v>
      </c>
      <c r="B1359" s="18"/>
      <c r="C1359" s="13"/>
      <c r="D1359" s="22" t="s">
        <v>54</v>
      </c>
      <c r="E1359" s="22">
        <v>3150124009</v>
      </c>
      <c r="F1359" s="22" t="s">
        <v>2172</v>
      </c>
      <c r="G1359" s="18"/>
      <c r="H1359" s="18"/>
      <c r="I1359" s="22" t="s">
        <v>2157</v>
      </c>
      <c r="J1359" s="14" t="s">
        <v>2158</v>
      </c>
      <c r="K1359" s="14" t="s">
        <v>1428</v>
      </c>
      <c r="L1359" s="15">
        <v>46060</v>
      </c>
      <c r="M1359" s="16">
        <v>2026</v>
      </c>
      <c r="S1359" s="9"/>
    </row>
    <row r="1360" spans="1:19" ht="46.8">
      <c r="A1360" s="5">
        <v>1359</v>
      </c>
      <c r="B1360" s="18"/>
      <c r="C1360" s="13"/>
      <c r="D1360" s="22" t="s">
        <v>2173</v>
      </c>
      <c r="E1360" s="22">
        <v>3150124001</v>
      </c>
      <c r="F1360" s="22" t="s">
        <v>785</v>
      </c>
      <c r="G1360" s="18"/>
      <c r="H1360" s="18"/>
      <c r="I1360" s="22" t="s">
        <v>2157</v>
      </c>
      <c r="J1360" s="14" t="s">
        <v>2158</v>
      </c>
      <c r="K1360" s="14" t="s">
        <v>1430</v>
      </c>
      <c r="L1360" s="15">
        <v>46061</v>
      </c>
      <c r="M1360" s="16">
        <v>2026</v>
      </c>
      <c r="S1360" s="9"/>
    </row>
    <row r="1361" spans="1:19" ht="46.8">
      <c r="A1361" s="5">
        <v>1360</v>
      </c>
      <c r="B1361" s="18"/>
      <c r="C1361" s="13"/>
      <c r="D1361" s="22" t="s">
        <v>2174</v>
      </c>
      <c r="E1361" s="22">
        <v>3150124019</v>
      </c>
      <c r="F1361" s="22" t="s">
        <v>2172</v>
      </c>
      <c r="G1361" s="18"/>
      <c r="H1361" s="18"/>
      <c r="I1361" s="22" t="s">
        <v>2157</v>
      </c>
      <c r="J1361" s="14" t="s">
        <v>2158</v>
      </c>
      <c r="K1361" s="14" t="s">
        <v>1433</v>
      </c>
      <c r="L1361" s="15">
        <v>46062</v>
      </c>
      <c r="M1361" s="16">
        <v>2026</v>
      </c>
      <c r="S1361" s="9"/>
    </row>
    <row r="1362" spans="1:19" ht="46.8">
      <c r="A1362" s="5">
        <v>1361</v>
      </c>
      <c r="B1362" s="18"/>
      <c r="C1362" s="13"/>
      <c r="D1362" s="22" t="s">
        <v>2175</v>
      </c>
      <c r="E1362" s="22">
        <v>3150123036</v>
      </c>
      <c r="F1362" s="22" t="s">
        <v>2172</v>
      </c>
      <c r="G1362" s="18"/>
      <c r="H1362" s="18"/>
      <c r="I1362" s="22" t="s">
        <v>2157</v>
      </c>
      <c r="J1362" s="14" t="s">
        <v>2158</v>
      </c>
      <c r="K1362" s="14" t="s">
        <v>1434</v>
      </c>
      <c r="L1362" s="15">
        <v>46063</v>
      </c>
      <c r="M1362" s="16">
        <v>2026</v>
      </c>
      <c r="S1362" s="9"/>
    </row>
    <row r="1363" spans="1:19" ht="15.6" hidden="1">
      <c r="A1363" s="5">
        <v>1362</v>
      </c>
      <c r="B1363" s="18"/>
      <c r="C1363" s="13" t="s">
        <v>2176</v>
      </c>
      <c r="D1363" s="22" t="s">
        <v>808</v>
      </c>
      <c r="E1363" s="22">
        <v>3140722104</v>
      </c>
      <c r="F1363" s="22" t="s">
        <v>132</v>
      </c>
      <c r="G1363" s="18"/>
      <c r="H1363" s="18"/>
      <c r="I1363" s="26" t="s">
        <v>1974</v>
      </c>
      <c r="J1363" s="14" t="s">
        <v>1975</v>
      </c>
      <c r="K1363" s="14" t="s">
        <v>1352</v>
      </c>
      <c r="L1363" s="15">
        <v>46064</v>
      </c>
      <c r="M1363" s="16">
        <v>2026</v>
      </c>
      <c r="S1363" s="9"/>
    </row>
    <row r="1364" spans="1:19" ht="15.6" hidden="1">
      <c r="A1364" s="5">
        <v>1363</v>
      </c>
      <c r="B1364" s="18"/>
      <c r="C1364" s="13"/>
      <c r="D1364" s="22" t="s">
        <v>2177</v>
      </c>
      <c r="E1364" s="22">
        <v>3140723028</v>
      </c>
      <c r="F1364" s="22" t="s">
        <v>815</v>
      </c>
      <c r="G1364" s="18"/>
      <c r="H1364" s="18"/>
      <c r="I1364" s="26" t="s">
        <v>1974</v>
      </c>
      <c r="J1364" s="14" t="s">
        <v>1975</v>
      </c>
      <c r="K1364" s="14" t="s">
        <v>1352</v>
      </c>
      <c r="L1364" s="15">
        <v>46065</v>
      </c>
      <c r="M1364" s="16">
        <v>2026</v>
      </c>
      <c r="S1364" s="9"/>
    </row>
    <row r="1365" spans="1:19" ht="15.6" hidden="1">
      <c r="A1365" s="5">
        <v>1364</v>
      </c>
      <c r="B1365" s="18"/>
      <c r="C1365" s="13"/>
      <c r="D1365" s="22" t="s">
        <v>2178</v>
      </c>
      <c r="E1365" s="22">
        <v>3140723050</v>
      </c>
      <c r="F1365" s="22" t="s">
        <v>815</v>
      </c>
      <c r="G1365" s="18"/>
      <c r="H1365" s="18"/>
      <c r="I1365" s="26" t="s">
        <v>1974</v>
      </c>
      <c r="J1365" s="14" t="s">
        <v>1975</v>
      </c>
      <c r="K1365" s="14" t="s">
        <v>1352</v>
      </c>
      <c r="L1365" s="15">
        <v>46066</v>
      </c>
      <c r="M1365" s="16">
        <v>2026</v>
      </c>
      <c r="S1365" s="9"/>
    </row>
    <row r="1366" spans="1:19" ht="15.6" hidden="1">
      <c r="A1366" s="5">
        <v>1365</v>
      </c>
      <c r="B1366" s="18"/>
      <c r="C1366" s="13"/>
      <c r="D1366" s="22" t="s">
        <v>2179</v>
      </c>
      <c r="E1366" s="22">
        <v>3140723053</v>
      </c>
      <c r="F1366" s="22" t="s">
        <v>815</v>
      </c>
      <c r="G1366" s="18"/>
      <c r="H1366" s="18"/>
      <c r="I1366" s="26" t="s">
        <v>1974</v>
      </c>
      <c r="J1366" s="14" t="s">
        <v>1975</v>
      </c>
      <c r="K1366" s="14" t="s">
        <v>1352</v>
      </c>
      <c r="L1366" s="15">
        <v>46067</v>
      </c>
      <c r="M1366" s="16">
        <v>2026</v>
      </c>
      <c r="S1366" s="9"/>
    </row>
    <row r="1367" spans="1:19" ht="15.6">
      <c r="A1367" s="5">
        <v>1366</v>
      </c>
      <c r="B1367" s="18"/>
      <c r="C1367" s="13"/>
      <c r="D1367" s="22" t="s">
        <v>842</v>
      </c>
      <c r="E1367" s="22">
        <v>3150123033</v>
      </c>
      <c r="F1367" s="22" t="s">
        <v>785</v>
      </c>
      <c r="G1367" s="18"/>
      <c r="H1367" s="18"/>
      <c r="I1367" s="26" t="s">
        <v>2157</v>
      </c>
      <c r="J1367" s="14" t="s">
        <v>2158</v>
      </c>
      <c r="K1367" s="14" t="s">
        <v>1434</v>
      </c>
      <c r="L1367" s="15">
        <v>46068</v>
      </c>
      <c r="M1367" s="16">
        <v>2026</v>
      </c>
      <c r="S1367" s="9"/>
    </row>
    <row r="1368" spans="1:19" ht="15.6">
      <c r="A1368" s="5">
        <v>1367</v>
      </c>
      <c r="B1368" s="18"/>
      <c r="C1368" s="13" t="s">
        <v>2180</v>
      </c>
      <c r="D1368" s="22" t="s">
        <v>2181</v>
      </c>
      <c r="E1368" s="22">
        <v>3150123023</v>
      </c>
      <c r="F1368" s="22" t="s">
        <v>2172</v>
      </c>
      <c r="G1368" s="18"/>
      <c r="H1368" s="18"/>
      <c r="I1368" s="26" t="s">
        <v>2157</v>
      </c>
      <c r="J1368" s="14" t="s">
        <v>2158</v>
      </c>
      <c r="K1368" s="14" t="s">
        <v>1434</v>
      </c>
      <c r="L1368" s="15">
        <v>46069</v>
      </c>
      <c r="M1368" s="16">
        <v>2026</v>
      </c>
      <c r="S1368" s="9"/>
    </row>
    <row r="1369" spans="1:19" ht="15.6" hidden="1">
      <c r="A1369" s="5">
        <v>1368</v>
      </c>
      <c r="B1369" s="18"/>
      <c r="C1369" s="13"/>
      <c r="D1369" s="22" t="s">
        <v>865</v>
      </c>
      <c r="E1369" s="22">
        <v>3140722069</v>
      </c>
      <c r="F1369" s="22" t="s">
        <v>132</v>
      </c>
      <c r="G1369" s="18"/>
      <c r="H1369" s="18"/>
      <c r="I1369" s="26" t="s">
        <v>1974</v>
      </c>
      <c r="J1369" s="14" t="s">
        <v>1975</v>
      </c>
      <c r="K1369" s="14" t="s">
        <v>1352</v>
      </c>
      <c r="L1369" s="15">
        <v>46070</v>
      </c>
      <c r="M1369" s="16">
        <v>2026</v>
      </c>
      <c r="S1369" s="9"/>
    </row>
    <row r="1370" spans="1:19" ht="15.6" hidden="1">
      <c r="A1370" s="5">
        <v>1369</v>
      </c>
      <c r="B1370" s="18"/>
      <c r="C1370" s="13"/>
      <c r="D1370" s="22" t="s">
        <v>2182</v>
      </c>
      <c r="E1370" s="22">
        <v>3140724010</v>
      </c>
      <c r="F1370" s="22" t="s">
        <v>824</v>
      </c>
      <c r="G1370" s="18"/>
      <c r="H1370" s="18"/>
      <c r="I1370" s="26" t="s">
        <v>1974</v>
      </c>
      <c r="J1370" s="14" t="s">
        <v>1975</v>
      </c>
      <c r="K1370" s="14" t="s">
        <v>1352</v>
      </c>
      <c r="L1370" s="15">
        <v>46071</v>
      </c>
      <c r="M1370" s="16">
        <v>2026</v>
      </c>
      <c r="S1370" s="9"/>
    </row>
    <row r="1371" spans="1:19" ht="15.6">
      <c r="A1371" s="5">
        <v>1370</v>
      </c>
      <c r="B1371" s="18"/>
      <c r="C1371" s="13"/>
      <c r="D1371" s="22" t="s">
        <v>2183</v>
      </c>
      <c r="E1371" s="22">
        <v>3150425011</v>
      </c>
      <c r="F1371" s="22" t="s">
        <v>2184</v>
      </c>
      <c r="G1371" s="18"/>
      <c r="H1371" s="18"/>
      <c r="I1371" s="26" t="s">
        <v>2157</v>
      </c>
      <c r="J1371" s="14" t="s">
        <v>2158</v>
      </c>
      <c r="K1371" s="14" t="s">
        <v>1434</v>
      </c>
      <c r="L1371" s="15">
        <v>46072</v>
      </c>
      <c r="M1371" s="16">
        <v>2026</v>
      </c>
      <c r="S1371" s="9"/>
    </row>
    <row r="1372" spans="1:19" ht="15.6" hidden="1">
      <c r="A1372" s="5">
        <v>1371</v>
      </c>
      <c r="B1372" s="18"/>
      <c r="C1372" s="13" t="s">
        <v>2185</v>
      </c>
      <c r="D1372" s="22" t="s">
        <v>869</v>
      </c>
      <c r="E1372" s="22">
        <v>3140723105</v>
      </c>
      <c r="F1372" s="22" t="s">
        <v>822</v>
      </c>
      <c r="G1372" s="18"/>
      <c r="H1372" s="18"/>
      <c r="I1372" s="22" t="s">
        <v>1974</v>
      </c>
      <c r="J1372" s="14" t="s">
        <v>1975</v>
      </c>
      <c r="K1372" s="14" t="s">
        <v>1352</v>
      </c>
      <c r="L1372" s="15">
        <v>46073</v>
      </c>
      <c r="M1372" s="16">
        <v>2026</v>
      </c>
      <c r="S1372" s="9"/>
    </row>
    <row r="1373" spans="1:19" ht="46.8">
      <c r="A1373" s="5">
        <v>1372</v>
      </c>
      <c r="B1373" s="18"/>
      <c r="C1373" s="13"/>
      <c r="D1373" s="22" t="s">
        <v>2186</v>
      </c>
      <c r="E1373" s="22">
        <v>3150124012</v>
      </c>
      <c r="F1373" s="22" t="s">
        <v>2172</v>
      </c>
      <c r="G1373" s="18"/>
      <c r="H1373" s="18"/>
      <c r="I1373" s="22" t="s">
        <v>2157</v>
      </c>
      <c r="J1373" s="14" t="s">
        <v>2158</v>
      </c>
      <c r="K1373" s="14" t="s">
        <v>1434</v>
      </c>
      <c r="L1373" s="15">
        <v>46074</v>
      </c>
      <c r="M1373" s="16">
        <v>2026</v>
      </c>
      <c r="S1373" s="9"/>
    </row>
    <row r="1374" spans="1:19" ht="46.8">
      <c r="A1374" s="5">
        <v>1373</v>
      </c>
      <c r="B1374" s="18"/>
      <c r="C1374" s="13"/>
      <c r="D1374" s="22" t="s">
        <v>2187</v>
      </c>
      <c r="E1374" s="22">
        <v>3150425045</v>
      </c>
      <c r="F1374" s="22" t="s">
        <v>2184</v>
      </c>
      <c r="G1374" s="18"/>
      <c r="H1374" s="18"/>
      <c r="I1374" s="22" t="s">
        <v>2157</v>
      </c>
      <c r="J1374" s="14" t="s">
        <v>2158</v>
      </c>
      <c r="K1374" s="14" t="s">
        <v>1434</v>
      </c>
      <c r="L1374" s="15">
        <v>46075</v>
      </c>
      <c r="M1374" s="16">
        <v>2026</v>
      </c>
      <c r="S1374" s="9"/>
    </row>
    <row r="1375" spans="1:19" ht="46.8">
      <c r="A1375" s="5">
        <v>1374</v>
      </c>
      <c r="B1375" s="18"/>
      <c r="C1375" s="13"/>
      <c r="D1375" s="22" t="s">
        <v>2188</v>
      </c>
      <c r="E1375" s="22">
        <v>3150425070</v>
      </c>
      <c r="F1375" s="22" t="s">
        <v>2184</v>
      </c>
      <c r="G1375" s="18"/>
      <c r="H1375" s="18"/>
      <c r="I1375" s="22" t="s">
        <v>2157</v>
      </c>
      <c r="J1375" s="14" t="s">
        <v>2158</v>
      </c>
      <c r="K1375" s="14" t="s">
        <v>1434</v>
      </c>
      <c r="L1375" s="15">
        <v>46076</v>
      </c>
      <c r="M1375" s="16">
        <v>2026</v>
      </c>
      <c r="S1375" s="9"/>
    </row>
    <row r="1376" spans="1:19" ht="15.6" hidden="1">
      <c r="A1376" s="5">
        <v>1375</v>
      </c>
      <c r="B1376" s="18"/>
      <c r="C1376" s="13"/>
      <c r="D1376" s="22" t="s">
        <v>866</v>
      </c>
      <c r="E1376" s="22">
        <v>3140722078</v>
      </c>
      <c r="F1376" s="22" t="s">
        <v>132</v>
      </c>
      <c r="G1376" s="18"/>
      <c r="H1376" s="18"/>
      <c r="I1376" s="22" t="s">
        <v>1974</v>
      </c>
      <c r="J1376" s="14" t="s">
        <v>1975</v>
      </c>
      <c r="K1376" s="14" t="s">
        <v>1352</v>
      </c>
      <c r="L1376" s="15">
        <v>46077</v>
      </c>
      <c r="M1376" s="16">
        <v>2026</v>
      </c>
      <c r="S1376" s="9"/>
    </row>
    <row r="1377" spans="1:19" ht="46.8">
      <c r="A1377" s="5">
        <v>1376</v>
      </c>
      <c r="B1377" s="18"/>
      <c r="C1377" s="13" t="s">
        <v>2189</v>
      </c>
      <c r="D1377" s="22" t="s">
        <v>2190</v>
      </c>
      <c r="E1377" s="22">
        <v>3150324042</v>
      </c>
      <c r="F1377" s="22" t="s">
        <v>2191</v>
      </c>
      <c r="G1377" s="18"/>
      <c r="H1377" s="18"/>
      <c r="I1377" s="22" t="s">
        <v>2157</v>
      </c>
      <c r="J1377" s="14" t="s">
        <v>2158</v>
      </c>
      <c r="K1377" s="14" t="s">
        <v>1434</v>
      </c>
      <c r="L1377" s="15">
        <v>46078</v>
      </c>
      <c r="M1377" s="16">
        <v>2026</v>
      </c>
      <c r="S1377" s="9"/>
    </row>
    <row r="1378" spans="1:19" ht="31.2" hidden="1">
      <c r="A1378" s="5">
        <v>1377</v>
      </c>
      <c r="B1378" s="18"/>
      <c r="C1378" s="13"/>
      <c r="D1378" s="22" t="s">
        <v>1180</v>
      </c>
      <c r="E1378" s="22">
        <v>3190123028</v>
      </c>
      <c r="F1378" s="22" t="s">
        <v>1177</v>
      </c>
      <c r="G1378" s="18"/>
      <c r="H1378" s="18"/>
      <c r="I1378" s="22" t="s">
        <v>1938</v>
      </c>
      <c r="J1378" s="14" t="s">
        <v>1939</v>
      </c>
      <c r="K1378" s="14" t="s">
        <v>2140</v>
      </c>
      <c r="L1378" s="15">
        <v>46079</v>
      </c>
      <c r="M1378" s="16">
        <v>2026</v>
      </c>
      <c r="S1378" s="9"/>
    </row>
    <row r="1379" spans="1:19" ht="15.6" hidden="1">
      <c r="A1379" s="5">
        <v>1378</v>
      </c>
      <c r="B1379" s="18"/>
      <c r="C1379" s="13"/>
      <c r="D1379" s="22" t="s">
        <v>1156</v>
      </c>
      <c r="E1379" s="22">
        <v>3140725058</v>
      </c>
      <c r="F1379" s="22" t="s">
        <v>1973</v>
      </c>
      <c r="G1379" s="18"/>
      <c r="H1379" s="18"/>
      <c r="I1379" s="22" t="s">
        <v>1974</v>
      </c>
      <c r="J1379" s="14" t="s">
        <v>1975</v>
      </c>
      <c r="K1379" s="14" t="s">
        <v>1352</v>
      </c>
      <c r="L1379" s="15">
        <v>46080</v>
      </c>
      <c r="M1379" s="16">
        <v>2026</v>
      </c>
      <c r="S1379" s="9"/>
    </row>
    <row r="1380" spans="1:19" ht="46.8">
      <c r="A1380" s="5">
        <v>1379</v>
      </c>
      <c r="B1380" s="18"/>
      <c r="C1380" s="13" t="s">
        <v>2192</v>
      </c>
      <c r="D1380" s="22" t="s">
        <v>889</v>
      </c>
      <c r="E1380" s="22">
        <v>3150123027</v>
      </c>
      <c r="F1380" s="22" t="s">
        <v>785</v>
      </c>
      <c r="G1380" s="18"/>
      <c r="H1380" s="18"/>
      <c r="I1380" s="22" t="s">
        <v>2157</v>
      </c>
      <c r="J1380" s="14" t="s">
        <v>2158</v>
      </c>
      <c r="K1380" s="14" t="s">
        <v>1434</v>
      </c>
      <c r="L1380" s="15">
        <v>46081</v>
      </c>
      <c r="M1380" s="16">
        <v>2026</v>
      </c>
      <c r="S1380" s="9"/>
    </row>
    <row r="1381" spans="1:19" ht="46.8">
      <c r="A1381" s="5">
        <v>1380</v>
      </c>
      <c r="B1381" s="18"/>
      <c r="C1381" s="13"/>
      <c r="D1381" s="22" t="s">
        <v>2193</v>
      </c>
      <c r="E1381" s="22">
        <v>3150425020</v>
      </c>
      <c r="F1381" s="22" t="s">
        <v>2184</v>
      </c>
      <c r="G1381" s="18"/>
      <c r="H1381" s="18"/>
      <c r="I1381" s="22" t="s">
        <v>2157</v>
      </c>
      <c r="J1381" s="14" t="s">
        <v>2158</v>
      </c>
      <c r="K1381" s="14" t="s">
        <v>1434</v>
      </c>
      <c r="L1381" s="15">
        <v>46082</v>
      </c>
      <c r="M1381" s="16">
        <v>2026</v>
      </c>
      <c r="S1381" s="9"/>
    </row>
    <row r="1382" spans="1:19" ht="46.8">
      <c r="A1382" s="5">
        <v>1381</v>
      </c>
      <c r="B1382" s="18"/>
      <c r="C1382" s="13"/>
      <c r="D1382" s="22" t="s">
        <v>890</v>
      </c>
      <c r="E1382" s="22">
        <v>3150323013</v>
      </c>
      <c r="F1382" s="22" t="s">
        <v>863</v>
      </c>
      <c r="G1382" s="18"/>
      <c r="H1382" s="18"/>
      <c r="I1382" s="22" t="s">
        <v>2157</v>
      </c>
      <c r="J1382" s="14" t="s">
        <v>2158</v>
      </c>
      <c r="K1382" s="14" t="s">
        <v>1434</v>
      </c>
      <c r="L1382" s="15">
        <v>46083</v>
      </c>
      <c r="M1382" s="16">
        <v>2026</v>
      </c>
      <c r="S1382" s="9"/>
    </row>
    <row r="1383" spans="1:19" ht="46.8">
      <c r="A1383" s="5">
        <v>1382</v>
      </c>
      <c r="B1383" s="18"/>
      <c r="C1383" s="13"/>
      <c r="D1383" s="22" t="s">
        <v>2194</v>
      </c>
      <c r="E1383" s="22">
        <v>3150324008</v>
      </c>
      <c r="F1383" s="22" t="s">
        <v>2191</v>
      </c>
      <c r="G1383" s="18"/>
      <c r="H1383" s="18"/>
      <c r="I1383" s="22" t="s">
        <v>2157</v>
      </c>
      <c r="J1383" s="14" t="s">
        <v>2158</v>
      </c>
      <c r="K1383" s="14" t="s">
        <v>1434</v>
      </c>
      <c r="L1383" s="15">
        <v>46084</v>
      </c>
      <c r="M1383" s="16">
        <v>2026</v>
      </c>
      <c r="S1383" s="9"/>
    </row>
    <row r="1384" spans="1:19" ht="46.8">
      <c r="A1384" s="5">
        <v>1383</v>
      </c>
      <c r="B1384" s="18"/>
      <c r="C1384" s="13"/>
      <c r="D1384" s="22" t="s">
        <v>2195</v>
      </c>
      <c r="E1384" s="22">
        <v>3150325010</v>
      </c>
      <c r="F1384" s="22" t="s">
        <v>2196</v>
      </c>
      <c r="G1384" s="18"/>
      <c r="H1384" s="18"/>
      <c r="I1384" s="22" t="s">
        <v>2157</v>
      </c>
      <c r="J1384" s="14" t="s">
        <v>2158</v>
      </c>
      <c r="K1384" s="14" t="s">
        <v>1434</v>
      </c>
      <c r="L1384" s="15">
        <v>46085</v>
      </c>
      <c r="M1384" s="16">
        <v>2026</v>
      </c>
      <c r="S1384" s="9"/>
    </row>
    <row r="1385" spans="1:19" ht="46.8">
      <c r="A1385" s="5">
        <v>1384</v>
      </c>
      <c r="B1385" s="18"/>
      <c r="C1385" s="13" t="s">
        <v>2197</v>
      </c>
      <c r="D1385" s="22" t="s">
        <v>2198</v>
      </c>
      <c r="E1385" s="22">
        <v>3150323003</v>
      </c>
      <c r="F1385" s="22" t="s">
        <v>863</v>
      </c>
      <c r="G1385" s="18"/>
      <c r="H1385" s="18"/>
      <c r="I1385" s="22" t="s">
        <v>2157</v>
      </c>
      <c r="J1385" s="14" t="s">
        <v>2158</v>
      </c>
      <c r="K1385" s="14" t="s">
        <v>1434</v>
      </c>
      <c r="L1385" s="15">
        <v>46086</v>
      </c>
      <c r="M1385" s="16">
        <v>2026</v>
      </c>
      <c r="S1385" s="9"/>
    </row>
    <row r="1386" spans="1:19" ht="46.8">
      <c r="A1386" s="5">
        <v>1385</v>
      </c>
      <c r="B1386" s="18"/>
      <c r="C1386" s="13"/>
      <c r="D1386" s="22" t="s">
        <v>2199</v>
      </c>
      <c r="E1386" s="22">
        <v>3150323006</v>
      </c>
      <c r="F1386" s="22" t="s">
        <v>863</v>
      </c>
      <c r="G1386" s="18"/>
      <c r="H1386" s="18"/>
      <c r="I1386" s="22" t="s">
        <v>2157</v>
      </c>
      <c r="J1386" s="14" t="s">
        <v>2158</v>
      </c>
      <c r="K1386" s="14" t="s">
        <v>1434</v>
      </c>
      <c r="L1386" s="15">
        <v>46087</v>
      </c>
      <c r="M1386" s="16">
        <v>2026</v>
      </c>
      <c r="S1386" s="9"/>
    </row>
    <row r="1387" spans="1:19" ht="46.8">
      <c r="A1387" s="5">
        <v>1386</v>
      </c>
      <c r="B1387" s="18"/>
      <c r="C1387" s="13"/>
      <c r="D1387" s="22" t="s">
        <v>2200</v>
      </c>
      <c r="E1387" s="22">
        <v>3150325023</v>
      </c>
      <c r="F1387" s="22" t="s">
        <v>2196</v>
      </c>
      <c r="G1387" s="18"/>
      <c r="H1387" s="18"/>
      <c r="I1387" s="22" t="s">
        <v>2157</v>
      </c>
      <c r="J1387" s="14" t="s">
        <v>2158</v>
      </c>
      <c r="K1387" s="14" t="s">
        <v>1434</v>
      </c>
      <c r="L1387" s="15">
        <v>46088</v>
      </c>
      <c r="M1387" s="16">
        <v>2026</v>
      </c>
      <c r="S1387" s="9"/>
    </row>
    <row r="1388" spans="1:19" ht="46.8">
      <c r="A1388" s="5">
        <v>1387</v>
      </c>
      <c r="B1388" s="18"/>
      <c r="C1388" s="13"/>
      <c r="D1388" s="22" t="s">
        <v>2201</v>
      </c>
      <c r="E1388" s="22">
        <v>3150325024</v>
      </c>
      <c r="F1388" s="22" t="s">
        <v>2196</v>
      </c>
      <c r="G1388" s="18"/>
      <c r="H1388" s="18"/>
      <c r="I1388" s="22" t="s">
        <v>2157</v>
      </c>
      <c r="J1388" s="14" t="s">
        <v>2158</v>
      </c>
      <c r="K1388" s="14" t="s">
        <v>1434</v>
      </c>
      <c r="L1388" s="15">
        <v>46089</v>
      </c>
      <c r="M1388" s="16">
        <v>2026</v>
      </c>
      <c r="S1388" s="9"/>
    </row>
    <row r="1389" spans="1:19" ht="46.8">
      <c r="A1389" s="5">
        <v>1388</v>
      </c>
      <c r="B1389" s="18"/>
      <c r="C1389" s="13"/>
      <c r="D1389" s="22" t="s">
        <v>2202</v>
      </c>
      <c r="E1389" s="22">
        <v>3150325016</v>
      </c>
      <c r="F1389" s="22" t="s">
        <v>2203</v>
      </c>
      <c r="G1389" s="18"/>
      <c r="H1389" s="18"/>
      <c r="I1389" s="22" t="s">
        <v>2157</v>
      </c>
      <c r="J1389" s="14" t="s">
        <v>2158</v>
      </c>
      <c r="K1389" s="14" t="s">
        <v>1434</v>
      </c>
      <c r="L1389" s="15">
        <v>46090</v>
      </c>
      <c r="M1389" s="16">
        <v>2026</v>
      </c>
      <c r="S1389" s="9"/>
    </row>
    <row r="1390" spans="1:19" ht="46.8">
      <c r="A1390" s="5">
        <v>1389</v>
      </c>
      <c r="B1390" s="18"/>
      <c r="C1390" s="13" t="s">
        <v>2204</v>
      </c>
      <c r="D1390" s="22" t="s">
        <v>2205</v>
      </c>
      <c r="E1390" s="22">
        <v>3150422006</v>
      </c>
      <c r="F1390" s="22" t="s">
        <v>767</v>
      </c>
      <c r="G1390" s="18"/>
      <c r="H1390" s="18"/>
      <c r="I1390" s="22" t="s">
        <v>2157</v>
      </c>
      <c r="J1390" s="14" t="s">
        <v>2158</v>
      </c>
      <c r="K1390" s="14" t="s">
        <v>1434</v>
      </c>
      <c r="L1390" s="15">
        <v>46091</v>
      </c>
      <c r="M1390" s="16">
        <v>2026</v>
      </c>
      <c r="S1390" s="9"/>
    </row>
    <row r="1391" spans="1:19" ht="46.8">
      <c r="A1391" s="5">
        <v>1390</v>
      </c>
      <c r="B1391" s="18"/>
      <c r="C1391" s="13"/>
      <c r="D1391" s="22" t="s">
        <v>2206</v>
      </c>
      <c r="E1391" s="22">
        <v>3150123029</v>
      </c>
      <c r="F1391" s="22" t="s">
        <v>785</v>
      </c>
      <c r="G1391" s="18"/>
      <c r="H1391" s="18"/>
      <c r="I1391" s="22" t="s">
        <v>2157</v>
      </c>
      <c r="J1391" s="14" t="s">
        <v>2158</v>
      </c>
      <c r="K1391" s="14" t="s">
        <v>1434</v>
      </c>
      <c r="L1391" s="15">
        <v>46092</v>
      </c>
      <c r="M1391" s="16">
        <v>2026</v>
      </c>
      <c r="S1391" s="9"/>
    </row>
    <row r="1392" spans="1:19" ht="46.8">
      <c r="A1392" s="5">
        <v>1391</v>
      </c>
      <c r="B1392" s="18"/>
      <c r="C1392" s="13"/>
      <c r="D1392" s="22" t="s">
        <v>2207</v>
      </c>
      <c r="E1392" s="22">
        <v>31501230219</v>
      </c>
      <c r="F1392" s="22" t="s">
        <v>785</v>
      </c>
      <c r="G1392" s="18"/>
      <c r="H1392" s="18"/>
      <c r="I1392" s="22" t="s">
        <v>2157</v>
      </c>
      <c r="J1392" s="14" t="s">
        <v>2158</v>
      </c>
      <c r="K1392" s="14" t="s">
        <v>1434</v>
      </c>
      <c r="L1392" s="15">
        <v>46093</v>
      </c>
      <c r="M1392" s="16">
        <v>2026</v>
      </c>
      <c r="S1392" s="9"/>
    </row>
    <row r="1393" spans="1:19" ht="46.8">
      <c r="A1393" s="5">
        <v>1392</v>
      </c>
      <c r="B1393" s="18"/>
      <c r="C1393" s="13" t="s">
        <v>2208</v>
      </c>
      <c r="D1393" s="22" t="s">
        <v>2209</v>
      </c>
      <c r="E1393" s="22">
        <v>3150423007</v>
      </c>
      <c r="F1393" s="27" t="s">
        <v>2210</v>
      </c>
      <c r="G1393" s="18"/>
      <c r="H1393" s="18"/>
      <c r="I1393" s="22" t="s">
        <v>2157</v>
      </c>
      <c r="J1393" s="14" t="s">
        <v>2158</v>
      </c>
      <c r="K1393" s="14" t="s">
        <v>1434</v>
      </c>
      <c r="L1393" s="15">
        <v>46094</v>
      </c>
      <c r="M1393" s="16">
        <v>2026</v>
      </c>
      <c r="S1393" s="9"/>
    </row>
    <row r="1394" spans="1:19" ht="15.6" hidden="1">
      <c r="A1394" s="5">
        <v>1393</v>
      </c>
      <c r="B1394" s="18"/>
      <c r="C1394" s="13"/>
      <c r="D1394" s="22" t="s">
        <v>2211</v>
      </c>
      <c r="E1394" s="22">
        <v>3140725076</v>
      </c>
      <c r="F1394" s="27" t="s">
        <v>1973</v>
      </c>
      <c r="G1394" s="18"/>
      <c r="H1394" s="18"/>
      <c r="I1394" s="26" t="s">
        <v>1974</v>
      </c>
      <c r="J1394" s="14" t="s">
        <v>1975</v>
      </c>
      <c r="K1394" s="14" t="s">
        <v>1352</v>
      </c>
      <c r="L1394" s="15">
        <v>46095</v>
      </c>
      <c r="M1394" s="16">
        <v>2026</v>
      </c>
      <c r="S1394" s="9"/>
    </row>
    <row r="1395" spans="1:19" ht="15.6" hidden="1">
      <c r="A1395" s="5">
        <v>1394</v>
      </c>
      <c r="B1395" s="18"/>
      <c r="C1395" s="13"/>
      <c r="D1395" s="22" t="s">
        <v>2045</v>
      </c>
      <c r="E1395" s="22">
        <v>3140725088</v>
      </c>
      <c r="F1395" s="27" t="s">
        <v>1973</v>
      </c>
      <c r="G1395" s="18"/>
      <c r="H1395" s="18"/>
      <c r="I1395" s="26" t="s">
        <v>1974</v>
      </c>
      <c r="J1395" s="14" t="s">
        <v>1975</v>
      </c>
      <c r="K1395" s="14" t="s">
        <v>1352</v>
      </c>
      <c r="L1395" s="15">
        <v>46096</v>
      </c>
      <c r="M1395" s="16">
        <v>2026</v>
      </c>
      <c r="S1395" s="9"/>
    </row>
    <row r="1396" spans="1:19" ht="15.6" hidden="1">
      <c r="A1396" s="5">
        <v>1395</v>
      </c>
      <c r="B1396" s="18"/>
      <c r="C1396" s="13"/>
      <c r="D1396" s="22" t="s">
        <v>2212</v>
      </c>
      <c r="E1396" s="22">
        <v>3140725004</v>
      </c>
      <c r="F1396" s="27" t="s">
        <v>1973</v>
      </c>
      <c r="G1396" s="18"/>
      <c r="H1396" s="18"/>
      <c r="I1396" s="26" t="s">
        <v>1974</v>
      </c>
      <c r="J1396" s="14" t="s">
        <v>1975</v>
      </c>
      <c r="K1396" s="14" t="s">
        <v>1352</v>
      </c>
      <c r="L1396" s="15">
        <v>46097</v>
      </c>
      <c r="M1396" s="16">
        <v>2026</v>
      </c>
      <c r="S1396" s="9"/>
    </row>
    <row r="1397" spans="1:19" ht="15.6" hidden="1">
      <c r="A1397" s="5">
        <v>1396</v>
      </c>
      <c r="B1397" s="18"/>
      <c r="C1397" s="13"/>
      <c r="D1397" s="22" t="s">
        <v>2213</v>
      </c>
      <c r="E1397" s="22">
        <v>3140725044</v>
      </c>
      <c r="F1397" s="27" t="s">
        <v>2214</v>
      </c>
      <c r="G1397" s="18"/>
      <c r="H1397" s="18"/>
      <c r="I1397" s="26" t="s">
        <v>1974</v>
      </c>
      <c r="J1397" s="14" t="s">
        <v>1975</v>
      </c>
      <c r="K1397" s="14" t="s">
        <v>1352</v>
      </c>
      <c r="L1397" s="15">
        <v>46098</v>
      </c>
      <c r="M1397" s="16">
        <v>2026</v>
      </c>
      <c r="S1397" s="9"/>
    </row>
    <row r="1398" spans="1:19" ht="46.8">
      <c r="A1398" s="5">
        <v>1397</v>
      </c>
      <c r="B1398" s="18"/>
      <c r="C1398" s="13" t="s">
        <v>2215</v>
      </c>
      <c r="D1398" s="22" t="s">
        <v>786</v>
      </c>
      <c r="E1398" s="22">
        <v>3150123004</v>
      </c>
      <c r="F1398" s="22" t="s">
        <v>785</v>
      </c>
      <c r="G1398" s="18"/>
      <c r="H1398" s="18"/>
      <c r="I1398" s="22" t="s">
        <v>2157</v>
      </c>
      <c r="J1398" s="14" t="s">
        <v>2158</v>
      </c>
      <c r="K1398" s="14" t="s">
        <v>1434</v>
      </c>
      <c r="L1398" s="15">
        <v>46099</v>
      </c>
      <c r="M1398" s="16">
        <v>2026</v>
      </c>
      <c r="S1398" s="9"/>
    </row>
    <row r="1399" spans="1:19" ht="46.8">
      <c r="A1399" s="5">
        <v>1398</v>
      </c>
      <c r="B1399" s="18"/>
      <c r="C1399" s="13"/>
      <c r="D1399" s="22" t="s">
        <v>787</v>
      </c>
      <c r="E1399" s="22">
        <v>3150123024</v>
      </c>
      <c r="F1399" s="22" t="s">
        <v>785</v>
      </c>
      <c r="G1399" s="18"/>
      <c r="H1399" s="18"/>
      <c r="I1399" s="22" t="s">
        <v>2157</v>
      </c>
      <c r="J1399" s="14" t="s">
        <v>2158</v>
      </c>
      <c r="K1399" s="14" t="s">
        <v>1434</v>
      </c>
      <c r="L1399" s="15">
        <v>46100</v>
      </c>
      <c r="M1399" s="16">
        <v>2026</v>
      </c>
      <c r="S1399" s="9"/>
    </row>
    <row r="1400" spans="1:19" ht="46.8">
      <c r="A1400" s="5">
        <v>1399</v>
      </c>
      <c r="B1400" s="18"/>
      <c r="C1400" s="13"/>
      <c r="D1400" s="22" t="s">
        <v>2216</v>
      </c>
      <c r="E1400" s="22">
        <v>3150123025</v>
      </c>
      <c r="F1400" s="22" t="s">
        <v>785</v>
      </c>
      <c r="G1400" s="18"/>
      <c r="H1400" s="18"/>
      <c r="I1400" s="22" t="s">
        <v>2157</v>
      </c>
      <c r="J1400" s="14" t="s">
        <v>2158</v>
      </c>
      <c r="K1400" s="14" t="s">
        <v>1434</v>
      </c>
      <c r="L1400" s="15">
        <v>46101</v>
      </c>
      <c r="M1400" s="16">
        <v>2026</v>
      </c>
      <c r="S1400" s="9"/>
    </row>
    <row r="1401" spans="1:19" ht="46.8">
      <c r="A1401" s="5">
        <v>1400</v>
      </c>
      <c r="B1401" s="18"/>
      <c r="C1401" s="13"/>
      <c r="D1401" s="22" t="s">
        <v>2217</v>
      </c>
      <c r="E1401" s="22">
        <v>3150425021</v>
      </c>
      <c r="F1401" s="22" t="s">
        <v>2184</v>
      </c>
      <c r="G1401" s="18"/>
      <c r="H1401" s="18"/>
      <c r="I1401" s="22" t="s">
        <v>2157</v>
      </c>
      <c r="J1401" s="14" t="s">
        <v>2158</v>
      </c>
      <c r="K1401" s="14" t="s">
        <v>1434</v>
      </c>
      <c r="L1401" s="15">
        <v>46102</v>
      </c>
      <c r="M1401" s="16">
        <v>2026</v>
      </c>
      <c r="S1401" s="9"/>
    </row>
    <row r="1402" spans="1:19" ht="46.8">
      <c r="A1402" s="5">
        <v>1401</v>
      </c>
      <c r="B1402" s="18"/>
      <c r="C1402" s="13"/>
      <c r="D1402" s="22" t="s">
        <v>2218</v>
      </c>
      <c r="E1402" s="22">
        <v>3150423038</v>
      </c>
      <c r="F1402" s="22" t="s">
        <v>2210</v>
      </c>
      <c r="G1402" s="18"/>
      <c r="H1402" s="18"/>
      <c r="I1402" s="22" t="s">
        <v>2157</v>
      </c>
      <c r="J1402" s="14" t="s">
        <v>2158</v>
      </c>
      <c r="K1402" s="14" t="s">
        <v>1434</v>
      </c>
      <c r="L1402" s="15">
        <v>46103</v>
      </c>
      <c r="M1402" s="16">
        <v>2026</v>
      </c>
      <c r="S1402" s="9"/>
    </row>
    <row r="1403" spans="1:19" ht="46.8">
      <c r="A1403" s="5">
        <v>1402</v>
      </c>
      <c r="B1403" s="18"/>
      <c r="C1403" s="13" t="s">
        <v>2219</v>
      </c>
      <c r="D1403" s="22" t="s">
        <v>766</v>
      </c>
      <c r="E1403" s="22">
        <v>3150422011</v>
      </c>
      <c r="F1403" s="27" t="s">
        <v>767</v>
      </c>
      <c r="G1403" s="18"/>
      <c r="H1403" s="18"/>
      <c r="I1403" s="22" t="s">
        <v>2157</v>
      </c>
      <c r="J1403" s="14" t="s">
        <v>2158</v>
      </c>
      <c r="K1403" s="14" t="s">
        <v>1434</v>
      </c>
      <c r="L1403" s="15">
        <v>46032</v>
      </c>
      <c r="M1403" s="16">
        <v>2026</v>
      </c>
      <c r="S1403" s="9"/>
    </row>
    <row r="1404" spans="1:19" ht="46.8">
      <c r="A1404" s="5">
        <v>1403</v>
      </c>
      <c r="B1404" s="18"/>
      <c r="C1404" s="13"/>
      <c r="D1404" s="22" t="s">
        <v>2220</v>
      </c>
      <c r="E1404" s="22">
        <v>3150423042</v>
      </c>
      <c r="F1404" s="27" t="s">
        <v>2210</v>
      </c>
      <c r="G1404" s="18"/>
      <c r="H1404" s="18"/>
      <c r="I1404" s="22" t="s">
        <v>2157</v>
      </c>
      <c r="J1404" s="14" t="s">
        <v>2158</v>
      </c>
      <c r="K1404" s="14" t="s">
        <v>1434</v>
      </c>
      <c r="L1404" s="15">
        <v>46033</v>
      </c>
      <c r="M1404" s="16">
        <v>2026</v>
      </c>
      <c r="S1404" s="9"/>
    </row>
    <row r="1405" spans="1:19" ht="46.8">
      <c r="A1405" s="5">
        <v>1404</v>
      </c>
      <c r="B1405" s="18"/>
      <c r="C1405" s="13"/>
      <c r="D1405" s="22" t="s">
        <v>2221</v>
      </c>
      <c r="E1405" s="22">
        <v>3150424041</v>
      </c>
      <c r="F1405" s="27" t="s">
        <v>2222</v>
      </c>
      <c r="G1405" s="18"/>
      <c r="H1405" s="18"/>
      <c r="I1405" s="22" t="s">
        <v>2157</v>
      </c>
      <c r="J1405" s="14" t="s">
        <v>2158</v>
      </c>
      <c r="K1405" s="14" t="s">
        <v>1434</v>
      </c>
      <c r="L1405" s="15">
        <v>46034</v>
      </c>
      <c r="M1405" s="16">
        <v>2026</v>
      </c>
      <c r="S1405" s="9"/>
    </row>
    <row r="1406" spans="1:19" ht="46.8">
      <c r="A1406" s="5">
        <v>1405</v>
      </c>
      <c r="B1406" s="18"/>
      <c r="C1406" s="13" t="s">
        <v>2223</v>
      </c>
      <c r="D1406" s="22" t="s">
        <v>2224</v>
      </c>
      <c r="E1406" s="22">
        <v>3150423037</v>
      </c>
      <c r="F1406" s="27" t="s">
        <v>2210</v>
      </c>
      <c r="G1406" s="18"/>
      <c r="H1406" s="18"/>
      <c r="I1406" s="22" t="s">
        <v>2157</v>
      </c>
      <c r="J1406" s="14" t="s">
        <v>2158</v>
      </c>
      <c r="K1406" s="14" t="s">
        <v>1434</v>
      </c>
      <c r="L1406" s="15">
        <v>46035</v>
      </c>
      <c r="M1406" s="16">
        <v>2026</v>
      </c>
      <c r="S1406" s="9"/>
    </row>
    <row r="1407" spans="1:19" ht="46.8">
      <c r="A1407" s="5">
        <v>1406</v>
      </c>
      <c r="B1407" s="18"/>
      <c r="C1407" s="13"/>
      <c r="D1407" s="22" t="s">
        <v>2225</v>
      </c>
      <c r="E1407" s="22">
        <v>3150424008</v>
      </c>
      <c r="F1407" s="27" t="s">
        <v>2226</v>
      </c>
      <c r="G1407" s="18"/>
      <c r="H1407" s="18"/>
      <c r="I1407" s="22" t="s">
        <v>2157</v>
      </c>
      <c r="J1407" s="14" t="s">
        <v>2158</v>
      </c>
      <c r="K1407" s="14" t="s">
        <v>1434</v>
      </c>
      <c r="L1407" s="15">
        <v>46036</v>
      </c>
      <c r="M1407" s="16">
        <v>2026</v>
      </c>
      <c r="S1407" s="9"/>
    </row>
    <row r="1408" spans="1:19" ht="46.8">
      <c r="A1408" s="5">
        <v>1407</v>
      </c>
      <c r="B1408" s="18"/>
      <c r="C1408" s="13"/>
      <c r="D1408" s="22" t="s">
        <v>2227</v>
      </c>
      <c r="E1408" s="22">
        <v>3150422022</v>
      </c>
      <c r="F1408" s="27" t="s">
        <v>2228</v>
      </c>
      <c r="G1408" s="18"/>
      <c r="H1408" s="18"/>
      <c r="I1408" s="22" t="s">
        <v>2157</v>
      </c>
      <c r="J1408" s="14" t="s">
        <v>2158</v>
      </c>
      <c r="K1408" s="14" t="s">
        <v>1434</v>
      </c>
      <c r="L1408" s="15">
        <v>46037</v>
      </c>
      <c r="M1408" s="16">
        <v>2026</v>
      </c>
      <c r="S1408" s="9"/>
    </row>
    <row r="1409" spans="1:19" ht="46.8">
      <c r="A1409" s="5">
        <v>1408</v>
      </c>
      <c r="B1409" s="18"/>
      <c r="C1409" s="13" t="s">
        <v>2229</v>
      </c>
      <c r="D1409" s="22" t="s">
        <v>2230</v>
      </c>
      <c r="E1409" s="22">
        <v>3150124011</v>
      </c>
      <c r="F1409" s="27" t="s">
        <v>785</v>
      </c>
      <c r="G1409" s="18"/>
      <c r="H1409" s="18"/>
      <c r="I1409" s="22" t="s">
        <v>2157</v>
      </c>
      <c r="J1409" s="14" t="s">
        <v>2158</v>
      </c>
      <c r="K1409" s="14" t="s">
        <v>1434</v>
      </c>
      <c r="L1409" s="15">
        <v>46038</v>
      </c>
      <c r="M1409" s="16">
        <v>2026</v>
      </c>
      <c r="S1409" s="9"/>
    </row>
    <row r="1410" spans="1:19" ht="15.6" hidden="1">
      <c r="A1410" s="5">
        <v>1409</v>
      </c>
      <c r="B1410" s="18"/>
      <c r="C1410" s="13"/>
      <c r="D1410" s="22" t="s">
        <v>870</v>
      </c>
      <c r="E1410" s="22">
        <v>3140722036</v>
      </c>
      <c r="F1410" s="27" t="s">
        <v>132</v>
      </c>
      <c r="G1410" s="18"/>
      <c r="H1410" s="18"/>
      <c r="I1410" s="22" t="s">
        <v>1974</v>
      </c>
      <c r="J1410" s="14" t="s">
        <v>1975</v>
      </c>
      <c r="K1410" s="14" t="s">
        <v>1352</v>
      </c>
      <c r="L1410" s="15">
        <v>46039</v>
      </c>
      <c r="M1410" s="16">
        <v>2026</v>
      </c>
      <c r="S1410" s="9"/>
    </row>
    <row r="1411" spans="1:19" ht="46.8">
      <c r="A1411" s="5">
        <v>1410</v>
      </c>
      <c r="B1411" s="18"/>
      <c r="C1411" s="13"/>
      <c r="D1411" s="22" t="s">
        <v>2231</v>
      </c>
      <c r="E1411" s="22">
        <v>3150124014</v>
      </c>
      <c r="F1411" s="27" t="s">
        <v>2172</v>
      </c>
      <c r="G1411" s="18"/>
      <c r="H1411" s="18"/>
      <c r="I1411" s="22" t="s">
        <v>2157</v>
      </c>
      <c r="J1411" s="14" t="s">
        <v>2158</v>
      </c>
      <c r="K1411" s="14" t="s">
        <v>1434</v>
      </c>
      <c r="L1411" s="15">
        <v>46040</v>
      </c>
      <c r="M1411" s="16">
        <v>2026</v>
      </c>
      <c r="S1411" s="9"/>
    </row>
    <row r="1412" spans="1:19" ht="46.8">
      <c r="A1412" s="5">
        <v>1411</v>
      </c>
      <c r="B1412" s="18"/>
      <c r="C1412" s="13"/>
      <c r="D1412" s="22" t="s">
        <v>2232</v>
      </c>
      <c r="E1412" s="22">
        <v>3150124017</v>
      </c>
      <c r="F1412" s="27" t="s">
        <v>2172</v>
      </c>
      <c r="G1412" s="18"/>
      <c r="H1412" s="18"/>
      <c r="I1412" s="22" t="s">
        <v>2157</v>
      </c>
      <c r="J1412" s="14" t="s">
        <v>2158</v>
      </c>
      <c r="K1412" s="14" t="s">
        <v>1434</v>
      </c>
      <c r="L1412" s="15">
        <v>46041</v>
      </c>
      <c r="M1412" s="16">
        <v>2026</v>
      </c>
      <c r="S1412" s="9"/>
    </row>
    <row r="1413" spans="1:19" ht="46.8">
      <c r="A1413" s="5">
        <v>1412</v>
      </c>
      <c r="B1413" s="18"/>
      <c r="C1413" s="13" t="s">
        <v>2233</v>
      </c>
      <c r="D1413" s="22" t="s">
        <v>862</v>
      </c>
      <c r="E1413" s="22">
        <v>3150323014</v>
      </c>
      <c r="F1413" s="22" t="s">
        <v>863</v>
      </c>
      <c r="G1413" s="18"/>
      <c r="H1413" s="18"/>
      <c r="I1413" s="22" t="s">
        <v>2157</v>
      </c>
      <c r="J1413" s="14" t="s">
        <v>2158</v>
      </c>
      <c r="K1413" s="14" t="s">
        <v>1434</v>
      </c>
      <c r="L1413" s="15">
        <v>46042</v>
      </c>
      <c r="M1413" s="16">
        <v>2026</v>
      </c>
      <c r="S1413" s="9"/>
    </row>
    <row r="1414" spans="1:19" ht="46.8">
      <c r="A1414" s="5">
        <v>1413</v>
      </c>
      <c r="B1414" s="18"/>
      <c r="C1414" s="13"/>
      <c r="D1414" s="22" t="s">
        <v>2234</v>
      </c>
      <c r="E1414" s="22">
        <v>3150425007</v>
      </c>
      <c r="F1414" s="22" t="s">
        <v>2184</v>
      </c>
      <c r="G1414" s="18"/>
      <c r="H1414" s="18"/>
      <c r="I1414" s="22" t="s">
        <v>2157</v>
      </c>
      <c r="J1414" s="14" t="s">
        <v>2158</v>
      </c>
      <c r="K1414" s="14" t="s">
        <v>1434</v>
      </c>
      <c r="L1414" s="15">
        <v>46043</v>
      </c>
      <c r="M1414" s="16">
        <v>2026</v>
      </c>
      <c r="S1414" s="9"/>
    </row>
    <row r="1415" spans="1:19" ht="46.8">
      <c r="A1415" s="5">
        <v>1414</v>
      </c>
      <c r="B1415" s="18"/>
      <c r="C1415" s="13"/>
      <c r="D1415" s="22" t="s">
        <v>2235</v>
      </c>
      <c r="E1415" s="22">
        <v>3150425005</v>
      </c>
      <c r="F1415" s="22" t="s">
        <v>2184</v>
      </c>
      <c r="G1415" s="18"/>
      <c r="H1415" s="18"/>
      <c r="I1415" s="22" t="s">
        <v>2157</v>
      </c>
      <c r="J1415" s="14" t="s">
        <v>2158</v>
      </c>
      <c r="K1415" s="14" t="s">
        <v>1434</v>
      </c>
      <c r="L1415" s="15">
        <v>46044</v>
      </c>
      <c r="M1415" s="16">
        <v>2026</v>
      </c>
      <c r="S1415" s="9"/>
    </row>
    <row r="1416" spans="1:19" ht="46.8">
      <c r="A1416" s="5">
        <v>1415</v>
      </c>
      <c r="B1416" s="18"/>
      <c r="C1416" s="13"/>
      <c r="D1416" s="22" t="s">
        <v>2236</v>
      </c>
      <c r="E1416" s="22">
        <v>3150425008</v>
      </c>
      <c r="F1416" s="22" t="s">
        <v>2184</v>
      </c>
      <c r="G1416" s="18"/>
      <c r="H1416" s="18"/>
      <c r="I1416" s="22" t="s">
        <v>2157</v>
      </c>
      <c r="J1416" s="14" t="s">
        <v>2158</v>
      </c>
      <c r="K1416" s="14" t="s">
        <v>1434</v>
      </c>
      <c r="L1416" s="15">
        <v>46045</v>
      </c>
      <c r="M1416" s="16">
        <v>2026</v>
      </c>
      <c r="S1416" s="9"/>
    </row>
    <row r="1417" spans="1:19" ht="15.6" hidden="1">
      <c r="A1417" s="5">
        <v>1416</v>
      </c>
      <c r="B1417" s="18"/>
      <c r="C1417" s="13" t="s">
        <v>2237</v>
      </c>
      <c r="D1417" s="22" t="s">
        <v>2238</v>
      </c>
      <c r="E1417" s="22">
        <v>3140724027</v>
      </c>
      <c r="F1417" s="22" t="s">
        <v>2239</v>
      </c>
      <c r="G1417" s="18"/>
      <c r="H1417" s="18"/>
      <c r="I1417" s="22" t="s">
        <v>1974</v>
      </c>
      <c r="J1417" s="14" t="s">
        <v>1975</v>
      </c>
      <c r="K1417" s="14" t="s">
        <v>1352</v>
      </c>
      <c r="L1417" s="15">
        <v>46046</v>
      </c>
      <c r="M1417" s="16">
        <v>2026</v>
      </c>
      <c r="S1417" s="9"/>
    </row>
    <row r="1418" spans="1:19" ht="15.6" hidden="1">
      <c r="A1418" s="5">
        <v>1417</v>
      </c>
      <c r="B1418" s="18"/>
      <c r="C1418" s="13"/>
      <c r="D1418" s="22" t="s">
        <v>2240</v>
      </c>
      <c r="E1418" s="22">
        <v>3140724025</v>
      </c>
      <c r="F1418" s="22" t="s">
        <v>2239</v>
      </c>
      <c r="G1418" s="18"/>
      <c r="H1418" s="18"/>
      <c r="I1418" s="22" t="s">
        <v>1974</v>
      </c>
      <c r="J1418" s="14" t="s">
        <v>1975</v>
      </c>
      <c r="K1418" s="14" t="s">
        <v>1352</v>
      </c>
      <c r="L1418" s="15">
        <v>46047</v>
      </c>
      <c r="M1418" s="16">
        <v>2026</v>
      </c>
      <c r="S1418" s="9"/>
    </row>
    <row r="1419" spans="1:19" ht="15.6" hidden="1">
      <c r="A1419" s="5">
        <v>1418</v>
      </c>
      <c r="B1419" s="18"/>
      <c r="C1419" s="13"/>
      <c r="D1419" s="22" t="s">
        <v>2241</v>
      </c>
      <c r="E1419" s="22">
        <v>3140724053</v>
      </c>
      <c r="F1419" s="22" t="s">
        <v>2239</v>
      </c>
      <c r="G1419" s="18"/>
      <c r="H1419" s="18"/>
      <c r="I1419" s="22" t="s">
        <v>1974</v>
      </c>
      <c r="J1419" s="14" t="s">
        <v>1975</v>
      </c>
      <c r="K1419" s="14" t="s">
        <v>1352</v>
      </c>
      <c r="L1419" s="15">
        <v>46048</v>
      </c>
      <c r="M1419" s="16">
        <v>2026</v>
      </c>
      <c r="S1419" s="9"/>
    </row>
    <row r="1420" spans="1:19" ht="15.6" hidden="1">
      <c r="A1420" s="5">
        <v>1419</v>
      </c>
      <c r="B1420" s="18"/>
      <c r="C1420" s="13" t="s">
        <v>2242</v>
      </c>
      <c r="D1420" s="22" t="s">
        <v>2243</v>
      </c>
      <c r="E1420" s="22">
        <v>3140724042</v>
      </c>
      <c r="F1420" s="22" t="s">
        <v>2239</v>
      </c>
      <c r="G1420" s="18"/>
      <c r="H1420" s="18"/>
      <c r="I1420" s="22" t="s">
        <v>1974</v>
      </c>
      <c r="J1420" s="14" t="s">
        <v>1975</v>
      </c>
      <c r="K1420" s="14" t="s">
        <v>1352</v>
      </c>
      <c r="L1420" s="15">
        <v>46049</v>
      </c>
      <c r="M1420" s="16">
        <v>2026</v>
      </c>
      <c r="S1420" s="9"/>
    </row>
    <row r="1421" spans="1:19" ht="15.6" hidden="1">
      <c r="A1421" s="5">
        <v>1420</v>
      </c>
      <c r="B1421" s="18"/>
      <c r="C1421" s="13"/>
      <c r="D1421" s="22" t="s">
        <v>2244</v>
      </c>
      <c r="E1421" s="22">
        <v>3140724078</v>
      </c>
      <c r="F1421" s="22" t="s">
        <v>2239</v>
      </c>
      <c r="G1421" s="18"/>
      <c r="H1421" s="18"/>
      <c r="I1421" s="22" t="s">
        <v>1974</v>
      </c>
      <c r="J1421" s="14" t="s">
        <v>1975</v>
      </c>
      <c r="K1421" s="14" t="s">
        <v>1352</v>
      </c>
      <c r="L1421" s="15">
        <v>46050</v>
      </c>
      <c r="M1421" s="16">
        <v>2026</v>
      </c>
      <c r="S1421" s="9"/>
    </row>
    <row r="1422" spans="1:19" ht="15.6" hidden="1">
      <c r="A1422" s="5">
        <v>1421</v>
      </c>
      <c r="B1422" s="18"/>
      <c r="C1422" s="13"/>
      <c r="D1422" s="22" t="s">
        <v>2245</v>
      </c>
      <c r="E1422" s="22">
        <v>3140724095</v>
      </c>
      <c r="F1422" s="22" t="s">
        <v>2239</v>
      </c>
      <c r="G1422" s="18"/>
      <c r="H1422" s="18"/>
      <c r="I1422" s="22" t="s">
        <v>1974</v>
      </c>
      <c r="J1422" s="14" t="s">
        <v>1975</v>
      </c>
      <c r="K1422" s="14" t="s">
        <v>1352</v>
      </c>
      <c r="L1422" s="15">
        <v>46051</v>
      </c>
      <c r="M1422" s="16">
        <v>2026</v>
      </c>
      <c r="S1422" s="9"/>
    </row>
    <row r="1423" spans="1:19" ht="15.6" hidden="1">
      <c r="A1423" s="5">
        <v>1422</v>
      </c>
      <c r="B1423" s="18"/>
      <c r="C1423" s="13"/>
      <c r="D1423" s="22" t="s">
        <v>155</v>
      </c>
      <c r="E1423" s="22">
        <v>3140722113</v>
      </c>
      <c r="F1423" s="22" t="s">
        <v>132</v>
      </c>
      <c r="G1423" s="18"/>
      <c r="H1423" s="18"/>
      <c r="I1423" s="22" t="s">
        <v>1974</v>
      </c>
      <c r="J1423" s="14" t="s">
        <v>1975</v>
      </c>
      <c r="K1423" s="14" t="s">
        <v>1352</v>
      </c>
      <c r="L1423" s="15">
        <v>46052</v>
      </c>
      <c r="M1423" s="16">
        <v>2026</v>
      </c>
      <c r="S1423" s="9"/>
    </row>
    <row r="1424" spans="1:19" ht="46.8">
      <c r="A1424" s="5">
        <v>1423</v>
      </c>
      <c r="B1424" s="18"/>
      <c r="C1424" s="13" t="s">
        <v>2246</v>
      </c>
      <c r="D1424" s="22" t="s">
        <v>2247</v>
      </c>
      <c r="E1424" s="22">
        <v>3150424050</v>
      </c>
      <c r="F1424" s="22" t="s">
        <v>2226</v>
      </c>
      <c r="G1424" s="18"/>
      <c r="H1424" s="18"/>
      <c r="I1424" s="22" t="s">
        <v>2157</v>
      </c>
      <c r="J1424" s="14" t="s">
        <v>2158</v>
      </c>
      <c r="K1424" s="14" t="s">
        <v>1434</v>
      </c>
      <c r="L1424" s="15">
        <v>46053</v>
      </c>
      <c r="M1424" s="16">
        <v>2026</v>
      </c>
      <c r="S1424" s="9"/>
    </row>
    <row r="1425" spans="1:19" ht="46.8">
      <c r="A1425" s="5">
        <v>1424</v>
      </c>
      <c r="B1425" s="18"/>
      <c r="C1425" s="13"/>
      <c r="D1425" s="22" t="s">
        <v>2248</v>
      </c>
      <c r="E1425" s="22">
        <v>3150424005</v>
      </c>
      <c r="F1425" s="22" t="s">
        <v>2226</v>
      </c>
      <c r="G1425" s="18"/>
      <c r="H1425" s="18"/>
      <c r="I1425" s="22" t="s">
        <v>2157</v>
      </c>
      <c r="J1425" s="14" t="s">
        <v>2158</v>
      </c>
      <c r="K1425" s="14" t="s">
        <v>1434</v>
      </c>
      <c r="L1425" s="15">
        <v>46054</v>
      </c>
      <c r="M1425" s="16">
        <v>2026</v>
      </c>
      <c r="S1425" s="9"/>
    </row>
    <row r="1426" spans="1:19" ht="46.8">
      <c r="A1426" s="5">
        <v>1425</v>
      </c>
      <c r="B1426" s="18"/>
      <c r="C1426" s="13"/>
      <c r="D1426" s="22" t="s">
        <v>2249</v>
      </c>
      <c r="E1426" s="22">
        <v>3150423019</v>
      </c>
      <c r="F1426" s="22" t="s">
        <v>2210</v>
      </c>
      <c r="G1426" s="18"/>
      <c r="H1426" s="18"/>
      <c r="I1426" s="22" t="s">
        <v>2157</v>
      </c>
      <c r="J1426" s="14" t="s">
        <v>2158</v>
      </c>
      <c r="K1426" s="14" t="s">
        <v>1434</v>
      </c>
      <c r="L1426" s="15">
        <v>46055</v>
      </c>
      <c r="M1426" s="16">
        <v>2026</v>
      </c>
      <c r="S1426" s="9"/>
    </row>
    <row r="1427" spans="1:19" ht="46.8">
      <c r="A1427" s="5">
        <v>1426</v>
      </c>
      <c r="B1427" s="18"/>
      <c r="C1427" s="13" t="s">
        <v>2250</v>
      </c>
      <c r="D1427" s="22" t="s">
        <v>2251</v>
      </c>
      <c r="E1427" s="22">
        <v>3150424033</v>
      </c>
      <c r="F1427" s="22" t="s">
        <v>2226</v>
      </c>
      <c r="G1427" s="18"/>
      <c r="H1427" s="18"/>
      <c r="I1427" s="22" t="s">
        <v>2157</v>
      </c>
      <c r="J1427" s="14" t="s">
        <v>2158</v>
      </c>
      <c r="K1427" s="14" t="s">
        <v>1434</v>
      </c>
      <c r="L1427" s="15">
        <v>46056</v>
      </c>
      <c r="M1427" s="16">
        <v>2026</v>
      </c>
      <c r="S1427" s="9"/>
    </row>
    <row r="1428" spans="1:19" ht="46.8">
      <c r="A1428" s="5">
        <v>1427</v>
      </c>
      <c r="B1428" s="18"/>
      <c r="C1428" s="13"/>
      <c r="D1428" s="22" t="s">
        <v>2252</v>
      </c>
      <c r="E1428" s="22">
        <v>3150422041</v>
      </c>
      <c r="F1428" s="22" t="s">
        <v>2253</v>
      </c>
      <c r="G1428" s="18"/>
      <c r="H1428" s="18"/>
      <c r="I1428" s="22" t="s">
        <v>2157</v>
      </c>
      <c r="J1428" s="14" t="s">
        <v>2158</v>
      </c>
      <c r="K1428" s="14" t="s">
        <v>1434</v>
      </c>
      <c r="L1428" s="15">
        <v>46057</v>
      </c>
      <c r="M1428" s="16">
        <v>2026</v>
      </c>
      <c r="S1428" s="9"/>
    </row>
    <row r="1429" spans="1:19" ht="46.8">
      <c r="A1429" s="5">
        <v>1428</v>
      </c>
      <c r="B1429" s="18"/>
      <c r="C1429" s="13" t="s">
        <v>2254</v>
      </c>
      <c r="D1429" s="22" t="s">
        <v>876</v>
      </c>
      <c r="E1429" s="22">
        <v>3150123035</v>
      </c>
      <c r="F1429" s="22" t="s">
        <v>785</v>
      </c>
      <c r="G1429" s="18"/>
      <c r="H1429" s="18"/>
      <c r="I1429" s="22" t="s">
        <v>2157</v>
      </c>
      <c r="J1429" s="14" t="s">
        <v>2158</v>
      </c>
      <c r="K1429" s="14" t="s">
        <v>1434</v>
      </c>
      <c r="L1429" s="15">
        <v>46058</v>
      </c>
      <c r="M1429" s="16">
        <v>2026</v>
      </c>
      <c r="S1429" s="9"/>
    </row>
    <row r="1430" spans="1:19" ht="46.8">
      <c r="A1430" s="5">
        <v>1429</v>
      </c>
      <c r="B1430" s="18"/>
      <c r="C1430" s="13"/>
      <c r="D1430" s="22" t="s">
        <v>2255</v>
      </c>
      <c r="E1430" s="22">
        <v>3150424042</v>
      </c>
      <c r="F1430" s="22" t="s">
        <v>2226</v>
      </c>
      <c r="G1430" s="18"/>
      <c r="H1430" s="18"/>
      <c r="I1430" s="22" t="s">
        <v>2157</v>
      </c>
      <c r="J1430" s="14" t="s">
        <v>2158</v>
      </c>
      <c r="K1430" s="14" t="s">
        <v>1434</v>
      </c>
      <c r="L1430" s="15">
        <v>46059</v>
      </c>
      <c r="M1430" s="16">
        <v>2026</v>
      </c>
      <c r="S1430" s="9"/>
    </row>
    <row r="1431" spans="1:19" ht="46.8">
      <c r="A1431" s="5">
        <v>1430</v>
      </c>
      <c r="B1431" s="18"/>
      <c r="C1431" s="13"/>
      <c r="D1431" s="22" t="s">
        <v>2256</v>
      </c>
      <c r="E1431" s="22">
        <v>3150425017</v>
      </c>
      <c r="F1431" s="22" t="s">
        <v>2184</v>
      </c>
      <c r="G1431" s="18"/>
      <c r="H1431" s="18"/>
      <c r="I1431" s="22" t="s">
        <v>2157</v>
      </c>
      <c r="J1431" s="14" t="s">
        <v>2158</v>
      </c>
      <c r="K1431" s="14" t="s">
        <v>1434</v>
      </c>
      <c r="L1431" s="15">
        <v>46060</v>
      </c>
      <c r="M1431" s="16">
        <v>2026</v>
      </c>
      <c r="S1431" s="9"/>
    </row>
    <row r="1432" spans="1:19" ht="46.8">
      <c r="A1432" s="5">
        <v>1431</v>
      </c>
      <c r="B1432" s="18"/>
      <c r="C1432" s="13"/>
      <c r="D1432" s="22" t="s">
        <v>2257</v>
      </c>
      <c r="E1432" s="22">
        <v>3150423002</v>
      </c>
      <c r="F1432" s="22" t="s">
        <v>2210</v>
      </c>
      <c r="G1432" s="18"/>
      <c r="H1432" s="18"/>
      <c r="I1432" s="22" t="s">
        <v>2157</v>
      </c>
      <c r="J1432" s="14" t="s">
        <v>2158</v>
      </c>
      <c r="K1432" s="14" t="s">
        <v>1434</v>
      </c>
      <c r="L1432" s="15">
        <v>46061</v>
      </c>
      <c r="M1432" s="16">
        <v>2026</v>
      </c>
      <c r="S1432" s="9"/>
    </row>
    <row r="1433" spans="1:19" ht="46.8">
      <c r="A1433" s="5">
        <v>1432</v>
      </c>
      <c r="B1433" s="18"/>
      <c r="C1433" s="13"/>
      <c r="D1433" s="22" t="s">
        <v>777</v>
      </c>
      <c r="E1433" s="22">
        <v>3150422023</v>
      </c>
      <c r="F1433" s="22" t="s">
        <v>767</v>
      </c>
      <c r="G1433" s="18"/>
      <c r="H1433" s="18"/>
      <c r="I1433" s="22" t="s">
        <v>2157</v>
      </c>
      <c r="J1433" s="14" t="s">
        <v>2158</v>
      </c>
      <c r="K1433" s="14" t="s">
        <v>1434</v>
      </c>
      <c r="L1433" s="15">
        <v>46062</v>
      </c>
      <c r="M1433" s="16">
        <v>2026</v>
      </c>
      <c r="S1433" s="9"/>
    </row>
    <row r="1434" spans="1:19" ht="46.8">
      <c r="A1434" s="5">
        <v>1433</v>
      </c>
      <c r="B1434" s="18"/>
      <c r="C1434" s="13" t="s">
        <v>2258</v>
      </c>
      <c r="D1434" s="22" t="s">
        <v>1268</v>
      </c>
      <c r="E1434" s="22">
        <v>3150423021</v>
      </c>
      <c r="F1434" s="22" t="s">
        <v>2210</v>
      </c>
      <c r="G1434" s="18"/>
      <c r="H1434" s="18"/>
      <c r="I1434" s="22" t="s">
        <v>2157</v>
      </c>
      <c r="J1434" s="14" t="s">
        <v>2158</v>
      </c>
      <c r="K1434" s="14" t="s">
        <v>1434</v>
      </c>
      <c r="L1434" s="15">
        <v>46063</v>
      </c>
      <c r="M1434" s="16">
        <v>2026</v>
      </c>
      <c r="S1434" s="9"/>
    </row>
    <row r="1435" spans="1:19" ht="46.8">
      <c r="A1435" s="5">
        <v>1434</v>
      </c>
      <c r="B1435" s="18"/>
      <c r="C1435" s="13"/>
      <c r="D1435" s="22" t="s">
        <v>2119</v>
      </c>
      <c r="E1435" s="22">
        <v>3150423039</v>
      </c>
      <c r="F1435" s="22" t="s">
        <v>2210</v>
      </c>
      <c r="G1435" s="18"/>
      <c r="H1435" s="18"/>
      <c r="I1435" s="22" t="s">
        <v>2157</v>
      </c>
      <c r="J1435" s="14" t="s">
        <v>2158</v>
      </c>
      <c r="K1435" s="14" t="s">
        <v>1434</v>
      </c>
      <c r="L1435" s="15">
        <v>46064</v>
      </c>
      <c r="M1435" s="16">
        <v>2026</v>
      </c>
      <c r="S1435" s="9"/>
    </row>
    <row r="1436" spans="1:19" ht="46.8">
      <c r="A1436" s="5">
        <v>1435</v>
      </c>
      <c r="B1436" s="18"/>
      <c r="C1436" s="13"/>
      <c r="D1436" s="22" t="s">
        <v>2259</v>
      </c>
      <c r="E1436" s="22">
        <v>3150423043</v>
      </c>
      <c r="F1436" s="22" t="s">
        <v>2210</v>
      </c>
      <c r="G1436" s="18"/>
      <c r="H1436" s="18"/>
      <c r="I1436" s="22" t="s">
        <v>2157</v>
      </c>
      <c r="J1436" s="14" t="s">
        <v>2158</v>
      </c>
      <c r="K1436" s="14" t="s">
        <v>1434</v>
      </c>
      <c r="L1436" s="15">
        <v>46065</v>
      </c>
      <c r="M1436" s="16">
        <v>2026</v>
      </c>
      <c r="S1436" s="9"/>
    </row>
    <row r="1437" spans="1:19" ht="46.8">
      <c r="A1437" s="5">
        <v>1436</v>
      </c>
      <c r="B1437" s="18"/>
      <c r="C1437" s="13"/>
      <c r="D1437" s="22" t="s">
        <v>2260</v>
      </c>
      <c r="E1437" s="22">
        <v>3150123031</v>
      </c>
      <c r="F1437" s="22" t="s">
        <v>785</v>
      </c>
      <c r="G1437" s="18"/>
      <c r="H1437" s="18"/>
      <c r="I1437" s="22" t="s">
        <v>2157</v>
      </c>
      <c r="J1437" s="14" t="s">
        <v>2158</v>
      </c>
      <c r="K1437" s="14" t="s">
        <v>1434</v>
      </c>
      <c r="L1437" s="15">
        <v>46066</v>
      </c>
      <c r="M1437" s="16">
        <v>2026</v>
      </c>
      <c r="S1437" s="9"/>
    </row>
    <row r="1438" spans="1:19" ht="46.8">
      <c r="A1438" s="5">
        <v>1437</v>
      </c>
      <c r="B1438" s="18"/>
      <c r="C1438" s="13" t="s">
        <v>2261</v>
      </c>
      <c r="D1438" s="22" t="s">
        <v>2262</v>
      </c>
      <c r="E1438" s="22">
        <v>3150123012</v>
      </c>
      <c r="F1438" s="22" t="s">
        <v>785</v>
      </c>
      <c r="G1438" s="18"/>
      <c r="H1438" s="18"/>
      <c r="I1438" s="22" t="s">
        <v>2157</v>
      </c>
      <c r="J1438" s="14" t="s">
        <v>2158</v>
      </c>
      <c r="K1438" s="14" t="s">
        <v>1434</v>
      </c>
      <c r="L1438" s="15">
        <v>46067</v>
      </c>
      <c r="M1438" s="16">
        <v>2026</v>
      </c>
      <c r="S1438" s="9"/>
    </row>
    <row r="1439" spans="1:19" ht="46.8">
      <c r="A1439" s="5">
        <v>1438</v>
      </c>
      <c r="B1439" s="18"/>
      <c r="C1439" s="13"/>
      <c r="D1439" s="22" t="s">
        <v>253</v>
      </c>
      <c r="E1439" s="22">
        <v>3150123017</v>
      </c>
      <c r="F1439" s="22" t="s">
        <v>785</v>
      </c>
      <c r="G1439" s="18"/>
      <c r="H1439" s="18"/>
      <c r="I1439" s="22" t="s">
        <v>2157</v>
      </c>
      <c r="J1439" s="14" t="s">
        <v>2158</v>
      </c>
      <c r="K1439" s="14" t="s">
        <v>1434</v>
      </c>
      <c r="L1439" s="15">
        <v>46068</v>
      </c>
      <c r="M1439" s="16">
        <v>2026</v>
      </c>
      <c r="S1439" s="9"/>
    </row>
    <row r="1440" spans="1:19" ht="46.8">
      <c r="A1440" s="5">
        <v>1439</v>
      </c>
      <c r="B1440" s="18"/>
      <c r="C1440" s="13"/>
      <c r="D1440" s="22" t="s">
        <v>2263</v>
      </c>
      <c r="E1440" s="22">
        <v>3150124005</v>
      </c>
      <c r="F1440" s="22" t="s">
        <v>2172</v>
      </c>
      <c r="G1440" s="18"/>
      <c r="H1440" s="18"/>
      <c r="I1440" s="22" t="s">
        <v>2157</v>
      </c>
      <c r="J1440" s="14" t="s">
        <v>2158</v>
      </c>
      <c r="K1440" s="14" t="s">
        <v>1434</v>
      </c>
      <c r="L1440" s="15">
        <v>46069</v>
      </c>
      <c r="M1440" s="16">
        <v>2026</v>
      </c>
      <c r="S1440" s="9"/>
    </row>
    <row r="1441" spans="1:19" ht="46.8">
      <c r="A1441" s="5">
        <v>1440</v>
      </c>
      <c r="B1441" s="18"/>
      <c r="C1441" s="13"/>
      <c r="D1441" s="22" t="s">
        <v>2264</v>
      </c>
      <c r="E1441" s="22">
        <v>3150425050</v>
      </c>
      <c r="F1441" s="22" t="s">
        <v>2265</v>
      </c>
      <c r="G1441" s="18"/>
      <c r="H1441" s="18"/>
      <c r="I1441" s="22" t="s">
        <v>2157</v>
      </c>
      <c r="J1441" s="14" t="s">
        <v>2158</v>
      </c>
      <c r="K1441" s="14" t="s">
        <v>1434</v>
      </c>
      <c r="L1441" s="15">
        <v>46070</v>
      </c>
      <c r="M1441" s="16">
        <v>2026</v>
      </c>
      <c r="S1441" s="9"/>
    </row>
    <row r="1442" spans="1:19" ht="46.8">
      <c r="A1442" s="5">
        <v>1441</v>
      </c>
      <c r="B1442" s="18"/>
      <c r="C1442" s="13" t="s">
        <v>2266</v>
      </c>
      <c r="D1442" s="22" t="s">
        <v>2267</v>
      </c>
      <c r="E1442" s="22">
        <v>3150423017</v>
      </c>
      <c r="F1442" s="22" t="s">
        <v>2268</v>
      </c>
      <c r="G1442" s="18"/>
      <c r="H1442" s="18"/>
      <c r="I1442" s="22" t="s">
        <v>2157</v>
      </c>
      <c r="J1442" s="14" t="s">
        <v>2158</v>
      </c>
      <c r="K1442" s="14" t="s">
        <v>1434</v>
      </c>
      <c r="L1442" s="15">
        <v>46071</v>
      </c>
      <c r="M1442" s="16">
        <v>2026</v>
      </c>
      <c r="S1442" s="9"/>
    </row>
    <row r="1443" spans="1:19" ht="46.8">
      <c r="A1443" s="5">
        <v>1442</v>
      </c>
      <c r="B1443" s="18"/>
      <c r="C1443" s="13"/>
      <c r="D1443" s="22" t="s">
        <v>2269</v>
      </c>
      <c r="E1443" s="22">
        <v>3150423029</v>
      </c>
      <c r="F1443" s="22" t="s">
        <v>2210</v>
      </c>
      <c r="G1443" s="18"/>
      <c r="H1443" s="18"/>
      <c r="I1443" s="22" t="s">
        <v>2157</v>
      </c>
      <c r="J1443" s="14" t="s">
        <v>2158</v>
      </c>
      <c r="K1443" s="14" t="s">
        <v>1434</v>
      </c>
      <c r="L1443" s="15">
        <v>46072</v>
      </c>
      <c r="M1443" s="16">
        <v>2026</v>
      </c>
      <c r="S1443" s="9"/>
    </row>
    <row r="1444" spans="1:19" ht="46.8">
      <c r="A1444" s="5">
        <v>1443</v>
      </c>
      <c r="B1444" s="18"/>
      <c r="C1444" s="13"/>
      <c r="D1444" s="22" t="s">
        <v>841</v>
      </c>
      <c r="E1444" s="22">
        <v>3140725059</v>
      </c>
      <c r="F1444" s="22" t="s">
        <v>2270</v>
      </c>
      <c r="G1444" s="18"/>
      <c r="H1444" s="18"/>
      <c r="I1444" s="22" t="s">
        <v>2157</v>
      </c>
      <c r="J1444" s="14" t="s">
        <v>2158</v>
      </c>
      <c r="K1444" s="14" t="s">
        <v>1434</v>
      </c>
      <c r="L1444" s="15">
        <v>46073</v>
      </c>
      <c r="M1444" s="16">
        <v>2026</v>
      </c>
      <c r="S1444" s="9"/>
    </row>
    <row r="1445" spans="1:19" ht="15.6" hidden="1">
      <c r="A1445" s="5">
        <v>1444</v>
      </c>
      <c r="B1445" s="18"/>
      <c r="C1445" s="13"/>
      <c r="D1445" s="22" t="s">
        <v>2271</v>
      </c>
      <c r="E1445" s="22">
        <v>3150123022</v>
      </c>
      <c r="F1445" s="22" t="s">
        <v>2272</v>
      </c>
      <c r="G1445" s="18"/>
      <c r="H1445" s="18"/>
      <c r="I1445" s="22" t="s">
        <v>1974</v>
      </c>
      <c r="J1445" s="14" t="s">
        <v>1975</v>
      </c>
      <c r="K1445" s="14" t="s">
        <v>1352</v>
      </c>
      <c r="L1445" s="15">
        <v>46074</v>
      </c>
      <c r="M1445" s="16">
        <v>2026</v>
      </c>
      <c r="S1445" s="9"/>
    </row>
    <row r="1446" spans="1:19" ht="15.6" hidden="1">
      <c r="A1446" s="5">
        <v>1445</v>
      </c>
      <c r="B1446" s="18"/>
      <c r="C1446" s="13" t="s">
        <v>2273</v>
      </c>
      <c r="D1446" s="22" t="s">
        <v>2274</v>
      </c>
      <c r="E1446" s="22">
        <v>3140725025</v>
      </c>
      <c r="F1446" s="22" t="s">
        <v>2272</v>
      </c>
      <c r="G1446" s="18"/>
      <c r="H1446" s="18"/>
      <c r="I1446" s="22" t="s">
        <v>1974</v>
      </c>
      <c r="J1446" s="14" t="s">
        <v>1975</v>
      </c>
      <c r="K1446" s="14" t="s">
        <v>1352</v>
      </c>
      <c r="L1446" s="15">
        <v>46075</v>
      </c>
      <c r="M1446" s="16">
        <v>2026</v>
      </c>
      <c r="S1446" s="9"/>
    </row>
    <row r="1447" spans="1:19" ht="15.6" hidden="1">
      <c r="A1447" s="5">
        <v>1446</v>
      </c>
      <c r="B1447" s="18"/>
      <c r="C1447" s="13"/>
      <c r="D1447" s="22" t="s">
        <v>2275</v>
      </c>
      <c r="E1447" s="22">
        <v>3140725089</v>
      </c>
      <c r="F1447" s="22" t="s">
        <v>2272</v>
      </c>
      <c r="G1447" s="18"/>
      <c r="H1447" s="18"/>
      <c r="I1447" s="22" t="s">
        <v>1974</v>
      </c>
      <c r="J1447" s="14" t="s">
        <v>1975</v>
      </c>
      <c r="K1447" s="14" t="s">
        <v>1352</v>
      </c>
      <c r="L1447" s="15">
        <v>46076</v>
      </c>
      <c r="M1447" s="16">
        <v>2026</v>
      </c>
      <c r="S1447" s="9"/>
    </row>
    <row r="1448" spans="1:19" ht="46.8">
      <c r="A1448" s="5">
        <v>1447</v>
      </c>
      <c r="B1448" s="18"/>
      <c r="C1448" s="13"/>
      <c r="D1448" s="22" t="s">
        <v>2276</v>
      </c>
      <c r="E1448" s="22">
        <v>3150425009</v>
      </c>
      <c r="F1448" s="22" t="s">
        <v>2184</v>
      </c>
      <c r="G1448" s="18"/>
      <c r="H1448" s="18"/>
      <c r="I1448" s="22" t="s">
        <v>2157</v>
      </c>
      <c r="J1448" s="14" t="s">
        <v>2158</v>
      </c>
      <c r="K1448" s="14" t="s">
        <v>1434</v>
      </c>
      <c r="L1448" s="15">
        <v>46077</v>
      </c>
      <c r="M1448" s="16">
        <v>2026</v>
      </c>
      <c r="S1448" s="9"/>
    </row>
    <row r="1449" spans="1:19" ht="46.8">
      <c r="A1449" s="5">
        <v>1448</v>
      </c>
      <c r="B1449" s="18"/>
      <c r="C1449" s="13"/>
      <c r="D1449" s="22" t="s">
        <v>2277</v>
      </c>
      <c r="E1449" s="22">
        <v>3150424028</v>
      </c>
      <c r="F1449" s="22" t="s">
        <v>2226</v>
      </c>
      <c r="G1449" s="18"/>
      <c r="H1449" s="18"/>
      <c r="I1449" s="22" t="s">
        <v>2157</v>
      </c>
      <c r="J1449" s="14" t="s">
        <v>2158</v>
      </c>
      <c r="K1449" s="14" t="s">
        <v>1434</v>
      </c>
      <c r="L1449" s="15">
        <v>46078</v>
      </c>
      <c r="M1449" s="16">
        <v>2026</v>
      </c>
      <c r="S1449" s="9"/>
    </row>
    <row r="1450" spans="1:19" ht="46.8">
      <c r="A1450" s="5">
        <v>1449</v>
      </c>
      <c r="B1450" s="18"/>
      <c r="C1450" s="13" t="s">
        <v>2278</v>
      </c>
      <c r="D1450" s="22" t="s">
        <v>241</v>
      </c>
      <c r="E1450" s="22">
        <v>3150124008</v>
      </c>
      <c r="F1450" s="22" t="s">
        <v>2172</v>
      </c>
      <c r="G1450" s="18"/>
      <c r="H1450" s="18"/>
      <c r="I1450" s="22" t="s">
        <v>2157</v>
      </c>
      <c r="J1450" s="14" t="s">
        <v>2158</v>
      </c>
      <c r="K1450" s="14" t="s">
        <v>1434</v>
      </c>
      <c r="L1450" s="15">
        <v>46079</v>
      </c>
      <c r="M1450" s="16">
        <v>2026</v>
      </c>
      <c r="S1450" s="9"/>
    </row>
    <row r="1451" spans="1:19" ht="46.8">
      <c r="A1451" s="5">
        <v>1450</v>
      </c>
      <c r="B1451" s="18"/>
      <c r="C1451" s="13"/>
      <c r="D1451" s="22" t="s">
        <v>2279</v>
      </c>
      <c r="E1451" s="22">
        <v>3150124015</v>
      </c>
      <c r="F1451" s="22" t="s">
        <v>2172</v>
      </c>
      <c r="G1451" s="18"/>
      <c r="H1451" s="18"/>
      <c r="I1451" s="22" t="s">
        <v>2157</v>
      </c>
      <c r="J1451" s="14" t="s">
        <v>2158</v>
      </c>
      <c r="K1451" s="14" t="s">
        <v>1434</v>
      </c>
      <c r="L1451" s="15">
        <v>46080</v>
      </c>
      <c r="M1451" s="16">
        <v>2026</v>
      </c>
      <c r="S1451" s="9"/>
    </row>
    <row r="1452" spans="1:19" ht="46.8">
      <c r="A1452" s="5">
        <v>1451</v>
      </c>
      <c r="B1452" s="18"/>
      <c r="C1452" s="13"/>
      <c r="D1452" s="22" t="s">
        <v>2280</v>
      </c>
      <c r="E1452" s="22">
        <v>3150124010</v>
      </c>
      <c r="F1452" s="22" t="s">
        <v>2172</v>
      </c>
      <c r="G1452" s="18"/>
      <c r="H1452" s="18"/>
      <c r="I1452" s="22" t="s">
        <v>2157</v>
      </c>
      <c r="J1452" s="14" t="s">
        <v>2158</v>
      </c>
      <c r="K1452" s="14" t="s">
        <v>1434</v>
      </c>
      <c r="L1452" s="15">
        <v>46081</v>
      </c>
      <c r="M1452" s="16">
        <v>2026</v>
      </c>
      <c r="S1452" s="9"/>
    </row>
    <row r="1453" spans="1:19" ht="46.8">
      <c r="A1453" s="5">
        <v>1452</v>
      </c>
      <c r="B1453" s="18"/>
      <c r="C1453" s="13"/>
      <c r="D1453" s="22" t="s">
        <v>2281</v>
      </c>
      <c r="E1453" s="22">
        <v>3150425001</v>
      </c>
      <c r="F1453" s="22" t="s">
        <v>2265</v>
      </c>
      <c r="G1453" s="18"/>
      <c r="H1453" s="18"/>
      <c r="I1453" s="22" t="s">
        <v>2157</v>
      </c>
      <c r="J1453" s="14" t="s">
        <v>2158</v>
      </c>
      <c r="K1453" s="14" t="s">
        <v>1434</v>
      </c>
      <c r="L1453" s="15">
        <v>46082</v>
      </c>
      <c r="M1453" s="16">
        <v>2026</v>
      </c>
      <c r="S1453" s="9"/>
    </row>
    <row r="1454" spans="1:19" ht="15.6" hidden="1">
      <c r="A1454" s="5">
        <v>1453</v>
      </c>
      <c r="B1454" s="18"/>
      <c r="C1454" s="13" t="s">
        <v>2282</v>
      </c>
      <c r="D1454" s="22" t="s">
        <v>2283</v>
      </c>
      <c r="E1454" s="22">
        <v>3140725032</v>
      </c>
      <c r="F1454" s="22" t="s">
        <v>2272</v>
      </c>
      <c r="G1454" s="18"/>
      <c r="H1454" s="18"/>
      <c r="I1454" s="22" t="s">
        <v>1974</v>
      </c>
      <c r="J1454" s="14" t="s">
        <v>1975</v>
      </c>
      <c r="K1454" s="14" t="s">
        <v>1352</v>
      </c>
      <c r="L1454" s="15">
        <v>46083</v>
      </c>
      <c r="M1454" s="16">
        <v>2026</v>
      </c>
      <c r="S1454" s="9"/>
    </row>
    <row r="1455" spans="1:19" ht="46.8">
      <c r="A1455" s="5">
        <v>1454</v>
      </c>
      <c r="B1455" s="18"/>
      <c r="C1455" s="13"/>
      <c r="D1455" s="22" t="s">
        <v>2284</v>
      </c>
      <c r="E1455" s="22">
        <v>3150125018</v>
      </c>
      <c r="F1455" s="22" t="s">
        <v>2165</v>
      </c>
      <c r="G1455" s="18"/>
      <c r="H1455" s="18"/>
      <c r="I1455" s="22" t="s">
        <v>2157</v>
      </c>
      <c r="J1455" s="14" t="s">
        <v>2158</v>
      </c>
      <c r="K1455" s="14" t="s">
        <v>1434</v>
      </c>
      <c r="L1455" s="15">
        <v>46084</v>
      </c>
      <c r="M1455" s="16">
        <v>2026</v>
      </c>
      <c r="S1455" s="9"/>
    </row>
    <row r="1456" spans="1:19" ht="46.8">
      <c r="A1456" s="5">
        <v>1455</v>
      </c>
      <c r="B1456" s="18"/>
      <c r="C1456" s="13"/>
      <c r="D1456" s="22" t="s">
        <v>2285</v>
      </c>
      <c r="E1456" s="22">
        <v>3150125003</v>
      </c>
      <c r="F1456" s="22" t="s">
        <v>2165</v>
      </c>
      <c r="G1456" s="18"/>
      <c r="H1456" s="18"/>
      <c r="I1456" s="22" t="s">
        <v>2157</v>
      </c>
      <c r="J1456" s="14" t="s">
        <v>2158</v>
      </c>
      <c r="K1456" s="14" t="s">
        <v>1434</v>
      </c>
      <c r="L1456" s="15">
        <v>46085</v>
      </c>
      <c r="M1456" s="16">
        <v>2026</v>
      </c>
      <c r="S1456" s="9"/>
    </row>
    <row r="1457" spans="1:19" ht="15.6" hidden="1">
      <c r="A1457" s="5">
        <v>1456</v>
      </c>
      <c r="B1457" s="18"/>
      <c r="C1457" s="13"/>
      <c r="D1457" s="22" t="s">
        <v>2286</v>
      </c>
      <c r="E1457" s="22">
        <v>3140725086</v>
      </c>
      <c r="F1457" s="22" t="s">
        <v>1973</v>
      </c>
      <c r="G1457" s="18"/>
      <c r="H1457" s="18"/>
      <c r="I1457" s="22" t="s">
        <v>1974</v>
      </c>
      <c r="J1457" s="14" t="s">
        <v>1975</v>
      </c>
      <c r="K1457" s="14" t="s">
        <v>1352</v>
      </c>
      <c r="L1457" s="15">
        <v>46086</v>
      </c>
      <c r="M1457" s="16">
        <v>2026</v>
      </c>
      <c r="S1457" s="9"/>
    </row>
    <row r="1458" spans="1:19" ht="15.6" hidden="1">
      <c r="A1458" s="5">
        <v>1457</v>
      </c>
      <c r="B1458" s="18"/>
      <c r="C1458" s="13"/>
      <c r="D1458" s="22" t="s">
        <v>2287</v>
      </c>
      <c r="E1458" s="22">
        <v>3140725039</v>
      </c>
      <c r="F1458" s="22" t="s">
        <v>2288</v>
      </c>
      <c r="G1458" s="18"/>
      <c r="H1458" s="18"/>
      <c r="I1458" s="22" t="s">
        <v>1974</v>
      </c>
      <c r="J1458" s="14" t="s">
        <v>1975</v>
      </c>
      <c r="K1458" s="14" t="s">
        <v>1352</v>
      </c>
      <c r="L1458" s="15">
        <v>46087</v>
      </c>
      <c r="M1458" s="16">
        <v>2026</v>
      </c>
      <c r="S1458" s="9"/>
    </row>
    <row r="1459" spans="1:19" ht="15.6" hidden="1">
      <c r="A1459" s="5">
        <v>1458</v>
      </c>
      <c r="B1459" s="18"/>
      <c r="C1459" s="13" t="s">
        <v>2289</v>
      </c>
      <c r="D1459" s="22" t="s">
        <v>2290</v>
      </c>
      <c r="E1459" s="22">
        <v>3140725062</v>
      </c>
      <c r="F1459" s="22" t="s">
        <v>1973</v>
      </c>
      <c r="G1459" s="18"/>
      <c r="H1459" s="18"/>
      <c r="I1459" s="22" t="s">
        <v>1974</v>
      </c>
      <c r="J1459" s="14" t="s">
        <v>1975</v>
      </c>
      <c r="K1459" s="14" t="s">
        <v>1352</v>
      </c>
      <c r="L1459" s="15">
        <v>46088</v>
      </c>
      <c r="M1459" s="16">
        <v>2026</v>
      </c>
      <c r="S1459" s="9"/>
    </row>
    <row r="1460" spans="1:19" ht="15.6" hidden="1">
      <c r="A1460" s="5">
        <v>1459</v>
      </c>
      <c r="B1460" s="18"/>
      <c r="C1460" s="13"/>
      <c r="D1460" s="22" t="s">
        <v>2291</v>
      </c>
      <c r="E1460" s="22">
        <v>3140725111</v>
      </c>
      <c r="F1460" s="22" t="s">
        <v>1973</v>
      </c>
      <c r="G1460" s="18"/>
      <c r="H1460" s="18"/>
      <c r="I1460" s="22" t="s">
        <v>1974</v>
      </c>
      <c r="J1460" s="14" t="s">
        <v>1975</v>
      </c>
      <c r="K1460" s="14" t="s">
        <v>1352</v>
      </c>
      <c r="L1460" s="15">
        <v>46089</v>
      </c>
      <c r="M1460" s="16">
        <v>2026</v>
      </c>
      <c r="S1460" s="9"/>
    </row>
    <row r="1461" spans="1:19" ht="15.6" hidden="1">
      <c r="A1461" s="5">
        <v>1460</v>
      </c>
      <c r="B1461" s="18"/>
      <c r="C1461" s="13"/>
      <c r="D1461" s="22" t="s">
        <v>2292</v>
      </c>
      <c r="E1461" s="22">
        <v>3140725105</v>
      </c>
      <c r="F1461" s="22" t="s">
        <v>2214</v>
      </c>
      <c r="G1461" s="18"/>
      <c r="H1461" s="18"/>
      <c r="I1461" s="22" t="s">
        <v>1974</v>
      </c>
      <c r="J1461" s="14" t="s">
        <v>1975</v>
      </c>
      <c r="K1461" s="14" t="s">
        <v>1352</v>
      </c>
      <c r="L1461" s="15">
        <v>46090</v>
      </c>
      <c r="M1461" s="16">
        <v>2026</v>
      </c>
      <c r="S1461" s="9"/>
    </row>
    <row r="1462" spans="1:19" ht="46.8">
      <c r="A1462" s="5">
        <v>1461</v>
      </c>
      <c r="B1462" s="18"/>
      <c r="C1462" s="13" t="s">
        <v>2293</v>
      </c>
      <c r="D1462" s="22" t="s">
        <v>2294</v>
      </c>
      <c r="E1462" s="22">
        <v>3150125035</v>
      </c>
      <c r="F1462" s="22" t="s">
        <v>2165</v>
      </c>
      <c r="G1462" s="18"/>
      <c r="H1462" s="18"/>
      <c r="I1462" s="22" t="s">
        <v>2157</v>
      </c>
      <c r="J1462" s="14" t="s">
        <v>2158</v>
      </c>
      <c r="K1462" s="14" t="s">
        <v>1434</v>
      </c>
      <c r="L1462" s="15">
        <v>46091</v>
      </c>
      <c r="M1462" s="16">
        <v>2026</v>
      </c>
      <c r="S1462" s="9"/>
    </row>
    <row r="1463" spans="1:19" ht="46.8">
      <c r="A1463" s="5">
        <v>1462</v>
      </c>
      <c r="B1463" s="18"/>
      <c r="C1463" s="13"/>
      <c r="D1463" s="22" t="s">
        <v>2295</v>
      </c>
      <c r="E1463" s="22">
        <v>3150125015</v>
      </c>
      <c r="F1463" s="22" t="s">
        <v>2165</v>
      </c>
      <c r="G1463" s="18"/>
      <c r="H1463" s="18"/>
      <c r="I1463" s="22" t="s">
        <v>2157</v>
      </c>
      <c r="J1463" s="14" t="s">
        <v>2158</v>
      </c>
      <c r="K1463" s="14" t="s">
        <v>1434</v>
      </c>
      <c r="L1463" s="15">
        <v>46092</v>
      </c>
      <c r="M1463" s="16">
        <v>2026</v>
      </c>
      <c r="S1463" s="9"/>
    </row>
    <row r="1464" spans="1:19" ht="46.8">
      <c r="A1464" s="5">
        <v>1463</v>
      </c>
      <c r="B1464" s="18"/>
      <c r="C1464" s="13"/>
      <c r="D1464" s="22" t="s">
        <v>2296</v>
      </c>
      <c r="E1464" s="22">
        <v>3150125011</v>
      </c>
      <c r="F1464" s="22" t="s">
        <v>2165</v>
      </c>
      <c r="G1464" s="18"/>
      <c r="H1464" s="18"/>
      <c r="I1464" s="22" t="s">
        <v>2157</v>
      </c>
      <c r="J1464" s="14" t="s">
        <v>2158</v>
      </c>
      <c r="K1464" s="14" t="s">
        <v>1434</v>
      </c>
      <c r="L1464" s="15">
        <v>46093</v>
      </c>
      <c r="M1464" s="16">
        <v>2026</v>
      </c>
      <c r="S1464" s="9"/>
    </row>
    <row r="1465" spans="1:19" ht="46.8">
      <c r="A1465" s="5">
        <v>1464</v>
      </c>
      <c r="B1465" s="18"/>
      <c r="C1465" s="13"/>
      <c r="D1465" s="22" t="s">
        <v>1239</v>
      </c>
      <c r="E1465" s="22">
        <v>3150125038</v>
      </c>
      <c r="F1465" s="22" t="s">
        <v>2165</v>
      </c>
      <c r="G1465" s="18"/>
      <c r="H1465" s="18"/>
      <c r="I1465" s="22" t="s">
        <v>2157</v>
      </c>
      <c r="J1465" s="14" t="s">
        <v>2158</v>
      </c>
      <c r="K1465" s="14" t="s">
        <v>1434</v>
      </c>
      <c r="L1465" s="15">
        <v>46094</v>
      </c>
      <c r="M1465" s="16">
        <v>2026</v>
      </c>
      <c r="S1465" s="9"/>
    </row>
    <row r="1466" spans="1:19" ht="46.8">
      <c r="A1466" s="5">
        <v>1465</v>
      </c>
      <c r="B1466" s="18"/>
      <c r="C1466" s="13"/>
      <c r="D1466" s="22" t="s">
        <v>2297</v>
      </c>
      <c r="E1466" s="22">
        <v>3150125026</v>
      </c>
      <c r="F1466" s="22" t="s">
        <v>2165</v>
      </c>
      <c r="G1466" s="18"/>
      <c r="H1466" s="18"/>
      <c r="I1466" s="22" t="s">
        <v>2157</v>
      </c>
      <c r="J1466" s="14" t="s">
        <v>2158</v>
      </c>
      <c r="K1466" s="14" t="s">
        <v>1434</v>
      </c>
      <c r="L1466" s="15">
        <v>46095</v>
      </c>
      <c r="M1466" s="16">
        <v>2026</v>
      </c>
      <c r="S1466" s="9"/>
    </row>
    <row r="1467" spans="1:19" ht="46.8">
      <c r="A1467" s="5">
        <v>1466</v>
      </c>
      <c r="B1467" s="18"/>
      <c r="C1467" s="13" t="s">
        <v>2298</v>
      </c>
      <c r="D1467" s="22" t="s">
        <v>2299</v>
      </c>
      <c r="E1467" s="22">
        <v>3150325009</v>
      </c>
      <c r="F1467" s="22" t="s">
        <v>2196</v>
      </c>
      <c r="G1467" s="18"/>
      <c r="H1467" s="18"/>
      <c r="I1467" s="22" t="s">
        <v>2157</v>
      </c>
      <c r="J1467" s="14" t="s">
        <v>2158</v>
      </c>
      <c r="K1467" s="14" t="s">
        <v>1434</v>
      </c>
      <c r="L1467" s="15">
        <v>46096</v>
      </c>
      <c r="M1467" s="16">
        <v>2026</v>
      </c>
      <c r="S1467" s="9"/>
    </row>
    <row r="1468" spans="1:19" ht="46.8">
      <c r="A1468" s="5">
        <v>1467</v>
      </c>
      <c r="B1468" s="18"/>
      <c r="C1468" s="13"/>
      <c r="D1468" s="22" t="s">
        <v>2300</v>
      </c>
      <c r="E1468" s="22">
        <v>3150325004</v>
      </c>
      <c r="F1468" s="22" t="s">
        <v>2196</v>
      </c>
      <c r="G1468" s="18"/>
      <c r="H1468" s="18"/>
      <c r="I1468" s="22" t="s">
        <v>2157</v>
      </c>
      <c r="J1468" s="14" t="s">
        <v>2158</v>
      </c>
      <c r="K1468" s="14" t="s">
        <v>1434</v>
      </c>
      <c r="L1468" s="15">
        <v>46097</v>
      </c>
      <c r="M1468" s="16">
        <v>2026</v>
      </c>
      <c r="S1468" s="9"/>
    </row>
    <row r="1469" spans="1:19" ht="46.8">
      <c r="A1469" s="5">
        <v>1468</v>
      </c>
      <c r="B1469" s="18"/>
      <c r="C1469" s="13"/>
      <c r="D1469" s="22" t="s">
        <v>2301</v>
      </c>
      <c r="E1469" s="22">
        <v>3150325041</v>
      </c>
      <c r="F1469" s="22" t="s">
        <v>2196</v>
      </c>
      <c r="G1469" s="18"/>
      <c r="H1469" s="18"/>
      <c r="I1469" s="22" t="s">
        <v>2157</v>
      </c>
      <c r="J1469" s="14" t="s">
        <v>2158</v>
      </c>
      <c r="K1469" s="14" t="s">
        <v>1434</v>
      </c>
      <c r="L1469" s="15">
        <v>46098</v>
      </c>
      <c r="M1469" s="16">
        <v>2026</v>
      </c>
      <c r="S1469" s="9"/>
    </row>
    <row r="1470" spans="1:19" ht="46.8">
      <c r="A1470" s="5">
        <v>1469</v>
      </c>
      <c r="B1470" s="18"/>
      <c r="C1470" s="13"/>
      <c r="D1470" s="22" t="s">
        <v>2302</v>
      </c>
      <c r="E1470" s="22">
        <v>3150325038</v>
      </c>
      <c r="F1470" s="22" t="s">
        <v>2196</v>
      </c>
      <c r="G1470" s="18"/>
      <c r="H1470" s="18"/>
      <c r="I1470" s="22" t="s">
        <v>2157</v>
      </c>
      <c r="J1470" s="14" t="s">
        <v>2158</v>
      </c>
      <c r="K1470" s="14" t="s">
        <v>1434</v>
      </c>
      <c r="L1470" s="15">
        <v>46099</v>
      </c>
      <c r="M1470" s="16">
        <v>2026</v>
      </c>
      <c r="S1470" s="9"/>
    </row>
    <row r="1471" spans="1:19" ht="46.8">
      <c r="A1471" s="5">
        <v>1470</v>
      </c>
      <c r="B1471" s="18"/>
      <c r="C1471" s="13"/>
      <c r="D1471" s="22" t="s">
        <v>2303</v>
      </c>
      <c r="E1471" s="22">
        <v>3150325039</v>
      </c>
      <c r="F1471" s="22" t="s">
        <v>2196</v>
      </c>
      <c r="G1471" s="18"/>
      <c r="H1471" s="18"/>
      <c r="I1471" s="22" t="s">
        <v>2157</v>
      </c>
      <c r="J1471" s="14" t="s">
        <v>2158</v>
      </c>
      <c r="K1471" s="14" t="s">
        <v>1434</v>
      </c>
      <c r="L1471" s="15">
        <v>46100</v>
      </c>
      <c r="M1471" s="16">
        <v>2026</v>
      </c>
      <c r="S1471" s="9"/>
    </row>
    <row r="1472" spans="1:19" ht="46.8">
      <c r="A1472" s="5">
        <v>1471</v>
      </c>
      <c r="B1472" s="18"/>
      <c r="C1472" s="13" t="s">
        <v>2304</v>
      </c>
      <c r="D1472" s="22" t="s">
        <v>625</v>
      </c>
      <c r="E1472" s="22">
        <v>3150125019</v>
      </c>
      <c r="F1472" s="22" t="s">
        <v>2165</v>
      </c>
      <c r="G1472" s="18"/>
      <c r="H1472" s="18"/>
      <c r="I1472" s="22" t="s">
        <v>2157</v>
      </c>
      <c r="J1472" s="14" t="s">
        <v>2158</v>
      </c>
      <c r="K1472" s="14" t="s">
        <v>1434</v>
      </c>
      <c r="L1472" s="15">
        <v>46101</v>
      </c>
      <c r="M1472" s="16">
        <v>2026</v>
      </c>
      <c r="S1472" s="9"/>
    </row>
    <row r="1473" spans="1:19" ht="46.8">
      <c r="A1473" s="5">
        <v>1472</v>
      </c>
      <c r="B1473" s="18"/>
      <c r="C1473" s="13"/>
      <c r="D1473" s="22" t="s">
        <v>2305</v>
      </c>
      <c r="E1473" s="22">
        <v>3150125025</v>
      </c>
      <c r="F1473" s="22" t="s">
        <v>2165</v>
      </c>
      <c r="G1473" s="18"/>
      <c r="H1473" s="18"/>
      <c r="I1473" s="22" t="s">
        <v>2157</v>
      </c>
      <c r="J1473" s="14" t="s">
        <v>2158</v>
      </c>
      <c r="K1473" s="14" t="s">
        <v>1434</v>
      </c>
      <c r="L1473" s="15">
        <v>46102</v>
      </c>
      <c r="M1473" s="16">
        <v>2026</v>
      </c>
      <c r="S1473" s="9"/>
    </row>
    <row r="1474" spans="1:19" ht="15.6" hidden="1">
      <c r="A1474" s="5">
        <v>1473</v>
      </c>
      <c r="B1474" s="18"/>
      <c r="C1474" s="13"/>
      <c r="D1474" s="22" t="s">
        <v>2306</v>
      </c>
      <c r="E1474" s="22" t="s">
        <v>2307</v>
      </c>
      <c r="F1474" s="22" t="s">
        <v>2308</v>
      </c>
      <c r="G1474" s="18"/>
      <c r="H1474" s="18"/>
      <c r="I1474" s="22" t="s">
        <v>1974</v>
      </c>
      <c r="J1474" s="14" t="s">
        <v>1975</v>
      </c>
      <c r="K1474" s="14" t="s">
        <v>1352</v>
      </c>
      <c r="L1474" s="15">
        <v>46103</v>
      </c>
      <c r="M1474" s="16">
        <v>2026</v>
      </c>
      <c r="S1474" s="9"/>
    </row>
    <row r="1475" spans="1:19" ht="46.8">
      <c r="A1475" s="5">
        <v>1474</v>
      </c>
      <c r="B1475" s="18"/>
      <c r="C1475" s="13" t="s">
        <v>2309</v>
      </c>
      <c r="D1475" s="22" t="s">
        <v>2310</v>
      </c>
      <c r="E1475" s="22">
        <v>3150423035</v>
      </c>
      <c r="F1475" s="22" t="s">
        <v>2210</v>
      </c>
      <c r="G1475" s="18"/>
      <c r="H1475" s="18"/>
      <c r="I1475" s="22" t="s">
        <v>2157</v>
      </c>
      <c r="J1475" s="14" t="s">
        <v>2158</v>
      </c>
      <c r="K1475" s="14" t="s">
        <v>1434</v>
      </c>
      <c r="L1475" s="15">
        <v>46032</v>
      </c>
      <c r="M1475" s="16">
        <v>2026</v>
      </c>
      <c r="S1475" s="9"/>
    </row>
    <row r="1476" spans="1:19" ht="46.8">
      <c r="A1476" s="5">
        <v>1475</v>
      </c>
      <c r="B1476" s="18"/>
      <c r="C1476" s="13"/>
      <c r="D1476" s="22" t="s">
        <v>2311</v>
      </c>
      <c r="E1476" s="22">
        <v>3150424046</v>
      </c>
      <c r="F1476" s="22" t="s">
        <v>2226</v>
      </c>
      <c r="G1476" s="18"/>
      <c r="H1476" s="18"/>
      <c r="I1476" s="22" t="s">
        <v>2157</v>
      </c>
      <c r="J1476" s="14" t="s">
        <v>2158</v>
      </c>
      <c r="K1476" s="14" t="s">
        <v>1434</v>
      </c>
      <c r="L1476" s="15">
        <v>46033</v>
      </c>
      <c r="M1476" s="16">
        <v>2026</v>
      </c>
      <c r="S1476" s="9"/>
    </row>
    <row r="1477" spans="1:19" ht="46.8">
      <c r="A1477" s="5">
        <v>1476</v>
      </c>
      <c r="B1477" s="18"/>
      <c r="C1477" s="13"/>
      <c r="D1477" s="22" t="s">
        <v>2312</v>
      </c>
      <c r="E1477" s="22">
        <v>3150425038</v>
      </c>
      <c r="F1477" s="22" t="s">
        <v>2184</v>
      </c>
      <c r="G1477" s="18"/>
      <c r="H1477" s="18"/>
      <c r="I1477" s="22" t="s">
        <v>2157</v>
      </c>
      <c r="J1477" s="14" t="s">
        <v>2158</v>
      </c>
      <c r="K1477" s="14" t="s">
        <v>1434</v>
      </c>
      <c r="L1477" s="15">
        <v>46034</v>
      </c>
      <c r="M1477" s="16">
        <v>2026</v>
      </c>
      <c r="S1477" s="9"/>
    </row>
    <row r="1478" spans="1:19" ht="46.8">
      <c r="A1478" s="5">
        <v>1477</v>
      </c>
      <c r="B1478" s="18"/>
      <c r="C1478" s="13" t="s">
        <v>2313</v>
      </c>
      <c r="D1478" s="22" t="s">
        <v>2314</v>
      </c>
      <c r="E1478" s="22">
        <v>3150124004</v>
      </c>
      <c r="F1478" s="22" t="s">
        <v>2172</v>
      </c>
      <c r="G1478" s="18"/>
      <c r="H1478" s="18"/>
      <c r="I1478" s="22" t="s">
        <v>2157</v>
      </c>
      <c r="J1478" s="14" t="s">
        <v>2158</v>
      </c>
      <c r="K1478" s="14" t="s">
        <v>1434</v>
      </c>
      <c r="L1478" s="15">
        <v>46035</v>
      </c>
      <c r="M1478" s="16">
        <v>2026</v>
      </c>
      <c r="S1478" s="9"/>
    </row>
    <row r="1479" spans="1:19" ht="46.8">
      <c r="A1479" s="5">
        <v>1478</v>
      </c>
      <c r="B1479" s="18"/>
      <c r="C1479" s="13"/>
      <c r="D1479" s="22" t="s">
        <v>2315</v>
      </c>
      <c r="E1479" s="22">
        <v>3150125006</v>
      </c>
      <c r="F1479" s="22" t="s">
        <v>2165</v>
      </c>
      <c r="G1479" s="18"/>
      <c r="H1479" s="18"/>
      <c r="I1479" s="22" t="s">
        <v>2157</v>
      </c>
      <c r="J1479" s="14" t="s">
        <v>2158</v>
      </c>
      <c r="K1479" s="14" t="s">
        <v>1434</v>
      </c>
      <c r="L1479" s="15">
        <v>46036</v>
      </c>
      <c r="M1479" s="16">
        <v>2026</v>
      </c>
      <c r="S1479" s="9"/>
    </row>
    <row r="1480" spans="1:19" ht="46.8">
      <c r="A1480" s="5">
        <v>1479</v>
      </c>
      <c r="B1480" s="18"/>
      <c r="C1480" s="13"/>
      <c r="D1480" s="22" t="s">
        <v>2316</v>
      </c>
      <c r="E1480" s="22">
        <v>3150125028</v>
      </c>
      <c r="F1480" s="22" t="s">
        <v>2165</v>
      </c>
      <c r="G1480" s="18"/>
      <c r="H1480" s="18"/>
      <c r="I1480" s="22" t="s">
        <v>2157</v>
      </c>
      <c r="J1480" s="14" t="s">
        <v>2158</v>
      </c>
      <c r="K1480" s="14" t="s">
        <v>1434</v>
      </c>
      <c r="L1480" s="15">
        <v>46037</v>
      </c>
      <c r="M1480" s="16">
        <v>2026</v>
      </c>
      <c r="S1480" s="9"/>
    </row>
    <row r="1481" spans="1:19" ht="46.8">
      <c r="A1481" s="5">
        <v>1480</v>
      </c>
      <c r="B1481" s="18"/>
      <c r="C1481" s="13" t="s">
        <v>2317</v>
      </c>
      <c r="D1481" s="22" t="s">
        <v>2318</v>
      </c>
      <c r="E1481" s="22">
        <v>3150325006</v>
      </c>
      <c r="F1481" s="22" t="s">
        <v>2196</v>
      </c>
      <c r="G1481" s="18"/>
      <c r="H1481" s="18"/>
      <c r="I1481" s="22" t="s">
        <v>2157</v>
      </c>
      <c r="J1481" s="14" t="s">
        <v>2158</v>
      </c>
      <c r="K1481" s="14" t="s">
        <v>1434</v>
      </c>
      <c r="L1481" s="15">
        <v>46038</v>
      </c>
      <c r="M1481" s="16">
        <v>2026</v>
      </c>
      <c r="S1481" s="9"/>
    </row>
    <row r="1482" spans="1:19" ht="46.8">
      <c r="A1482" s="5">
        <v>1481</v>
      </c>
      <c r="B1482" s="18"/>
      <c r="C1482" s="13"/>
      <c r="D1482" s="22" t="s">
        <v>2319</v>
      </c>
      <c r="E1482" s="22">
        <v>3150125020</v>
      </c>
      <c r="F1482" s="22" t="s">
        <v>2165</v>
      </c>
      <c r="G1482" s="18"/>
      <c r="H1482" s="18"/>
      <c r="I1482" s="22" t="s">
        <v>2157</v>
      </c>
      <c r="J1482" s="14" t="s">
        <v>2158</v>
      </c>
      <c r="K1482" s="14" t="s">
        <v>1434</v>
      </c>
      <c r="L1482" s="15">
        <v>46039</v>
      </c>
      <c r="M1482" s="16">
        <v>2026</v>
      </c>
      <c r="S1482" s="9"/>
    </row>
    <row r="1483" spans="1:19" ht="46.8">
      <c r="A1483" s="5">
        <v>1482</v>
      </c>
      <c r="B1483" s="18"/>
      <c r="C1483" s="13"/>
      <c r="D1483" s="22" t="s">
        <v>2171</v>
      </c>
      <c r="E1483" s="22">
        <v>3150325034</v>
      </c>
      <c r="F1483" s="22" t="s">
        <v>2196</v>
      </c>
      <c r="G1483" s="18"/>
      <c r="H1483" s="18"/>
      <c r="I1483" s="22" t="s">
        <v>2157</v>
      </c>
      <c r="J1483" s="14" t="s">
        <v>2158</v>
      </c>
      <c r="K1483" s="14" t="s">
        <v>1434</v>
      </c>
      <c r="L1483" s="15">
        <v>46040</v>
      </c>
      <c r="M1483" s="16">
        <v>2026</v>
      </c>
      <c r="S1483" s="9"/>
    </row>
    <row r="1484" spans="1:19" ht="46.8">
      <c r="A1484" s="5">
        <v>1483</v>
      </c>
      <c r="B1484" s="18"/>
      <c r="C1484" s="13"/>
      <c r="D1484" s="22" t="s">
        <v>2320</v>
      </c>
      <c r="E1484" s="22">
        <v>3150325033</v>
      </c>
      <c r="F1484" s="22" t="s">
        <v>2196</v>
      </c>
      <c r="G1484" s="18"/>
      <c r="H1484" s="18"/>
      <c r="I1484" s="22" t="s">
        <v>2157</v>
      </c>
      <c r="J1484" s="14" t="s">
        <v>2158</v>
      </c>
      <c r="K1484" s="14" t="s">
        <v>1434</v>
      </c>
      <c r="L1484" s="15">
        <v>46041</v>
      </c>
      <c r="M1484" s="16">
        <v>2026</v>
      </c>
      <c r="S1484" s="9"/>
    </row>
    <row r="1485" spans="1:19" ht="46.8">
      <c r="A1485" s="5">
        <v>1484</v>
      </c>
      <c r="B1485" s="18"/>
      <c r="C1485" s="13"/>
      <c r="D1485" s="22" t="s">
        <v>2321</v>
      </c>
      <c r="E1485" s="22">
        <v>3150325018</v>
      </c>
      <c r="F1485" s="22" t="s">
        <v>2196</v>
      </c>
      <c r="G1485" s="18"/>
      <c r="H1485" s="18"/>
      <c r="I1485" s="22" t="s">
        <v>2157</v>
      </c>
      <c r="J1485" s="14" t="s">
        <v>2158</v>
      </c>
      <c r="K1485" s="14" t="s">
        <v>1434</v>
      </c>
      <c r="L1485" s="15">
        <v>46042</v>
      </c>
      <c r="M1485" s="16">
        <v>2026</v>
      </c>
      <c r="S1485" s="9"/>
    </row>
    <row r="1486" spans="1:19" ht="15.6" hidden="1">
      <c r="A1486" s="5">
        <v>1485</v>
      </c>
      <c r="B1486" s="18"/>
      <c r="C1486" s="13" t="s">
        <v>2322</v>
      </c>
      <c r="D1486" s="22" t="s">
        <v>814</v>
      </c>
      <c r="E1486" s="22">
        <v>3140723065</v>
      </c>
      <c r="F1486" s="22" t="s">
        <v>2323</v>
      </c>
      <c r="G1486" s="18"/>
      <c r="H1486" s="18"/>
      <c r="I1486" s="22" t="s">
        <v>1974</v>
      </c>
      <c r="J1486" s="14" t="s">
        <v>1975</v>
      </c>
      <c r="K1486" s="14" t="s">
        <v>1352</v>
      </c>
      <c r="L1486" s="15">
        <v>46043</v>
      </c>
      <c r="M1486" s="16">
        <v>2026</v>
      </c>
      <c r="S1486" s="9"/>
    </row>
    <row r="1487" spans="1:19" ht="15.6" hidden="1">
      <c r="A1487" s="5">
        <v>1486</v>
      </c>
      <c r="B1487" s="18"/>
      <c r="C1487" s="13"/>
      <c r="D1487" s="22" t="s">
        <v>2324</v>
      </c>
      <c r="E1487" s="22">
        <v>3140723011</v>
      </c>
      <c r="F1487" s="22" t="s">
        <v>815</v>
      </c>
      <c r="G1487" s="18"/>
      <c r="H1487" s="18"/>
      <c r="I1487" s="22" t="s">
        <v>1974</v>
      </c>
      <c r="J1487" s="14" t="s">
        <v>1975</v>
      </c>
      <c r="K1487" s="14" t="s">
        <v>1352</v>
      </c>
      <c r="L1487" s="15">
        <v>46044</v>
      </c>
      <c r="M1487" s="16">
        <v>2026</v>
      </c>
      <c r="S1487" s="9"/>
    </row>
    <row r="1488" spans="1:19" ht="15.6" hidden="1">
      <c r="A1488" s="5">
        <v>1487</v>
      </c>
      <c r="B1488" s="18"/>
      <c r="C1488" s="13"/>
      <c r="D1488" s="22" t="s">
        <v>2325</v>
      </c>
      <c r="E1488" s="22">
        <v>3140723120</v>
      </c>
      <c r="F1488" s="22" t="s">
        <v>2323</v>
      </c>
      <c r="G1488" s="18"/>
      <c r="H1488" s="18"/>
      <c r="I1488" s="22" t="s">
        <v>1974</v>
      </c>
      <c r="J1488" s="14" t="s">
        <v>1975</v>
      </c>
      <c r="K1488" s="14" t="s">
        <v>1352</v>
      </c>
      <c r="L1488" s="15">
        <v>46045</v>
      </c>
      <c r="M1488" s="16">
        <v>2026</v>
      </c>
      <c r="S1488" s="9"/>
    </row>
    <row r="1489" spans="1:19" ht="46.8">
      <c r="A1489" s="5">
        <v>1488</v>
      </c>
      <c r="B1489" s="18"/>
      <c r="C1489" s="13"/>
      <c r="D1489" s="22" t="s">
        <v>2326</v>
      </c>
      <c r="E1489" s="22">
        <v>3150123043</v>
      </c>
      <c r="F1489" s="22" t="s">
        <v>2327</v>
      </c>
      <c r="G1489" s="18"/>
      <c r="H1489" s="18"/>
      <c r="I1489" s="22" t="s">
        <v>2157</v>
      </c>
      <c r="J1489" s="14" t="s">
        <v>2158</v>
      </c>
      <c r="K1489" s="14" t="s">
        <v>1434</v>
      </c>
      <c r="L1489" s="15">
        <v>46046</v>
      </c>
      <c r="M1489" s="16">
        <v>2026</v>
      </c>
      <c r="S1489" s="9"/>
    </row>
    <row r="1490" spans="1:19" ht="15.6" hidden="1">
      <c r="A1490" s="5">
        <v>1489</v>
      </c>
      <c r="B1490" s="18"/>
      <c r="C1490" s="13"/>
      <c r="D1490" s="22" t="s">
        <v>2328</v>
      </c>
      <c r="E1490" s="22">
        <v>3140723045</v>
      </c>
      <c r="F1490" s="22" t="s">
        <v>2323</v>
      </c>
      <c r="G1490" s="18"/>
      <c r="H1490" s="18"/>
      <c r="I1490" s="22" t="s">
        <v>1974</v>
      </c>
      <c r="J1490" s="14" t="s">
        <v>1975</v>
      </c>
      <c r="K1490" s="14" t="s">
        <v>1352</v>
      </c>
      <c r="L1490" s="15">
        <v>46047</v>
      </c>
      <c r="M1490" s="16">
        <v>2026</v>
      </c>
      <c r="S1490" s="9"/>
    </row>
    <row r="1491" spans="1:19" ht="15.6" hidden="1">
      <c r="A1491" s="5">
        <v>1490</v>
      </c>
      <c r="B1491" s="18"/>
      <c r="C1491" s="13" t="s">
        <v>2329</v>
      </c>
      <c r="D1491" s="22" t="s">
        <v>2330</v>
      </c>
      <c r="E1491" s="22">
        <v>3140725059</v>
      </c>
      <c r="F1491" s="22" t="s">
        <v>2272</v>
      </c>
      <c r="G1491" s="18"/>
      <c r="H1491" s="18"/>
      <c r="I1491" s="22" t="s">
        <v>1974</v>
      </c>
      <c r="J1491" s="14" t="s">
        <v>1975</v>
      </c>
      <c r="K1491" s="14" t="s">
        <v>1352</v>
      </c>
      <c r="L1491" s="15">
        <v>46048</v>
      </c>
      <c r="M1491" s="16">
        <v>2026</v>
      </c>
      <c r="S1491" s="9"/>
    </row>
    <row r="1492" spans="1:19" ht="15.6" hidden="1">
      <c r="A1492" s="5">
        <v>1491</v>
      </c>
      <c r="B1492" s="18"/>
      <c r="C1492" s="13"/>
      <c r="D1492" s="22" t="s">
        <v>2331</v>
      </c>
      <c r="E1492" s="22">
        <v>3140725008</v>
      </c>
      <c r="F1492" s="22" t="s">
        <v>2272</v>
      </c>
      <c r="G1492" s="18"/>
      <c r="H1492" s="18"/>
      <c r="I1492" s="22" t="s">
        <v>1974</v>
      </c>
      <c r="J1492" s="14" t="s">
        <v>1975</v>
      </c>
      <c r="K1492" s="14" t="s">
        <v>1352</v>
      </c>
      <c r="L1492" s="15">
        <v>46049</v>
      </c>
      <c r="M1492" s="16">
        <v>2026</v>
      </c>
      <c r="S1492" s="9"/>
    </row>
    <row r="1493" spans="1:19" ht="15.6" hidden="1">
      <c r="A1493" s="5">
        <v>1492</v>
      </c>
      <c r="B1493" s="18"/>
      <c r="C1493" s="13"/>
      <c r="D1493" s="22" t="s">
        <v>2332</v>
      </c>
      <c r="E1493" s="22">
        <v>3140725025</v>
      </c>
      <c r="F1493" s="22" t="s">
        <v>2272</v>
      </c>
      <c r="G1493" s="18"/>
      <c r="H1493" s="18"/>
      <c r="I1493" s="22" t="s">
        <v>1974</v>
      </c>
      <c r="J1493" s="14" t="s">
        <v>1975</v>
      </c>
      <c r="K1493" s="14" t="s">
        <v>1352</v>
      </c>
      <c r="L1493" s="15">
        <v>46050</v>
      </c>
      <c r="M1493" s="16">
        <v>2026</v>
      </c>
      <c r="S1493" s="9"/>
    </row>
    <row r="1494" spans="1:19" ht="15.6" hidden="1">
      <c r="A1494" s="5">
        <v>1493</v>
      </c>
      <c r="B1494" s="18"/>
      <c r="C1494" s="13"/>
      <c r="D1494" s="22" t="s">
        <v>2333</v>
      </c>
      <c r="E1494" s="22">
        <v>3140725013</v>
      </c>
      <c r="F1494" s="22" t="s">
        <v>2272</v>
      </c>
      <c r="G1494" s="18"/>
      <c r="H1494" s="18"/>
      <c r="I1494" s="22" t="s">
        <v>1974</v>
      </c>
      <c r="J1494" s="14" t="s">
        <v>1975</v>
      </c>
      <c r="K1494" s="14" t="s">
        <v>1352</v>
      </c>
      <c r="L1494" s="15">
        <v>46051</v>
      </c>
      <c r="M1494" s="16">
        <v>2026</v>
      </c>
      <c r="S1494" s="9"/>
    </row>
    <row r="1495" spans="1:19" ht="15.6" hidden="1">
      <c r="A1495" s="5">
        <v>1494</v>
      </c>
      <c r="B1495" s="18"/>
      <c r="C1495" s="13"/>
      <c r="D1495" s="22" t="s">
        <v>2334</v>
      </c>
      <c r="E1495" s="22">
        <v>3140725029</v>
      </c>
      <c r="F1495" s="22" t="s">
        <v>2288</v>
      </c>
      <c r="G1495" s="18"/>
      <c r="H1495" s="18"/>
      <c r="I1495" s="22" t="s">
        <v>1974</v>
      </c>
      <c r="J1495" s="14" t="s">
        <v>1975</v>
      </c>
      <c r="K1495" s="14" t="s">
        <v>1352</v>
      </c>
      <c r="L1495" s="15">
        <v>46052</v>
      </c>
      <c r="M1495" s="16">
        <v>2026</v>
      </c>
      <c r="S1495" s="9"/>
    </row>
    <row r="1496" spans="1:19" ht="46.8">
      <c r="A1496" s="5">
        <v>1495</v>
      </c>
      <c r="B1496" s="18"/>
      <c r="C1496" s="13" t="s">
        <v>2335</v>
      </c>
      <c r="D1496" s="22" t="s">
        <v>2336</v>
      </c>
      <c r="E1496" s="22">
        <v>3150123016</v>
      </c>
      <c r="F1496" s="22" t="s">
        <v>785</v>
      </c>
      <c r="G1496" s="18"/>
      <c r="H1496" s="18"/>
      <c r="I1496" s="22" t="s">
        <v>2157</v>
      </c>
      <c r="J1496" s="14" t="s">
        <v>2158</v>
      </c>
      <c r="K1496" s="14" t="s">
        <v>1434</v>
      </c>
      <c r="L1496" s="15">
        <v>46053</v>
      </c>
      <c r="M1496" s="16">
        <v>2026</v>
      </c>
      <c r="S1496" s="9"/>
    </row>
    <row r="1497" spans="1:19" ht="46.8">
      <c r="A1497" s="5">
        <v>1496</v>
      </c>
      <c r="B1497" s="18"/>
      <c r="C1497" s="13"/>
      <c r="D1497" s="22" t="s">
        <v>2337</v>
      </c>
      <c r="E1497" s="22">
        <v>3150123008</v>
      </c>
      <c r="F1497" s="22" t="s">
        <v>785</v>
      </c>
      <c r="G1497" s="18"/>
      <c r="H1497" s="18"/>
      <c r="I1497" s="22" t="s">
        <v>2157</v>
      </c>
      <c r="J1497" s="14" t="s">
        <v>2158</v>
      </c>
      <c r="K1497" s="14" t="s">
        <v>1434</v>
      </c>
      <c r="L1497" s="15">
        <v>46054</v>
      </c>
      <c r="M1497" s="16">
        <v>2026</v>
      </c>
      <c r="S1497" s="9"/>
    </row>
    <row r="1498" spans="1:19" ht="46.8">
      <c r="A1498" s="5">
        <v>1497</v>
      </c>
      <c r="B1498" s="18"/>
      <c r="C1498" s="13"/>
      <c r="D1498" s="22" t="s">
        <v>2338</v>
      </c>
      <c r="E1498" s="22">
        <v>3150123010</v>
      </c>
      <c r="F1498" s="22" t="s">
        <v>785</v>
      </c>
      <c r="G1498" s="18"/>
      <c r="H1498" s="18"/>
      <c r="I1498" s="22" t="s">
        <v>2157</v>
      </c>
      <c r="J1498" s="14" t="s">
        <v>2158</v>
      </c>
      <c r="K1498" s="14" t="s">
        <v>1434</v>
      </c>
      <c r="L1498" s="15">
        <v>46055</v>
      </c>
      <c r="M1498" s="16">
        <v>2026</v>
      </c>
      <c r="S1498" s="9"/>
    </row>
    <row r="1499" spans="1:19" ht="46.8">
      <c r="A1499" s="5">
        <v>1498</v>
      </c>
      <c r="B1499" s="18"/>
      <c r="C1499" s="13"/>
      <c r="D1499" s="22" t="s">
        <v>2339</v>
      </c>
      <c r="E1499" s="22">
        <v>3150423031</v>
      </c>
      <c r="F1499" s="22" t="s">
        <v>2210</v>
      </c>
      <c r="G1499" s="18"/>
      <c r="H1499" s="18"/>
      <c r="I1499" s="22" t="s">
        <v>2157</v>
      </c>
      <c r="J1499" s="14" t="s">
        <v>2158</v>
      </c>
      <c r="K1499" s="14" t="s">
        <v>1434</v>
      </c>
      <c r="L1499" s="15">
        <v>46056</v>
      </c>
      <c r="M1499" s="16">
        <v>2026</v>
      </c>
      <c r="S1499" s="9"/>
    </row>
    <row r="1500" spans="1:19" ht="46.8">
      <c r="A1500" s="5">
        <v>1499</v>
      </c>
      <c r="B1500" s="18"/>
      <c r="C1500" s="13"/>
      <c r="D1500" s="22" t="s">
        <v>2340</v>
      </c>
      <c r="E1500" s="22">
        <v>3150423032</v>
      </c>
      <c r="F1500" s="22" t="s">
        <v>2210</v>
      </c>
      <c r="G1500" s="18"/>
      <c r="H1500" s="18"/>
      <c r="I1500" s="22" t="s">
        <v>2157</v>
      </c>
      <c r="J1500" s="14" t="s">
        <v>2158</v>
      </c>
      <c r="K1500" s="14" t="s">
        <v>1434</v>
      </c>
      <c r="L1500" s="15">
        <v>46057</v>
      </c>
      <c r="M1500" s="16">
        <v>2026</v>
      </c>
      <c r="S1500" s="9"/>
    </row>
    <row r="1501" spans="1:19" ht="46.8">
      <c r="A1501" s="5">
        <v>1500</v>
      </c>
      <c r="B1501" s="18"/>
      <c r="C1501" s="13" t="s">
        <v>2341</v>
      </c>
      <c r="D1501" s="22" t="s">
        <v>2342</v>
      </c>
      <c r="E1501" s="22">
        <v>3150423011</v>
      </c>
      <c r="F1501" s="22" t="s">
        <v>2210</v>
      </c>
      <c r="G1501" s="18"/>
      <c r="H1501" s="18"/>
      <c r="I1501" s="22" t="s">
        <v>2157</v>
      </c>
      <c r="J1501" s="14" t="s">
        <v>2158</v>
      </c>
      <c r="K1501" s="14" t="s">
        <v>1434</v>
      </c>
      <c r="L1501" s="15">
        <v>46058</v>
      </c>
      <c r="M1501" s="16">
        <v>2026</v>
      </c>
      <c r="S1501" s="9"/>
    </row>
    <row r="1502" spans="1:19" ht="46.8">
      <c r="A1502" s="5">
        <v>1501</v>
      </c>
      <c r="B1502" s="18"/>
      <c r="C1502" s="13"/>
      <c r="D1502" s="22" t="s">
        <v>2343</v>
      </c>
      <c r="E1502" s="22">
        <v>3150425051</v>
      </c>
      <c r="F1502" s="22" t="s">
        <v>2184</v>
      </c>
      <c r="G1502" s="18"/>
      <c r="H1502" s="18"/>
      <c r="I1502" s="22" t="s">
        <v>2157</v>
      </c>
      <c r="J1502" s="14" t="s">
        <v>2158</v>
      </c>
      <c r="K1502" s="14" t="s">
        <v>1434</v>
      </c>
      <c r="L1502" s="15">
        <v>46059</v>
      </c>
      <c r="M1502" s="16">
        <v>2026</v>
      </c>
      <c r="S1502" s="9"/>
    </row>
    <row r="1503" spans="1:19" ht="46.8">
      <c r="A1503" s="5">
        <v>1502</v>
      </c>
      <c r="B1503" s="18"/>
      <c r="C1503" s="13"/>
      <c r="D1503" s="22" t="s">
        <v>2344</v>
      </c>
      <c r="E1503" s="22">
        <v>3150425013</v>
      </c>
      <c r="F1503" s="22" t="s">
        <v>2184</v>
      </c>
      <c r="G1503" s="18"/>
      <c r="H1503" s="18"/>
      <c r="I1503" s="22" t="s">
        <v>2157</v>
      </c>
      <c r="J1503" s="14" t="s">
        <v>2158</v>
      </c>
      <c r="K1503" s="14" t="s">
        <v>1434</v>
      </c>
      <c r="L1503" s="15">
        <v>46060</v>
      </c>
      <c r="M1503" s="16">
        <v>2026</v>
      </c>
      <c r="S1503" s="9"/>
    </row>
    <row r="1504" spans="1:19" ht="46.8">
      <c r="A1504" s="5">
        <v>1503</v>
      </c>
      <c r="B1504" s="18"/>
      <c r="C1504" s="13" t="s">
        <v>2345</v>
      </c>
      <c r="D1504" s="22" t="s">
        <v>2346</v>
      </c>
      <c r="E1504" s="22">
        <v>3150423006</v>
      </c>
      <c r="F1504" s="22" t="s">
        <v>2210</v>
      </c>
      <c r="G1504" s="18"/>
      <c r="H1504" s="18"/>
      <c r="I1504" s="22" t="s">
        <v>2157</v>
      </c>
      <c r="J1504" s="14" t="s">
        <v>2158</v>
      </c>
      <c r="K1504" s="14" t="s">
        <v>1434</v>
      </c>
      <c r="L1504" s="15">
        <v>46061</v>
      </c>
      <c r="M1504" s="16">
        <v>2026</v>
      </c>
      <c r="S1504" s="9"/>
    </row>
    <row r="1505" spans="1:19" ht="46.8">
      <c r="A1505" s="5">
        <v>1504</v>
      </c>
      <c r="B1505" s="18"/>
      <c r="C1505" s="13"/>
      <c r="D1505" s="22" t="s">
        <v>2347</v>
      </c>
      <c r="E1505" s="22">
        <v>3150124024</v>
      </c>
      <c r="F1505" s="22" t="s">
        <v>2172</v>
      </c>
      <c r="G1505" s="18"/>
      <c r="H1505" s="18"/>
      <c r="I1505" s="22" t="s">
        <v>2157</v>
      </c>
      <c r="J1505" s="14" t="s">
        <v>2158</v>
      </c>
      <c r="K1505" s="14" t="s">
        <v>1434</v>
      </c>
      <c r="L1505" s="15">
        <v>46062</v>
      </c>
      <c r="M1505" s="16">
        <v>2026</v>
      </c>
      <c r="S1505" s="9"/>
    </row>
    <row r="1506" spans="1:19" ht="15.6" hidden="1">
      <c r="A1506" s="5">
        <v>1505</v>
      </c>
      <c r="B1506" s="18"/>
      <c r="C1506" s="13"/>
      <c r="D1506" s="22" t="s">
        <v>2348</v>
      </c>
      <c r="E1506" s="22">
        <v>3140724050</v>
      </c>
      <c r="F1506" s="22" t="s">
        <v>2239</v>
      </c>
      <c r="G1506" s="18"/>
      <c r="H1506" s="18"/>
      <c r="I1506" s="22" t="s">
        <v>1974</v>
      </c>
      <c r="J1506" s="14" t="s">
        <v>1975</v>
      </c>
      <c r="K1506" s="14" t="s">
        <v>1352</v>
      </c>
      <c r="L1506" s="15">
        <v>46063</v>
      </c>
      <c r="M1506" s="16">
        <v>2026</v>
      </c>
      <c r="S1506" s="9"/>
    </row>
    <row r="1507" spans="1:19" ht="46.8">
      <c r="A1507" s="5">
        <v>1506</v>
      </c>
      <c r="B1507" s="18"/>
      <c r="C1507" s="13"/>
      <c r="D1507" s="22" t="s">
        <v>2349</v>
      </c>
      <c r="E1507" s="22">
        <v>3150424040</v>
      </c>
      <c r="F1507" s="22" t="s">
        <v>2226</v>
      </c>
      <c r="G1507" s="18"/>
      <c r="H1507" s="18"/>
      <c r="I1507" s="22" t="s">
        <v>2157</v>
      </c>
      <c r="J1507" s="14" t="s">
        <v>2158</v>
      </c>
      <c r="K1507" s="14" t="s">
        <v>1434</v>
      </c>
      <c r="L1507" s="15">
        <v>46064</v>
      </c>
      <c r="M1507" s="16">
        <v>2026</v>
      </c>
      <c r="S1507" s="9"/>
    </row>
    <row r="1508" spans="1:19" ht="46.8">
      <c r="A1508" s="5">
        <v>1507</v>
      </c>
      <c r="B1508" s="18"/>
      <c r="C1508" s="13" t="s">
        <v>2350</v>
      </c>
      <c r="D1508" s="22" t="s">
        <v>784</v>
      </c>
      <c r="E1508" s="22">
        <v>3150123030</v>
      </c>
      <c r="F1508" s="22" t="s">
        <v>785</v>
      </c>
      <c r="G1508" s="18"/>
      <c r="H1508" s="18"/>
      <c r="I1508" s="22" t="s">
        <v>2157</v>
      </c>
      <c r="J1508" s="14" t="s">
        <v>2158</v>
      </c>
      <c r="K1508" s="14" t="s">
        <v>1434</v>
      </c>
      <c r="L1508" s="15">
        <v>46065</v>
      </c>
      <c r="M1508" s="16">
        <v>2026</v>
      </c>
      <c r="S1508" s="9"/>
    </row>
    <row r="1509" spans="1:19" ht="46.8">
      <c r="A1509" s="5">
        <v>1508</v>
      </c>
      <c r="B1509" s="18"/>
      <c r="C1509" s="13"/>
      <c r="D1509" s="22" t="s">
        <v>2351</v>
      </c>
      <c r="E1509" s="22">
        <v>3150425033</v>
      </c>
      <c r="F1509" s="22" t="s">
        <v>2184</v>
      </c>
      <c r="G1509" s="18"/>
      <c r="H1509" s="18"/>
      <c r="I1509" s="22" t="s">
        <v>2157</v>
      </c>
      <c r="J1509" s="14" t="s">
        <v>2158</v>
      </c>
      <c r="K1509" s="14" t="s">
        <v>1434</v>
      </c>
      <c r="L1509" s="15">
        <v>46066</v>
      </c>
      <c r="M1509" s="16">
        <v>2026</v>
      </c>
      <c r="S1509" s="9"/>
    </row>
    <row r="1510" spans="1:19" ht="46.8">
      <c r="A1510" s="5">
        <v>1509</v>
      </c>
      <c r="B1510" s="18"/>
      <c r="C1510" s="13"/>
      <c r="D1510" s="22" t="s">
        <v>2352</v>
      </c>
      <c r="E1510" s="22">
        <v>3150124021</v>
      </c>
      <c r="F1510" s="22" t="s">
        <v>2172</v>
      </c>
      <c r="G1510" s="18"/>
      <c r="H1510" s="18"/>
      <c r="I1510" s="22" t="s">
        <v>2157</v>
      </c>
      <c r="J1510" s="14" t="s">
        <v>2158</v>
      </c>
      <c r="K1510" s="14" t="s">
        <v>1434</v>
      </c>
      <c r="L1510" s="15">
        <v>46067</v>
      </c>
      <c r="M1510" s="16">
        <v>2026</v>
      </c>
      <c r="S1510" s="9"/>
    </row>
    <row r="1511" spans="1:19" ht="46.8">
      <c r="A1511" s="5">
        <v>1510</v>
      </c>
      <c r="B1511" s="18"/>
      <c r="C1511" s="13"/>
      <c r="D1511" s="22" t="s">
        <v>2353</v>
      </c>
      <c r="E1511" s="22">
        <v>3150124013</v>
      </c>
      <c r="F1511" s="22" t="s">
        <v>2172</v>
      </c>
      <c r="G1511" s="18"/>
      <c r="H1511" s="18"/>
      <c r="I1511" s="22" t="s">
        <v>2157</v>
      </c>
      <c r="J1511" s="14" t="s">
        <v>2158</v>
      </c>
      <c r="K1511" s="14" t="s">
        <v>1434</v>
      </c>
      <c r="L1511" s="15">
        <v>46068</v>
      </c>
      <c r="M1511" s="16">
        <v>2026</v>
      </c>
      <c r="S1511" s="9"/>
    </row>
    <row r="1512" spans="1:19" ht="46.8">
      <c r="A1512" s="5">
        <v>1511</v>
      </c>
      <c r="B1512" s="18"/>
      <c r="C1512" s="13" t="s">
        <v>2354</v>
      </c>
      <c r="D1512" s="22" t="s">
        <v>2355</v>
      </c>
      <c r="E1512" s="22">
        <v>3150423030</v>
      </c>
      <c r="F1512" s="22" t="s">
        <v>2210</v>
      </c>
      <c r="G1512" s="18"/>
      <c r="H1512" s="18"/>
      <c r="I1512" s="22" t="s">
        <v>2157</v>
      </c>
      <c r="J1512" s="14" t="s">
        <v>2158</v>
      </c>
      <c r="K1512" s="14" t="s">
        <v>1434</v>
      </c>
      <c r="L1512" s="15">
        <v>46069</v>
      </c>
      <c r="M1512" s="16">
        <v>2026</v>
      </c>
      <c r="S1512" s="9"/>
    </row>
    <row r="1513" spans="1:19" ht="46.8">
      <c r="A1513" s="5">
        <v>1512</v>
      </c>
      <c r="B1513" s="18"/>
      <c r="C1513" s="13"/>
      <c r="D1513" s="22" t="s">
        <v>2356</v>
      </c>
      <c r="E1513" s="22">
        <v>3150424032</v>
      </c>
      <c r="F1513" s="22" t="s">
        <v>2226</v>
      </c>
      <c r="G1513" s="18"/>
      <c r="H1513" s="18"/>
      <c r="I1513" s="22" t="s">
        <v>2157</v>
      </c>
      <c r="J1513" s="14" t="s">
        <v>2158</v>
      </c>
      <c r="K1513" s="14" t="s">
        <v>1434</v>
      </c>
      <c r="L1513" s="15">
        <v>46070</v>
      </c>
      <c r="M1513" s="16">
        <v>2026</v>
      </c>
      <c r="S1513" s="9"/>
    </row>
    <row r="1514" spans="1:19" ht="46.8">
      <c r="A1514" s="5">
        <v>1513</v>
      </c>
      <c r="B1514" s="18"/>
      <c r="C1514" s="13"/>
      <c r="D1514" s="22" t="s">
        <v>2357</v>
      </c>
      <c r="E1514" s="22">
        <v>3150125021</v>
      </c>
      <c r="F1514" s="22" t="s">
        <v>2165</v>
      </c>
      <c r="G1514" s="18"/>
      <c r="H1514" s="18"/>
      <c r="I1514" s="22" t="s">
        <v>2157</v>
      </c>
      <c r="J1514" s="14" t="s">
        <v>2158</v>
      </c>
      <c r="K1514" s="14" t="s">
        <v>1434</v>
      </c>
      <c r="L1514" s="15">
        <v>46071</v>
      </c>
      <c r="M1514" s="16">
        <v>2026</v>
      </c>
      <c r="S1514" s="9"/>
    </row>
    <row r="1515" spans="1:19" ht="31.2" hidden="1">
      <c r="A1515" s="5">
        <v>1514</v>
      </c>
      <c r="B1515" s="18"/>
      <c r="C1515" s="13" t="s">
        <v>2358</v>
      </c>
      <c r="D1515" s="22" t="s">
        <v>2359</v>
      </c>
      <c r="E1515" s="22">
        <v>3170423102</v>
      </c>
      <c r="F1515" s="22" t="s">
        <v>445</v>
      </c>
      <c r="G1515" s="18"/>
      <c r="H1515" s="18"/>
      <c r="I1515" s="22" t="s">
        <v>2360</v>
      </c>
      <c r="J1515" s="14" t="s">
        <v>2361</v>
      </c>
      <c r="K1515" s="14" t="s">
        <v>1417</v>
      </c>
      <c r="L1515" s="15">
        <v>46072</v>
      </c>
      <c r="M1515" s="16">
        <v>2026</v>
      </c>
      <c r="S1515" s="9"/>
    </row>
    <row r="1516" spans="1:19" ht="31.2" hidden="1">
      <c r="A1516" s="5">
        <v>1515</v>
      </c>
      <c r="B1516" s="18"/>
      <c r="C1516" s="13"/>
      <c r="D1516" s="22" t="s">
        <v>2362</v>
      </c>
      <c r="E1516" s="22">
        <v>3170423086</v>
      </c>
      <c r="F1516" s="22" t="s">
        <v>445</v>
      </c>
      <c r="G1516" s="18"/>
      <c r="H1516" s="18"/>
      <c r="I1516" s="22" t="s">
        <v>2360</v>
      </c>
      <c r="J1516" s="14" t="s">
        <v>2361</v>
      </c>
      <c r="K1516" s="14" t="s">
        <v>1417</v>
      </c>
      <c r="L1516" s="15">
        <v>46073</v>
      </c>
      <c r="M1516" s="16">
        <v>2026</v>
      </c>
      <c r="S1516" s="9"/>
    </row>
    <row r="1517" spans="1:19" ht="31.2" hidden="1">
      <c r="A1517" s="5">
        <v>1516</v>
      </c>
      <c r="B1517" s="18"/>
      <c r="C1517" s="13"/>
      <c r="D1517" s="22" t="s">
        <v>2363</v>
      </c>
      <c r="E1517" s="22">
        <v>3107423048</v>
      </c>
      <c r="F1517" s="22" t="s">
        <v>445</v>
      </c>
      <c r="G1517" s="18"/>
      <c r="H1517" s="18"/>
      <c r="I1517" s="22" t="s">
        <v>2360</v>
      </c>
      <c r="J1517" s="14" t="s">
        <v>2361</v>
      </c>
      <c r="K1517" s="14" t="s">
        <v>1417</v>
      </c>
      <c r="L1517" s="15">
        <v>46074</v>
      </c>
      <c r="M1517" s="16">
        <v>2026</v>
      </c>
      <c r="S1517" s="9"/>
    </row>
    <row r="1518" spans="1:19" ht="31.2" hidden="1">
      <c r="A1518" s="5">
        <v>1517</v>
      </c>
      <c r="B1518" s="18"/>
      <c r="C1518" s="13" t="s">
        <v>2364</v>
      </c>
      <c r="D1518" s="22" t="s">
        <v>2365</v>
      </c>
      <c r="E1518" s="22">
        <v>3170223027</v>
      </c>
      <c r="F1518" s="22" t="s">
        <v>2366</v>
      </c>
      <c r="G1518" s="18"/>
      <c r="H1518" s="18"/>
      <c r="I1518" s="22" t="s">
        <v>2360</v>
      </c>
      <c r="J1518" s="14" t="s">
        <v>2361</v>
      </c>
      <c r="K1518" s="14" t="s">
        <v>1417</v>
      </c>
      <c r="L1518" s="15">
        <v>46075</v>
      </c>
      <c r="M1518" s="16">
        <v>2026</v>
      </c>
      <c r="S1518" s="9"/>
    </row>
    <row r="1519" spans="1:19" ht="31.2" hidden="1">
      <c r="A1519" s="5">
        <v>1518</v>
      </c>
      <c r="B1519" s="18"/>
      <c r="C1519" s="13"/>
      <c r="D1519" s="22" t="s">
        <v>2367</v>
      </c>
      <c r="E1519" s="22">
        <v>3170223010</v>
      </c>
      <c r="F1519" s="22" t="s">
        <v>2366</v>
      </c>
      <c r="G1519" s="18"/>
      <c r="H1519" s="18"/>
      <c r="I1519" s="22" t="s">
        <v>2360</v>
      </c>
      <c r="J1519" s="14" t="s">
        <v>2361</v>
      </c>
      <c r="K1519" s="14" t="s">
        <v>1417</v>
      </c>
      <c r="L1519" s="15">
        <v>46076</v>
      </c>
      <c r="M1519" s="16">
        <v>2026</v>
      </c>
      <c r="S1519" s="9"/>
    </row>
    <row r="1520" spans="1:19" ht="31.2" hidden="1">
      <c r="A1520" s="5">
        <v>1519</v>
      </c>
      <c r="B1520" s="18"/>
      <c r="C1520" s="13"/>
      <c r="D1520" s="22" t="s">
        <v>2368</v>
      </c>
      <c r="E1520" s="22">
        <v>3170223023</v>
      </c>
      <c r="F1520" s="22" t="s">
        <v>2366</v>
      </c>
      <c r="G1520" s="18"/>
      <c r="H1520" s="18"/>
      <c r="I1520" s="22" t="s">
        <v>2360</v>
      </c>
      <c r="J1520" s="14" t="s">
        <v>2361</v>
      </c>
      <c r="K1520" s="14" t="s">
        <v>1417</v>
      </c>
      <c r="L1520" s="15">
        <v>46077</v>
      </c>
      <c r="M1520" s="16">
        <v>2026</v>
      </c>
      <c r="S1520" s="9"/>
    </row>
    <row r="1521" spans="1:19" ht="31.2" hidden="1">
      <c r="A1521" s="5">
        <v>1520</v>
      </c>
      <c r="B1521" s="18"/>
      <c r="C1521" s="13"/>
      <c r="D1521" s="22" t="s">
        <v>2369</v>
      </c>
      <c r="E1521" s="22">
        <v>3170223033</v>
      </c>
      <c r="F1521" s="22" t="s">
        <v>2366</v>
      </c>
      <c r="G1521" s="18"/>
      <c r="H1521" s="18"/>
      <c r="I1521" s="22" t="s">
        <v>2360</v>
      </c>
      <c r="J1521" s="14" t="s">
        <v>2361</v>
      </c>
      <c r="K1521" s="14" t="s">
        <v>1417</v>
      </c>
      <c r="L1521" s="15">
        <v>46078</v>
      </c>
      <c r="M1521" s="16">
        <v>2026</v>
      </c>
      <c r="S1521" s="9"/>
    </row>
    <row r="1522" spans="1:19" ht="31.2" hidden="1">
      <c r="A1522" s="5">
        <v>1521</v>
      </c>
      <c r="B1522" s="18"/>
      <c r="C1522" s="13" t="s">
        <v>2370</v>
      </c>
      <c r="D1522" s="22" t="s">
        <v>448</v>
      </c>
      <c r="E1522" s="22">
        <v>3170422107</v>
      </c>
      <c r="F1522" s="22" t="s">
        <v>442</v>
      </c>
      <c r="G1522" s="18"/>
      <c r="H1522" s="18"/>
      <c r="I1522" s="22" t="s">
        <v>2360</v>
      </c>
      <c r="J1522" s="14" t="s">
        <v>2361</v>
      </c>
      <c r="K1522" s="14" t="s">
        <v>1417</v>
      </c>
      <c r="L1522" s="15">
        <v>46079</v>
      </c>
      <c r="M1522" s="16">
        <v>2026</v>
      </c>
      <c r="S1522" s="9"/>
    </row>
    <row r="1523" spans="1:19" ht="31.2" hidden="1">
      <c r="A1523" s="5">
        <v>1522</v>
      </c>
      <c r="B1523" s="18"/>
      <c r="C1523" s="13"/>
      <c r="D1523" s="22" t="s">
        <v>450</v>
      </c>
      <c r="E1523" s="22">
        <v>3170422044</v>
      </c>
      <c r="F1523" s="22" t="s">
        <v>442</v>
      </c>
      <c r="G1523" s="18"/>
      <c r="H1523" s="18"/>
      <c r="I1523" s="22" t="s">
        <v>2360</v>
      </c>
      <c r="J1523" s="14" t="s">
        <v>2361</v>
      </c>
      <c r="K1523" s="14" t="s">
        <v>1417</v>
      </c>
      <c r="L1523" s="15">
        <v>46080</v>
      </c>
      <c r="M1523" s="16">
        <v>2026</v>
      </c>
      <c r="S1523" s="9"/>
    </row>
    <row r="1524" spans="1:19" ht="31.2" hidden="1">
      <c r="A1524" s="5">
        <v>1523</v>
      </c>
      <c r="B1524" s="18"/>
      <c r="C1524" s="13"/>
      <c r="D1524" s="22" t="s">
        <v>2371</v>
      </c>
      <c r="E1524" s="22">
        <v>3170422106</v>
      </c>
      <c r="F1524" s="22" t="s">
        <v>442</v>
      </c>
      <c r="G1524" s="18"/>
      <c r="H1524" s="18"/>
      <c r="I1524" s="22" t="s">
        <v>2360</v>
      </c>
      <c r="J1524" s="14" t="s">
        <v>2361</v>
      </c>
      <c r="K1524" s="14" t="s">
        <v>1417</v>
      </c>
      <c r="L1524" s="15">
        <v>46081</v>
      </c>
      <c r="M1524" s="16">
        <v>2026</v>
      </c>
      <c r="S1524" s="9"/>
    </row>
    <row r="1525" spans="1:19" ht="31.2" hidden="1">
      <c r="A1525" s="5">
        <v>1524</v>
      </c>
      <c r="B1525" s="18"/>
      <c r="C1525" s="13"/>
      <c r="D1525" s="22" t="s">
        <v>453</v>
      </c>
      <c r="E1525" s="22">
        <v>3170422037</v>
      </c>
      <c r="F1525" s="22" t="s">
        <v>442</v>
      </c>
      <c r="G1525" s="18"/>
      <c r="H1525" s="18"/>
      <c r="I1525" s="22" t="s">
        <v>2360</v>
      </c>
      <c r="J1525" s="14" t="s">
        <v>2361</v>
      </c>
      <c r="K1525" s="14" t="s">
        <v>1417</v>
      </c>
      <c r="L1525" s="15">
        <v>46082</v>
      </c>
      <c r="M1525" s="16">
        <v>2026</v>
      </c>
      <c r="S1525" s="9"/>
    </row>
    <row r="1526" spans="1:19" ht="31.2" hidden="1">
      <c r="A1526" s="5">
        <v>1525</v>
      </c>
      <c r="B1526" s="18"/>
      <c r="C1526" s="13"/>
      <c r="D1526" s="22" t="s">
        <v>451</v>
      </c>
      <c r="E1526" s="22">
        <v>3170422090</v>
      </c>
      <c r="F1526" s="22" t="s">
        <v>442</v>
      </c>
      <c r="G1526" s="18"/>
      <c r="H1526" s="18"/>
      <c r="I1526" s="22" t="s">
        <v>2360</v>
      </c>
      <c r="J1526" s="14" t="s">
        <v>2361</v>
      </c>
      <c r="K1526" s="14" t="s">
        <v>1417</v>
      </c>
      <c r="L1526" s="15">
        <v>46083</v>
      </c>
      <c r="M1526" s="16">
        <v>2026</v>
      </c>
      <c r="S1526" s="9"/>
    </row>
    <row r="1527" spans="1:19" ht="31.2" hidden="1">
      <c r="A1527" s="5">
        <v>1526</v>
      </c>
      <c r="B1527" s="18"/>
      <c r="C1527" s="13" t="s">
        <v>2372</v>
      </c>
      <c r="D1527" s="22" t="s">
        <v>2373</v>
      </c>
      <c r="E1527" s="22">
        <v>3170123074</v>
      </c>
      <c r="F1527" s="22" t="s">
        <v>2374</v>
      </c>
      <c r="G1527" s="18"/>
      <c r="H1527" s="18"/>
      <c r="I1527" s="22" t="s">
        <v>2360</v>
      </c>
      <c r="J1527" s="14" t="s">
        <v>2361</v>
      </c>
      <c r="K1527" s="14" t="s">
        <v>1417</v>
      </c>
      <c r="L1527" s="15">
        <v>46084</v>
      </c>
      <c r="M1527" s="16">
        <v>2026</v>
      </c>
      <c r="S1527" s="9"/>
    </row>
    <row r="1528" spans="1:19" ht="31.2" hidden="1">
      <c r="A1528" s="5">
        <v>1527</v>
      </c>
      <c r="B1528" s="18"/>
      <c r="C1528" s="13"/>
      <c r="D1528" s="22" t="s">
        <v>2375</v>
      </c>
      <c r="E1528" s="22">
        <v>3170126062</v>
      </c>
      <c r="F1528" s="22" t="s">
        <v>2374</v>
      </c>
      <c r="G1528" s="18"/>
      <c r="H1528" s="18"/>
      <c r="I1528" s="22" t="s">
        <v>2360</v>
      </c>
      <c r="J1528" s="14" t="s">
        <v>2361</v>
      </c>
      <c r="K1528" s="14" t="s">
        <v>1417</v>
      </c>
      <c r="L1528" s="15">
        <v>46085</v>
      </c>
      <c r="M1528" s="16">
        <v>2026</v>
      </c>
      <c r="S1528" s="9"/>
    </row>
    <row r="1529" spans="1:19" ht="31.2" hidden="1">
      <c r="A1529" s="5">
        <v>1528</v>
      </c>
      <c r="B1529" s="18"/>
      <c r="C1529" s="13"/>
      <c r="D1529" s="22" t="s">
        <v>2376</v>
      </c>
      <c r="E1529" s="22">
        <v>3170123063</v>
      </c>
      <c r="F1529" s="22" t="s">
        <v>2374</v>
      </c>
      <c r="G1529" s="18"/>
      <c r="H1529" s="18"/>
      <c r="I1529" s="22" t="s">
        <v>2360</v>
      </c>
      <c r="J1529" s="14" t="s">
        <v>2361</v>
      </c>
      <c r="K1529" s="14" t="s">
        <v>1417</v>
      </c>
      <c r="L1529" s="15">
        <v>46086</v>
      </c>
      <c r="M1529" s="16">
        <v>2026</v>
      </c>
      <c r="S1529" s="9"/>
    </row>
    <row r="1530" spans="1:19" ht="31.2" hidden="1">
      <c r="A1530" s="5">
        <v>1529</v>
      </c>
      <c r="B1530" s="18"/>
      <c r="C1530" s="13"/>
      <c r="D1530" s="22" t="s">
        <v>2377</v>
      </c>
      <c r="E1530" s="22">
        <v>3170123070</v>
      </c>
      <c r="F1530" s="22" t="s">
        <v>2374</v>
      </c>
      <c r="G1530" s="18"/>
      <c r="H1530" s="18"/>
      <c r="I1530" s="22" t="s">
        <v>2360</v>
      </c>
      <c r="J1530" s="14" t="s">
        <v>2361</v>
      </c>
      <c r="K1530" s="14" t="s">
        <v>1417</v>
      </c>
      <c r="L1530" s="15">
        <v>46087</v>
      </c>
      <c r="M1530" s="16">
        <v>2026</v>
      </c>
      <c r="S1530" s="9"/>
    </row>
    <row r="1531" spans="1:19" ht="31.2" hidden="1">
      <c r="A1531" s="5">
        <v>1530</v>
      </c>
      <c r="B1531" s="18"/>
      <c r="C1531" s="13"/>
      <c r="D1531" s="22" t="s">
        <v>2378</v>
      </c>
      <c r="E1531" s="22">
        <v>3170123080</v>
      </c>
      <c r="F1531" s="22" t="s">
        <v>2374</v>
      </c>
      <c r="G1531" s="18"/>
      <c r="H1531" s="18"/>
      <c r="I1531" s="22" t="s">
        <v>2360</v>
      </c>
      <c r="J1531" s="14" t="s">
        <v>2361</v>
      </c>
      <c r="K1531" s="14" t="s">
        <v>1417</v>
      </c>
      <c r="L1531" s="15">
        <v>46088</v>
      </c>
      <c r="M1531" s="16">
        <v>2026</v>
      </c>
      <c r="S1531" s="9"/>
    </row>
    <row r="1532" spans="1:19" ht="31.2" hidden="1">
      <c r="A1532" s="5">
        <v>1531</v>
      </c>
      <c r="B1532" s="18"/>
      <c r="C1532" s="13" t="s">
        <v>2379</v>
      </c>
      <c r="D1532" s="22" t="s">
        <v>2380</v>
      </c>
      <c r="E1532" s="22">
        <v>3170123021</v>
      </c>
      <c r="F1532" s="22" t="s">
        <v>397</v>
      </c>
      <c r="G1532" s="18"/>
      <c r="H1532" s="18"/>
      <c r="I1532" s="22" t="s">
        <v>2360</v>
      </c>
      <c r="J1532" s="14" t="s">
        <v>2361</v>
      </c>
      <c r="K1532" s="14" t="s">
        <v>1417</v>
      </c>
      <c r="L1532" s="15">
        <v>46089</v>
      </c>
      <c r="M1532" s="16">
        <v>2026</v>
      </c>
      <c r="S1532" s="9"/>
    </row>
    <row r="1533" spans="1:19" ht="31.2" hidden="1">
      <c r="A1533" s="5">
        <v>1532</v>
      </c>
      <c r="B1533" s="18"/>
      <c r="C1533" s="13"/>
      <c r="D1533" s="22" t="s">
        <v>2381</v>
      </c>
      <c r="E1533" s="22">
        <v>3170123046</v>
      </c>
      <c r="F1533" s="22" t="s">
        <v>397</v>
      </c>
      <c r="G1533" s="18"/>
      <c r="H1533" s="18"/>
      <c r="I1533" s="22" t="s">
        <v>2360</v>
      </c>
      <c r="J1533" s="14" t="s">
        <v>2361</v>
      </c>
      <c r="K1533" s="14" t="s">
        <v>1417</v>
      </c>
      <c r="L1533" s="15">
        <v>46090</v>
      </c>
      <c r="M1533" s="16">
        <v>2026</v>
      </c>
      <c r="S1533" s="9"/>
    </row>
    <row r="1534" spans="1:19" ht="31.2" hidden="1">
      <c r="A1534" s="5">
        <v>1533</v>
      </c>
      <c r="B1534" s="18"/>
      <c r="C1534" s="13"/>
      <c r="D1534" s="22" t="s">
        <v>2382</v>
      </c>
      <c r="E1534" s="22">
        <v>3170123084</v>
      </c>
      <c r="F1534" s="22" t="s">
        <v>2374</v>
      </c>
      <c r="G1534" s="18"/>
      <c r="H1534" s="18"/>
      <c r="I1534" s="22" t="s">
        <v>2360</v>
      </c>
      <c r="J1534" s="14" t="s">
        <v>2361</v>
      </c>
      <c r="K1534" s="14" t="s">
        <v>1417</v>
      </c>
      <c r="L1534" s="15">
        <v>46091</v>
      </c>
      <c r="M1534" s="16">
        <v>2026</v>
      </c>
      <c r="S1534" s="9"/>
    </row>
    <row r="1535" spans="1:19" ht="31.2" hidden="1">
      <c r="A1535" s="5">
        <v>1534</v>
      </c>
      <c r="B1535" s="18"/>
      <c r="C1535" s="13"/>
      <c r="D1535" s="22" t="s">
        <v>2383</v>
      </c>
      <c r="E1535" s="22">
        <v>3170123088</v>
      </c>
      <c r="F1535" s="22" t="s">
        <v>2374</v>
      </c>
      <c r="G1535" s="18"/>
      <c r="H1535" s="18"/>
      <c r="I1535" s="22" t="s">
        <v>2360</v>
      </c>
      <c r="J1535" s="14" t="s">
        <v>2361</v>
      </c>
      <c r="K1535" s="14" t="s">
        <v>1417</v>
      </c>
      <c r="L1535" s="15">
        <v>46092</v>
      </c>
      <c r="M1535" s="16">
        <v>2026</v>
      </c>
      <c r="S1535" s="9"/>
    </row>
    <row r="1536" spans="1:19" ht="31.2" hidden="1">
      <c r="A1536" s="5">
        <v>1535</v>
      </c>
      <c r="B1536" s="18"/>
      <c r="C1536" s="13"/>
      <c r="D1536" s="22" t="s">
        <v>2384</v>
      </c>
      <c r="E1536" s="22">
        <v>3170123116</v>
      </c>
      <c r="F1536" s="22" t="s">
        <v>2374</v>
      </c>
      <c r="G1536" s="18"/>
      <c r="H1536" s="18"/>
      <c r="I1536" s="22" t="s">
        <v>2360</v>
      </c>
      <c r="J1536" s="14" t="s">
        <v>2361</v>
      </c>
      <c r="K1536" s="14" t="s">
        <v>1417</v>
      </c>
      <c r="L1536" s="15">
        <v>46093</v>
      </c>
      <c r="M1536" s="16">
        <v>2026</v>
      </c>
      <c r="S1536" s="9"/>
    </row>
    <row r="1537" spans="1:19" ht="31.2" hidden="1">
      <c r="A1537" s="5">
        <v>1536</v>
      </c>
      <c r="B1537" s="18"/>
      <c r="C1537" s="13" t="s">
        <v>2385</v>
      </c>
      <c r="D1537" s="22" t="s">
        <v>581</v>
      </c>
      <c r="E1537" s="22">
        <v>3170223028</v>
      </c>
      <c r="F1537" s="22" t="s">
        <v>2366</v>
      </c>
      <c r="G1537" s="18"/>
      <c r="H1537" s="18"/>
      <c r="I1537" s="22" t="s">
        <v>2360</v>
      </c>
      <c r="J1537" s="14" t="s">
        <v>2361</v>
      </c>
      <c r="K1537" s="14" t="s">
        <v>1417</v>
      </c>
      <c r="L1537" s="15">
        <v>46094</v>
      </c>
      <c r="M1537" s="16">
        <v>2026</v>
      </c>
      <c r="S1537" s="9"/>
    </row>
    <row r="1538" spans="1:19" ht="31.2" hidden="1">
      <c r="A1538" s="5">
        <v>1537</v>
      </c>
      <c r="B1538" s="18"/>
      <c r="C1538" s="13"/>
      <c r="D1538" s="22" t="s">
        <v>2386</v>
      </c>
      <c r="E1538" s="22">
        <v>3170223004</v>
      </c>
      <c r="F1538" s="22" t="s">
        <v>2366</v>
      </c>
      <c r="G1538" s="18"/>
      <c r="H1538" s="18"/>
      <c r="I1538" s="22" t="s">
        <v>2360</v>
      </c>
      <c r="J1538" s="14" t="s">
        <v>2361</v>
      </c>
      <c r="K1538" s="14" t="s">
        <v>1417</v>
      </c>
      <c r="L1538" s="15">
        <v>46095</v>
      </c>
      <c r="M1538" s="16">
        <v>2026</v>
      </c>
      <c r="S1538" s="9"/>
    </row>
    <row r="1539" spans="1:19" ht="31.2" hidden="1">
      <c r="A1539" s="5">
        <v>1538</v>
      </c>
      <c r="B1539" s="18"/>
      <c r="C1539" s="13"/>
      <c r="D1539" s="22" t="s">
        <v>2387</v>
      </c>
      <c r="E1539" s="22">
        <v>3170223028</v>
      </c>
      <c r="F1539" s="22" t="s">
        <v>2366</v>
      </c>
      <c r="G1539" s="18"/>
      <c r="H1539" s="18"/>
      <c r="I1539" s="22" t="s">
        <v>2360</v>
      </c>
      <c r="J1539" s="14" t="s">
        <v>2361</v>
      </c>
      <c r="K1539" s="14" t="s">
        <v>1417</v>
      </c>
      <c r="L1539" s="15">
        <v>46096</v>
      </c>
      <c r="M1539" s="16">
        <v>2026</v>
      </c>
      <c r="S1539" s="9"/>
    </row>
    <row r="1540" spans="1:19" ht="31.2" hidden="1">
      <c r="A1540" s="5">
        <v>1539</v>
      </c>
      <c r="B1540" s="18"/>
      <c r="C1540" s="13" t="s">
        <v>2388</v>
      </c>
      <c r="D1540" s="22" t="s">
        <v>450</v>
      </c>
      <c r="E1540" s="22">
        <v>3170422044</v>
      </c>
      <c r="F1540" s="22" t="s">
        <v>442</v>
      </c>
      <c r="G1540" s="18"/>
      <c r="H1540" s="18"/>
      <c r="I1540" s="22" t="s">
        <v>2360</v>
      </c>
      <c r="J1540" s="14" t="s">
        <v>2361</v>
      </c>
      <c r="K1540" s="14" t="s">
        <v>1417</v>
      </c>
      <c r="L1540" s="15">
        <v>46097</v>
      </c>
      <c r="M1540" s="16">
        <v>2026</v>
      </c>
      <c r="S1540" s="9"/>
    </row>
    <row r="1541" spans="1:19" ht="31.2" hidden="1">
      <c r="A1541" s="5">
        <v>1540</v>
      </c>
      <c r="B1541" s="18"/>
      <c r="C1541" s="13"/>
      <c r="D1541" s="22" t="s">
        <v>448</v>
      </c>
      <c r="E1541" s="22">
        <v>3170422107</v>
      </c>
      <c r="F1541" s="22" t="s">
        <v>442</v>
      </c>
      <c r="G1541" s="18"/>
      <c r="H1541" s="18"/>
      <c r="I1541" s="22" t="s">
        <v>2360</v>
      </c>
      <c r="J1541" s="14" t="s">
        <v>2361</v>
      </c>
      <c r="K1541" s="14" t="s">
        <v>1417</v>
      </c>
      <c r="L1541" s="15">
        <v>46098</v>
      </c>
      <c r="M1541" s="16">
        <v>2026</v>
      </c>
      <c r="S1541" s="9"/>
    </row>
    <row r="1542" spans="1:19" ht="31.2" hidden="1">
      <c r="A1542" s="5">
        <v>1541</v>
      </c>
      <c r="B1542" s="18"/>
      <c r="C1542" s="13"/>
      <c r="D1542" s="22" t="s">
        <v>451</v>
      </c>
      <c r="E1542" s="22">
        <v>3170422090</v>
      </c>
      <c r="F1542" s="22" t="s">
        <v>442</v>
      </c>
      <c r="G1542" s="18"/>
      <c r="H1542" s="18"/>
      <c r="I1542" s="22" t="s">
        <v>2360</v>
      </c>
      <c r="J1542" s="14" t="s">
        <v>2361</v>
      </c>
      <c r="K1542" s="14" t="s">
        <v>1417</v>
      </c>
      <c r="L1542" s="15">
        <v>46099</v>
      </c>
      <c r="M1542" s="16">
        <v>2026</v>
      </c>
      <c r="S1542" s="9"/>
    </row>
    <row r="1543" spans="1:19" ht="31.2" hidden="1">
      <c r="A1543" s="5">
        <v>1542</v>
      </c>
      <c r="B1543" s="18"/>
      <c r="C1543" s="13"/>
      <c r="D1543" s="22" t="s">
        <v>2389</v>
      </c>
      <c r="E1543" s="22">
        <v>3170424107</v>
      </c>
      <c r="F1543" s="22" t="s">
        <v>2390</v>
      </c>
      <c r="G1543" s="18"/>
      <c r="H1543" s="18"/>
      <c r="I1543" s="22" t="s">
        <v>2360</v>
      </c>
      <c r="J1543" s="14" t="s">
        <v>2361</v>
      </c>
      <c r="K1543" s="14" t="s">
        <v>1417</v>
      </c>
      <c r="L1543" s="15">
        <v>46100</v>
      </c>
      <c r="M1543" s="16">
        <v>2026</v>
      </c>
      <c r="S1543" s="9"/>
    </row>
    <row r="1544" spans="1:19" ht="31.2" hidden="1">
      <c r="A1544" s="5">
        <v>1543</v>
      </c>
      <c r="B1544" s="18"/>
      <c r="C1544" s="13"/>
      <c r="D1544" s="22" t="s">
        <v>2391</v>
      </c>
      <c r="E1544" s="22">
        <v>3170424040</v>
      </c>
      <c r="F1544" s="22" t="s">
        <v>2390</v>
      </c>
      <c r="G1544" s="18"/>
      <c r="H1544" s="18"/>
      <c r="I1544" s="22" t="s">
        <v>2360</v>
      </c>
      <c r="J1544" s="14" t="s">
        <v>2361</v>
      </c>
      <c r="K1544" s="14" t="s">
        <v>1417</v>
      </c>
      <c r="L1544" s="15">
        <v>46101</v>
      </c>
      <c r="M1544" s="16">
        <v>2026</v>
      </c>
      <c r="S1544" s="9"/>
    </row>
    <row r="1545" spans="1:19" ht="31.2" hidden="1">
      <c r="A1545" s="5">
        <v>1544</v>
      </c>
      <c r="B1545" s="18"/>
      <c r="C1545" s="13" t="s">
        <v>2392</v>
      </c>
      <c r="D1545" s="22" t="s">
        <v>396</v>
      </c>
      <c r="E1545" s="22">
        <v>3170123013</v>
      </c>
      <c r="F1545" s="22" t="s">
        <v>397</v>
      </c>
      <c r="G1545" s="18"/>
      <c r="H1545" s="18"/>
      <c r="I1545" s="22" t="s">
        <v>2360</v>
      </c>
      <c r="J1545" s="14" t="s">
        <v>2361</v>
      </c>
      <c r="K1545" s="14" t="s">
        <v>1417</v>
      </c>
      <c r="L1545" s="15">
        <v>46102</v>
      </c>
      <c r="M1545" s="16">
        <v>2026</v>
      </c>
      <c r="S1545" s="9"/>
    </row>
    <row r="1546" spans="1:19" ht="31.2" hidden="1">
      <c r="A1546" s="5">
        <v>1545</v>
      </c>
      <c r="B1546" s="18"/>
      <c r="C1546" s="13"/>
      <c r="D1546" s="22" t="s">
        <v>400</v>
      </c>
      <c r="E1546" s="22">
        <v>3170123042</v>
      </c>
      <c r="F1546" s="22" t="s">
        <v>397</v>
      </c>
      <c r="G1546" s="18"/>
      <c r="H1546" s="18"/>
      <c r="I1546" s="22" t="s">
        <v>2360</v>
      </c>
      <c r="J1546" s="14" t="s">
        <v>2361</v>
      </c>
      <c r="K1546" s="14" t="s">
        <v>1417</v>
      </c>
      <c r="L1546" s="15">
        <v>46103</v>
      </c>
      <c r="M1546" s="16">
        <v>2026</v>
      </c>
      <c r="S1546" s="9"/>
    </row>
    <row r="1547" spans="1:19" ht="31.2" hidden="1">
      <c r="A1547" s="5">
        <v>1546</v>
      </c>
      <c r="B1547" s="18"/>
      <c r="C1547" s="13"/>
      <c r="D1547" s="22" t="s">
        <v>403</v>
      </c>
      <c r="E1547" s="22">
        <v>3170123095</v>
      </c>
      <c r="F1547" s="22" t="s">
        <v>397</v>
      </c>
      <c r="G1547" s="18"/>
      <c r="H1547" s="18"/>
      <c r="I1547" s="22" t="s">
        <v>2360</v>
      </c>
      <c r="J1547" s="14" t="s">
        <v>2361</v>
      </c>
      <c r="K1547" s="14" t="s">
        <v>1417</v>
      </c>
      <c r="L1547" s="15">
        <v>46032</v>
      </c>
      <c r="M1547" s="16">
        <v>2026</v>
      </c>
      <c r="S1547" s="9"/>
    </row>
    <row r="1548" spans="1:19" ht="31.2" hidden="1">
      <c r="A1548" s="5">
        <v>1547</v>
      </c>
      <c r="B1548" s="18"/>
      <c r="C1548" s="13"/>
      <c r="D1548" s="22" t="s">
        <v>401</v>
      </c>
      <c r="E1548" s="22">
        <v>3170123097</v>
      </c>
      <c r="F1548" s="22" t="s">
        <v>397</v>
      </c>
      <c r="G1548" s="18"/>
      <c r="H1548" s="18"/>
      <c r="I1548" s="22" t="s">
        <v>2360</v>
      </c>
      <c r="J1548" s="14" t="s">
        <v>2361</v>
      </c>
      <c r="K1548" s="14" t="s">
        <v>1417</v>
      </c>
      <c r="L1548" s="15">
        <v>46033</v>
      </c>
      <c r="M1548" s="16">
        <v>2026</v>
      </c>
      <c r="S1548" s="9"/>
    </row>
    <row r="1549" spans="1:19" ht="31.2" hidden="1">
      <c r="A1549" s="5">
        <v>1548</v>
      </c>
      <c r="B1549" s="18"/>
      <c r="C1549" s="13"/>
      <c r="D1549" s="22" t="s">
        <v>2393</v>
      </c>
      <c r="E1549" s="22">
        <v>3170123100</v>
      </c>
      <c r="F1549" s="22" t="s">
        <v>397</v>
      </c>
      <c r="G1549" s="18"/>
      <c r="H1549" s="18"/>
      <c r="I1549" s="22" t="s">
        <v>2360</v>
      </c>
      <c r="J1549" s="14" t="s">
        <v>2361</v>
      </c>
      <c r="K1549" s="14" t="s">
        <v>1417</v>
      </c>
      <c r="L1549" s="15">
        <v>46034</v>
      </c>
      <c r="M1549" s="16">
        <v>2026</v>
      </c>
      <c r="S1549" s="9"/>
    </row>
    <row r="1550" spans="1:19" ht="31.2" hidden="1">
      <c r="A1550" s="5">
        <v>1549</v>
      </c>
      <c r="B1550" s="18"/>
      <c r="C1550" s="13" t="s">
        <v>2394</v>
      </c>
      <c r="D1550" s="22" t="s">
        <v>2395</v>
      </c>
      <c r="E1550" s="22">
        <v>3170223044</v>
      </c>
      <c r="F1550" s="22" t="s">
        <v>2366</v>
      </c>
      <c r="G1550" s="18"/>
      <c r="H1550" s="18"/>
      <c r="I1550" s="22" t="s">
        <v>2360</v>
      </c>
      <c r="J1550" s="14" t="s">
        <v>2361</v>
      </c>
      <c r="K1550" s="14" t="s">
        <v>1417</v>
      </c>
      <c r="L1550" s="15">
        <v>46035</v>
      </c>
      <c r="M1550" s="16">
        <v>2026</v>
      </c>
      <c r="S1550" s="9"/>
    </row>
    <row r="1551" spans="1:19" ht="31.2" hidden="1">
      <c r="A1551" s="5">
        <v>1550</v>
      </c>
      <c r="B1551" s="18"/>
      <c r="C1551" s="13"/>
      <c r="D1551" s="22" t="s">
        <v>2396</v>
      </c>
      <c r="E1551" s="22">
        <v>3170223026</v>
      </c>
      <c r="F1551" s="22" t="s">
        <v>2366</v>
      </c>
      <c r="G1551" s="18"/>
      <c r="H1551" s="18"/>
      <c r="I1551" s="22" t="s">
        <v>2360</v>
      </c>
      <c r="J1551" s="14" t="s">
        <v>2361</v>
      </c>
      <c r="K1551" s="14" t="s">
        <v>1417</v>
      </c>
      <c r="L1551" s="15">
        <v>46036</v>
      </c>
      <c r="M1551" s="16">
        <v>2026</v>
      </c>
      <c r="S1551" s="9"/>
    </row>
    <row r="1552" spans="1:19" ht="31.2" hidden="1">
      <c r="A1552" s="5">
        <v>1551</v>
      </c>
      <c r="B1552" s="18"/>
      <c r="C1552" s="13"/>
      <c r="D1552" s="22" t="s">
        <v>2397</v>
      </c>
      <c r="E1552" s="22">
        <v>3170223034</v>
      </c>
      <c r="F1552" s="22" t="s">
        <v>2366</v>
      </c>
      <c r="G1552" s="18"/>
      <c r="H1552" s="18"/>
      <c r="I1552" s="22" t="s">
        <v>2360</v>
      </c>
      <c r="J1552" s="14" t="s">
        <v>2361</v>
      </c>
      <c r="K1552" s="14" t="s">
        <v>1417</v>
      </c>
      <c r="L1552" s="15">
        <v>46037</v>
      </c>
      <c r="M1552" s="16">
        <v>2026</v>
      </c>
      <c r="S1552" s="9"/>
    </row>
    <row r="1553" spans="1:19" ht="31.2" hidden="1">
      <c r="A1553" s="5">
        <v>1552</v>
      </c>
      <c r="B1553" s="18"/>
      <c r="C1553" s="13"/>
      <c r="D1553" s="22" t="s">
        <v>2398</v>
      </c>
      <c r="E1553" s="22">
        <v>3170223045</v>
      </c>
      <c r="F1553" s="22" t="s">
        <v>2366</v>
      </c>
      <c r="G1553" s="18"/>
      <c r="H1553" s="18"/>
      <c r="I1553" s="22" t="s">
        <v>2360</v>
      </c>
      <c r="J1553" s="14" t="s">
        <v>2361</v>
      </c>
      <c r="K1553" s="14" t="s">
        <v>1417</v>
      </c>
      <c r="L1553" s="15">
        <v>46038</v>
      </c>
      <c r="M1553" s="16">
        <v>2026</v>
      </c>
      <c r="S1553" s="9"/>
    </row>
    <row r="1554" spans="1:19" ht="31.2" hidden="1">
      <c r="A1554" s="5">
        <v>1553</v>
      </c>
      <c r="B1554" s="18"/>
      <c r="C1554" s="13" t="s">
        <v>2399</v>
      </c>
      <c r="D1554" s="22" t="s">
        <v>2400</v>
      </c>
      <c r="E1554" s="22">
        <v>3170123114</v>
      </c>
      <c r="F1554" s="22" t="s">
        <v>2374</v>
      </c>
      <c r="G1554" s="18"/>
      <c r="H1554" s="18"/>
      <c r="I1554" s="22" t="s">
        <v>2360</v>
      </c>
      <c r="J1554" s="14" t="s">
        <v>2361</v>
      </c>
      <c r="K1554" s="14" t="s">
        <v>1417</v>
      </c>
      <c r="L1554" s="15">
        <v>46039</v>
      </c>
      <c r="M1554" s="16">
        <v>2026</v>
      </c>
      <c r="S1554" s="9"/>
    </row>
    <row r="1555" spans="1:19" ht="31.2" hidden="1">
      <c r="A1555" s="5">
        <v>1554</v>
      </c>
      <c r="B1555" s="18"/>
      <c r="C1555" s="13"/>
      <c r="D1555" s="22" t="s">
        <v>2401</v>
      </c>
      <c r="E1555" s="22">
        <v>3170123012</v>
      </c>
      <c r="F1555" s="22" t="s">
        <v>2374</v>
      </c>
      <c r="G1555" s="18"/>
      <c r="H1555" s="18"/>
      <c r="I1555" s="22" t="s">
        <v>2360</v>
      </c>
      <c r="J1555" s="14" t="s">
        <v>2361</v>
      </c>
      <c r="K1555" s="14" t="s">
        <v>1417</v>
      </c>
      <c r="L1555" s="15">
        <v>46040</v>
      </c>
      <c r="M1555" s="16">
        <v>2026</v>
      </c>
      <c r="S1555" s="9"/>
    </row>
    <row r="1556" spans="1:19" ht="31.2" hidden="1">
      <c r="A1556" s="5">
        <v>1555</v>
      </c>
      <c r="B1556" s="18"/>
      <c r="C1556" s="13"/>
      <c r="D1556" s="22" t="s">
        <v>2402</v>
      </c>
      <c r="E1556" s="22">
        <v>3170123034</v>
      </c>
      <c r="F1556" s="22" t="s">
        <v>2374</v>
      </c>
      <c r="G1556" s="18"/>
      <c r="H1556" s="18"/>
      <c r="I1556" s="22" t="s">
        <v>2360</v>
      </c>
      <c r="J1556" s="14" t="s">
        <v>2361</v>
      </c>
      <c r="K1556" s="14" t="s">
        <v>1417</v>
      </c>
      <c r="L1556" s="15">
        <v>46041</v>
      </c>
      <c r="M1556" s="16">
        <v>2026</v>
      </c>
      <c r="S1556" s="9"/>
    </row>
    <row r="1557" spans="1:19" ht="31.2" hidden="1">
      <c r="A1557" s="5">
        <v>1556</v>
      </c>
      <c r="B1557" s="18"/>
      <c r="C1557" s="13"/>
      <c r="D1557" s="22" t="s">
        <v>2403</v>
      </c>
      <c r="E1557" s="22">
        <v>3170123117</v>
      </c>
      <c r="F1557" s="22" t="s">
        <v>2374</v>
      </c>
      <c r="G1557" s="18"/>
      <c r="H1557" s="18"/>
      <c r="I1557" s="22" t="s">
        <v>2360</v>
      </c>
      <c r="J1557" s="14" t="s">
        <v>2361</v>
      </c>
      <c r="K1557" s="14" t="s">
        <v>1417</v>
      </c>
      <c r="L1557" s="15">
        <v>46042</v>
      </c>
      <c r="M1557" s="16">
        <v>2026</v>
      </c>
      <c r="S1557" s="9"/>
    </row>
    <row r="1558" spans="1:19" ht="31.2" hidden="1">
      <c r="A1558" s="5">
        <v>1557</v>
      </c>
      <c r="B1558" s="18"/>
      <c r="C1558" s="13"/>
      <c r="D1558" s="22" t="s">
        <v>2404</v>
      </c>
      <c r="E1558" s="22">
        <v>3170123123</v>
      </c>
      <c r="F1558" s="22" t="s">
        <v>2374</v>
      </c>
      <c r="G1558" s="18"/>
      <c r="H1558" s="18"/>
      <c r="I1558" s="22" t="s">
        <v>2360</v>
      </c>
      <c r="J1558" s="14" t="s">
        <v>2361</v>
      </c>
      <c r="K1558" s="14" t="s">
        <v>1417</v>
      </c>
      <c r="L1558" s="15">
        <v>46043</v>
      </c>
      <c r="M1558" s="16">
        <v>2026</v>
      </c>
      <c r="S1558" s="9"/>
    </row>
    <row r="1559" spans="1:19" ht="31.2" hidden="1">
      <c r="A1559" s="5">
        <v>1558</v>
      </c>
      <c r="B1559" s="18"/>
      <c r="C1559" s="13" t="s">
        <v>2405</v>
      </c>
      <c r="D1559" s="22" t="s">
        <v>2406</v>
      </c>
      <c r="E1559" s="22">
        <v>3170323039</v>
      </c>
      <c r="F1559" s="22" t="s">
        <v>2407</v>
      </c>
      <c r="G1559" s="18"/>
      <c r="H1559" s="18"/>
      <c r="I1559" s="22" t="s">
        <v>2360</v>
      </c>
      <c r="J1559" s="14" t="s">
        <v>2361</v>
      </c>
      <c r="K1559" s="14" t="s">
        <v>1417</v>
      </c>
      <c r="L1559" s="15">
        <v>46044</v>
      </c>
      <c r="M1559" s="16">
        <v>2026</v>
      </c>
      <c r="S1559" s="9"/>
    </row>
    <row r="1560" spans="1:19" ht="31.2" hidden="1">
      <c r="A1560" s="5">
        <v>1559</v>
      </c>
      <c r="B1560" s="18"/>
      <c r="C1560" s="13"/>
      <c r="D1560" s="22" t="s">
        <v>2408</v>
      </c>
      <c r="E1560" s="22">
        <v>3170323030</v>
      </c>
      <c r="F1560" s="22" t="s">
        <v>2407</v>
      </c>
      <c r="G1560" s="18"/>
      <c r="H1560" s="18"/>
      <c r="I1560" s="22" t="s">
        <v>2360</v>
      </c>
      <c r="J1560" s="14" t="s">
        <v>2361</v>
      </c>
      <c r="K1560" s="14" t="s">
        <v>1417</v>
      </c>
      <c r="L1560" s="15">
        <v>46045</v>
      </c>
      <c r="M1560" s="16">
        <v>2026</v>
      </c>
      <c r="S1560" s="9"/>
    </row>
    <row r="1561" spans="1:19" ht="31.2" hidden="1">
      <c r="A1561" s="5">
        <v>1560</v>
      </c>
      <c r="B1561" s="18"/>
      <c r="C1561" s="13" t="s">
        <v>2409</v>
      </c>
      <c r="D1561" s="22" t="s">
        <v>2410</v>
      </c>
      <c r="E1561" s="22">
        <v>3170724059</v>
      </c>
      <c r="F1561" s="22" t="s">
        <v>2411</v>
      </c>
      <c r="G1561" s="18"/>
      <c r="H1561" s="18"/>
      <c r="I1561" s="22" t="s">
        <v>2360</v>
      </c>
      <c r="J1561" s="14" t="s">
        <v>2361</v>
      </c>
      <c r="K1561" s="14" t="s">
        <v>1417</v>
      </c>
      <c r="L1561" s="15">
        <v>46046</v>
      </c>
      <c r="M1561" s="16">
        <v>2026</v>
      </c>
      <c r="S1561" s="9"/>
    </row>
    <row r="1562" spans="1:19" ht="31.2" hidden="1">
      <c r="A1562" s="5">
        <v>1561</v>
      </c>
      <c r="B1562" s="18"/>
      <c r="C1562" s="13"/>
      <c r="D1562" s="22" t="s">
        <v>2412</v>
      </c>
      <c r="E1562" s="22">
        <v>3170724014</v>
      </c>
      <c r="F1562" s="22" t="s">
        <v>2411</v>
      </c>
      <c r="G1562" s="18"/>
      <c r="H1562" s="18"/>
      <c r="I1562" s="22" t="s">
        <v>2360</v>
      </c>
      <c r="J1562" s="14" t="s">
        <v>2361</v>
      </c>
      <c r="K1562" s="14" t="s">
        <v>1417</v>
      </c>
      <c r="L1562" s="15">
        <v>46047</v>
      </c>
      <c r="M1562" s="16">
        <v>2026</v>
      </c>
      <c r="S1562" s="9"/>
    </row>
    <row r="1563" spans="1:19" ht="31.2" hidden="1">
      <c r="A1563" s="5">
        <v>1562</v>
      </c>
      <c r="B1563" s="18"/>
      <c r="C1563" s="13"/>
      <c r="D1563" s="22" t="s">
        <v>744</v>
      </c>
      <c r="E1563" s="22">
        <v>3170724055</v>
      </c>
      <c r="F1563" s="22" t="s">
        <v>2411</v>
      </c>
      <c r="G1563" s="18"/>
      <c r="H1563" s="18"/>
      <c r="I1563" s="22" t="s">
        <v>2360</v>
      </c>
      <c r="J1563" s="14" t="s">
        <v>2361</v>
      </c>
      <c r="K1563" s="14" t="s">
        <v>1417</v>
      </c>
      <c r="L1563" s="15">
        <v>46048</v>
      </c>
      <c r="M1563" s="16">
        <v>2026</v>
      </c>
      <c r="S1563" s="9"/>
    </row>
    <row r="1564" spans="1:19" ht="31.2" hidden="1">
      <c r="A1564" s="5">
        <v>1563</v>
      </c>
      <c r="B1564" s="18"/>
      <c r="C1564" s="13"/>
      <c r="D1564" s="22" t="s">
        <v>2413</v>
      </c>
      <c r="E1564" s="22">
        <v>3170724032</v>
      </c>
      <c r="F1564" s="22" t="s">
        <v>2411</v>
      </c>
      <c r="G1564" s="18"/>
      <c r="H1564" s="18"/>
      <c r="I1564" s="22" t="s">
        <v>2360</v>
      </c>
      <c r="J1564" s="14" t="s">
        <v>2361</v>
      </c>
      <c r="K1564" s="14" t="s">
        <v>1417</v>
      </c>
      <c r="L1564" s="15">
        <v>46049</v>
      </c>
      <c r="M1564" s="16">
        <v>2026</v>
      </c>
      <c r="S1564" s="9"/>
    </row>
    <row r="1565" spans="1:19" ht="31.2" hidden="1">
      <c r="A1565" s="5">
        <v>1564</v>
      </c>
      <c r="B1565" s="18"/>
      <c r="C1565" s="13" t="s">
        <v>2414</v>
      </c>
      <c r="D1565" s="22" t="s">
        <v>431</v>
      </c>
      <c r="E1565" s="22">
        <v>3170423053</v>
      </c>
      <c r="F1565" s="22" t="s">
        <v>432</v>
      </c>
      <c r="G1565" s="18"/>
      <c r="H1565" s="18"/>
      <c r="I1565" s="22" t="s">
        <v>2360</v>
      </c>
      <c r="J1565" s="14" t="s">
        <v>2361</v>
      </c>
      <c r="K1565" s="14" t="s">
        <v>1417</v>
      </c>
      <c r="L1565" s="15">
        <v>46050</v>
      </c>
      <c r="M1565" s="16">
        <v>2026</v>
      </c>
      <c r="S1565" s="9"/>
    </row>
    <row r="1566" spans="1:19" ht="31.2" hidden="1">
      <c r="A1566" s="5">
        <v>1565</v>
      </c>
      <c r="B1566" s="18"/>
      <c r="C1566" s="13"/>
      <c r="D1566" s="22" t="s">
        <v>2415</v>
      </c>
      <c r="E1566" s="22">
        <v>3170423004</v>
      </c>
      <c r="F1566" s="22" t="s">
        <v>432</v>
      </c>
      <c r="G1566" s="18"/>
      <c r="H1566" s="18"/>
      <c r="I1566" s="22" t="s">
        <v>2360</v>
      </c>
      <c r="J1566" s="14" t="s">
        <v>2361</v>
      </c>
      <c r="K1566" s="14" t="s">
        <v>1417</v>
      </c>
      <c r="L1566" s="15">
        <v>46051</v>
      </c>
      <c r="M1566" s="16">
        <v>2026</v>
      </c>
      <c r="S1566" s="9"/>
    </row>
    <row r="1567" spans="1:19" ht="31.2" hidden="1">
      <c r="A1567" s="5">
        <v>1566</v>
      </c>
      <c r="B1567" s="18"/>
      <c r="C1567" s="13"/>
      <c r="D1567" s="22" t="s">
        <v>437</v>
      </c>
      <c r="E1567" s="22">
        <v>3170423041</v>
      </c>
      <c r="F1567" s="22" t="s">
        <v>432</v>
      </c>
      <c r="G1567" s="18"/>
      <c r="H1567" s="18"/>
      <c r="I1567" s="22" t="s">
        <v>2360</v>
      </c>
      <c r="J1567" s="14" t="s">
        <v>2361</v>
      </c>
      <c r="K1567" s="14" t="s">
        <v>1417</v>
      </c>
      <c r="L1567" s="15">
        <v>46052</v>
      </c>
      <c r="M1567" s="16">
        <v>2026</v>
      </c>
      <c r="S1567" s="9"/>
    </row>
    <row r="1568" spans="1:19" ht="31.2" hidden="1">
      <c r="A1568" s="5">
        <v>1567</v>
      </c>
      <c r="B1568" s="18"/>
      <c r="C1568" s="13"/>
      <c r="D1568" s="22" t="s">
        <v>300</v>
      </c>
      <c r="E1568" s="22">
        <v>3170423103</v>
      </c>
      <c r="F1568" s="22" t="s">
        <v>432</v>
      </c>
      <c r="G1568" s="18"/>
      <c r="H1568" s="18"/>
      <c r="I1568" s="22" t="s">
        <v>2360</v>
      </c>
      <c r="J1568" s="14" t="s">
        <v>2361</v>
      </c>
      <c r="K1568" s="14" t="s">
        <v>1417</v>
      </c>
      <c r="L1568" s="15">
        <v>46053</v>
      </c>
      <c r="M1568" s="16">
        <v>2026</v>
      </c>
      <c r="S1568" s="9"/>
    </row>
    <row r="1569" spans="1:19" ht="31.2" hidden="1">
      <c r="A1569" s="5">
        <v>1568</v>
      </c>
      <c r="B1569" s="18"/>
      <c r="C1569" s="13" t="s">
        <v>2416</v>
      </c>
      <c r="D1569" s="22" t="s">
        <v>2417</v>
      </c>
      <c r="E1569" s="22">
        <v>3170324048</v>
      </c>
      <c r="F1569" s="22" t="s">
        <v>2418</v>
      </c>
      <c r="G1569" s="18"/>
      <c r="H1569" s="18"/>
      <c r="I1569" s="22" t="s">
        <v>2360</v>
      </c>
      <c r="J1569" s="14" t="s">
        <v>2361</v>
      </c>
      <c r="K1569" s="14" t="s">
        <v>1417</v>
      </c>
      <c r="L1569" s="15">
        <v>46054</v>
      </c>
      <c r="M1569" s="16">
        <v>2026</v>
      </c>
      <c r="S1569" s="9"/>
    </row>
    <row r="1570" spans="1:19" ht="31.2" hidden="1">
      <c r="A1570" s="5">
        <v>1569</v>
      </c>
      <c r="B1570" s="18"/>
      <c r="C1570" s="13"/>
      <c r="D1570" s="22" t="s">
        <v>2419</v>
      </c>
      <c r="E1570" s="22">
        <v>3170324063</v>
      </c>
      <c r="F1570" s="22" t="s">
        <v>2418</v>
      </c>
      <c r="G1570" s="18"/>
      <c r="H1570" s="18"/>
      <c r="I1570" s="22" t="s">
        <v>2360</v>
      </c>
      <c r="J1570" s="14" t="s">
        <v>2361</v>
      </c>
      <c r="K1570" s="14" t="s">
        <v>1417</v>
      </c>
      <c r="L1570" s="15">
        <v>46055</v>
      </c>
      <c r="M1570" s="16">
        <v>2026</v>
      </c>
      <c r="S1570" s="9"/>
    </row>
    <row r="1571" spans="1:19" ht="31.2" hidden="1">
      <c r="A1571" s="5">
        <v>1570</v>
      </c>
      <c r="B1571" s="18"/>
      <c r="C1571" s="13" t="s">
        <v>2420</v>
      </c>
      <c r="D1571" s="22" t="s">
        <v>2421</v>
      </c>
      <c r="E1571" s="22">
        <v>3170123108</v>
      </c>
      <c r="F1571" s="22" t="s">
        <v>2374</v>
      </c>
      <c r="G1571" s="18"/>
      <c r="H1571" s="18"/>
      <c r="I1571" s="22" t="s">
        <v>2360</v>
      </c>
      <c r="J1571" s="14" t="s">
        <v>2361</v>
      </c>
      <c r="K1571" s="14" t="s">
        <v>1417</v>
      </c>
      <c r="L1571" s="15">
        <v>46056</v>
      </c>
      <c r="M1571" s="16">
        <v>2026</v>
      </c>
      <c r="S1571" s="9"/>
    </row>
    <row r="1572" spans="1:19" ht="31.2" hidden="1">
      <c r="A1572" s="5">
        <v>1571</v>
      </c>
      <c r="B1572" s="18"/>
      <c r="C1572" s="13"/>
      <c r="D1572" s="22" t="s">
        <v>2422</v>
      </c>
      <c r="E1572" s="22">
        <v>3170123030</v>
      </c>
      <c r="F1572" s="22" t="s">
        <v>2374</v>
      </c>
      <c r="G1572" s="18"/>
      <c r="H1572" s="18"/>
      <c r="I1572" s="22" t="s">
        <v>2360</v>
      </c>
      <c r="J1572" s="14" t="s">
        <v>2361</v>
      </c>
      <c r="K1572" s="14" t="s">
        <v>1417</v>
      </c>
      <c r="L1572" s="15">
        <v>46057</v>
      </c>
      <c r="M1572" s="16">
        <v>2026</v>
      </c>
      <c r="S1572" s="9"/>
    </row>
    <row r="1573" spans="1:19" ht="31.2" hidden="1">
      <c r="A1573" s="5">
        <v>1572</v>
      </c>
      <c r="B1573" s="18"/>
      <c r="C1573" s="13"/>
      <c r="D1573" s="22" t="s">
        <v>2423</v>
      </c>
      <c r="E1573" s="22">
        <v>3170123089</v>
      </c>
      <c r="F1573" s="22" t="s">
        <v>2374</v>
      </c>
      <c r="G1573" s="18"/>
      <c r="H1573" s="18"/>
      <c r="I1573" s="22" t="s">
        <v>2360</v>
      </c>
      <c r="J1573" s="14" t="s">
        <v>2361</v>
      </c>
      <c r="K1573" s="14" t="s">
        <v>1417</v>
      </c>
      <c r="L1573" s="15">
        <v>46058</v>
      </c>
      <c r="M1573" s="16">
        <v>2026</v>
      </c>
      <c r="S1573" s="9"/>
    </row>
    <row r="1574" spans="1:19" ht="31.2" hidden="1">
      <c r="A1574" s="5">
        <v>1573</v>
      </c>
      <c r="B1574" s="18"/>
      <c r="C1574" s="13"/>
      <c r="D1574" s="22" t="s">
        <v>2424</v>
      </c>
      <c r="E1574" s="22">
        <v>3170123094</v>
      </c>
      <c r="F1574" s="22" t="s">
        <v>2374</v>
      </c>
      <c r="G1574" s="18"/>
      <c r="H1574" s="18"/>
      <c r="I1574" s="22" t="s">
        <v>2360</v>
      </c>
      <c r="J1574" s="14" t="s">
        <v>2361</v>
      </c>
      <c r="K1574" s="14" t="s">
        <v>1417</v>
      </c>
      <c r="L1574" s="15">
        <v>46059</v>
      </c>
      <c r="M1574" s="16">
        <v>2026</v>
      </c>
      <c r="S1574" s="9"/>
    </row>
    <row r="1575" spans="1:19" ht="31.2" hidden="1">
      <c r="A1575" s="5">
        <v>1574</v>
      </c>
      <c r="B1575" s="18"/>
      <c r="C1575" s="13" t="s">
        <v>2425</v>
      </c>
      <c r="D1575" s="22" t="s">
        <v>2426</v>
      </c>
      <c r="E1575" s="22">
        <v>3170423042</v>
      </c>
      <c r="F1575" s="22" t="s">
        <v>445</v>
      </c>
      <c r="G1575" s="18"/>
      <c r="H1575" s="18"/>
      <c r="I1575" s="22" t="s">
        <v>2360</v>
      </c>
      <c r="J1575" s="14" t="s">
        <v>2361</v>
      </c>
      <c r="K1575" s="14" t="s">
        <v>1417</v>
      </c>
      <c r="L1575" s="15">
        <v>46060</v>
      </c>
      <c r="M1575" s="16">
        <v>2026</v>
      </c>
      <c r="S1575" s="9"/>
    </row>
    <row r="1576" spans="1:19" ht="31.2" hidden="1">
      <c r="A1576" s="5">
        <v>1575</v>
      </c>
      <c r="B1576" s="18"/>
      <c r="C1576" s="13" t="s">
        <v>2427</v>
      </c>
      <c r="D1576" s="22" t="s">
        <v>2428</v>
      </c>
      <c r="E1576" s="22">
        <v>3170323022</v>
      </c>
      <c r="F1576" s="22" t="s">
        <v>2407</v>
      </c>
      <c r="G1576" s="18"/>
      <c r="H1576" s="18"/>
      <c r="I1576" s="22" t="s">
        <v>2360</v>
      </c>
      <c r="J1576" s="14" t="s">
        <v>2361</v>
      </c>
      <c r="K1576" s="14" t="s">
        <v>1417</v>
      </c>
      <c r="L1576" s="15">
        <v>46061</v>
      </c>
      <c r="M1576" s="16">
        <v>2026</v>
      </c>
      <c r="S1576" s="9"/>
    </row>
    <row r="1577" spans="1:19" ht="31.2" hidden="1">
      <c r="A1577" s="5">
        <v>1576</v>
      </c>
      <c r="B1577" s="18"/>
      <c r="C1577" s="13"/>
      <c r="D1577" s="22" t="s">
        <v>1531</v>
      </c>
      <c r="E1577" s="22">
        <v>3170323011</v>
      </c>
      <c r="F1577" s="22" t="s">
        <v>2407</v>
      </c>
      <c r="G1577" s="18"/>
      <c r="H1577" s="18"/>
      <c r="I1577" s="22" t="s">
        <v>2360</v>
      </c>
      <c r="J1577" s="14" t="s">
        <v>2361</v>
      </c>
      <c r="K1577" s="14" t="s">
        <v>1417</v>
      </c>
      <c r="L1577" s="15">
        <v>46062</v>
      </c>
      <c r="M1577" s="16">
        <v>2026</v>
      </c>
      <c r="S1577" s="9"/>
    </row>
    <row r="1578" spans="1:19" ht="31.2" hidden="1">
      <c r="A1578" s="5">
        <v>1577</v>
      </c>
      <c r="B1578" s="18"/>
      <c r="C1578" s="13" t="s">
        <v>2429</v>
      </c>
      <c r="D1578" s="22" t="s">
        <v>2430</v>
      </c>
      <c r="E1578" s="22">
        <v>3170124084</v>
      </c>
      <c r="F1578" s="22" t="s">
        <v>2431</v>
      </c>
      <c r="G1578" s="18"/>
      <c r="H1578" s="18"/>
      <c r="I1578" s="22" t="s">
        <v>2360</v>
      </c>
      <c r="J1578" s="14" t="s">
        <v>2361</v>
      </c>
      <c r="K1578" s="14" t="s">
        <v>1417</v>
      </c>
      <c r="L1578" s="15">
        <v>46063</v>
      </c>
      <c r="M1578" s="16">
        <v>2026</v>
      </c>
      <c r="S1578" s="9"/>
    </row>
    <row r="1579" spans="1:19" ht="31.2" hidden="1">
      <c r="A1579" s="5">
        <v>1578</v>
      </c>
      <c r="B1579" s="18"/>
      <c r="C1579" s="13"/>
      <c r="D1579" s="22" t="s">
        <v>2432</v>
      </c>
      <c r="E1579" s="22">
        <v>3170124085</v>
      </c>
      <c r="F1579" s="22" t="s">
        <v>2431</v>
      </c>
      <c r="G1579" s="18"/>
      <c r="H1579" s="18"/>
      <c r="I1579" s="22" t="s">
        <v>2360</v>
      </c>
      <c r="J1579" s="14" t="s">
        <v>2361</v>
      </c>
      <c r="K1579" s="14" t="s">
        <v>1417</v>
      </c>
      <c r="L1579" s="15">
        <v>46064</v>
      </c>
      <c r="M1579" s="16">
        <v>2026</v>
      </c>
      <c r="S1579" s="9"/>
    </row>
    <row r="1580" spans="1:19" ht="31.2" hidden="1">
      <c r="A1580" s="5">
        <v>1579</v>
      </c>
      <c r="B1580" s="18"/>
      <c r="C1580" s="13"/>
      <c r="D1580" s="22" t="s">
        <v>2433</v>
      </c>
      <c r="E1580" s="22">
        <v>3170124089</v>
      </c>
      <c r="F1580" s="22" t="s">
        <v>2431</v>
      </c>
      <c r="G1580" s="18"/>
      <c r="H1580" s="18"/>
      <c r="I1580" s="22" t="s">
        <v>2360</v>
      </c>
      <c r="J1580" s="14" t="s">
        <v>2361</v>
      </c>
      <c r="K1580" s="14" t="s">
        <v>1417</v>
      </c>
      <c r="L1580" s="15">
        <v>46065</v>
      </c>
      <c r="M1580" s="16">
        <v>2026</v>
      </c>
      <c r="S1580" s="9"/>
    </row>
    <row r="1581" spans="1:19" ht="31.2" hidden="1">
      <c r="A1581" s="5">
        <v>1580</v>
      </c>
      <c r="B1581" s="18"/>
      <c r="C1581" s="13"/>
      <c r="D1581" s="22" t="s">
        <v>2434</v>
      </c>
      <c r="E1581" s="22">
        <v>3170124089</v>
      </c>
      <c r="F1581" s="22" t="s">
        <v>2431</v>
      </c>
      <c r="G1581" s="18"/>
      <c r="H1581" s="18"/>
      <c r="I1581" s="22" t="s">
        <v>2360</v>
      </c>
      <c r="J1581" s="14" t="s">
        <v>2361</v>
      </c>
      <c r="K1581" s="14" t="s">
        <v>1417</v>
      </c>
      <c r="L1581" s="15">
        <v>46066</v>
      </c>
      <c r="M1581" s="16">
        <v>2026</v>
      </c>
      <c r="S1581" s="9"/>
    </row>
    <row r="1582" spans="1:19" ht="31.2" hidden="1">
      <c r="A1582" s="5">
        <v>1581</v>
      </c>
      <c r="B1582" s="18"/>
      <c r="C1582" s="13"/>
      <c r="D1582" s="22" t="s">
        <v>2435</v>
      </c>
      <c r="E1582" s="22">
        <v>3170125097</v>
      </c>
      <c r="F1582" s="22" t="s">
        <v>2431</v>
      </c>
      <c r="G1582" s="18"/>
      <c r="H1582" s="18"/>
      <c r="I1582" s="22" t="s">
        <v>2360</v>
      </c>
      <c r="J1582" s="14" t="s">
        <v>2361</v>
      </c>
      <c r="K1582" s="14" t="s">
        <v>1417</v>
      </c>
      <c r="L1582" s="15">
        <v>46067</v>
      </c>
      <c r="M1582" s="16">
        <v>2026</v>
      </c>
      <c r="S1582" s="9"/>
    </row>
    <row r="1583" spans="1:19" ht="31.2" hidden="1">
      <c r="A1583" s="5">
        <v>1582</v>
      </c>
      <c r="B1583" s="18"/>
      <c r="C1583" s="13" t="s">
        <v>2436</v>
      </c>
      <c r="D1583" s="22" t="s">
        <v>2437</v>
      </c>
      <c r="E1583" s="22">
        <v>3170324008</v>
      </c>
      <c r="F1583" s="22" t="s">
        <v>2418</v>
      </c>
      <c r="G1583" s="18"/>
      <c r="H1583" s="18"/>
      <c r="I1583" s="22" t="s">
        <v>2360</v>
      </c>
      <c r="J1583" s="14" t="s">
        <v>2361</v>
      </c>
      <c r="K1583" s="14" t="s">
        <v>1417</v>
      </c>
      <c r="L1583" s="15">
        <v>46068</v>
      </c>
      <c r="M1583" s="16">
        <v>2026</v>
      </c>
      <c r="S1583" s="9"/>
    </row>
    <row r="1584" spans="1:19" ht="31.2" hidden="1">
      <c r="A1584" s="5">
        <v>1583</v>
      </c>
      <c r="B1584" s="18"/>
      <c r="C1584" s="13"/>
      <c r="D1584" s="22" t="s">
        <v>2438</v>
      </c>
      <c r="E1584" s="22">
        <v>3170224034</v>
      </c>
      <c r="F1584" s="22" t="s">
        <v>2439</v>
      </c>
      <c r="G1584" s="18"/>
      <c r="H1584" s="18"/>
      <c r="I1584" s="22" t="s">
        <v>2360</v>
      </c>
      <c r="J1584" s="14" t="s">
        <v>2361</v>
      </c>
      <c r="K1584" s="14" t="s">
        <v>1417</v>
      </c>
      <c r="L1584" s="15">
        <v>46069</v>
      </c>
      <c r="M1584" s="16">
        <v>2026</v>
      </c>
      <c r="S1584" s="9"/>
    </row>
    <row r="1585" spans="1:19" ht="31.2" hidden="1">
      <c r="A1585" s="5">
        <v>1584</v>
      </c>
      <c r="B1585" s="18"/>
      <c r="C1585" s="13"/>
      <c r="D1585" s="22" t="s">
        <v>2440</v>
      </c>
      <c r="E1585" s="22">
        <v>3170124037</v>
      </c>
      <c r="F1585" s="22" t="s">
        <v>2431</v>
      </c>
      <c r="G1585" s="18"/>
      <c r="H1585" s="18"/>
      <c r="I1585" s="22" t="s">
        <v>2360</v>
      </c>
      <c r="J1585" s="14" t="s">
        <v>2361</v>
      </c>
      <c r="K1585" s="14" t="s">
        <v>1417</v>
      </c>
      <c r="L1585" s="15">
        <v>46070</v>
      </c>
      <c r="M1585" s="16">
        <v>2026</v>
      </c>
      <c r="S1585" s="9"/>
    </row>
    <row r="1586" spans="1:19" ht="31.2" hidden="1">
      <c r="A1586" s="5">
        <v>1585</v>
      </c>
      <c r="B1586" s="18"/>
      <c r="C1586" s="13"/>
      <c r="D1586" s="22" t="s">
        <v>2441</v>
      </c>
      <c r="E1586" s="22">
        <v>3170124039</v>
      </c>
      <c r="F1586" s="22" t="s">
        <v>2442</v>
      </c>
      <c r="G1586" s="18"/>
      <c r="H1586" s="18"/>
      <c r="I1586" s="22" t="s">
        <v>2360</v>
      </c>
      <c r="J1586" s="14" t="s">
        <v>2361</v>
      </c>
      <c r="K1586" s="14" t="s">
        <v>1417</v>
      </c>
      <c r="L1586" s="15">
        <v>46071</v>
      </c>
      <c r="M1586" s="16">
        <v>2026</v>
      </c>
      <c r="S1586" s="9"/>
    </row>
    <row r="1587" spans="1:19" ht="31.2" hidden="1">
      <c r="A1587" s="5">
        <v>1586</v>
      </c>
      <c r="B1587" s="18"/>
      <c r="C1587" s="13" t="s">
        <v>2443</v>
      </c>
      <c r="D1587" s="22" t="s">
        <v>2444</v>
      </c>
      <c r="E1587" s="22">
        <v>3170123076</v>
      </c>
      <c r="F1587" s="22" t="s">
        <v>2374</v>
      </c>
      <c r="G1587" s="18"/>
      <c r="H1587" s="18"/>
      <c r="I1587" s="22" t="s">
        <v>2360</v>
      </c>
      <c r="J1587" s="14" t="s">
        <v>2361</v>
      </c>
      <c r="K1587" s="14" t="s">
        <v>1417</v>
      </c>
      <c r="L1587" s="15">
        <v>46072</v>
      </c>
      <c r="M1587" s="16">
        <v>2026</v>
      </c>
      <c r="S1587" s="9"/>
    </row>
    <row r="1588" spans="1:19" ht="31.2" hidden="1">
      <c r="A1588" s="5">
        <v>1587</v>
      </c>
      <c r="B1588" s="18"/>
      <c r="C1588" s="13"/>
      <c r="D1588" s="22" t="s">
        <v>2445</v>
      </c>
      <c r="E1588" s="22">
        <v>3170123086</v>
      </c>
      <c r="F1588" s="22" t="s">
        <v>2374</v>
      </c>
      <c r="G1588" s="18"/>
      <c r="H1588" s="18"/>
      <c r="I1588" s="22" t="s">
        <v>2360</v>
      </c>
      <c r="J1588" s="14" t="s">
        <v>2361</v>
      </c>
      <c r="K1588" s="14" t="s">
        <v>1417</v>
      </c>
      <c r="L1588" s="15">
        <v>46073</v>
      </c>
      <c r="M1588" s="16">
        <v>2026</v>
      </c>
      <c r="S1588" s="9"/>
    </row>
    <row r="1589" spans="1:19" ht="31.2" hidden="1">
      <c r="A1589" s="5">
        <v>1588</v>
      </c>
      <c r="B1589" s="18"/>
      <c r="C1589" s="13" t="s">
        <v>2446</v>
      </c>
      <c r="D1589" s="22" t="s">
        <v>2447</v>
      </c>
      <c r="E1589" s="22">
        <v>3170125028</v>
      </c>
      <c r="F1589" s="22" t="s">
        <v>2448</v>
      </c>
      <c r="G1589" s="18"/>
      <c r="H1589" s="18"/>
      <c r="I1589" s="22" t="s">
        <v>2360</v>
      </c>
      <c r="J1589" s="14" t="s">
        <v>2361</v>
      </c>
      <c r="K1589" s="14" t="s">
        <v>1417</v>
      </c>
      <c r="L1589" s="15">
        <v>46074</v>
      </c>
      <c r="M1589" s="16">
        <v>2026</v>
      </c>
      <c r="S1589" s="9"/>
    </row>
    <row r="1590" spans="1:19" ht="31.2" hidden="1">
      <c r="A1590" s="5">
        <v>1589</v>
      </c>
      <c r="B1590" s="18"/>
      <c r="C1590" s="13"/>
      <c r="D1590" s="22" t="s">
        <v>2449</v>
      </c>
      <c r="E1590" s="22">
        <v>3170125095</v>
      </c>
      <c r="F1590" s="22" t="s">
        <v>2448</v>
      </c>
      <c r="G1590" s="18"/>
      <c r="H1590" s="18"/>
      <c r="I1590" s="22" t="s">
        <v>2360</v>
      </c>
      <c r="J1590" s="14" t="s">
        <v>2361</v>
      </c>
      <c r="K1590" s="14" t="s">
        <v>1417</v>
      </c>
      <c r="L1590" s="15">
        <v>46075</v>
      </c>
      <c r="M1590" s="16">
        <v>2026</v>
      </c>
      <c r="S1590" s="9"/>
    </row>
    <row r="1591" spans="1:19" ht="31.2" hidden="1">
      <c r="A1591" s="5">
        <v>1590</v>
      </c>
      <c r="B1591" s="18"/>
      <c r="C1591" s="13"/>
      <c r="D1591" s="22" t="s">
        <v>2450</v>
      </c>
      <c r="E1591" s="22">
        <v>3170125002</v>
      </c>
      <c r="F1591" s="22" t="s">
        <v>2448</v>
      </c>
      <c r="G1591" s="18"/>
      <c r="H1591" s="18"/>
      <c r="I1591" s="22" t="s">
        <v>2360</v>
      </c>
      <c r="J1591" s="14" t="s">
        <v>2361</v>
      </c>
      <c r="K1591" s="14" t="s">
        <v>1417</v>
      </c>
      <c r="L1591" s="15">
        <v>46076</v>
      </c>
      <c r="M1591" s="16">
        <v>2026</v>
      </c>
      <c r="S1591" s="9"/>
    </row>
    <row r="1592" spans="1:19" ht="31.2" hidden="1">
      <c r="A1592" s="5">
        <v>1591</v>
      </c>
      <c r="B1592" s="18"/>
      <c r="C1592" s="13" t="s">
        <v>2451</v>
      </c>
      <c r="D1592" s="22" t="s">
        <v>2452</v>
      </c>
      <c r="E1592" s="22">
        <v>3170123071</v>
      </c>
      <c r="F1592" s="22" t="s">
        <v>397</v>
      </c>
      <c r="G1592" s="18"/>
      <c r="H1592" s="18"/>
      <c r="I1592" s="22" t="s">
        <v>2360</v>
      </c>
      <c r="J1592" s="14" t="s">
        <v>2361</v>
      </c>
      <c r="K1592" s="14" t="s">
        <v>1417</v>
      </c>
      <c r="L1592" s="15">
        <v>46077</v>
      </c>
      <c r="M1592" s="16">
        <v>2026</v>
      </c>
      <c r="S1592" s="9"/>
    </row>
    <row r="1593" spans="1:19" ht="31.2" hidden="1">
      <c r="A1593" s="5">
        <v>1592</v>
      </c>
      <c r="B1593" s="18"/>
      <c r="C1593" s="13"/>
      <c r="D1593" s="22" t="s">
        <v>2453</v>
      </c>
      <c r="E1593" s="22">
        <v>3170123064</v>
      </c>
      <c r="F1593" s="22" t="s">
        <v>397</v>
      </c>
      <c r="G1593" s="18"/>
      <c r="H1593" s="18"/>
      <c r="I1593" s="22" t="s">
        <v>2360</v>
      </c>
      <c r="J1593" s="14" t="s">
        <v>2361</v>
      </c>
      <c r="K1593" s="14" t="s">
        <v>1417</v>
      </c>
      <c r="L1593" s="15">
        <v>46078</v>
      </c>
      <c r="M1593" s="16">
        <v>2026</v>
      </c>
      <c r="S1593" s="9"/>
    </row>
    <row r="1594" spans="1:19" ht="31.2" hidden="1">
      <c r="A1594" s="5">
        <v>1593</v>
      </c>
      <c r="B1594" s="18"/>
      <c r="C1594" s="13"/>
      <c r="D1594" s="22" t="s">
        <v>300</v>
      </c>
      <c r="E1594" s="22">
        <v>3170123102</v>
      </c>
      <c r="F1594" s="22" t="s">
        <v>397</v>
      </c>
      <c r="G1594" s="18"/>
      <c r="H1594" s="18"/>
      <c r="I1594" s="22" t="s">
        <v>2360</v>
      </c>
      <c r="J1594" s="14" t="s">
        <v>2361</v>
      </c>
      <c r="K1594" s="14" t="s">
        <v>1417</v>
      </c>
      <c r="L1594" s="15">
        <v>46079</v>
      </c>
      <c r="M1594" s="16">
        <v>2026</v>
      </c>
      <c r="S1594" s="9"/>
    </row>
    <row r="1595" spans="1:19" ht="31.2" hidden="1">
      <c r="A1595" s="5">
        <v>1594</v>
      </c>
      <c r="B1595" s="18"/>
      <c r="C1595" s="13"/>
      <c r="D1595" s="22" t="s">
        <v>2454</v>
      </c>
      <c r="E1595" s="22">
        <v>3170123003</v>
      </c>
      <c r="F1595" s="22" t="s">
        <v>397</v>
      </c>
      <c r="G1595" s="18"/>
      <c r="H1595" s="18"/>
      <c r="I1595" s="22" t="s">
        <v>2360</v>
      </c>
      <c r="J1595" s="14" t="s">
        <v>2361</v>
      </c>
      <c r="K1595" s="14" t="s">
        <v>1417</v>
      </c>
      <c r="L1595" s="15">
        <v>46080</v>
      </c>
      <c r="M1595" s="16">
        <v>2026</v>
      </c>
      <c r="S1595" s="9"/>
    </row>
    <row r="1596" spans="1:19" ht="31.2" hidden="1">
      <c r="A1596" s="5">
        <v>1595</v>
      </c>
      <c r="B1596" s="18"/>
      <c r="C1596" s="13"/>
      <c r="D1596" s="22" t="s">
        <v>2455</v>
      </c>
      <c r="E1596" s="22">
        <v>3170123060</v>
      </c>
      <c r="F1596" s="22" t="s">
        <v>2374</v>
      </c>
      <c r="G1596" s="18"/>
      <c r="H1596" s="18"/>
      <c r="I1596" s="22" t="s">
        <v>2360</v>
      </c>
      <c r="J1596" s="14" t="s">
        <v>2361</v>
      </c>
      <c r="K1596" s="14" t="s">
        <v>1417</v>
      </c>
      <c r="L1596" s="15">
        <v>46081</v>
      </c>
      <c r="M1596" s="16">
        <v>2026</v>
      </c>
      <c r="S1596" s="9"/>
    </row>
    <row r="1597" spans="1:19" ht="31.2" hidden="1">
      <c r="A1597" s="5">
        <v>1596</v>
      </c>
      <c r="B1597" s="18"/>
      <c r="C1597" s="13" t="s">
        <v>2456</v>
      </c>
      <c r="D1597" s="22" t="s">
        <v>2457</v>
      </c>
      <c r="E1597" s="22">
        <v>3170424009</v>
      </c>
      <c r="F1597" s="22" t="s">
        <v>2390</v>
      </c>
      <c r="G1597" s="18"/>
      <c r="H1597" s="18"/>
      <c r="I1597" s="22" t="s">
        <v>2360</v>
      </c>
      <c r="J1597" s="14" t="s">
        <v>2361</v>
      </c>
      <c r="K1597" s="14" t="s">
        <v>1417</v>
      </c>
      <c r="L1597" s="15">
        <v>46082</v>
      </c>
      <c r="M1597" s="16">
        <v>2026</v>
      </c>
      <c r="S1597" s="9"/>
    </row>
    <row r="1598" spans="1:19" ht="15.6" hidden="1">
      <c r="A1598" s="5">
        <v>1597</v>
      </c>
      <c r="B1598" s="18"/>
      <c r="C1598" s="13" t="s">
        <v>2458</v>
      </c>
      <c r="D1598" s="22" t="s">
        <v>2459</v>
      </c>
      <c r="E1598" s="22">
        <v>3130122036</v>
      </c>
      <c r="F1598" s="22" t="s">
        <v>121</v>
      </c>
      <c r="G1598" s="18"/>
      <c r="H1598" s="18"/>
      <c r="I1598" s="22" t="s">
        <v>1974</v>
      </c>
      <c r="J1598" s="14" t="s">
        <v>1975</v>
      </c>
      <c r="K1598" s="14" t="s">
        <v>1352</v>
      </c>
      <c r="L1598" s="15">
        <v>46083</v>
      </c>
      <c r="M1598" s="16">
        <v>2026</v>
      </c>
      <c r="S1598" s="9"/>
    </row>
    <row r="1599" spans="1:19" ht="15.6" hidden="1">
      <c r="A1599" s="5">
        <v>1598</v>
      </c>
      <c r="B1599" s="18"/>
      <c r="C1599" s="13"/>
      <c r="D1599" s="22" t="s">
        <v>214</v>
      </c>
      <c r="E1599" s="22">
        <v>3130122002</v>
      </c>
      <c r="F1599" s="22" t="s">
        <v>121</v>
      </c>
      <c r="G1599" s="18"/>
      <c r="H1599" s="18"/>
      <c r="I1599" s="22" t="s">
        <v>1974</v>
      </c>
      <c r="J1599" s="14" t="s">
        <v>1975</v>
      </c>
      <c r="K1599" s="14" t="s">
        <v>1352</v>
      </c>
      <c r="L1599" s="15">
        <v>46084</v>
      </c>
      <c r="M1599" s="16">
        <v>2026</v>
      </c>
      <c r="S1599" s="9"/>
    </row>
    <row r="1600" spans="1:19" ht="15.6" hidden="1">
      <c r="A1600" s="5">
        <v>1599</v>
      </c>
      <c r="B1600" s="18"/>
      <c r="C1600" s="13"/>
      <c r="D1600" s="22" t="s">
        <v>205</v>
      </c>
      <c r="E1600" s="22">
        <v>3130122036</v>
      </c>
      <c r="F1600" s="22" t="s">
        <v>121</v>
      </c>
      <c r="G1600" s="18"/>
      <c r="H1600" s="18"/>
      <c r="I1600" s="22" t="s">
        <v>1974</v>
      </c>
      <c r="J1600" s="14" t="s">
        <v>1975</v>
      </c>
      <c r="K1600" s="14" t="s">
        <v>1352</v>
      </c>
      <c r="L1600" s="15">
        <v>46085</v>
      </c>
      <c r="M1600" s="16">
        <v>2026</v>
      </c>
      <c r="S1600" s="9"/>
    </row>
    <row r="1601" spans="1:19" ht="15.6" hidden="1">
      <c r="A1601" s="5">
        <v>1600</v>
      </c>
      <c r="B1601" s="18"/>
      <c r="C1601" s="13"/>
      <c r="D1601" s="22" t="s">
        <v>176</v>
      </c>
      <c r="E1601" s="22">
        <v>3130124006</v>
      </c>
      <c r="F1601" s="22" t="s">
        <v>173</v>
      </c>
      <c r="G1601" s="18"/>
      <c r="H1601" s="18"/>
      <c r="I1601" s="22" t="s">
        <v>1974</v>
      </c>
      <c r="J1601" s="14" t="s">
        <v>1975</v>
      </c>
      <c r="K1601" s="14" t="s">
        <v>1352</v>
      </c>
      <c r="L1601" s="15">
        <v>46086</v>
      </c>
      <c r="M1601" s="16">
        <v>2026</v>
      </c>
      <c r="S1601" s="9"/>
    </row>
    <row r="1602" spans="1:19" ht="15.6" hidden="1">
      <c r="A1602" s="5">
        <v>1601</v>
      </c>
      <c r="B1602" s="18"/>
      <c r="C1602" s="13"/>
      <c r="D1602" s="22" t="s">
        <v>209</v>
      </c>
      <c r="E1602" s="22">
        <v>3130124014</v>
      </c>
      <c r="F1602" s="22" t="s">
        <v>173</v>
      </c>
      <c r="G1602" s="18"/>
      <c r="H1602" s="18"/>
      <c r="I1602" s="22" t="s">
        <v>1974</v>
      </c>
      <c r="J1602" s="14" t="s">
        <v>1975</v>
      </c>
      <c r="K1602" s="14" t="s">
        <v>1352</v>
      </c>
      <c r="L1602" s="15">
        <v>46087</v>
      </c>
      <c r="M1602" s="16">
        <v>2026</v>
      </c>
      <c r="S1602" s="9"/>
    </row>
    <row r="1603" spans="1:19" ht="15.6" hidden="1">
      <c r="A1603" s="5">
        <v>1602</v>
      </c>
      <c r="B1603" s="18"/>
      <c r="C1603" s="13" t="s">
        <v>2460</v>
      </c>
      <c r="D1603" s="22" t="s">
        <v>2461</v>
      </c>
      <c r="E1603" s="22">
        <v>3130122008</v>
      </c>
      <c r="F1603" s="22" t="s">
        <v>121</v>
      </c>
      <c r="G1603" s="18"/>
      <c r="H1603" s="18"/>
      <c r="I1603" s="22" t="s">
        <v>1974</v>
      </c>
      <c r="J1603" s="14" t="s">
        <v>1975</v>
      </c>
      <c r="K1603" s="14" t="s">
        <v>1352</v>
      </c>
      <c r="L1603" s="15">
        <v>46088</v>
      </c>
      <c r="M1603" s="16">
        <v>2026</v>
      </c>
      <c r="S1603" s="9"/>
    </row>
    <row r="1604" spans="1:19" ht="15.6" hidden="1">
      <c r="A1604" s="5">
        <v>1603</v>
      </c>
      <c r="B1604" s="18"/>
      <c r="C1604" s="13"/>
      <c r="D1604" s="22" t="s">
        <v>2462</v>
      </c>
      <c r="E1604" s="22">
        <v>3130124002</v>
      </c>
      <c r="F1604" s="22" t="s">
        <v>173</v>
      </c>
      <c r="G1604" s="18"/>
      <c r="H1604" s="18"/>
      <c r="I1604" s="22" t="s">
        <v>1974</v>
      </c>
      <c r="J1604" s="14" t="s">
        <v>1975</v>
      </c>
      <c r="K1604" s="14" t="s">
        <v>1352</v>
      </c>
      <c r="L1604" s="15">
        <v>46089</v>
      </c>
      <c r="M1604" s="16">
        <v>2026</v>
      </c>
      <c r="S1604" s="9"/>
    </row>
    <row r="1605" spans="1:19" ht="15.6" hidden="1">
      <c r="A1605" s="5">
        <v>1604</v>
      </c>
      <c r="B1605" s="18"/>
      <c r="C1605" s="13"/>
      <c r="D1605" s="22" t="s">
        <v>2463</v>
      </c>
      <c r="E1605" s="22">
        <v>3130124017</v>
      </c>
      <c r="F1605" s="22" t="s">
        <v>173</v>
      </c>
      <c r="G1605" s="18"/>
      <c r="H1605" s="18"/>
      <c r="I1605" s="22" t="s">
        <v>1974</v>
      </c>
      <c r="J1605" s="14" t="s">
        <v>1975</v>
      </c>
      <c r="K1605" s="14" t="s">
        <v>1352</v>
      </c>
      <c r="L1605" s="15">
        <v>46090</v>
      </c>
      <c r="M1605" s="16">
        <v>2026</v>
      </c>
      <c r="S1605" s="9"/>
    </row>
    <row r="1606" spans="1:19" ht="15.6" hidden="1">
      <c r="A1606" s="5">
        <v>1605</v>
      </c>
      <c r="B1606" s="18"/>
      <c r="C1606" s="13"/>
      <c r="D1606" s="22" t="s">
        <v>2464</v>
      </c>
      <c r="E1606" s="22">
        <v>3130124009</v>
      </c>
      <c r="F1606" s="22" t="s">
        <v>173</v>
      </c>
      <c r="G1606" s="18"/>
      <c r="H1606" s="18"/>
      <c r="I1606" s="22" t="s">
        <v>1974</v>
      </c>
      <c r="J1606" s="14" t="s">
        <v>1975</v>
      </c>
      <c r="K1606" s="14" t="s">
        <v>1352</v>
      </c>
      <c r="L1606" s="15">
        <v>46091</v>
      </c>
      <c r="M1606" s="16">
        <v>2026</v>
      </c>
      <c r="S1606" s="9"/>
    </row>
    <row r="1607" spans="1:19" ht="15.6" hidden="1">
      <c r="A1607" s="5">
        <v>1606</v>
      </c>
      <c r="B1607" s="18"/>
      <c r="C1607" s="13"/>
      <c r="D1607" s="22" t="s">
        <v>2465</v>
      </c>
      <c r="E1607" s="22">
        <v>3130325039</v>
      </c>
      <c r="F1607" s="22" t="s">
        <v>1464</v>
      </c>
      <c r="G1607" s="18"/>
      <c r="H1607" s="18"/>
      <c r="I1607" s="22" t="s">
        <v>1974</v>
      </c>
      <c r="J1607" s="14" t="s">
        <v>1975</v>
      </c>
      <c r="K1607" s="14" t="s">
        <v>1352</v>
      </c>
      <c r="L1607" s="15">
        <v>46092</v>
      </c>
      <c r="M1607" s="16">
        <v>2026</v>
      </c>
      <c r="S1607" s="9"/>
    </row>
    <row r="1608" spans="1:19" ht="15.6" hidden="1">
      <c r="A1608" s="5">
        <v>1607</v>
      </c>
      <c r="B1608" s="18"/>
      <c r="C1608" s="13" t="s">
        <v>2466</v>
      </c>
      <c r="D1608" s="22" t="s">
        <v>2467</v>
      </c>
      <c r="E1608" s="22">
        <v>3130122011</v>
      </c>
      <c r="F1608" s="22" t="s">
        <v>121</v>
      </c>
      <c r="G1608" s="18"/>
      <c r="H1608" s="18"/>
      <c r="I1608" s="22" t="s">
        <v>1974</v>
      </c>
      <c r="J1608" s="14" t="s">
        <v>1975</v>
      </c>
      <c r="K1608" s="14" t="s">
        <v>1352</v>
      </c>
      <c r="L1608" s="15">
        <v>46093</v>
      </c>
      <c r="M1608" s="16">
        <v>2026</v>
      </c>
      <c r="S1608" s="9"/>
    </row>
    <row r="1609" spans="1:19" ht="15.6" hidden="1">
      <c r="A1609" s="5">
        <v>1608</v>
      </c>
      <c r="B1609" s="18"/>
      <c r="C1609" s="13"/>
      <c r="D1609" s="22" t="s">
        <v>175</v>
      </c>
      <c r="E1609" s="22">
        <v>3130124010</v>
      </c>
      <c r="F1609" s="22" t="s">
        <v>173</v>
      </c>
      <c r="G1609" s="18"/>
      <c r="H1609" s="18"/>
      <c r="I1609" s="22" t="s">
        <v>1974</v>
      </c>
      <c r="J1609" s="14" t="s">
        <v>1975</v>
      </c>
      <c r="K1609" s="14" t="s">
        <v>1352</v>
      </c>
      <c r="L1609" s="15">
        <v>46094</v>
      </c>
      <c r="M1609" s="16">
        <v>2026</v>
      </c>
      <c r="S1609" s="9"/>
    </row>
    <row r="1610" spans="1:19" ht="15.6" hidden="1">
      <c r="A1610" s="5">
        <v>1609</v>
      </c>
      <c r="B1610" s="18"/>
      <c r="C1610" s="13"/>
      <c r="D1610" s="22" t="s">
        <v>2468</v>
      </c>
      <c r="E1610" s="22">
        <v>3130124011</v>
      </c>
      <c r="F1610" s="22" t="s">
        <v>173</v>
      </c>
      <c r="G1610" s="18"/>
      <c r="H1610" s="18"/>
      <c r="I1610" s="22" t="s">
        <v>1974</v>
      </c>
      <c r="J1610" s="14" t="s">
        <v>1975</v>
      </c>
      <c r="K1610" s="14" t="s">
        <v>1352</v>
      </c>
      <c r="L1610" s="15">
        <v>46095</v>
      </c>
      <c r="M1610" s="16">
        <v>2026</v>
      </c>
      <c r="S1610" s="9"/>
    </row>
    <row r="1611" spans="1:19" ht="15.6" hidden="1">
      <c r="A1611" s="5">
        <v>1610</v>
      </c>
      <c r="B1611" s="18"/>
      <c r="C1611" s="13"/>
      <c r="D1611" s="22" t="s">
        <v>2469</v>
      </c>
      <c r="E1611" s="22">
        <v>3130124018</v>
      </c>
      <c r="F1611" s="22" t="s">
        <v>173</v>
      </c>
      <c r="G1611" s="18"/>
      <c r="H1611" s="18"/>
      <c r="I1611" s="22" t="s">
        <v>1974</v>
      </c>
      <c r="J1611" s="14" t="s">
        <v>1975</v>
      </c>
      <c r="K1611" s="14" t="s">
        <v>1352</v>
      </c>
      <c r="L1611" s="15">
        <v>46096</v>
      </c>
      <c r="M1611" s="16">
        <v>2026</v>
      </c>
      <c r="S1611" s="9"/>
    </row>
    <row r="1612" spans="1:19" ht="15.6" hidden="1">
      <c r="A1612" s="5">
        <v>1611</v>
      </c>
      <c r="B1612" s="18"/>
      <c r="C1612" s="13"/>
      <c r="D1612" s="22" t="s">
        <v>2470</v>
      </c>
      <c r="E1612" s="22">
        <v>3130124024</v>
      </c>
      <c r="F1612" s="22" t="s">
        <v>173</v>
      </c>
      <c r="G1612" s="18"/>
      <c r="H1612" s="18"/>
      <c r="I1612" s="22" t="s">
        <v>1974</v>
      </c>
      <c r="J1612" s="14" t="s">
        <v>1975</v>
      </c>
      <c r="K1612" s="14" t="s">
        <v>1352</v>
      </c>
      <c r="L1612" s="15">
        <v>46097</v>
      </c>
      <c r="M1612" s="16">
        <v>2026</v>
      </c>
      <c r="S1612" s="9"/>
    </row>
    <row r="1613" spans="1:19" ht="15.6" hidden="1">
      <c r="A1613" s="5">
        <v>1612</v>
      </c>
      <c r="B1613" s="18"/>
      <c r="C1613" s="13" t="s">
        <v>2471</v>
      </c>
      <c r="D1613" s="22" t="s">
        <v>2472</v>
      </c>
      <c r="E1613" s="22">
        <v>3140723022</v>
      </c>
      <c r="F1613" s="22" t="s">
        <v>815</v>
      </c>
      <c r="G1613" s="18"/>
      <c r="H1613" s="18"/>
      <c r="I1613" s="22" t="s">
        <v>1974</v>
      </c>
      <c r="J1613" s="14" t="s">
        <v>1975</v>
      </c>
      <c r="K1613" s="14" t="s">
        <v>1352</v>
      </c>
      <c r="L1613" s="15">
        <v>46098</v>
      </c>
      <c r="M1613" s="16">
        <v>2026</v>
      </c>
      <c r="S1613" s="9"/>
    </row>
    <row r="1614" spans="1:19" ht="15.6" hidden="1">
      <c r="A1614" s="5">
        <v>1613</v>
      </c>
      <c r="B1614" s="18"/>
      <c r="C1614" s="13"/>
      <c r="D1614" s="22" t="s">
        <v>2473</v>
      </c>
      <c r="E1614" s="22">
        <v>3140723021</v>
      </c>
      <c r="F1614" s="22" t="s">
        <v>815</v>
      </c>
      <c r="G1614" s="18"/>
      <c r="H1614" s="18"/>
      <c r="I1614" s="22" t="s">
        <v>1974</v>
      </c>
      <c r="J1614" s="14" t="s">
        <v>1975</v>
      </c>
      <c r="K1614" s="14" t="s">
        <v>1352</v>
      </c>
      <c r="L1614" s="15">
        <v>46099</v>
      </c>
      <c r="M1614" s="16">
        <v>2026</v>
      </c>
      <c r="S1614" s="9"/>
    </row>
    <row r="1615" spans="1:19" ht="15.6" hidden="1">
      <c r="A1615" s="5">
        <v>1614</v>
      </c>
      <c r="B1615" s="18"/>
      <c r="C1615" s="13"/>
      <c r="D1615" s="22" t="s">
        <v>953</v>
      </c>
      <c r="E1615" s="22">
        <v>3140723030</v>
      </c>
      <c r="F1615" s="22" t="s">
        <v>815</v>
      </c>
      <c r="G1615" s="18"/>
      <c r="H1615" s="18"/>
      <c r="I1615" s="22" t="s">
        <v>1974</v>
      </c>
      <c r="J1615" s="14" t="s">
        <v>1975</v>
      </c>
      <c r="K1615" s="14" t="s">
        <v>1352</v>
      </c>
      <c r="L1615" s="15">
        <v>46100</v>
      </c>
      <c r="M1615" s="16">
        <v>2026</v>
      </c>
      <c r="S1615" s="9"/>
    </row>
    <row r="1616" spans="1:19" ht="15.6" hidden="1">
      <c r="A1616" s="5">
        <v>1615</v>
      </c>
      <c r="B1616" s="18"/>
      <c r="C1616" s="13"/>
      <c r="D1616" s="22" t="s">
        <v>2474</v>
      </c>
      <c r="E1616" s="22">
        <v>3140123015</v>
      </c>
      <c r="F1616" s="22" t="s">
        <v>324</v>
      </c>
      <c r="G1616" s="18"/>
      <c r="H1616" s="18"/>
      <c r="I1616" s="22" t="s">
        <v>1974</v>
      </c>
      <c r="J1616" s="14" t="s">
        <v>1975</v>
      </c>
      <c r="K1616" s="14" t="s">
        <v>1352</v>
      </c>
      <c r="L1616" s="15">
        <v>46101</v>
      </c>
      <c r="M1616" s="16">
        <v>2026</v>
      </c>
      <c r="S1616" s="9"/>
    </row>
    <row r="1617" spans="1:19" ht="15.6" hidden="1">
      <c r="A1617" s="5">
        <v>1616</v>
      </c>
      <c r="B1617" s="18"/>
      <c r="C1617" s="13"/>
      <c r="D1617" s="22" t="s">
        <v>2475</v>
      </c>
      <c r="E1617" s="22">
        <v>3140723010</v>
      </c>
      <c r="F1617" s="22" t="s">
        <v>815</v>
      </c>
      <c r="G1617" s="18"/>
      <c r="H1617" s="18"/>
      <c r="I1617" s="22" t="s">
        <v>1974</v>
      </c>
      <c r="J1617" s="14" t="s">
        <v>1975</v>
      </c>
      <c r="K1617" s="14" t="s">
        <v>1352</v>
      </c>
      <c r="L1617" s="15">
        <v>46102</v>
      </c>
      <c r="M1617" s="16">
        <v>2026</v>
      </c>
      <c r="S1617" s="9"/>
    </row>
    <row r="1618" spans="1:19" ht="15.6" hidden="1">
      <c r="A1618" s="5">
        <v>1617</v>
      </c>
      <c r="B1618" s="18"/>
      <c r="C1618" s="13" t="s">
        <v>2476</v>
      </c>
      <c r="D1618" s="22" t="s">
        <v>2477</v>
      </c>
      <c r="E1618" s="22">
        <v>3140723062</v>
      </c>
      <c r="F1618" s="22" t="s">
        <v>815</v>
      </c>
      <c r="G1618" s="18"/>
      <c r="H1618" s="18"/>
      <c r="I1618" s="22" t="s">
        <v>1974</v>
      </c>
      <c r="J1618" s="14" t="s">
        <v>1975</v>
      </c>
      <c r="K1618" s="14" t="s">
        <v>1352</v>
      </c>
      <c r="L1618" s="15">
        <v>46103</v>
      </c>
      <c r="M1618" s="16">
        <v>2026</v>
      </c>
      <c r="S1618" s="9"/>
    </row>
    <row r="1619" spans="1:19" ht="15.6" hidden="1">
      <c r="A1619" s="5">
        <v>1618</v>
      </c>
      <c r="B1619" s="18"/>
      <c r="C1619" s="13"/>
      <c r="D1619" s="22" t="s">
        <v>2478</v>
      </c>
      <c r="E1619" s="22">
        <v>3140723052</v>
      </c>
      <c r="F1619" s="22" t="s">
        <v>822</v>
      </c>
      <c r="G1619" s="18"/>
      <c r="H1619" s="18"/>
      <c r="I1619" s="22" t="s">
        <v>1974</v>
      </c>
      <c r="J1619" s="14" t="s">
        <v>1975</v>
      </c>
      <c r="K1619" s="14" t="s">
        <v>1352</v>
      </c>
      <c r="L1619" s="15">
        <v>46032</v>
      </c>
      <c r="M1619" s="16">
        <v>2026</v>
      </c>
      <c r="S1619" s="9"/>
    </row>
    <row r="1620" spans="1:19" ht="15.6" hidden="1">
      <c r="A1620" s="5">
        <v>1619</v>
      </c>
      <c r="B1620" s="18"/>
      <c r="C1620" s="13"/>
      <c r="D1620" s="22" t="s">
        <v>2479</v>
      </c>
      <c r="E1620" s="22">
        <v>3140723047</v>
      </c>
      <c r="F1620" s="22" t="s">
        <v>2480</v>
      </c>
      <c r="G1620" s="18"/>
      <c r="H1620" s="18"/>
      <c r="I1620" s="22" t="s">
        <v>1974</v>
      </c>
      <c r="J1620" s="14" t="s">
        <v>1975</v>
      </c>
      <c r="K1620" s="14" t="s">
        <v>1352</v>
      </c>
      <c r="L1620" s="15">
        <v>46033</v>
      </c>
      <c r="M1620" s="16">
        <v>2026</v>
      </c>
      <c r="S1620" s="9"/>
    </row>
    <row r="1621" spans="1:19" ht="15.6" hidden="1">
      <c r="A1621" s="5">
        <v>1620</v>
      </c>
      <c r="B1621" s="18"/>
      <c r="C1621" s="13"/>
      <c r="D1621" s="22" t="s">
        <v>2481</v>
      </c>
      <c r="E1621" s="22">
        <v>3140723059</v>
      </c>
      <c r="F1621" s="22" t="s">
        <v>815</v>
      </c>
      <c r="G1621" s="18"/>
      <c r="H1621" s="18"/>
      <c r="I1621" s="22" t="s">
        <v>1974</v>
      </c>
      <c r="J1621" s="14" t="s">
        <v>1975</v>
      </c>
      <c r="K1621" s="14" t="s">
        <v>1352</v>
      </c>
      <c r="L1621" s="15">
        <v>46034</v>
      </c>
      <c r="M1621" s="16">
        <v>2026</v>
      </c>
      <c r="S1621" s="9"/>
    </row>
    <row r="1622" spans="1:19" ht="15.6" hidden="1">
      <c r="A1622" s="5">
        <v>1621</v>
      </c>
      <c r="B1622" s="18"/>
      <c r="C1622" s="13" t="s">
        <v>2482</v>
      </c>
      <c r="D1622" s="22" t="s">
        <v>2483</v>
      </c>
      <c r="E1622" s="22">
        <v>3130325012</v>
      </c>
      <c r="F1622" s="22" t="s">
        <v>1464</v>
      </c>
      <c r="G1622" s="18"/>
      <c r="H1622" s="18"/>
      <c r="I1622" s="22" t="s">
        <v>1974</v>
      </c>
      <c r="J1622" s="14" t="s">
        <v>1975</v>
      </c>
      <c r="K1622" s="14" t="s">
        <v>1352</v>
      </c>
      <c r="L1622" s="15">
        <v>46035</v>
      </c>
      <c r="M1622" s="16">
        <v>2026</v>
      </c>
      <c r="S1622" s="9"/>
    </row>
    <row r="1623" spans="1:19" ht="15.6" hidden="1">
      <c r="A1623" s="5">
        <v>1622</v>
      </c>
      <c r="B1623" s="18"/>
      <c r="C1623" s="13"/>
      <c r="D1623" s="22" t="s">
        <v>2484</v>
      </c>
      <c r="E1623" s="22">
        <v>3130325034</v>
      </c>
      <c r="F1623" s="22" t="s">
        <v>1464</v>
      </c>
      <c r="G1623" s="18"/>
      <c r="H1623" s="18"/>
      <c r="I1623" s="22" t="s">
        <v>1974</v>
      </c>
      <c r="J1623" s="14" t="s">
        <v>1975</v>
      </c>
      <c r="K1623" s="14" t="s">
        <v>1352</v>
      </c>
      <c r="L1623" s="15">
        <v>46036</v>
      </c>
      <c r="M1623" s="16">
        <v>2026</v>
      </c>
      <c r="S1623" s="9"/>
    </row>
    <row r="1624" spans="1:19" ht="15.6" hidden="1">
      <c r="A1624" s="5">
        <v>1623</v>
      </c>
      <c r="B1624" s="18"/>
      <c r="C1624" s="13"/>
      <c r="D1624" s="22" t="s">
        <v>2485</v>
      </c>
      <c r="E1624" s="22">
        <v>3130325035</v>
      </c>
      <c r="F1624" s="22" t="s">
        <v>1464</v>
      </c>
      <c r="G1624" s="18"/>
      <c r="H1624" s="18"/>
      <c r="I1624" s="22" t="s">
        <v>1974</v>
      </c>
      <c r="J1624" s="14" t="s">
        <v>1975</v>
      </c>
      <c r="K1624" s="14" t="s">
        <v>1352</v>
      </c>
      <c r="L1624" s="15">
        <v>46037</v>
      </c>
      <c r="M1624" s="16">
        <v>2026</v>
      </c>
      <c r="S1624" s="9"/>
    </row>
    <row r="1625" spans="1:19" ht="15.6" hidden="1">
      <c r="A1625" s="5">
        <v>1624</v>
      </c>
      <c r="B1625" s="18"/>
      <c r="C1625" s="13" t="s">
        <v>2486</v>
      </c>
      <c r="D1625" s="22" t="s">
        <v>2487</v>
      </c>
      <c r="E1625" s="22">
        <v>3140723115</v>
      </c>
      <c r="F1625" s="22" t="s">
        <v>822</v>
      </c>
      <c r="G1625" s="18"/>
      <c r="H1625" s="18"/>
      <c r="I1625" s="22" t="s">
        <v>1974</v>
      </c>
      <c r="J1625" s="14" t="s">
        <v>1975</v>
      </c>
      <c r="K1625" s="14" t="s">
        <v>1352</v>
      </c>
      <c r="L1625" s="15">
        <v>46038</v>
      </c>
      <c r="M1625" s="16">
        <v>2026</v>
      </c>
      <c r="S1625" s="9"/>
    </row>
    <row r="1626" spans="1:19" ht="15.6" hidden="1">
      <c r="A1626" s="5">
        <v>1625</v>
      </c>
      <c r="B1626" s="18"/>
      <c r="C1626" s="13"/>
      <c r="D1626" s="22" t="s">
        <v>2488</v>
      </c>
      <c r="E1626" s="22">
        <v>3140723064</v>
      </c>
      <c r="F1626" s="22" t="s">
        <v>2480</v>
      </c>
      <c r="G1626" s="18"/>
      <c r="H1626" s="18"/>
      <c r="I1626" s="22" t="s">
        <v>1974</v>
      </c>
      <c r="J1626" s="14" t="s">
        <v>1975</v>
      </c>
      <c r="K1626" s="14" t="s">
        <v>1352</v>
      </c>
      <c r="L1626" s="15">
        <v>46039</v>
      </c>
      <c r="M1626" s="16">
        <v>2026</v>
      </c>
      <c r="S1626" s="9"/>
    </row>
    <row r="1627" spans="1:19" ht="15.6" hidden="1">
      <c r="A1627" s="5">
        <v>1626</v>
      </c>
      <c r="B1627" s="18"/>
      <c r="C1627" s="13"/>
      <c r="D1627" s="22" t="s">
        <v>1183</v>
      </c>
      <c r="E1627" s="22">
        <v>3140723081</v>
      </c>
      <c r="F1627" s="22" t="s">
        <v>2489</v>
      </c>
      <c r="G1627" s="18"/>
      <c r="H1627" s="18"/>
      <c r="I1627" s="22" t="s">
        <v>1974</v>
      </c>
      <c r="J1627" s="14" t="s">
        <v>1975</v>
      </c>
      <c r="K1627" s="14" t="s">
        <v>1352</v>
      </c>
      <c r="L1627" s="15">
        <v>46040</v>
      </c>
      <c r="M1627" s="16">
        <v>2026</v>
      </c>
      <c r="S1627" s="9"/>
    </row>
    <row r="1628" spans="1:19" ht="15.6" hidden="1">
      <c r="A1628" s="5">
        <v>1627</v>
      </c>
      <c r="B1628" s="18"/>
      <c r="C1628" s="13"/>
      <c r="D1628" s="22" t="s">
        <v>2306</v>
      </c>
      <c r="E1628" s="22">
        <v>3140723088</v>
      </c>
      <c r="F1628" s="22" t="s">
        <v>2490</v>
      </c>
      <c r="G1628" s="18"/>
      <c r="H1628" s="18"/>
      <c r="I1628" s="22" t="s">
        <v>1974</v>
      </c>
      <c r="J1628" s="14" t="s">
        <v>1975</v>
      </c>
      <c r="K1628" s="14" t="s">
        <v>1352</v>
      </c>
      <c r="L1628" s="15">
        <v>46041</v>
      </c>
      <c r="M1628" s="16">
        <v>2026</v>
      </c>
      <c r="S1628" s="9"/>
    </row>
    <row r="1629" spans="1:19" ht="15.6" hidden="1">
      <c r="A1629" s="5">
        <v>1628</v>
      </c>
      <c r="B1629" s="18"/>
      <c r="C1629" s="13"/>
      <c r="D1629" s="22" t="s">
        <v>2491</v>
      </c>
      <c r="E1629" s="22">
        <v>3140723125</v>
      </c>
      <c r="F1629" s="22" t="s">
        <v>2492</v>
      </c>
      <c r="G1629" s="18"/>
      <c r="H1629" s="18"/>
      <c r="I1629" s="22" t="s">
        <v>1974</v>
      </c>
      <c r="J1629" s="14" t="s">
        <v>1975</v>
      </c>
      <c r="K1629" s="14" t="s">
        <v>1352</v>
      </c>
      <c r="L1629" s="15">
        <v>46042</v>
      </c>
      <c r="M1629" s="16">
        <v>2026</v>
      </c>
      <c r="S1629" s="9"/>
    </row>
    <row r="1630" spans="1:19" ht="15.6" hidden="1">
      <c r="A1630" s="5">
        <v>1629</v>
      </c>
      <c r="B1630" s="18"/>
      <c r="C1630" s="13" t="s">
        <v>2493</v>
      </c>
      <c r="D1630" s="22" t="s">
        <v>2494</v>
      </c>
      <c r="E1630" s="22">
        <v>3140322029</v>
      </c>
      <c r="F1630" s="22" t="s">
        <v>352</v>
      </c>
      <c r="G1630" s="18"/>
      <c r="H1630" s="18"/>
      <c r="I1630" s="22" t="s">
        <v>1974</v>
      </c>
      <c r="J1630" s="14" t="s">
        <v>1975</v>
      </c>
      <c r="K1630" s="14" t="s">
        <v>1352</v>
      </c>
      <c r="L1630" s="15">
        <v>46043</v>
      </c>
      <c r="M1630" s="16">
        <v>2026</v>
      </c>
      <c r="S1630" s="9"/>
    </row>
    <row r="1631" spans="1:19" ht="15.6" hidden="1">
      <c r="A1631" s="5">
        <v>1630</v>
      </c>
      <c r="B1631" s="18"/>
      <c r="C1631" s="13"/>
      <c r="D1631" s="22" t="s">
        <v>2495</v>
      </c>
      <c r="E1631" s="22">
        <v>3140322019</v>
      </c>
      <c r="F1631" s="22" t="s">
        <v>352</v>
      </c>
      <c r="G1631" s="18"/>
      <c r="H1631" s="18"/>
      <c r="I1631" s="22" t="s">
        <v>1974</v>
      </c>
      <c r="J1631" s="14" t="s">
        <v>1975</v>
      </c>
      <c r="K1631" s="14" t="s">
        <v>1352</v>
      </c>
      <c r="L1631" s="15">
        <v>46044</v>
      </c>
      <c r="M1631" s="16">
        <v>2026</v>
      </c>
      <c r="S1631" s="9"/>
    </row>
    <row r="1632" spans="1:19" ht="15.6" hidden="1">
      <c r="A1632" s="5">
        <v>1631</v>
      </c>
      <c r="B1632" s="18"/>
      <c r="C1632" s="13"/>
      <c r="D1632" s="22" t="s">
        <v>2496</v>
      </c>
      <c r="E1632" s="22">
        <v>3140322017</v>
      </c>
      <c r="F1632" s="22" t="s">
        <v>352</v>
      </c>
      <c r="G1632" s="18"/>
      <c r="H1632" s="18"/>
      <c r="I1632" s="22" t="s">
        <v>1974</v>
      </c>
      <c r="J1632" s="14" t="s">
        <v>1975</v>
      </c>
      <c r="K1632" s="14" t="s">
        <v>1352</v>
      </c>
      <c r="L1632" s="15">
        <v>46045</v>
      </c>
      <c r="M1632" s="16">
        <v>2026</v>
      </c>
      <c r="S1632" s="9"/>
    </row>
    <row r="1633" spans="1:19" ht="15.6" hidden="1">
      <c r="A1633" s="5">
        <v>1632</v>
      </c>
      <c r="B1633" s="18"/>
      <c r="C1633" s="13"/>
      <c r="D1633" s="22" t="s">
        <v>2497</v>
      </c>
      <c r="E1633" s="22">
        <v>3140322031</v>
      </c>
      <c r="F1633" s="22" t="s">
        <v>352</v>
      </c>
      <c r="G1633" s="18"/>
      <c r="H1633" s="18"/>
      <c r="I1633" s="22" t="s">
        <v>1974</v>
      </c>
      <c r="J1633" s="14" t="s">
        <v>1975</v>
      </c>
      <c r="K1633" s="14" t="s">
        <v>1352</v>
      </c>
      <c r="L1633" s="15">
        <v>46046</v>
      </c>
      <c r="M1633" s="16">
        <v>2026</v>
      </c>
      <c r="S1633" s="9"/>
    </row>
    <row r="1634" spans="1:19" ht="15.6" hidden="1">
      <c r="A1634" s="5">
        <v>1633</v>
      </c>
      <c r="B1634" s="18"/>
      <c r="C1634" s="13" t="s">
        <v>2498</v>
      </c>
      <c r="D1634" s="22" t="s">
        <v>2499</v>
      </c>
      <c r="E1634" s="22">
        <v>3130325017</v>
      </c>
      <c r="F1634" s="22" t="s">
        <v>1464</v>
      </c>
      <c r="G1634" s="18"/>
      <c r="H1634" s="18"/>
      <c r="I1634" s="22" t="s">
        <v>1974</v>
      </c>
      <c r="J1634" s="14" t="s">
        <v>1975</v>
      </c>
      <c r="K1634" s="14" t="s">
        <v>1352</v>
      </c>
      <c r="L1634" s="15">
        <v>46047</v>
      </c>
      <c r="M1634" s="16">
        <v>2026</v>
      </c>
      <c r="S1634" s="9"/>
    </row>
    <row r="1635" spans="1:19" ht="15.6" hidden="1">
      <c r="A1635" s="5">
        <v>1634</v>
      </c>
      <c r="B1635" s="18"/>
      <c r="C1635" s="13"/>
      <c r="D1635" s="22" t="s">
        <v>2500</v>
      </c>
      <c r="E1635" s="22">
        <v>3130325008</v>
      </c>
      <c r="F1635" s="22" t="s">
        <v>1464</v>
      </c>
      <c r="G1635" s="18"/>
      <c r="H1635" s="18"/>
      <c r="I1635" s="22" t="s">
        <v>1974</v>
      </c>
      <c r="J1635" s="14" t="s">
        <v>1975</v>
      </c>
      <c r="K1635" s="14" t="s">
        <v>1352</v>
      </c>
      <c r="L1635" s="15">
        <v>46048</v>
      </c>
      <c r="M1635" s="16">
        <v>2026</v>
      </c>
      <c r="S1635" s="9"/>
    </row>
    <row r="1636" spans="1:19" ht="15.6" hidden="1">
      <c r="A1636" s="5">
        <v>1635</v>
      </c>
      <c r="B1636" s="18"/>
      <c r="C1636" s="13"/>
      <c r="D1636" s="22" t="s">
        <v>2501</v>
      </c>
      <c r="E1636" s="22">
        <v>3130325007</v>
      </c>
      <c r="F1636" s="22" t="s">
        <v>1464</v>
      </c>
      <c r="G1636" s="18"/>
      <c r="H1636" s="18"/>
      <c r="I1636" s="22" t="s">
        <v>1974</v>
      </c>
      <c r="J1636" s="14" t="s">
        <v>1975</v>
      </c>
      <c r="K1636" s="14" t="s">
        <v>1352</v>
      </c>
      <c r="L1636" s="15">
        <v>46049</v>
      </c>
      <c r="M1636" s="16">
        <v>2026</v>
      </c>
      <c r="S1636" s="9"/>
    </row>
    <row r="1637" spans="1:19" ht="15.6" hidden="1">
      <c r="A1637" s="5">
        <v>1636</v>
      </c>
      <c r="B1637" s="18"/>
      <c r="C1637" s="13"/>
      <c r="D1637" s="22" t="s">
        <v>2502</v>
      </c>
      <c r="E1637" s="22">
        <v>3130325015</v>
      </c>
      <c r="F1637" s="22" t="s">
        <v>1464</v>
      </c>
      <c r="G1637" s="18"/>
      <c r="H1637" s="18"/>
      <c r="I1637" s="22" t="s">
        <v>1974</v>
      </c>
      <c r="J1637" s="14" t="s">
        <v>1975</v>
      </c>
      <c r="K1637" s="14" t="s">
        <v>1352</v>
      </c>
      <c r="L1637" s="15">
        <v>46050</v>
      </c>
      <c r="M1637" s="16">
        <v>2026</v>
      </c>
      <c r="S1637" s="9"/>
    </row>
    <row r="1638" spans="1:19" ht="15.6" hidden="1">
      <c r="A1638" s="5">
        <v>1637</v>
      </c>
      <c r="B1638" s="18"/>
      <c r="C1638" s="13"/>
      <c r="D1638" s="22" t="s">
        <v>219</v>
      </c>
      <c r="E1638" s="22">
        <v>3130322006</v>
      </c>
      <c r="F1638" s="22" t="s">
        <v>193</v>
      </c>
      <c r="G1638" s="18"/>
      <c r="H1638" s="18"/>
      <c r="I1638" s="22" t="s">
        <v>1974</v>
      </c>
      <c r="J1638" s="14" t="s">
        <v>1975</v>
      </c>
      <c r="K1638" s="14" t="s">
        <v>1352</v>
      </c>
      <c r="L1638" s="15">
        <v>46051</v>
      </c>
      <c r="M1638" s="16">
        <v>2026</v>
      </c>
      <c r="S1638" s="9"/>
    </row>
    <row r="1639" spans="1:19" ht="15.6" hidden="1">
      <c r="A1639" s="5">
        <v>1638</v>
      </c>
      <c r="B1639" s="18"/>
      <c r="C1639" s="13" t="s">
        <v>2503</v>
      </c>
      <c r="D1639" s="22" t="s">
        <v>2504</v>
      </c>
      <c r="E1639" s="22">
        <v>3130325011</v>
      </c>
      <c r="F1639" s="22" t="s">
        <v>1464</v>
      </c>
      <c r="G1639" s="18"/>
      <c r="H1639" s="18"/>
      <c r="I1639" s="22" t="s">
        <v>1974</v>
      </c>
      <c r="J1639" s="14" t="s">
        <v>1975</v>
      </c>
      <c r="K1639" s="14" t="s">
        <v>1352</v>
      </c>
      <c r="L1639" s="15">
        <v>46052</v>
      </c>
      <c r="M1639" s="16">
        <v>2026</v>
      </c>
      <c r="S1639" s="9"/>
    </row>
    <row r="1640" spans="1:19" ht="15.6" hidden="1">
      <c r="A1640" s="5">
        <v>1639</v>
      </c>
      <c r="B1640" s="18"/>
      <c r="C1640" s="13"/>
      <c r="D1640" s="22" t="s">
        <v>2505</v>
      </c>
      <c r="E1640" s="22">
        <v>3130325009</v>
      </c>
      <c r="F1640" s="22" t="s">
        <v>1464</v>
      </c>
      <c r="G1640" s="18"/>
      <c r="H1640" s="18"/>
      <c r="I1640" s="22" t="s">
        <v>1974</v>
      </c>
      <c r="J1640" s="14" t="s">
        <v>1975</v>
      </c>
      <c r="K1640" s="14" t="s">
        <v>1352</v>
      </c>
      <c r="L1640" s="15">
        <v>46053</v>
      </c>
      <c r="M1640" s="16">
        <v>2026</v>
      </c>
      <c r="S1640" s="9"/>
    </row>
    <row r="1641" spans="1:19" ht="15.6" hidden="1">
      <c r="A1641" s="5">
        <v>1640</v>
      </c>
      <c r="B1641" s="18"/>
      <c r="C1641" s="13"/>
      <c r="D1641" s="22" t="s">
        <v>2506</v>
      </c>
      <c r="E1641" s="22">
        <v>3130325018</v>
      </c>
      <c r="F1641" s="22" t="s">
        <v>1464</v>
      </c>
      <c r="G1641" s="18"/>
      <c r="H1641" s="18"/>
      <c r="I1641" s="22" t="s">
        <v>1974</v>
      </c>
      <c r="J1641" s="14" t="s">
        <v>1975</v>
      </c>
      <c r="K1641" s="14" t="s">
        <v>1352</v>
      </c>
      <c r="L1641" s="15">
        <v>46054</v>
      </c>
      <c r="M1641" s="16">
        <v>2026</v>
      </c>
      <c r="S1641" s="9"/>
    </row>
    <row r="1642" spans="1:19" ht="15.6" hidden="1">
      <c r="A1642" s="5">
        <v>1641</v>
      </c>
      <c r="B1642" s="18"/>
      <c r="C1642" s="13"/>
      <c r="D1642" s="22" t="s">
        <v>2507</v>
      </c>
      <c r="E1642" s="22">
        <v>3130325038</v>
      </c>
      <c r="F1642" s="22" t="s">
        <v>1464</v>
      </c>
      <c r="G1642" s="18"/>
      <c r="H1642" s="18"/>
      <c r="I1642" s="22" t="s">
        <v>1974</v>
      </c>
      <c r="J1642" s="14" t="s">
        <v>1975</v>
      </c>
      <c r="K1642" s="14" t="s">
        <v>1352</v>
      </c>
      <c r="L1642" s="15">
        <v>46055</v>
      </c>
      <c r="M1642" s="16">
        <v>2026</v>
      </c>
      <c r="S1642" s="9"/>
    </row>
    <row r="1643" spans="1:19" ht="15.6" hidden="1">
      <c r="A1643" s="5">
        <v>1642</v>
      </c>
      <c r="B1643" s="18"/>
      <c r="C1643" s="13"/>
      <c r="D1643" s="22" t="s">
        <v>2508</v>
      </c>
      <c r="E1643" s="22">
        <v>3130325022</v>
      </c>
      <c r="F1643" s="22" t="s">
        <v>1464</v>
      </c>
      <c r="G1643" s="18"/>
      <c r="H1643" s="18"/>
      <c r="I1643" s="22" t="s">
        <v>1974</v>
      </c>
      <c r="J1643" s="14" t="s">
        <v>1975</v>
      </c>
      <c r="K1643" s="14" t="s">
        <v>1352</v>
      </c>
      <c r="L1643" s="15">
        <v>46056</v>
      </c>
      <c r="M1643" s="16">
        <v>2026</v>
      </c>
      <c r="S1643" s="9"/>
    </row>
    <row r="1644" spans="1:19" ht="15.6" hidden="1">
      <c r="A1644" s="5">
        <v>1643</v>
      </c>
      <c r="B1644" s="18"/>
      <c r="C1644" s="13" t="s">
        <v>2509</v>
      </c>
      <c r="D1644" s="22" t="s">
        <v>2510</v>
      </c>
      <c r="E1644" s="22">
        <v>3130325006</v>
      </c>
      <c r="F1644" s="22" t="s">
        <v>1464</v>
      </c>
      <c r="G1644" s="18"/>
      <c r="H1644" s="18"/>
      <c r="I1644" s="22" t="s">
        <v>1974</v>
      </c>
      <c r="J1644" s="14" t="s">
        <v>1975</v>
      </c>
      <c r="K1644" s="14" t="s">
        <v>1352</v>
      </c>
      <c r="L1644" s="15">
        <v>46057</v>
      </c>
      <c r="M1644" s="16">
        <v>2026</v>
      </c>
      <c r="S1644" s="9"/>
    </row>
    <row r="1645" spans="1:19" ht="15.6" hidden="1">
      <c r="A1645" s="5">
        <v>1644</v>
      </c>
      <c r="B1645" s="18"/>
      <c r="C1645" s="13"/>
      <c r="D1645" s="22" t="s">
        <v>2511</v>
      </c>
      <c r="E1645" s="22">
        <v>3130325020</v>
      </c>
      <c r="F1645" s="22" t="s">
        <v>1464</v>
      </c>
      <c r="G1645" s="18"/>
      <c r="H1645" s="18"/>
      <c r="I1645" s="22" t="s">
        <v>1974</v>
      </c>
      <c r="J1645" s="14" t="s">
        <v>1975</v>
      </c>
      <c r="K1645" s="14" t="s">
        <v>1352</v>
      </c>
      <c r="L1645" s="15">
        <v>46058</v>
      </c>
      <c r="M1645" s="16">
        <v>2026</v>
      </c>
      <c r="S1645" s="9"/>
    </row>
    <row r="1646" spans="1:19" ht="15.6" hidden="1">
      <c r="A1646" s="5">
        <v>1645</v>
      </c>
      <c r="B1646" s="18"/>
      <c r="C1646" s="13"/>
      <c r="D1646" s="22" t="s">
        <v>2512</v>
      </c>
      <c r="E1646" s="22">
        <v>3130325021</v>
      </c>
      <c r="F1646" s="22" t="s">
        <v>1464</v>
      </c>
      <c r="G1646" s="18"/>
      <c r="H1646" s="18"/>
      <c r="I1646" s="22" t="s">
        <v>1974</v>
      </c>
      <c r="J1646" s="14" t="s">
        <v>1975</v>
      </c>
      <c r="K1646" s="14" t="s">
        <v>1352</v>
      </c>
      <c r="L1646" s="15">
        <v>46059</v>
      </c>
      <c r="M1646" s="16">
        <v>2026</v>
      </c>
      <c r="S1646" s="9"/>
    </row>
    <row r="1647" spans="1:19" ht="15.6" hidden="1">
      <c r="A1647" s="5">
        <v>1646</v>
      </c>
      <c r="B1647" s="18"/>
      <c r="C1647" s="13"/>
      <c r="D1647" s="22" t="s">
        <v>2513</v>
      </c>
      <c r="E1647" s="22">
        <v>3130325024</v>
      </c>
      <c r="F1647" s="22" t="s">
        <v>1464</v>
      </c>
      <c r="G1647" s="18"/>
      <c r="H1647" s="18"/>
      <c r="I1647" s="22" t="s">
        <v>1974</v>
      </c>
      <c r="J1647" s="14" t="s">
        <v>1975</v>
      </c>
      <c r="K1647" s="14" t="s">
        <v>1352</v>
      </c>
      <c r="L1647" s="15">
        <v>46060</v>
      </c>
      <c r="M1647" s="16">
        <v>2026</v>
      </c>
      <c r="S1647" s="9"/>
    </row>
    <row r="1648" spans="1:19" ht="15.6" hidden="1">
      <c r="A1648" s="5">
        <v>1647</v>
      </c>
      <c r="B1648" s="18"/>
      <c r="C1648" s="13"/>
      <c r="D1648" s="22" t="s">
        <v>2514</v>
      </c>
      <c r="E1648" s="22">
        <v>3130325025</v>
      </c>
      <c r="F1648" s="22" t="s">
        <v>1464</v>
      </c>
      <c r="G1648" s="18"/>
      <c r="H1648" s="18"/>
      <c r="I1648" s="22" t="s">
        <v>1974</v>
      </c>
      <c r="J1648" s="14" t="s">
        <v>1975</v>
      </c>
      <c r="K1648" s="14" t="s">
        <v>1352</v>
      </c>
      <c r="L1648" s="15">
        <v>46061</v>
      </c>
      <c r="M1648" s="16">
        <v>2026</v>
      </c>
      <c r="S1648" s="9"/>
    </row>
    <row r="1649" spans="1:19" ht="18" hidden="1">
      <c r="A1649" s="5">
        <v>1648</v>
      </c>
      <c r="B1649" s="18"/>
      <c r="C1649" s="13" t="s">
        <v>2515</v>
      </c>
      <c r="D1649" s="22" t="s">
        <v>2516</v>
      </c>
      <c r="E1649" s="22">
        <v>3140724004</v>
      </c>
      <c r="F1649" s="22" t="s">
        <v>2239</v>
      </c>
      <c r="G1649" s="18"/>
      <c r="H1649" s="18"/>
      <c r="I1649" s="22" t="s">
        <v>1974</v>
      </c>
      <c r="J1649" s="14" t="s">
        <v>1975</v>
      </c>
      <c r="K1649" s="14" t="s">
        <v>1352</v>
      </c>
      <c r="L1649" s="15">
        <v>46062</v>
      </c>
      <c r="M1649" s="16">
        <v>2026</v>
      </c>
      <c r="S1649" s="9"/>
    </row>
    <row r="1650" spans="1:19" ht="15.6" hidden="1">
      <c r="A1650" s="5">
        <v>1649</v>
      </c>
      <c r="B1650" s="18"/>
      <c r="C1650" s="13"/>
      <c r="D1650" s="22" t="s">
        <v>2517</v>
      </c>
      <c r="E1650" s="22">
        <v>3140724058</v>
      </c>
      <c r="F1650" s="22" t="s">
        <v>2239</v>
      </c>
      <c r="G1650" s="18"/>
      <c r="H1650" s="18"/>
      <c r="I1650" s="22" t="s">
        <v>1974</v>
      </c>
      <c r="J1650" s="14" t="s">
        <v>1975</v>
      </c>
      <c r="K1650" s="14" t="s">
        <v>1352</v>
      </c>
      <c r="L1650" s="15">
        <v>46063</v>
      </c>
      <c r="M1650" s="16">
        <v>2026</v>
      </c>
      <c r="S1650" s="9"/>
    </row>
    <row r="1651" spans="1:19" ht="15.6" hidden="1">
      <c r="A1651" s="5">
        <v>1650</v>
      </c>
      <c r="B1651" s="18"/>
      <c r="C1651" s="13"/>
      <c r="D1651" s="22" t="s">
        <v>377</v>
      </c>
      <c r="E1651" s="22">
        <v>3140122032</v>
      </c>
      <c r="F1651" s="22" t="s">
        <v>260</v>
      </c>
      <c r="G1651" s="18"/>
      <c r="H1651" s="18"/>
      <c r="I1651" s="22" t="s">
        <v>1974</v>
      </c>
      <c r="J1651" s="14" t="s">
        <v>1975</v>
      </c>
      <c r="K1651" s="14" t="s">
        <v>1352</v>
      </c>
      <c r="L1651" s="15">
        <v>46064</v>
      </c>
      <c r="M1651" s="16">
        <v>2026</v>
      </c>
      <c r="S1651" s="9"/>
    </row>
    <row r="1652" spans="1:19" ht="15.6" hidden="1">
      <c r="A1652" s="5">
        <v>1651</v>
      </c>
      <c r="B1652" s="18"/>
      <c r="C1652" s="13" t="s">
        <v>2518</v>
      </c>
      <c r="D1652" s="22" t="s">
        <v>157</v>
      </c>
      <c r="E1652" s="22">
        <v>3130123008</v>
      </c>
      <c r="F1652" s="22" t="s">
        <v>125</v>
      </c>
      <c r="G1652" s="18"/>
      <c r="H1652" s="18"/>
      <c r="I1652" s="22" t="s">
        <v>1974</v>
      </c>
      <c r="J1652" s="14" t="s">
        <v>1975</v>
      </c>
      <c r="K1652" s="14" t="s">
        <v>1352</v>
      </c>
      <c r="L1652" s="15">
        <v>46065</v>
      </c>
      <c r="M1652" s="16">
        <v>2026</v>
      </c>
      <c r="S1652" s="9"/>
    </row>
    <row r="1653" spans="1:19" ht="15.6" hidden="1">
      <c r="A1653" s="5">
        <v>1652</v>
      </c>
      <c r="B1653" s="18"/>
      <c r="C1653" s="13"/>
      <c r="D1653" s="22" t="s">
        <v>186</v>
      </c>
      <c r="E1653" s="22">
        <v>3130123006</v>
      </c>
      <c r="F1653" s="22" t="s">
        <v>125</v>
      </c>
      <c r="G1653" s="18"/>
      <c r="H1653" s="18"/>
      <c r="I1653" s="22" t="s">
        <v>1974</v>
      </c>
      <c r="J1653" s="14" t="s">
        <v>1975</v>
      </c>
      <c r="K1653" s="14" t="s">
        <v>1352</v>
      </c>
      <c r="L1653" s="15">
        <v>46066</v>
      </c>
      <c r="M1653" s="16">
        <v>2026</v>
      </c>
      <c r="S1653" s="9"/>
    </row>
    <row r="1654" spans="1:19" ht="15.6" hidden="1">
      <c r="A1654" s="5">
        <v>1653</v>
      </c>
      <c r="B1654" s="18"/>
      <c r="C1654" s="13"/>
      <c r="D1654" s="22" t="s">
        <v>164</v>
      </c>
      <c r="E1654" s="22">
        <v>3130123019</v>
      </c>
      <c r="F1654" s="22" t="s">
        <v>125</v>
      </c>
      <c r="G1654" s="18"/>
      <c r="H1654" s="18"/>
      <c r="I1654" s="22" t="s">
        <v>1974</v>
      </c>
      <c r="J1654" s="14" t="s">
        <v>1975</v>
      </c>
      <c r="K1654" s="14" t="s">
        <v>1352</v>
      </c>
      <c r="L1654" s="15">
        <v>46067</v>
      </c>
      <c r="M1654" s="16">
        <v>2026</v>
      </c>
      <c r="S1654" s="9"/>
    </row>
    <row r="1655" spans="1:19" ht="15.6" hidden="1">
      <c r="A1655" s="5">
        <v>1654</v>
      </c>
      <c r="B1655" s="18"/>
      <c r="C1655" s="13"/>
      <c r="D1655" s="22" t="s">
        <v>1476</v>
      </c>
      <c r="E1655" s="22">
        <v>3130123020</v>
      </c>
      <c r="F1655" s="22" t="s">
        <v>125</v>
      </c>
      <c r="G1655" s="18"/>
      <c r="H1655" s="18"/>
      <c r="I1655" s="22" t="s">
        <v>1974</v>
      </c>
      <c r="J1655" s="14" t="s">
        <v>1975</v>
      </c>
      <c r="K1655" s="14" t="s">
        <v>1352</v>
      </c>
      <c r="L1655" s="15">
        <v>46068</v>
      </c>
      <c r="M1655" s="16">
        <v>2026</v>
      </c>
      <c r="S1655" s="9"/>
    </row>
    <row r="1656" spans="1:19" ht="15.6" hidden="1">
      <c r="A1656" s="5">
        <v>1655</v>
      </c>
      <c r="B1656" s="18"/>
      <c r="C1656" s="13" t="s">
        <v>2519</v>
      </c>
      <c r="D1656" s="22" t="s">
        <v>124</v>
      </c>
      <c r="E1656" s="22">
        <v>3130123024</v>
      </c>
      <c r="F1656" s="22" t="s">
        <v>125</v>
      </c>
      <c r="G1656" s="18"/>
      <c r="H1656" s="18"/>
      <c r="I1656" s="22" t="s">
        <v>1974</v>
      </c>
      <c r="J1656" s="14" t="s">
        <v>1975</v>
      </c>
      <c r="K1656" s="14" t="s">
        <v>1352</v>
      </c>
      <c r="L1656" s="15">
        <v>46069</v>
      </c>
      <c r="M1656" s="16">
        <v>2026</v>
      </c>
      <c r="S1656" s="9"/>
    </row>
    <row r="1657" spans="1:19" ht="15.6" hidden="1">
      <c r="A1657" s="5">
        <v>1656</v>
      </c>
      <c r="B1657" s="18"/>
      <c r="C1657" s="13"/>
      <c r="D1657" s="22" t="s">
        <v>126</v>
      </c>
      <c r="E1657" s="22">
        <v>3130123021</v>
      </c>
      <c r="F1657" s="22" t="s">
        <v>125</v>
      </c>
      <c r="G1657" s="18"/>
      <c r="H1657" s="18"/>
      <c r="I1657" s="22" t="s">
        <v>1974</v>
      </c>
      <c r="J1657" s="14" t="s">
        <v>1975</v>
      </c>
      <c r="K1657" s="14" t="s">
        <v>1352</v>
      </c>
      <c r="L1657" s="15">
        <v>46070</v>
      </c>
      <c r="M1657" s="16">
        <v>2026</v>
      </c>
      <c r="S1657" s="9"/>
    </row>
    <row r="1658" spans="1:19" ht="15.6" hidden="1">
      <c r="A1658" s="5">
        <v>1657</v>
      </c>
      <c r="B1658" s="18"/>
      <c r="C1658" s="13"/>
      <c r="D1658" s="22" t="s">
        <v>127</v>
      </c>
      <c r="E1658" s="22">
        <v>3130123001</v>
      </c>
      <c r="F1658" s="22" t="s">
        <v>125</v>
      </c>
      <c r="G1658" s="18"/>
      <c r="H1658" s="18"/>
      <c r="I1658" s="22" t="s">
        <v>1974</v>
      </c>
      <c r="J1658" s="14" t="s">
        <v>1975</v>
      </c>
      <c r="K1658" s="14" t="s">
        <v>1352</v>
      </c>
      <c r="L1658" s="15">
        <v>46071</v>
      </c>
      <c r="M1658" s="16">
        <v>2026</v>
      </c>
      <c r="S1658" s="9"/>
    </row>
    <row r="1659" spans="1:19" ht="15.6" hidden="1">
      <c r="A1659" s="5">
        <v>1658</v>
      </c>
      <c r="B1659" s="18"/>
      <c r="C1659" s="13"/>
      <c r="D1659" s="22" t="s">
        <v>2520</v>
      </c>
      <c r="E1659" s="22">
        <v>3130123007</v>
      </c>
      <c r="F1659" s="22" t="s">
        <v>125</v>
      </c>
      <c r="G1659" s="18"/>
      <c r="H1659" s="18"/>
      <c r="I1659" s="22" t="s">
        <v>1974</v>
      </c>
      <c r="J1659" s="14" t="s">
        <v>1975</v>
      </c>
      <c r="K1659" s="14" t="s">
        <v>1352</v>
      </c>
      <c r="L1659" s="15">
        <v>46072</v>
      </c>
      <c r="M1659" s="16">
        <v>2026</v>
      </c>
      <c r="S1659" s="9"/>
    </row>
    <row r="1660" spans="1:19" ht="15.6" hidden="1">
      <c r="A1660" s="5">
        <v>1659</v>
      </c>
      <c r="B1660" s="18"/>
      <c r="C1660" s="13"/>
      <c r="D1660" s="22" t="s">
        <v>210</v>
      </c>
      <c r="E1660" s="22">
        <v>3130123013</v>
      </c>
      <c r="F1660" s="22" t="s">
        <v>125</v>
      </c>
      <c r="G1660" s="18"/>
      <c r="H1660" s="18"/>
      <c r="I1660" s="22" t="s">
        <v>1974</v>
      </c>
      <c r="J1660" s="14" t="s">
        <v>1975</v>
      </c>
      <c r="K1660" s="14" t="s">
        <v>1352</v>
      </c>
      <c r="L1660" s="15">
        <v>46073</v>
      </c>
      <c r="M1660" s="16">
        <v>2026</v>
      </c>
      <c r="S1660" s="9"/>
    </row>
    <row r="1661" spans="1:19" ht="15.6" hidden="1">
      <c r="A1661" s="5">
        <v>1660</v>
      </c>
      <c r="B1661" s="18"/>
      <c r="C1661" s="13" t="s">
        <v>2521</v>
      </c>
      <c r="D1661" s="22" t="s">
        <v>2522</v>
      </c>
      <c r="E1661" s="22">
        <v>3140123011</v>
      </c>
      <c r="F1661" s="22" t="s">
        <v>324</v>
      </c>
      <c r="G1661" s="18"/>
      <c r="H1661" s="18"/>
      <c r="I1661" s="22" t="s">
        <v>1974</v>
      </c>
      <c r="J1661" s="14" t="s">
        <v>1975</v>
      </c>
      <c r="K1661" s="14" t="s">
        <v>1352</v>
      </c>
      <c r="L1661" s="15">
        <v>46074</v>
      </c>
      <c r="M1661" s="16">
        <v>2026</v>
      </c>
      <c r="S1661" s="9"/>
    </row>
    <row r="1662" spans="1:19" ht="15.6" hidden="1">
      <c r="A1662" s="5">
        <v>1661</v>
      </c>
      <c r="B1662" s="18"/>
      <c r="C1662" s="13"/>
      <c r="D1662" s="22" t="s">
        <v>2523</v>
      </c>
      <c r="E1662" s="22">
        <v>3140123001</v>
      </c>
      <c r="F1662" s="22" t="s">
        <v>324</v>
      </c>
      <c r="G1662" s="18"/>
      <c r="H1662" s="18"/>
      <c r="I1662" s="22" t="s">
        <v>1974</v>
      </c>
      <c r="J1662" s="14" t="s">
        <v>1975</v>
      </c>
      <c r="K1662" s="14" t="s">
        <v>1352</v>
      </c>
      <c r="L1662" s="15">
        <v>46075</v>
      </c>
      <c r="M1662" s="16">
        <v>2026</v>
      </c>
      <c r="S1662" s="9"/>
    </row>
    <row r="1663" spans="1:19" ht="15.6" hidden="1">
      <c r="A1663" s="5">
        <v>1662</v>
      </c>
      <c r="B1663" s="18"/>
      <c r="C1663" s="13"/>
      <c r="D1663" s="22" t="s">
        <v>2524</v>
      </c>
      <c r="E1663" s="22">
        <v>3140123003</v>
      </c>
      <c r="F1663" s="22" t="s">
        <v>324</v>
      </c>
      <c r="G1663" s="18"/>
      <c r="H1663" s="18"/>
      <c r="I1663" s="22" t="s">
        <v>1974</v>
      </c>
      <c r="J1663" s="14" t="s">
        <v>1975</v>
      </c>
      <c r="K1663" s="14" t="s">
        <v>1352</v>
      </c>
      <c r="L1663" s="15">
        <v>46076</v>
      </c>
      <c r="M1663" s="16">
        <v>2026</v>
      </c>
      <c r="S1663" s="9"/>
    </row>
    <row r="1664" spans="1:19" ht="15.6" hidden="1">
      <c r="A1664" s="5">
        <v>1663</v>
      </c>
      <c r="B1664" s="18"/>
      <c r="C1664" s="13"/>
      <c r="D1664" s="22" t="s">
        <v>2525</v>
      </c>
      <c r="E1664" s="22">
        <v>3140123006</v>
      </c>
      <c r="F1664" s="22" t="s">
        <v>324</v>
      </c>
      <c r="G1664" s="18"/>
      <c r="H1664" s="18"/>
      <c r="I1664" s="22" t="s">
        <v>1974</v>
      </c>
      <c r="J1664" s="14" t="s">
        <v>1975</v>
      </c>
      <c r="K1664" s="14" t="s">
        <v>1352</v>
      </c>
      <c r="L1664" s="15">
        <v>46077</v>
      </c>
      <c r="M1664" s="16">
        <v>2026</v>
      </c>
      <c r="S1664" s="9"/>
    </row>
    <row r="1665" spans="1:19" ht="15.6" hidden="1">
      <c r="A1665" s="5">
        <v>1664</v>
      </c>
      <c r="B1665" s="18"/>
      <c r="C1665" s="13" t="s">
        <v>2526</v>
      </c>
      <c r="D1665" s="22" t="s">
        <v>2527</v>
      </c>
      <c r="E1665" s="22">
        <v>3140722075</v>
      </c>
      <c r="F1665" s="22" t="s">
        <v>141</v>
      </c>
      <c r="G1665" s="18"/>
      <c r="H1665" s="18"/>
      <c r="I1665" s="22" t="s">
        <v>1974</v>
      </c>
      <c r="J1665" s="14" t="s">
        <v>1975</v>
      </c>
      <c r="K1665" s="14" t="s">
        <v>1352</v>
      </c>
      <c r="L1665" s="15">
        <v>46078</v>
      </c>
      <c r="M1665" s="16">
        <v>2026</v>
      </c>
      <c r="S1665" s="9"/>
    </row>
    <row r="1666" spans="1:19" ht="15.6" hidden="1">
      <c r="A1666" s="5">
        <v>1665</v>
      </c>
      <c r="B1666" s="18"/>
      <c r="C1666" s="13"/>
      <c r="D1666" s="22" t="s">
        <v>2528</v>
      </c>
      <c r="E1666" s="22">
        <v>3140722106</v>
      </c>
      <c r="F1666" s="22" t="s">
        <v>132</v>
      </c>
      <c r="G1666" s="18"/>
      <c r="H1666" s="18"/>
      <c r="I1666" s="22" t="s">
        <v>1974</v>
      </c>
      <c r="J1666" s="14" t="s">
        <v>1975</v>
      </c>
      <c r="K1666" s="14" t="s">
        <v>1352</v>
      </c>
      <c r="L1666" s="15">
        <v>46079</v>
      </c>
      <c r="M1666" s="16">
        <v>2026</v>
      </c>
      <c r="S1666" s="9"/>
    </row>
    <row r="1667" spans="1:19" ht="15.6" hidden="1">
      <c r="A1667" s="5">
        <v>1666</v>
      </c>
      <c r="B1667" s="18"/>
      <c r="C1667" s="13"/>
      <c r="D1667" s="22" t="s">
        <v>2529</v>
      </c>
      <c r="E1667" s="22">
        <v>3140722046</v>
      </c>
      <c r="F1667" s="22" t="s">
        <v>141</v>
      </c>
      <c r="G1667" s="18"/>
      <c r="H1667" s="18"/>
      <c r="I1667" s="22" t="s">
        <v>1974</v>
      </c>
      <c r="J1667" s="14" t="s">
        <v>1975</v>
      </c>
      <c r="K1667" s="14" t="s">
        <v>1352</v>
      </c>
      <c r="L1667" s="15">
        <v>46080</v>
      </c>
      <c r="M1667" s="16">
        <v>2026</v>
      </c>
      <c r="S1667" s="9"/>
    </row>
    <row r="1668" spans="1:19" ht="15.6" hidden="1">
      <c r="A1668" s="5">
        <v>1667</v>
      </c>
      <c r="B1668" s="18"/>
      <c r="C1668" s="13" t="s">
        <v>2530</v>
      </c>
      <c r="D1668" s="22" t="s">
        <v>170</v>
      </c>
      <c r="E1668" s="22">
        <v>3140722073</v>
      </c>
      <c r="F1668" s="22" t="s">
        <v>141</v>
      </c>
      <c r="G1668" s="18"/>
      <c r="H1668" s="18"/>
      <c r="I1668" s="22" t="s">
        <v>1974</v>
      </c>
      <c r="J1668" s="14" t="s">
        <v>1975</v>
      </c>
      <c r="K1668" s="14" t="s">
        <v>1352</v>
      </c>
      <c r="L1668" s="15">
        <v>46081</v>
      </c>
      <c r="M1668" s="16">
        <v>2026</v>
      </c>
      <c r="S1668" s="9"/>
    </row>
    <row r="1669" spans="1:19" ht="15.6" hidden="1">
      <c r="A1669" s="5">
        <v>1668</v>
      </c>
      <c r="B1669" s="18"/>
      <c r="C1669" s="13"/>
      <c r="D1669" s="22" t="s">
        <v>344</v>
      </c>
      <c r="E1669" s="22">
        <v>3140722075</v>
      </c>
      <c r="F1669" s="22" t="s">
        <v>132</v>
      </c>
      <c r="G1669" s="18"/>
      <c r="H1669" s="18"/>
      <c r="I1669" s="22" t="s">
        <v>1974</v>
      </c>
      <c r="J1669" s="14" t="s">
        <v>1975</v>
      </c>
      <c r="K1669" s="14" t="s">
        <v>1352</v>
      </c>
      <c r="L1669" s="15">
        <v>46082</v>
      </c>
      <c r="M1669" s="16">
        <v>2026</v>
      </c>
      <c r="S1669" s="9"/>
    </row>
    <row r="1670" spans="1:19" ht="15.6" hidden="1">
      <c r="A1670" s="5">
        <v>1669</v>
      </c>
      <c r="B1670" s="18"/>
      <c r="C1670" s="13"/>
      <c r="D1670" s="22" t="s">
        <v>301</v>
      </c>
      <c r="E1670" s="22">
        <v>3140722096</v>
      </c>
      <c r="F1670" s="22" t="s">
        <v>141</v>
      </c>
      <c r="G1670" s="18"/>
      <c r="H1670" s="18"/>
      <c r="I1670" s="22" t="s">
        <v>1974</v>
      </c>
      <c r="J1670" s="14" t="s">
        <v>1975</v>
      </c>
      <c r="K1670" s="14" t="s">
        <v>1352</v>
      </c>
      <c r="L1670" s="15">
        <v>46083</v>
      </c>
      <c r="M1670" s="16">
        <v>2026</v>
      </c>
      <c r="S1670" s="9"/>
    </row>
    <row r="1671" spans="1:19" ht="15.6" hidden="1">
      <c r="A1671" s="5">
        <v>1670</v>
      </c>
      <c r="B1671" s="18"/>
      <c r="C1671" s="13" t="s">
        <v>2531</v>
      </c>
      <c r="D1671" s="22" t="s">
        <v>142</v>
      </c>
      <c r="E1671" s="22">
        <v>3140722118</v>
      </c>
      <c r="F1671" s="22" t="s">
        <v>141</v>
      </c>
      <c r="G1671" s="18"/>
      <c r="H1671" s="18"/>
      <c r="I1671" s="22" t="s">
        <v>1974</v>
      </c>
      <c r="J1671" s="14" t="s">
        <v>1975</v>
      </c>
      <c r="K1671" s="14" t="s">
        <v>1352</v>
      </c>
      <c r="L1671" s="15">
        <v>46084</v>
      </c>
      <c r="M1671" s="16">
        <v>2026</v>
      </c>
      <c r="S1671" s="9"/>
    </row>
    <row r="1672" spans="1:19" ht="15.6" hidden="1">
      <c r="A1672" s="5">
        <v>1671</v>
      </c>
      <c r="B1672" s="18"/>
      <c r="C1672" s="13"/>
      <c r="D1672" s="22" t="s">
        <v>2532</v>
      </c>
      <c r="E1672" s="22">
        <v>3140722120</v>
      </c>
      <c r="F1672" s="22" t="s">
        <v>132</v>
      </c>
      <c r="G1672" s="18"/>
      <c r="H1672" s="18"/>
      <c r="I1672" s="22" t="s">
        <v>1974</v>
      </c>
      <c r="J1672" s="14" t="s">
        <v>1975</v>
      </c>
      <c r="K1672" s="14" t="s">
        <v>1352</v>
      </c>
      <c r="L1672" s="15">
        <v>46085</v>
      </c>
      <c r="M1672" s="16">
        <v>2026</v>
      </c>
      <c r="S1672" s="9"/>
    </row>
    <row r="1673" spans="1:19" ht="15.6" hidden="1">
      <c r="A1673" s="5">
        <v>1672</v>
      </c>
      <c r="B1673" s="18"/>
      <c r="C1673" s="13" t="s">
        <v>2533</v>
      </c>
      <c r="D1673" s="22" t="s">
        <v>166</v>
      </c>
      <c r="E1673" s="22">
        <v>3140722054</v>
      </c>
      <c r="F1673" s="22" t="s">
        <v>141</v>
      </c>
      <c r="G1673" s="18"/>
      <c r="H1673" s="18"/>
      <c r="I1673" s="22" t="s">
        <v>1974</v>
      </c>
      <c r="J1673" s="14" t="s">
        <v>1975</v>
      </c>
      <c r="K1673" s="14" t="s">
        <v>1352</v>
      </c>
      <c r="L1673" s="15">
        <v>46086</v>
      </c>
      <c r="M1673" s="16">
        <v>2026</v>
      </c>
      <c r="S1673" s="9"/>
    </row>
    <row r="1674" spans="1:19" ht="15.6" hidden="1">
      <c r="A1674" s="5">
        <v>1673</v>
      </c>
      <c r="B1674" s="18"/>
      <c r="C1674" s="13"/>
      <c r="D1674" s="22" t="s">
        <v>194</v>
      </c>
      <c r="E1674" s="22">
        <v>3130122017</v>
      </c>
      <c r="F1674" s="22" t="s">
        <v>121</v>
      </c>
      <c r="G1674" s="18"/>
      <c r="H1674" s="18"/>
      <c r="I1674" s="22" t="s">
        <v>1974</v>
      </c>
      <c r="J1674" s="14" t="s">
        <v>1975</v>
      </c>
      <c r="K1674" s="14" t="s">
        <v>1352</v>
      </c>
      <c r="L1674" s="15">
        <v>46087</v>
      </c>
      <c r="M1674" s="16">
        <v>2026</v>
      </c>
      <c r="S1674" s="9"/>
    </row>
    <row r="1675" spans="1:19" ht="15.6" hidden="1">
      <c r="A1675" s="5">
        <v>1674</v>
      </c>
      <c r="B1675" s="18"/>
      <c r="C1675" s="13"/>
      <c r="D1675" s="22" t="s">
        <v>168</v>
      </c>
      <c r="E1675" s="22">
        <v>3140722039</v>
      </c>
      <c r="F1675" s="22" t="s">
        <v>141</v>
      </c>
      <c r="G1675" s="18"/>
      <c r="H1675" s="18"/>
      <c r="I1675" s="22" t="s">
        <v>1974</v>
      </c>
      <c r="J1675" s="14" t="s">
        <v>1975</v>
      </c>
      <c r="K1675" s="14" t="s">
        <v>1352</v>
      </c>
      <c r="L1675" s="15">
        <v>46088</v>
      </c>
      <c r="M1675" s="16">
        <v>2026</v>
      </c>
      <c r="S1675" s="9"/>
    </row>
    <row r="1676" spans="1:19" ht="15.6" hidden="1">
      <c r="A1676" s="5">
        <v>1675</v>
      </c>
      <c r="B1676" s="18"/>
      <c r="C1676" s="13"/>
      <c r="D1676" s="22" t="s">
        <v>232</v>
      </c>
      <c r="E1676" s="22">
        <v>3130122008</v>
      </c>
      <c r="F1676" s="22" t="s">
        <v>121</v>
      </c>
      <c r="G1676" s="18"/>
      <c r="H1676" s="18"/>
      <c r="I1676" s="22" t="s">
        <v>1974</v>
      </c>
      <c r="J1676" s="14" t="s">
        <v>1975</v>
      </c>
      <c r="K1676" s="14" t="s">
        <v>1352</v>
      </c>
      <c r="L1676" s="15">
        <v>46089</v>
      </c>
      <c r="M1676" s="16">
        <v>2026</v>
      </c>
      <c r="S1676" s="9"/>
    </row>
    <row r="1677" spans="1:19" ht="18.600000000000001" hidden="1">
      <c r="A1677" s="5">
        <v>1676</v>
      </c>
      <c r="B1677" s="18"/>
      <c r="C1677" s="13" t="s">
        <v>2534</v>
      </c>
      <c r="D1677" s="22" t="s">
        <v>2535</v>
      </c>
      <c r="E1677" s="22">
        <v>3140722085</v>
      </c>
      <c r="F1677" s="22" t="s">
        <v>132</v>
      </c>
      <c r="G1677" s="18"/>
      <c r="H1677" s="18"/>
      <c r="I1677" s="22" t="s">
        <v>1974</v>
      </c>
      <c r="J1677" s="14" t="s">
        <v>1975</v>
      </c>
      <c r="K1677" s="14" t="s">
        <v>1352</v>
      </c>
      <c r="L1677" s="15">
        <v>46090</v>
      </c>
      <c r="M1677" s="16">
        <v>2026</v>
      </c>
      <c r="S1677" s="9"/>
    </row>
    <row r="1678" spans="1:19" ht="15.6" hidden="1">
      <c r="A1678" s="5">
        <v>1677</v>
      </c>
      <c r="B1678" s="18"/>
      <c r="C1678" s="13"/>
      <c r="D1678" s="22" t="s">
        <v>2536</v>
      </c>
      <c r="E1678" s="22">
        <v>3140722015</v>
      </c>
      <c r="F1678" s="22" t="s">
        <v>132</v>
      </c>
      <c r="G1678" s="18"/>
      <c r="H1678" s="18"/>
      <c r="I1678" s="22" t="s">
        <v>1974</v>
      </c>
      <c r="J1678" s="14" t="s">
        <v>1975</v>
      </c>
      <c r="K1678" s="14" t="s">
        <v>1352</v>
      </c>
      <c r="L1678" s="15">
        <v>46091</v>
      </c>
      <c r="M1678" s="16">
        <v>2026</v>
      </c>
      <c r="S1678" s="9"/>
    </row>
    <row r="1679" spans="1:19" ht="15.6" hidden="1">
      <c r="A1679" s="5">
        <v>1678</v>
      </c>
      <c r="B1679" s="18"/>
      <c r="C1679" s="13"/>
      <c r="D1679" s="22" t="s">
        <v>2537</v>
      </c>
      <c r="E1679" s="22">
        <v>3130122037</v>
      </c>
      <c r="F1679" s="22" t="s">
        <v>121</v>
      </c>
      <c r="G1679" s="18"/>
      <c r="H1679" s="18"/>
      <c r="I1679" s="22" t="s">
        <v>1974</v>
      </c>
      <c r="J1679" s="14" t="s">
        <v>1975</v>
      </c>
      <c r="K1679" s="14" t="s">
        <v>1352</v>
      </c>
      <c r="L1679" s="15">
        <v>46092</v>
      </c>
      <c r="M1679" s="16">
        <v>2026</v>
      </c>
      <c r="S1679" s="9"/>
    </row>
    <row r="1680" spans="1:19" ht="15.6" hidden="1">
      <c r="A1680" s="5">
        <v>1679</v>
      </c>
      <c r="B1680" s="18"/>
      <c r="C1680" s="13" t="s">
        <v>2538</v>
      </c>
      <c r="D1680" s="22" t="s">
        <v>2539</v>
      </c>
      <c r="E1680" s="22">
        <v>3140124019</v>
      </c>
      <c r="F1680" s="22" t="s">
        <v>2540</v>
      </c>
      <c r="G1680" s="18"/>
      <c r="H1680" s="18"/>
      <c r="I1680" s="22" t="s">
        <v>1974</v>
      </c>
      <c r="J1680" s="14" t="s">
        <v>1975</v>
      </c>
      <c r="K1680" s="14" t="s">
        <v>1352</v>
      </c>
      <c r="L1680" s="15">
        <v>46093</v>
      </c>
      <c r="M1680" s="16">
        <v>2026</v>
      </c>
      <c r="S1680" s="9"/>
    </row>
    <row r="1681" spans="1:19" ht="15.6" hidden="1">
      <c r="A1681" s="5">
        <v>1680</v>
      </c>
      <c r="B1681" s="18"/>
      <c r="C1681" s="13"/>
      <c r="D1681" s="22" t="s">
        <v>2541</v>
      </c>
      <c r="E1681" s="22">
        <v>3140724033</v>
      </c>
      <c r="F1681" s="22" t="s">
        <v>2239</v>
      </c>
      <c r="G1681" s="18"/>
      <c r="H1681" s="18"/>
      <c r="I1681" s="22" t="s">
        <v>1974</v>
      </c>
      <c r="J1681" s="14" t="s">
        <v>1975</v>
      </c>
      <c r="K1681" s="14" t="s">
        <v>1352</v>
      </c>
      <c r="L1681" s="15">
        <v>46094</v>
      </c>
      <c r="M1681" s="16">
        <v>2026</v>
      </c>
      <c r="S1681" s="9"/>
    </row>
    <row r="1682" spans="1:19" ht="15.6" hidden="1">
      <c r="A1682" s="5">
        <v>1681</v>
      </c>
      <c r="B1682" s="18"/>
      <c r="C1682" s="13"/>
      <c r="D1682" s="22" t="s">
        <v>2542</v>
      </c>
      <c r="E1682" s="22">
        <v>3140123008</v>
      </c>
      <c r="F1682" s="22" t="s">
        <v>324</v>
      </c>
      <c r="G1682" s="18"/>
      <c r="H1682" s="18"/>
      <c r="I1682" s="22" t="s">
        <v>1974</v>
      </c>
      <c r="J1682" s="14" t="s">
        <v>1975</v>
      </c>
      <c r="K1682" s="14" t="s">
        <v>1352</v>
      </c>
      <c r="L1682" s="15">
        <v>46095</v>
      </c>
      <c r="M1682" s="16">
        <v>2026</v>
      </c>
      <c r="S1682" s="9"/>
    </row>
    <row r="1683" spans="1:19" ht="15.6" hidden="1">
      <c r="A1683" s="5">
        <v>1682</v>
      </c>
      <c r="B1683" s="18"/>
      <c r="C1683" s="13"/>
      <c r="D1683" s="22" t="s">
        <v>2543</v>
      </c>
      <c r="E1683" s="22">
        <v>3140123005</v>
      </c>
      <c r="F1683" s="22" t="s">
        <v>324</v>
      </c>
      <c r="G1683" s="18"/>
      <c r="H1683" s="18"/>
      <c r="I1683" s="22" t="s">
        <v>1974</v>
      </c>
      <c r="J1683" s="14" t="s">
        <v>1975</v>
      </c>
      <c r="K1683" s="14" t="s">
        <v>1352</v>
      </c>
      <c r="L1683" s="15">
        <v>46096</v>
      </c>
      <c r="M1683" s="16">
        <v>2026</v>
      </c>
      <c r="S1683" s="9"/>
    </row>
    <row r="1684" spans="1:19" ht="18" hidden="1">
      <c r="A1684" s="5">
        <v>1683</v>
      </c>
      <c r="B1684" s="18"/>
      <c r="C1684" s="13" t="s">
        <v>2544</v>
      </c>
      <c r="D1684" s="22" t="s">
        <v>2516</v>
      </c>
      <c r="E1684" s="22">
        <v>3140724004</v>
      </c>
      <c r="F1684" s="22" t="s">
        <v>2239</v>
      </c>
      <c r="G1684" s="18"/>
      <c r="H1684" s="18"/>
      <c r="I1684" s="22" t="s">
        <v>1974</v>
      </c>
      <c r="J1684" s="14" t="s">
        <v>1975</v>
      </c>
      <c r="K1684" s="14" t="s">
        <v>1352</v>
      </c>
      <c r="L1684" s="15">
        <v>46097</v>
      </c>
      <c r="M1684" s="16">
        <v>2026</v>
      </c>
      <c r="S1684" s="9"/>
    </row>
    <row r="1685" spans="1:19" ht="15.6" hidden="1">
      <c r="A1685" s="5">
        <v>1684</v>
      </c>
      <c r="B1685" s="18"/>
      <c r="C1685" s="13"/>
      <c r="D1685" s="22" t="s">
        <v>2517</v>
      </c>
      <c r="E1685" s="22">
        <v>3140724058</v>
      </c>
      <c r="F1685" s="22" t="s">
        <v>2239</v>
      </c>
      <c r="G1685" s="18"/>
      <c r="H1685" s="18"/>
      <c r="I1685" s="22" t="s">
        <v>1974</v>
      </c>
      <c r="J1685" s="14" t="s">
        <v>1975</v>
      </c>
      <c r="K1685" s="14" t="s">
        <v>1352</v>
      </c>
      <c r="L1685" s="15">
        <v>46098</v>
      </c>
      <c r="M1685" s="16">
        <v>2026</v>
      </c>
      <c r="S1685" s="9"/>
    </row>
    <row r="1686" spans="1:19" ht="15.6" hidden="1">
      <c r="A1686" s="5">
        <v>1685</v>
      </c>
      <c r="B1686" s="18"/>
      <c r="C1686" s="13"/>
      <c r="D1686" s="22" t="s">
        <v>377</v>
      </c>
      <c r="E1686" s="22">
        <v>3140122032</v>
      </c>
      <c r="F1686" s="22" t="s">
        <v>260</v>
      </c>
      <c r="G1686" s="18"/>
      <c r="H1686" s="18"/>
      <c r="I1686" s="22" t="s">
        <v>1974</v>
      </c>
      <c r="J1686" s="14" t="s">
        <v>1975</v>
      </c>
      <c r="K1686" s="14" t="s">
        <v>1352</v>
      </c>
      <c r="L1686" s="15">
        <v>46099</v>
      </c>
      <c r="M1686" s="16">
        <v>2026</v>
      </c>
      <c r="S1686" s="9"/>
    </row>
    <row r="1687" spans="1:19" ht="15.6" hidden="1">
      <c r="A1687" s="5">
        <v>1686</v>
      </c>
      <c r="B1687" s="18"/>
      <c r="C1687" s="13" t="s">
        <v>2545</v>
      </c>
      <c r="D1687" s="22" t="s">
        <v>2546</v>
      </c>
      <c r="E1687" s="22">
        <v>3140723032</v>
      </c>
      <c r="F1687" s="22" t="s">
        <v>822</v>
      </c>
      <c r="G1687" s="18"/>
      <c r="H1687" s="18"/>
      <c r="I1687" s="22" t="s">
        <v>1974</v>
      </c>
      <c r="J1687" s="14" t="s">
        <v>1975</v>
      </c>
      <c r="K1687" s="14" t="s">
        <v>1352</v>
      </c>
      <c r="L1687" s="15">
        <v>46100</v>
      </c>
      <c r="M1687" s="16">
        <v>2026</v>
      </c>
      <c r="S1687" s="9"/>
    </row>
    <row r="1688" spans="1:19" ht="15.6" hidden="1">
      <c r="A1688" s="5">
        <v>1687</v>
      </c>
      <c r="B1688" s="18"/>
      <c r="C1688" s="13"/>
      <c r="D1688" s="22" t="s">
        <v>2547</v>
      </c>
      <c r="E1688" s="22">
        <v>3140723113</v>
      </c>
      <c r="F1688" s="22" t="s">
        <v>2480</v>
      </c>
      <c r="G1688" s="18"/>
      <c r="H1688" s="18"/>
      <c r="I1688" s="22" t="s">
        <v>1974</v>
      </c>
      <c r="J1688" s="14" t="s">
        <v>1975</v>
      </c>
      <c r="K1688" s="14" t="s">
        <v>1352</v>
      </c>
      <c r="L1688" s="15">
        <v>46101</v>
      </c>
      <c r="M1688" s="16">
        <v>2026</v>
      </c>
      <c r="S1688" s="9"/>
    </row>
    <row r="1689" spans="1:19" ht="15.6" hidden="1">
      <c r="A1689" s="5">
        <v>1688</v>
      </c>
      <c r="B1689" s="18"/>
      <c r="C1689" s="13"/>
      <c r="D1689" s="22" t="s">
        <v>869</v>
      </c>
      <c r="E1689" s="22">
        <v>3140723105</v>
      </c>
      <c r="F1689" s="22" t="s">
        <v>822</v>
      </c>
      <c r="G1689" s="18"/>
      <c r="H1689" s="18"/>
      <c r="I1689" s="22" t="s">
        <v>1974</v>
      </c>
      <c r="J1689" s="14" t="s">
        <v>1975</v>
      </c>
      <c r="K1689" s="14" t="s">
        <v>1352</v>
      </c>
      <c r="L1689" s="15">
        <v>46102</v>
      </c>
      <c r="M1689" s="16">
        <v>2026</v>
      </c>
      <c r="S1689" s="9"/>
    </row>
    <row r="1690" spans="1:19" ht="15.6" hidden="1">
      <c r="A1690" s="5">
        <v>1689</v>
      </c>
      <c r="B1690" s="18"/>
      <c r="C1690" s="13" t="s">
        <v>2548</v>
      </c>
      <c r="D1690" s="22" t="s">
        <v>209</v>
      </c>
      <c r="E1690" s="22">
        <v>3130124014</v>
      </c>
      <c r="F1690" s="22" t="s">
        <v>173</v>
      </c>
      <c r="G1690" s="18"/>
      <c r="H1690" s="18"/>
      <c r="I1690" s="22" t="s">
        <v>1974</v>
      </c>
      <c r="J1690" s="14" t="s">
        <v>1975</v>
      </c>
      <c r="K1690" s="14" t="s">
        <v>1352</v>
      </c>
      <c r="L1690" s="15">
        <v>46103</v>
      </c>
      <c r="M1690" s="16">
        <v>2026</v>
      </c>
      <c r="S1690" s="9"/>
    </row>
    <row r="1691" spans="1:19" ht="15.6" hidden="1">
      <c r="A1691" s="5">
        <v>1690</v>
      </c>
      <c r="B1691" s="18"/>
      <c r="C1691" s="13"/>
      <c r="D1691" s="22" t="s">
        <v>237</v>
      </c>
      <c r="E1691" s="22">
        <v>3130124023</v>
      </c>
      <c r="F1691" s="22" t="s">
        <v>173</v>
      </c>
      <c r="G1691" s="18"/>
      <c r="H1691" s="18"/>
      <c r="I1691" s="22" t="s">
        <v>1974</v>
      </c>
      <c r="J1691" s="14" t="s">
        <v>1975</v>
      </c>
      <c r="K1691" s="14" t="s">
        <v>1352</v>
      </c>
      <c r="L1691" s="15">
        <v>46032</v>
      </c>
      <c r="M1691" s="16">
        <v>2026</v>
      </c>
      <c r="S1691" s="9"/>
    </row>
    <row r="1692" spans="1:19" ht="15.6" hidden="1">
      <c r="A1692" s="5">
        <v>1691</v>
      </c>
      <c r="B1692" s="18"/>
      <c r="C1692" s="13"/>
      <c r="D1692" s="22" t="s">
        <v>2549</v>
      </c>
      <c r="E1692" s="22">
        <v>3130124016</v>
      </c>
      <c r="F1692" s="22" t="s">
        <v>173</v>
      </c>
      <c r="G1692" s="18"/>
      <c r="H1692" s="18"/>
      <c r="I1692" s="22" t="s">
        <v>1974</v>
      </c>
      <c r="J1692" s="14" t="s">
        <v>1975</v>
      </c>
      <c r="K1692" s="14" t="s">
        <v>1352</v>
      </c>
      <c r="L1692" s="15">
        <v>46033</v>
      </c>
      <c r="M1692" s="16">
        <v>2026</v>
      </c>
      <c r="S1692" s="9"/>
    </row>
    <row r="1693" spans="1:19" ht="15.6" hidden="1">
      <c r="A1693" s="5">
        <v>1692</v>
      </c>
      <c r="B1693" s="18"/>
      <c r="C1693" s="13"/>
      <c r="D1693" s="22" t="s">
        <v>2550</v>
      </c>
      <c r="E1693" s="22">
        <v>3130124007</v>
      </c>
      <c r="F1693" s="22" t="s">
        <v>173</v>
      </c>
      <c r="G1693" s="18"/>
      <c r="H1693" s="18"/>
      <c r="I1693" s="22" t="s">
        <v>1974</v>
      </c>
      <c r="J1693" s="14" t="s">
        <v>1975</v>
      </c>
      <c r="K1693" s="14" t="s">
        <v>1352</v>
      </c>
      <c r="L1693" s="15">
        <v>46034</v>
      </c>
      <c r="M1693" s="16">
        <v>2026</v>
      </c>
      <c r="S1693" s="9"/>
    </row>
    <row r="1694" spans="1:19" ht="15.6" hidden="1">
      <c r="A1694" s="5">
        <v>1693</v>
      </c>
      <c r="B1694" s="18"/>
      <c r="C1694" s="13"/>
      <c r="D1694" s="22" t="s">
        <v>761</v>
      </c>
      <c r="E1694" s="22">
        <v>3130124019</v>
      </c>
      <c r="F1694" s="22" t="s">
        <v>173</v>
      </c>
      <c r="G1694" s="18"/>
      <c r="H1694" s="18"/>
      <c r="I1694" s="22" t="s">
        <v>1974</v>
      </c>
      <c r="J1694" s="14" t="s">
        <v>1975</v>
      </c>
      <c r="K1694" s="14" t="s">
        <v>1352</v>
      </c>
      <c r="L1694" s="15">
        <v>46035</v>
      </c>
      <c r="M1694" s="16">
        <v>2026</v>
      </c>
      <c r="S1694" s="9"/>
    </row>
    <row r="1695" spans="1:19" ht="15.6" hidden="1">
      <c r="A1695" s="5">
        <v>1694</v>
      </c>
      <c r="B1695" s="18"/>
      <c r="C1695" s="13" t="s">
        <v>2551</v>
      </c>
      <c r="D1695" s="22" t="s">
        <v>2552</v>
      </c>
      <c r="E1695" s="22">
        <v>3130324027</v>
      </c>
      <c r="F1695" s="22" t="s">
        <v>2553</v>
      </c>
      <c r="G1695" s="18"/>
      <c r="H1695" s="18"/>
      <c r="I1695" s="22" t="s">
        <v>1974</v>
      </c>
      <c r="J1695" s="14" t="s">
        <v>1975</v>
      </c>
      <c r="K1695" s="14" t="s">
        <v>1352</v>
      </c>
      <c r="L1695" s="15">
        <v>46036</v>
      </c>
      <c r="M1695" s="16">
        <v>2026</v>
      </c>
      <c r="S1695" s="9"/>
    </row>
    <row r="1696" spans="1:19" ht="15.6" hidden="1">
      <c r="A1696" s="5">
        <v>1695</v>
      </c>
      <c r="B1696" s="18"/>
      <c r="C1696" s="13"/>
      <c r="D1696" s="22" t="s">
        <v>2554</v>
      </c>
      <c r="E1696" s="22">
        <v>3130324029</v>
      </c>
      <c r="F1696" s="22" t="s">
        <v>2553</v>
      </c>
      <c r="G1696" s="18"/>
      <c r="H1696" s="18"/>
      <c r="I1696" s="22" t="s">
        <v>1974</v>
      </c>
      <c r="J1696" s="14" t="s">
        <v>1975</v>
      </c>
      <c r="K1696" s="14" t="s">
        <v>1352</v>
      </c>
      <c r="L1696" s="15">
        <v>46037</v>
      </c>
      <c r="M1696" s="16">
        <v>2026</v>
      </c>
      <c r="S1696" s="9"/>
    </row>
    <row r="1697" spans="1:19" ht="15.6" hidden="1">
      <c r="A1697" s="5">
        <v>1696</v>
      </c>
      <c r="B1697" s="18"/>
      <c r="C1697" s="13"/>
      <c r="D1697" s="22" t="s">
        <v>2555</v>
      </c>
      <c r="E1697" s="22">
        <v>3130324008</v>
      </c>
      <c r="F1697" s="22" t="s">
        <v>2553</v>
      </c>
      <c r="G1697" s="18"/>
      <c r="H1697" s="18"/>
      <c r="I1697" s="22" t="s">
        <v>1974</v>
      </c>
      <c r="J1697" s="14" t="s">
        <v>1975</v>
      </c>
      <c r="K1697" s="14" t="s">
        <v>1352</v>
      </c>
      <c r="L1697" s="15">
        <v>46038</v>
      </c>
      <c r="M1697" s="16">
        <v>2026</v>
      </c>
      <c r="S1697" s="9"/>
    </row>
    <row r="1698" spans="1:19" ht="15.6" hidden="1">
      <c r="A1698" s="5">
        <v>1697</v>
      </c>
      <c r="B1698" s="18"/>
      <c r="C1698" s="13"/>
      <c r="D1698" s="22" t="s">
        <v>2556</v>
      </c>
      <c r="E1698" s="22">
        <v>3130324003</v>
      </c>
      <c r="F1698" s="22" t="s">
        <v>2553</v>
      </c>
      <c r="G1698" s="18"/>
      <c r="H1698" s="18"/>
      <c r="I1698" s="22" t="s">
        <v>1974</v>
      </c>
      <c r="J1698" s="14" t="s">
        <v>1975</v>
      </c>
      <c r="K1698" s="14" t="s">
        <v>1352</v>
      </c>
      <c r="L1698" s="15">
        <v>46039</v>
      </c>
      <c r="M1698" s="16">
        <v>2026</v>
      </c>
      <c r="S1698" s="9"/>
    </row>
    <row r="1699" spans="1:19" ht="15.6" hidden="1">
      <c r="A1699" s="5">
        <v>1698</v>
      </c>
      <c r="B1699" s="18"/>
      <c r="C1699" s="13" t="s">
        <v>2557</v>
      </c>
      <c r="D1699" s="22" t="s">
        <v>2558</v>
      </c>
      <c r="E1699" s="22">
        <v>3130324019</v>
      </c>
      <c r="F1699" s="22" t="s">
        <v>2553</v>
      </c>
      <c r="G1699" s="18"/>
      <c r="H1699" s="18"/>
      <c r="I1699" s="22" t="s">
        <v>1974</v>
      </c>
      <c r="J1699" s="14" t="s">
        <v>1975</v>
      </c>
      <c r="K1699" s="14" t="s">
        <v>1352</v>
      </c>
      <c r="L1699" s="15">
        <v>46040</v>
      </c>
      <c r="M1699" s="16">
        <v>2026</v>
      </c>
      <c r="S1699" s="9"/>
    </row>
    <row r="1700" spans="1:19" ht="15.6" hidden="1">
      <c r="A1700" s="5">
        <v>1699</v>
      </c>
      <c r="B1700" s="18"/>
      <c r="C1700" s="13"/>
      <c r="D1700" s="22" t="s">
        <v>2559</v>
      </c>
      <c r="E1700" s="22">
        <v>3130324007</v>
      </c>
      <c r="F1700" s="22" t="s">
        <v>2553</v>
      </c>
      <c r="G1700" s="18"/>
      <c r="H1700" s="18"/>
      <c r="I1700" s="22" t="s">
        <v>1974</v>
      </c>
      <c r="J1700" s="14" t="s">
        <v>1975</v>
      </c>
      <c r="K1700" s="14" t="s">
        <v>1352</v>
      </c>
      <c r="L1700" s="15">
        <v>46041</v>
      </c>
      <c r="M1700" s="16">
        <v>2026</v>
      </c>
      <c r="S1700" s="9"/>
    </row>
    <row r="1701" spans="1:19" ht="15.6" hidden="1">
      <c r="A1701" s="5">
        <v>1700</v>
      </c>
      <c r="B1701" s="18"/>
      <c r="C1701" s="13"/>
      <c r="D1701" s="22" t="s">
        <v>2560</v>
      </c>
      <c r="E1701" s="22">
        <v>3130324026</v>
      </c>
      <c r="F1701" s="22" t="s">
        <v>2553</v>
      </c>
      <c r="G1701" s="18"/>
      <c r="H1701" s="18"/>
      <c r="I1701" s="22" t="s">
        <v>1974</v>
      </c>
      <c r="J1701" s="14" t="s">
        <v>1975</v>
      </c>
      <c r="K1701" s="14" t="s">
        <v>1352</v>
      </c>
      <c r="L1701" s="15">
        <v>46042</v>
      </c>
      <c r="M1701" s="16">
        <v>2026</v>
      </c>
      <c r="S1701" s="9"/>
    </row>
    <row r="1702" spans="1:19" ht="15.6" hidden="1">
      <c r="A1702" s="5">
        <v>1701</v>
      </c>
      <c r="B1702" s="18"/>
      <c r="C1702" s="13" t="s">
        <v>2561</v>
      </c>
      <c r="D1702" s="22" t="s">
        <v>2562</v>
      </c>
      <c r="E1702" s="22">
        <v>3140723093</v>
      </c>
      <c r="F1702" s="22" t="s">
        <v>822</v>
      </c>
      <c r="G1702" s="18"/>
      <c r="H1702" s="18"/>
      <c r="I1702" s="22" t="s">
        <v>1974</v>
      </c>
      <c r="J1702" s="14" t="s">
        <v>1975</v>
      </c>
      <c r="K1702" s="14" t="s">
        <v>1352</v>
      </c>
      <c r="L1702" s="15">
        <v>46043</v>
      </c>
      <c r="M1702" s="16">
        <v>2026</v>
      </c>
      <c r="S1702" s="9"/>
    </row>
    <row r="1703" spans="1:19" ht="15.6" hidden="1">
      <c r="A1703" s="5">
        <v>1702</v>
      </c>
      <c r="B1703" s="18"/>
      <c r="C1703" s="13"/>
      <c r="D1703" s="22" t="s">
        <v>2563</v>
      </c>
      <c r="E1703" s="22">
        <v>3140723075</v>
      </c>
      <c r="F1703" s="22" t="s">
        <v>822</v>
      </c>
      <c r="G1703" s="18"/>
      <c r="H1703" s="18"/>
      <c r="I1703" s="22" t="s">
        <v>1974</v>
      </c>
      <c r="J1703" s="14" t="s">
        <v>1975</v>
      </c>
      <c r="K1703" s="14" t="s">
        <v>1352</v>
      </c>
      <c r="L1703" s="15">
        <v>46044</v>
      </c>
      <c r="M1703" s="16">
        <v>2026</v>
      </c>
      <c r="S1703" s="9"/>
    </row>
    <row r="1704" spans="1:19" ht="15.6" hidden="1">
      <c r="A1704" s="5">
        <v>1703</v>
      </c>
      <c r="B1704" s="18"/>
      <c r="C1704" s="13"/>
      <c r="D1704" s="22" t="s">
        <v>2564</v>
      </c>
      <c r="E1704" s="22">
        <v>3140723114</v>
      </c>
      <c r="F1704" s="22" t="s">
        <v>822</v>
      </c>
      <c r="G1704" s="18"/>
      <c r="H1704" s="18"/>
      <c r="I1704" s="22" t="s">
        <v>1974</v>
      </c>
      <c r="J1704" s="14" t="s">
        <v>1975</v>
      </c>
      <c r="K1704" s="14" t="s">
        <v>1352</v>
      </c>
      <c r="L1704" s="15">
        <v>46045</v>
      </c>
      <c r="M1704" s="16">
        <v>2026</v>
      </c>
      <c r="S1704" s="9"/>
    </row>
    <row r="1705" spans="1:19" ht="15.6" hidden="1">
      <c r="A1705" s="5">
        <v>1704</v>
      </c>
      <c r="B1705" s="18"/>
      <c r="C1705" s="13"/>
      <c r="D1705" s="22" t="s">
        <v>2565</v>
      </c>
      <c r="E1705" s="22">
        <v>3140723103</v>
      </c>
      <c r="F1705" s="22" t="s">
        <v>822</v>
      </c>
      <c r="G1705" s="18"/>
      <c r="H1705" s="18"/>
      <c r="I1705" s="22" t="s">
        <v>1974</v>
      </c>
      <c r="J1705" s="14" t="s">
        <v>1975</v>
      </c>
      <c r="K1705" s="14" t="s">
        <v>1352</v>
      </c>
      <c r="L1705" s="15">
        <v>46046</v>
      </c>
      <c r="M1705" s="16">
        <v>2026</v>
      </c>
      <c r="S1705" s="9"/>
    </row>
    <row r="1706" spans="1:19" ht="15.6" hidden="1">
      <c r="A1706" s="5">
        <v>1705</v>
      </c>
      <c r="B1706" s="18"/>
      <c r="C1706" s="13"/>
      <c r="D1706" s="22" t="s">
        <v>1665</v>
      </c>
      <c r="E1706" s="22">
        <v>3140724098</v>
      </c>
      <c r="F1706" s="22" t="s">
        <v>2239</v>
      </c>
      <c r="G1706" s="18"/>
      <c r="H1706" s="18"/>
      <c r="I1706" s="22" t="s">
        <v>1974</v>
      </c>
      <c r="J1706" s="14" t="s">
        <v>1975</v>
      </c>
      <c r="K1706" s="14" t="s">
        <v>1352</v>
      </c>
      <c r="L1706" s="15">
        <v>46047</v>
      </c>
      <c r="M1706" s="16">
        <v>2026</v>
      </c>
      <c r="S1706" s="9"/>
    </row>
    <row r="1707" spans="1:19" ht="15.6" hidden="1">
      <c r="A1707" s="5">
        <v>1706</v>
      </c>
      <c r="B1707" s="18"/>
      <c r="C1707" s="13" t="s">
        <v>2566</v>
      </c>
      <c r="D1707" s="22" t="s">
        <v>2567</v>
      </c>
      <c r="E1707" s="22">
        <v>3140723100</v>
      </c>
      <c r="F1707" s="22" t="s">
        <v>822</v>
      </c>
      <c r="G1707" s="18"/>
      <c r="H1707" s="18"/>
      <c r="I1707" s="22" t="s">
        <v>1974</v>
      </c>
      <c r="J1707" s="14" t="s">
        <v>1975</v>
      </c>
      <c r="K1707" s="14" t="s">
        <v>1352</v>
      </c>
      <c r="L1707" s="15">
        <v>46048</v>
      </c>
      <c r="M1707" s="16">
        <v>2026</v>
      </c>
      <c r="S1707" s="9"/>
    </row>
    <row r="1708" spans="1:19" ht="15.6" hidden="1">
      <c r="A1708" s="5">
        <v>1707</v>
      </c>
      <c r="B1708" s="18"/>
      <c r="C1708" s="13"/>
      <c r="D1708" s="22" t="s">
        <v>2568</v>
      </c>
      <c r="E1708" s="22">
        <v>3140723119</v>
      </c>
      <c r="F1708" s="22" t="s">
        <v>2480</v>
      </c>
      <c r="G1708" s="18"/>
      <c r="H1708" s="18"/>
      <c r="I1708" s="22" t="s">
        <v>1974</v>
      </c>
      <c r="J1708" s="14" t="s">
        <v>1975</v>
      </c>
      <c r="K1708" s="14" t="s">
        <v>1352</v>
      </c>
      <c r="L1708" s="15">
        <v>46049</v>
      </c>
      <c r="M1708" s="16">
        <v>2026</v>
      </c>
      <c r="S1708" s="9"/>
    </row>
    <row r="1709" spans="1:19" ht="15.6" hidden="1">
      <c r="A1709" s="5">
        <v>1708</v>
      </c>
      <c r="B1709" s="18"/>
      <c r="C1709" s="13"/>
      <c r="D1709" s="22" t="s">
        <v>2569</v>
      </c>
      <c r="E1709" s="22">
        <v>3140723104</v>
      </c>
      <c r="F1709" s="22" t="s">
        <v>2489</v>
      </c>
      <c r="G1709" s="18"/>
      <c r="H1709" s="18"/>
      <c r="I1709" s="22" t="s">
        <v>1974</v>
      </c>
      <c r="J1709" s="14" t="s">
        <v>1975</v>
      </c>
      <c r="K1709" s="14" t="s">
        <v>1352</v>
      </c>
      <c r="L1709" s="15">
        <v>46050</v>
      </c>
      <c r="M1709" s="16">
        <v>2026</v>
      </c>
      <c r="S1709" s="9"/>
    </row>
    <row r="1710" spans="1:19" ht="15.6" hidden="1">
      <c r="A1710" s="5">
        <v>1709</v>
      </c>
      <c r="B1710" s="18"/>
      <c r="C1710" s="13"/>
      <c r="D1710" s="22" t="s">
        <v>2570</v>
      </c>
      <c r="E1710" s="22">
        <v>3140723063</v>
      </c>
      <c r="F1710" s="22" t="s">
        <v>2490</v>
      </c>
      <c r="G1710" s="18"/>
      <c r="H1710" s="18"/>
      <c r="I1710" s="22" t="s">
        <v>1974</v>
      </c>
      <c r="J1710" s="14" t="s">
        <v>1975</v>
      </c>
      <c r="K1710" s="14" t="s">
        <v>1352</v>
      </c>
      <c r="L1710" s="15">
        <v>46051</v>
      </c>
      <c r="M1710" s="16">
        <v>2026</v>
      </c>
      <c r="S1710" s="9"/>
    </row>
    <row r="1711" spans="1:19" ht="15.6" hidden="1">
      <c r="A1711" s="5">
        <v>1710</v>
      </c>
      <c r="B1711" s="18"/>
      <c r="C1711" s="13"/>
      <c r="D1711" s="22" t="s">
        <v>2571</v>
      </c>
      <c r="E1711" s="22">
        <v>3140723066</v>
      </c>
      <c r="F1711" s="22" t="s">
        <v>2492</v>
      </c>
      <c r="G1711" s="18"/>
      <c r="H1711" s="18"/>
      <c r="I1711" s="22" t="s">
        <v>1974</v>
      </c>
      <c r="J1711" s="14" t="s">
        <v>1975</v>
      </c>
      <c r="K1711" s="14" t="s">
        <v>1352</v>
      </c>
      <c r="L1711" s="15">
        <v>46052</v>
      </c>
      <c r="M1711" s="16">
        <v>2026</v>
      </c>
      <c r="S1711" s="9"/>
    </row>
    <row r="1712" spans="1:19" ht="15.6" hidden="1">
      <c r="A1712" s="5">
        <v>1711</v>
      </c>
      <c r="B1712" s="18"/>
      <c r="C1712" s="13" t="s">
        <v>2572</v>
      </c>
      <c r="D1712" s="22" t="s">
        <v>287</v>
      </c>
      <c r="E1712" s="22">
        <v>3140122055</v>
      </c>
      <c r="F1712" s="22" t="s">
        <v>260</v>
      </c>
      <c r="G1712" s="18"/>
      <c r="H1712" s="18"/>
      <c r="I1712" s="22" t="s">
        <v>1974</v>
      </c>
      <c r="J1712" s="14" t="s">
        <v>1975</v>
      </c>
      <c r="K1712" s="14" t="s">
        <v>1352</v>
      </c>
      <c r="L1712" s="15">
        <v>46053</v>
      </c>
      <c r="M1712" s="16">
        <v>2026</v>
      </c>
      <c r="S1712" s="9"/>
    </row>
    <row r="1713" spans="1:19" ht="15.6" hidden="1">
      <c r="A1713" s="5">
        <v>1712</v>
      </c>
      <c r="B1713" s="18"/>
      <c r="C1713" s="13" t="s">
        <v>2573</v>
      </c>
      <c r="D1713" s="22" t="s">
        <v>320</v>
      </c>
      <c r="E1713" s="22">
        <v>3140122015</v>
      </c>
      <c r="F1713" s="22" t="s">
        <v>260</v>
      </c>
      <c r="G1713" s="18"/>
      <c r="H1713" s="18"/>
      <c r="I1713" s="22" t="s">
        <v>1974</v>
      </c>
      <c r="J1713" s="14" t="s">
        <v>1975</v>
      </c>
      <c r="K1713" s="14" t="s">
        <v>1352</v>
      </c>
      <c r="L1713" s="15">
        <v>46054</v>
      </c>
      <c r="M1713" s="16">
        <v>2026</v>
      </c>
      <c r="S1713" s="9"/>
    </row>
    <row r="1714" spans="1:19" ht="15.6" hidden="1">
      <c r="A1714" s="5">
        <v>1713</v>
      </c>
      <c r="B1714" s="18"/>
      <c r="C1714" s="13"/>
      <c r="D1714" s="22" t="s">
        <v>319</v>
      </c>
      <c r="E1714" s="22">
        <v>3140122022</v>
      </c>
      <c r="F1714" s="22" t="s">
        <v>260</v>
      </c>
      <c r="G1714" s="18"/>
      <c r="H1714" s="18"/>
      <c r="I1714" s="22" t="s">
        <v>1974</v>
      </c>
      <c r="J1714" s="14" t="s">
        <v>1975</v>
      </c>
      <c r="K1714" s="14" t="s">
        <v>1352</v>
      </c>
      <c r="L1714" s="15">
        <v>46055</v>
      </c>
      <c r="M1714" s="16">
        <v>2026</v>
      </c>
      <c r="S1714" s="9"/>
    </row>
    <row r="1715" spans="1:19" ht="15.6" hidden="1">
      <c r="A1715" s="5">
        <v>1714</v>
      </c>
      <c r="B1715" s="18"/>
      <c r="C1715" s="13" t="s">
        <v>2574</v>
      </c>
      <c r="D1715" s="22" t="s">
        <v>321</v>
      </c>
      <c r="E1715" s="22">
        <v>3140122013</v>
      </c>
      <c r="F1715" s="22" t="s">
        <v>260</v>
      </c>
      <c r="G1715" s="18"/>
      <c r="H1715" s="18"/>
      <c r="I1715" s="22" t="s">
        <v>1974</v>
      </c>
      <c r="J1715" s="14" t="s">
        <v>1975</v>
      </c>
      <c r="K1715" s="14" t="s">
        <v>1352</v>
      </c>
      <c r="L1715" s="15">
        <v>46056</v>
      </c>
      <c r="M1715" s="16">
        <v>2026</v>
      </c>
      <c r="S1715" s="9"/>
    </row>
    <row r="1716" spans="1:19" ht="15.6" hidden="1">
      <c r="A1716" s="5">
        <v>1715</v>
      </c>
      <c r="B1716" s="18"/>
      <c r="C1716" s="13"/>
      <c r="D1716" s="22" t="s">
        <v>322</v>
      </c>
      <c r="E1716" s="22">
        <v>3140122021</v>
      </c>
      <c r="F1716" s="22" t="s">
        <v>260</v>
      </c>
      <c r="G1716" s="18"/>
      <c r="H1716" s="18"/>
      <c r="I1716" s="22" t="s">
        <v>1974</v>
      </c>
      <c r="J1716" s="14" t="s">
        <v>1975</v>
      </c>
      <c r="K1716" s="14" t="s">
        <v>1352</v>
      </c>
      <c r="L1716" s="15">
        <v>46057</v>
      </c>
      <c r="M1716" s="16">
        <v>2026</v>
      </c>
      <c r="S1716" s="9"/>
    </row>
    <row r="1717" spans="1:19" ht="15.6" hidden="1">
      <c r="A1717" s="5">
        <v>1716</v>
      </c>
      <c r="B1717" s="18"/>
      <c r="C1717" s="13" t="s">
        <v>2575</v>
      </c>
      <c r="D1717" s="22" t="s">
        <v>2576</v>
      </c>
      <c r="E1717" s="22">
        <v>3140122016</v>
      </c>
      <c r="F1717" s="22" t="s">
        <v>260</v>
      </c>
      <c r="G1717" s="18"/>
      <c r="H1717" s="18"/>
      <c r="I1717" s="22" t="s">
        <v>1974</v>
      </c>
      <c r="J1717" s="14" t="s">
        <v>1975</v>
      </c>
      <c r="K1717" s="14" t="s">
        <v>1352</v>
      </c>
      <c r="L1717" s="15">
        <v>46058</v>
      </c>
      <c r="M1717" s="16">
        <v>2026</v>
      </c>
      <c r="S1717" s="9"/>
    </row>
    <row r="1718" spans="1:19" ht="15.6" hidden="1">
      <c r="A1718" s="5">
        <v>1717</v>
      </c>
      <c r="B1718" s="18"/>
      <c r="C1718" s="13"/>
      <c r="D1718" s="22" t="s">
        <v>2577</v>
      </c>
      <c r="E1718" s="22">
        <v>3140122026</v>
      </c>
      <c r="F1718" s="22" t="s">
        <v>260</v>
      </c>
      <c r="G1718" s="18"/>
      <c r="H1718" s="18"/>
      <c r="I1718" s="22" t="s">
        <v>1974</v>
      </c>
      <c r="J1718" s="14" t="s">
        <v>1975</v>
      </c>
      <c r="K1718" s="14" t="s">
        <v>1352</v>
      </c>
      <c r="L1718" s="15">
        <v>46059</v>
      </c>
      <c r="M1718" s="16">
        <v>2026</v>
      </c>
      <c r="S1718" s="9"/>
    </row>
    <row r="1719" spans="1:19" ht="15.6" hidden="1">
      <c r="A1719" s="5">
        <v>1718</v>
      </c>
      <c r="B1719" s="18"/>
      <c r="C1719" s="13"/>
      <c r="D1719" s="22" t="s">
        <v>2578</v>
      </c>
      <c r="E1719" s="22">
        <v>3140122024</v>
      </c>
      <c r="F1719" s="22" t="s">
        <v>260</v>
      </c>
      <c r="G1719" s="18"/>
      <c r="H1719" s="18"/>
      <c r="I1719" s="22" t="s">
        <v>1974</v>
      </c>
      <c r="J1719" s="14" t="s">
        <v>1975</v>
      </c>
      <c r="K1719" s="14" t="s">
        <v>1352</v>
      </c>
      <c r="L1719" s="15">
        <v>46060</v>
      </c>
      <c r="M1719" s="16">
        <v>2026</v>
      </c>
      <c r="S1719" s="9"/>
    </row>
    <row r="1720" spans="1:19" ht="15.6" hidden="1">
      <c r="A1720" s="5">
        <v>1719</v>
      </c>
      <c r="B1720" s="18"/>
      <c r="C1720" s="13"/>
      <c r="D1720" s="22" t="s">
        <v>373</v>
      </c>
      <c r="E1720" s="22">
        <v>3140122031</v>
      </c>
      <c r="F1720" s="22" t="s">
        <v>260</v>
      </c>
      <c r="G1720" s="18"/>
      <c r="H1720" s="18"/>
      <c r="I1720" s="22" t="s">
        <v>1974</v>
      </c>
      <c r="J1720" s="14" t="s">
        <v>1975</v>
      </c>
      <c r="K1720" s="14" t="s">
        <v>1352</v>
      </c>
      <c r="L1720" s="15">
        <v>46061</v>
      </c>
      <c r="M1720" s="16">
        <v>2026</v>
      </c>
      <c r="S1720" s="9"/>
    </row>
    <row r="1721" spans="1:19" ht="15.6" hidden="1">
      <c r="A1721" s="5">
        <v>1720</v>
      </c>
      <c r="B1721" s="18"/>
      <c r="C1721" s="13"/>
      <c r="D1721" s="22" t="s">
        <v>2579</v>
      </c>
      <c r="E1721" s="22">
        <v>3140122020</v>
      </c>
      <c r="F1721" s="22" t="s">
        <v>260</v>
      </c>
      <c r="G1721" s="18"/>
      <c r="H1721" s="18"/>
      <c r="I1721" s="22" t="s">
        <v>1974</v>
      </c>
      <c r="J1721" s="14" t="s">
        <v>1975</v>
      </c>
      <c r="K1721" s="14" t="s">
        <v>1352</v>
      </c>
      <c r="L1721" s="15">
        <v>46062</v>
      </c>
      <c r="M1721" s="16">
        <v>2026</v>
      </c>
      <c r="S1721" s="9"/>
    </row>
    <row r="1722" spans="1:19" ht="15.6" hidden="1">
      <c r="A1722" s="5">
        <v>1721</v>
      </c>
      <c r="B1722" s="18"/>
      <c r="C1722" s="13" t="s">
        <v>2580</v>
      </c>
      <c r="D1722" s="22" t="s">
        <v>2581</v>
      </c>
      <c r="E1722" s="22">
        <v>3130124001</v>
      </c>
      <c r="F1722" s="22" t="s">
        <v>173</v>
      </c>
      <c r="G1722" s="18"/>
      <c r="H1722" s="18"/>
      <c r="I1722" s="22" t="s">
        <v>1974</v>
      </c>
      <c r="J1722" s="14" t="s">
        <v>1975</v>
      </c>
      <c r="K1722" s="14" t="s">
        <v>1352</v>
      </c>
      <c r="L1722" s="15">
        <v>46063</v>
      </c>
      <c r="M1722" s="16">
        <v>2026</v>
      </c>
      <c r="S1722" s="9"/>
    </row>
    <row r="1723" spans="1:19" ht="15.6" hidden="1">
      <c r="A1723" s="5">
        <v>1722</v>
      </c>
      <c r="B1723" s="18"/>
      <c r="C1723" s="13"/>
      <c r="D1723" s="22" t="s">
        <v>236</v>
      </c>
      <c r="E1723" s="22">
        <v>3130124015</v>
      </c>
      <c r="F1723" s="22" t="s">
        <v>173</v>
      </c>
      <c r="G1723" s="18"/>
      <c r="H1723" s="18"/>
      <c r="I1723" s="22" t="s">
        <v>1974</v>
      </c>
      <c r="J1723" s="14" t="s">
        <v>1975</v>
      </c>
      <c r="K1723" s="14" t="s">
        <v>1352</v>
      </c>
      <c r="L1723" s="15">
        <v>46064</v>
      </c>
      <c r="M1723" s="16">
        <v>2026</v>
      </c>
      <c r="S1723" s="9"/>
    </row>
    <row r="1724" spans="1:19" ht="15.6" hidden="1">
      <c r="A1724" s="5">
        <v>1723</v>
      </c>
      <c r="B1724" s="18"/>
      <c r="C1724" s="13"/>
      <c r="D1724" s="22" t="s">
        <v>2582</v>
      </c>
      <c r="E1724" s="22">
        <v>3130124005</v>
      </c>
      <c r="F1724" s="22" t="s">
        <v>173</v>
      </c>
      <c r="G1724" s="18"/>
      <c r="H1724" s="18"/>
      <c r="I1724" s="22" t="s">
        <v>1974</v>
      </c>
      <c r="J1724" s="14" t="s">
        <v>1975</v>
      </c>
      <c r="K1724" s="14" t="s">
        <v>1352</v>
      </c>
      <c r="L1724" s="15">
        <v>46065</v>
      </c>
      <c r="M1724" s="16">
        <v>2026</v>
      </c>
      <c r="S1724" s="9"/>
    </row>
    <row r="1725" spans="1:19" ht="15.6" hidden="1">
      <c r="A1725" s="5">
        <v>1724</v>
      </c>
      <c r="B1725" s="18"/>
      <c r="C1725" s="13"/>
      <c r="D1725" s="22" t="s">
        <v>2583</v>
      </c>
      <c r="E1725" s="22">
        <v>3130325026</v>
      </c>
      <c r="F1725" s="22" t="s">
        <v>1464</v>
      </c>
      <c r="G1725" s="18"/>
      <c r="H1725" s="18"/>
      <c r="I1725" s="22" t="s">
        <v>1974</v>
      </c>
      <c r="J1725" s="14" t="s">
        <v>1975</v>
      </c>
      <c r="K1725" s="14" t="s">
        <v>1352</v>
      </c>
      <c r="L1725" s="15">
        <v>46066</v>
      </c>
      <c r="M1725" s="16">
        <v>2026</v>
      </c>
      <c r="S1725" s="9"/>
    </row>
    <row r="1726" spans="1:19" ht="15.6" hidden="1">
      <c r="A1726" s="5">
        <v>1725</v>
      </c>
      <c r="B1726" s="18"/>
      <c r="C1726" s="13"/>
      <c r="D1726" s="22" t="s">
        <v>2584</v>
      </c>
      <c r="E1726" s="22">
        <v>3120225134</v>
      </c>
      <c r="F1726" s="22" t="s">
        <v>2585</v>
      </c>
      <c r="G1726" s="18"/>
      <c r="H1726" s="18"/>
      <c r="I1726" s="22" t="s">
        <v>1974</v>
      </c>
      <c r="J1726" s="14" t="s">
        <v>1975</v>
      </c>
      <c r="K1726" s="14" t="s">
        <v>1352</v>
      </c>
      <c r="L1726" s="15">
        <v>46067</v>
      </c>
      <c r="M1726" s="16">
        <v>2026</v>
      </c>
      <c r="S1726" s="9"/>
    </row>
    <row r="1727" spans="1:19" ht="18" hidden="1">
      <c r="A1727" s="5">
        <v>1726</v>
      </c>
      <c r="B1727" s="18"/>
      <c r="C1727" s="13" t="s">
        <v>2586</v>
      </c>
      <c r="D1727" s="22" t="s">
        <v>1602</v>
      </c>
      <c r="E1727" s="22">
        <v>3140122041</v>
      </c>
      <c r="F1727" s="22" t="s">
        <v>260</v>
      </c>
      <c r="G1727" s="18"/>
      <c r="H1727" s="18"/>
      <c r="I1727" s="22" t="s">
        <v>1974</v>
      </c>
      <c r="J1727" s="14" t="s">
        <v>1975</v>
      </c>
      <c r="K1727" s="14" t="s">
        <v>1352</v>
      </c>
      <c r="L1727" s="15">
        <v>46068</v>
      </c>
      <c r="M1727" s="16">
        <v>2026</v>
      </c>
      <c r="S1727" s="9"/>
    </row>
    <row r="1728" spans="1:19" ht="15.6" hidden="1">
      <c r="A1728" s="5">
        <v>1727</v>
      </c>
      <c r="B1728" s="18"/>
      <c r="C1728" s="13"/>
      <c r="D1728" s="22" t="s">
        <v>2587</v>
      </c>
      <c r="E1728" s="22">
        <v>3140122036</v>
      </c>
      <c r="F1728" s="22" t="s">
        <v>260</v>
      </c>
      <c r="G1728" s="18"/>
      <c r="H1728" s="18"/>
      <c r="I1728" s="22" t="s">
        <v>1974</v>
      </c>
      <c r="J1728" s="14" t="s">
        <v>1975</v>
      </c>
      <c r="K1728" s="14" t="s">
        <v>1352</v>
      </c>
      <c r="L1728" s="15">
        <v>46069</v>
      </c>
      <c r="M1728" s="16">
        <v>2026</v>
      </c>
      <c r="S1728" s="9"/>
    </row>
    <row r="1729" spans="1:19" ht="15.6" hidden="1">
      <c r="A1729" s="5">
        <v>1728</v>
      </c>
      <c r="B1729" s="18"/>
      <c r="C1729" s="13"/>
      <c r="D1729" s="22" t="s">
        <v>2588</v>
      </c>
      <c r="E1729" s="22">
        <v>3140122027</v>
      </c>
      <c r="F1729" s="22" t="s">
        <v>260</v>
      </c>
      <c r="G1729" s="18"/>
      <c r="H1729" s="18"/>
      <c r="I1729" s="22" t="s">
        <v>1974</v>
      </c>
      <c r="J1729" s="14" t="s">
        <v>1975</v>
      </c>
      <c r="K1729" s="14" t="s">
        <v>1352</v>
      </c>
      <c r="L1729" s="15">
        <v>46070</v>
      </c>
      <c r="M1729" s="16">
        <v>2026</v>
      </c>
      <c r="S1729" s="9"/>
    </row>
    <row r="1730" spans="1:19" ht="15.6" hidden="1">
      <c r="A1730" s="5">
        <v>1729</v>
      </c>
      <c r="B1730" s="18"/>
      <c r="C1730" s="13"/>
      <c r="D1730" s="22" t="s">
        <v>264</v>
      </c>
      <c r="E1730" s="22">
        <v>3140122005</v>
      </c>
      <c r="F1730" s="22" t="s">
        <v>260</v>
      </c>
      <c r="G1730" s="18"/>
      <c r="H1730" s="18"/>
      <c r="I1730" s="22" t="s">
        <v>1974</v>
      </c>
      <c r="J1730" s="14" t="s">
        <v>1975</v>
      </c>
      <c r="K1730" s="14" t="s">
        <v>1352</v>
      </c>
      <c r="L1730" s="15">
        <v>46071</v>
      </c>
      <c r="M1730" s="16">
        <v>2026</v>
      </c>
      <c r="S1730" s="9"/>
    </row>
    <row r="1731" spans="1:19" ht="15.6" hidden="1">
      <c r="A1731" s="5">
        <v>1730</v>
      </c>
      <c r="B1731" s="18"/>
      <c r="C1731" s="13" t="s">
        <v>2589</v>
      </c>
      <c r="D1731" s="22" t="s">
        <v>2590</v>
      </c>
      <c r="E1731" s="22">
        <v>3140122049</v>
      </c>
      <c r="F1731" s="22" t="s">
        <v>260</v>
      </c>
      <c r="G1731" s="18"/>
      <c r="H1731" s="18"/>
      <c r="I1731" s="22" t="s">
        <v>1974</v>
      </c>
      <c r="J1731" s="14" t="s">
        <v>1975</v>
      </c>
      <c r="K1731" s="14" t="s">
        <v>1352</v>
      </c>
      <c r="L1731" s="15">
        <v>46072</v>
      </c>
      <c r="M1731" s="16">
        <v>2026</v>
      </c>
      <c r="S1731" s="9"/>
    </row>
    <row r="1732" spans="1:19" ht="15.6" hidden="1">
      <c r="A1732" s="5">
        <v>1731</v>
      </c>
      <c r="B1732" s="18"/>
      <c r="C1732" s="13"/>
      <c r="D1732" s="22" t="s">
        <v>364</v>
      </c>
      <c r="E1732" s="22">
        <v>3140122029</v>
      </c>
      <c r="F1732" s="22" t="s">
        <v>260</v>
      </c>
      <c r="G1732" s="18"/>
      <c r="H1732" s="18"/>
      <c r="I1732" s="22" t="s">
        <v>1974</v>
      </c>
      <c r="J1732" s="14" t="s">
        <v>1975</v>
      </c>
      <c r="K1732" s="14" t="s">
        <v>1352</v>
      </c>
      <c r="L1732" s="15">
        <v>46073</v>
      </c>
      <c r="M1732" s="16">
        <v>2026</v>
      </c>
      <c r="S1732" s="9"/>
    </row>
    <row r="1733" spans="1:19" ht="15.6" hidden="1">
      <c r="A1733" s="5">
        <v>1732</v>
      </c>
      <c r="B1733" s="18"/>
      <c r="C1733" s="13"/>
      <c r="D1733" s="22" t="s">
        <v>362</v>
      </c>
      <c r="E1733" s="22">
        <v>3140122007</v>
      </c>
      <c r="F1733" s="22" t="s">
        <v>260</v>
      </c>
      <c r="G1733" s="18"/>
      <c r="H1733" s="18"/>
      <c r="I1733" s="22" t="s">
        <v>1974</v>
      </c>
      <c r="J1733" s="14" t="s">
        <v>1975</v>
      </c>
      <c r="K1733" s="14" t="s">
        <v>1352</v>
      </c>
      <c r="L1733" s="15">
        <v>46074</v>
      </c>
      <c r="M1733" s="16">
        <v>2026</v>
      </c>
      <c r="S1733" s="9"/>
    </row>
    <row r="1734" spans="1:19" ht="15.6" hidden="1">
      <c r="A1734" s="5">
        <v>1733</v>
      </c>
      <c r="B1734" s="18"/>
      <c r="C1734" s="13"/>
      <c r="D1734" s="22" t="s">
        <v>2591</v>
      </c>
      <c r="E1734" s="22">
        <v>3140124002</v>
      </c>
      <c r="F1734" s="22" t="s">
        <v>2540</v>
      </c>
      <c r="G1734" s="18"/>
      <c r="H1734" s="18"/>
      <c r="I1734" s="22" t="s">
        <v>1974</v>
      </c>
      <c r="J1734" s="14" t="s">
        <v>1975</v>
      </c>
      <c r="K1734" s="14" t="s">
        <v>1352</v>
      </c>
      <c r="L1734" s="15">
        <v>46075</v>
      </c>
      <c r="M1734" s="16">
        <v>2026</v>
      </c>
      <c r="S1734" s="9"/>
    </row>
    <row r="1735" spans="1:19" ht="15.6" hidden="1">
      <c r="A1735" s="5">
        <v>1734</v>
      </c>
      <c r="B1735" s="18"/>
      <c r="C1735" s="13"/>
      <c r="D1735" s="22" t="s">
        <v>1210</v>
      </c>
      <c r="E1735" s="22">
        <v>3140124020</v>
      </c>
      <c r="F1735" s="22" t="s">
        <v>2540</v>
      </c>
      <c r="G1735" s="18"/>
      <c r="H1735" s="18"/>
      <c r="I1735" s="22" t="s">
        <v>1974</v>
      </c>
      <c r="J1735" s="14" t="s">
        <v>1975</v>
      </c>
      <c r="K1735" s="14" t="s">
        <v>1352</v>
      </c>
      <c r="L1735" s="15">
        <v>46076</v>
      </c>
      <c r="M1735" s="16">
        <v>2026</v>
      </c>
      <c r="S1735" s="9"/>
    </row>
    <row r="1736" spans="1:19" ht="15.6" hidden="1">
      <c r="A1736" s="5">
        <v>1735</v>
      </c>
      <c r="B1736" s="18"/>
      <c r="C1736" s="13" t="s">
        <v>2592</v>
      </c>
      <c r="D1736" s="22" t="s">
        <v>361</v>
      </c>
      <c r="E1736" s="22">
        <v>3140122056</v>
      </c>
      <c r="F1736" s="22" t="s">
        <v>260</v>
      </c>
      <c r="G1736" s="18"/>
      <c r="H1736" s="18"/>
      <c r="I1736" s="22" t="s">
        <v>1974</v>
      </c>
      <c r="J1736" s="14" t="s">
        <v>1975</v>
      </c>
      <c r="K1736" s="14" t="s">
        <v>1352</v>
      </c>
      <c r="L1736" s="15">
        <v>46077</v>
      </c>
      <c r="M1736" s="16">
        <v>2026</v>
      </c>
      <c r="S1736" s="9"/>
    </row>
    <row r="1737" spans="1:19" ht="15.6" hidden="1">
      <c r="A1737" s="5">
        <v>1736</v>
      </c>
      <c r="B1737" s="18"/>
      <c r="C1737" s="13"/>
      <c r="D1737" s="22" t="s">
        <v>358</v>
      </c>
      <c r="E1737" s="22">
        <v>3140122001</v>
      </c>
      <c r="F1737" s="22" t="s">
        <v>260</v>
      </c>
      <c r="G1737" s="18"/>
      <c r="H1737" s="18"/>
      <c r="I1737" s="22" t="s">
        <v>1974</v>
      </c>
      <c r="J1737" s="14" t="s">
        <v>1975</v>
      </c>
      <c r="K1737" s="14" t="s">
        <v>1352</v>
      </c>
      <c r="L1737" s="15">
        <v>46078</v>
      </c>
      <c r="M1737" s="16">
        <v>2026</v>
      </c>
      <c r="S1737" s="9"/>
    </row>
    <row r="1738" spans="1:19" ht="15.6" hidden="1">
      <c r="A1738" s="5">
        <v>1737</v>
      </c>
      <c r="B1738" s="18"/>
      <c r="C1738" s="13"/>
      <c r="D1738" s="22" t="s">
        <v>363</v>
      </c>
      <c r="E1738" s="22">
        <v>3140122037</v>
      </c>
      <c r="F1738" s="22" t="s">
        <v>260</v>
      </c>
      <c r="G1738" s="18"/>
      <c r="H1738" s="18"/>
      <c r="I1738" s="22" t="s">
        <v>1974</v>
      </c>
      <c r="J1738" s="14" t="s">
        <v>1975</v>
      </c>
      <c r="K1738" s="14" t="s">
        <v>1352</v>
      </c>
      <c r="L1738" s="15">
        <v>46079</v>
      </c>
      <c r="M1738" s="16">
        <v>2026</v>
      </c>
      <c r="S1738" s="9"/>
    </row>
    <row r="1739" spans="1:19" ht="15.6" hidden="1">
      <c r="A1739" s="5">
        <v>1738</v>
      </c>
      <c r="B1739" s="18"/>
      <c r="C1739" s="13"/>
      <c r="D1739" s="22" t="s">
        <v>2593</v>
      </c>
      <c r="E1739" s="22">
        <v>3140124016</v>
      </c>
      <c r="F1739" s="22" t="s">
        <v>2540</v>
      </c>
      <c r="G1739" s="18"/>
      <c r="H1739" s="18"/>
      <c r="I1739" s="22" t="s">
        <v>1974</v>
      </c>
      <c r="J1739" s="14" t="s">
        <v>1975</v>
      </c>
      <c r="K1739" s="14" t="s">
        <v>1352</v>
      </c>
      <c r="L1739" s="15">
        <v>46080</v>
      </c>
      <c r="M1739" s="16">
        <v>2026</v>
      </c>
      <c r="S1739" s="9"/>
    </row>
    <row r="1740" spans="1:19" ht="15.6" hidden="1">
      <c r="A1740" s="5">
        <v>1739</v>
      </c>
      <c r="B1740" s="18"/>
      <c r="C1740" s="13"/>
      <c r="D1740" s="22" t="s">
        <v>2594</v>
      </c>
      <c r="E1740" s="22">
        <v>3140124012</v>
      </c>
      <c r="F1740" s="22" t="s">
        <v>2540</v>
      </c>
      <c r="G1740" s="18"/>
      <c r="H1740" s="18"/>
      <c r="I1740" s="22" t="s">
        <v>1974</v>
      </c>
      <c r="J1740" s="14" t="s">
        <v>1975</v>
      </c>
      <c r="K1740" s="14" t="s">
        <v>1352</v>
      </c>
      <c r="L1740" s="15">
        <v>46081</v>
      </c>
      <c r="M1740" s="16">
        <v>2026</v>
      </c>
      <c r="S1740" s="9"/>
    </row>
    <row r="1741" spans="1:19" ht="15.6" hidden="1">
      <c r="A1741" s="5">
        <v>1740</v>
      </c>
      <c r="B1741" s="18"/>
      <c r="C1741" s="13" t="s">
        <v>2595</v>
      </c>
      <c r="D1741" s="22" t="s">
        <v>306</v>
      </c>
      <c r="E1741" s="22">
        <v>3140122039</v>
      </c>
      <c r="F1741" s="22" t="s">
        <v>260</v>
      </c>
      <c r="G1741" s="18"/>
      <c r="H1741" s="18"/>
      <c r="I1741" s="22" t="s">
        <v>1974</v>
      </c>
      <c r="J1741" s="14" t="s">
        <v>1975</v>
      </c>
      <c r="K1741" s="14" t="s">
        <v>1352</v>
      </c>
      <c r="L1741" s="15">
        <v>46082</v>
      </c>
      <c r="M1741" s="16">
        <v>2026</v>
      </c>
      <c r="S1741" s="9"/>
    </row>
    <row r="1742" spans="1:19" ht="15.6" hidden="1">
      <c r="A1742" s="5">
        <v>1741</v>
      </c>
      <c r="B1742" s="18"/>
      <c r="C1742" s="13"/>
      <c r="D1742" s="22" t="s">
        <v>304</v>
      </c>
      <c r="E1742" s="22">
        <v>3140122045</v>
      </c>
      <c r="F1742" s="22" t="s">
        <v>260</v>
      </c>
      <c r="G1742" s="18"/>
      <c r="H1742" s="18"/>
      <c r="I1742" s="22" t="s">
        <v>1974</v>
      </c>
      <c r="J1742" s="14" t="s">
        <v>1975</v>
      </c>
      <c r="K1742" s="14" t="s">
        <v>1352</v>
      </c>
      <c r="L1742" s="15">
        <v>46083</v>
      </c>
      <c r="M1742" s="16">
        <v>2026</v>
      </c>
      <c r="S1742" s="9"/>
    </row>
    <row r="1743" spans="1:19" ht="15.6" hidden="1">
      <c r="A1743" s="5">
        <v>1742</v>
      </c>
      <c r="B1743" s="18"/>
      <c r="C1743" s="13"/>
      <c r="D1743" s="22" t="s">
        <v>309</v>
      </c>
      <c r="E1743" s="22">
        <v>3140122050</v>
      </c>
      <c r="F1743" s="22" t="s">
        <v>260</v>
      </c>
      <c r="G1743" s="18"/>
      <c r="H1743" s="18"/>
      <c r="I1743" s="22" t="s">
        <v>1974</v>
      </c>
      <c r="J1743" s="14" t="s">
        <v>1975</v>
      </c>
      <c r="K1743" s="14" t="s">
        <v>1352</v>
      </c>
      <c r="L1743" s="15">
        <v>46084</v>
      </c>
      <c r="M1743" s="16">
        <v>2026</v>
      </c>
      <c r="S1743" s="9"/>
    </row>
    <row r="1744" spans="1:19" ht="18" hidden="1">
      <c r="A1744" s="5">
        <v>1743</v>
      </c>
      <c r="B1744" s="18"/>
      <c r="C1744" s="13" t="s">
        <v>2596</v>
      </c>
      <c r="D1744" s="22" t="s">
        <v>186</v>
      </c>
      <c r="E1744" s="22">
        <v>3130123006</v>
      </c>
      <c r="F1744" s="22" t="s">
        <v>125</v>
      </c>
      <c r="G1744" s="18"/>
      <c r="H1744" s="18"/>
      <c r="I1744" s="22" t="s">
        <v>1974</v>
      </c>
      <c r="J1744" s="14" t="s">
        <v>1975</v>
      </c>
      <c r="K1744" s="14" t="s">
        <v>1352</v>
      </c>
      <c r="L1744" s="15">
        <v>46085</v>
      </c>
      <c r="M1744" s="16">
        <v>2026</v>
      </c>
      <c r="S1744" s="9"/>
    </row>
    <row r="1745" spans="1:19" ht="15.6" hidden="1">
      <c r="A1745" s="5">
        <v>1744</v>
      </c>
      <c r="B1745" s="18"/>
      <c r="C1745" s="13"/>
      <c r="D1745" s="22" t="s">
        <v>257</v>
      </c>
      <c r="E1745" s="22">
        <v>3140722051</v>
      </c>
      <c r="F1745" s="22" t="s">
        <v>141</v>
      </c>
      <c r="G1745" s="18"/>
      <c r="H1745" s="18"/>
      <c r="I1745" s="22" t="s">
        <v>1974</v>
      </c>
      <c r="J1745" s="14" t="s">
        <v>1975</v>
      </c>
      <c r="K1745" s="14" t="s">
        <v>1352</v>
      </c>
      <c r="L1745" s="15">
        <v>46086</v>
      </c>
      <c r="M1745" s="16">
        <v>2026</v>
      </c>
      <c r="S1745" s="9"/>
    </row>
    <row r="1746" spans="1:19" ht="15.6" hidden="1">
      <c r="A1746" s="5">
        <v>1745</v>
      </c>
      <c r="B1746" s="18"/>
      <c r="C1746" s="13"/>
      <c r="D1746" s="22" t="s">
        <v>157</v>
      </c>
      <c r="E1746" s="22">
        <v>3130123008</v>
      </c>
      <c r="F1746" s="22" t="s">
        <v>125</v>
      </c>
      <c r="G1746" s="18"/>
      <c r="H1746" s="18"/>
      <c r="I1746" s="22" t="s">
        <v>1974</v>
      </c>
      <c r="J1746" s="14" t="s">
        <v>1975</v>
      </c>
      <c r="K1746" s="14" t="s">
        <v>1352</v>
      </c>
      <c r="L1746" s="15">
        <v>46087</v>
      </c>
      <c r="M1746" s="16">
        <v>2026</v>
      </c>
      <c r="S1746" s="9"/>
    </row>
    <row r="1747" spans="1:19" ht="15.6" hidden="1">
      <c r="A1747" s="5">
        <v>1746</v>
      </c>
      <c r="B1747" s="18"/>
      <c r="C1747" s="13"/>
      <c r="D1747" s="22" t="s">
        <v>2597</v>
      </c>
      <c r="E1747" s="22">
        <v>3130124004</v>
      </c>
      <c r="F1747" s="22" t="s">
        <v>173</v>
      </c>
      <c r="G1747" s="18"/>
      <c r="H1747" s="18"/>
      <c r="I1747" s="22" t="s">
        <v>1974</v>
      </c>
      <c r="J1747" s="14" t="s">
        <v>1975</v>
      </c>
      <c r="K1747" s="14" t="s">
        <v>1352</v>
      </c>
      <c r="L1747" s="15">
        <v>46088</v>
      </c>
      <c r="M1747" s="16">
        <v>2026</v>
      </c>
      <c r="S1747" s="9"/>
    </row>
    <row r="1748" spans="1:19" ht="15.6" hidden="1">
      <c r="A1748" s="5">
        <v>1747</v>
      </c>
      <c r="B1748" s="18"/>
      <c r="C1748" s="13"/>
      <c r="D1748" s="22" t="s">
        <v>2598</v>
      </c>
      <c r="E1748" s="22">
        <v>3140724060</v>
      </c>
      <c r="F1748" s="22" t="s">
        <v>2239</v>
      </c>
      <c r="G1748" s="18"/>
      <c r="H1748" s="18"/>
      <c r="I1748" s="22" t="s">
        <v>1974</v>
      </c>
      <c r="J1748" s="14" t="s">
        <v>1975</v>
      </c>
      <c r="K1748" s="14" t="s">
        <v>1352</v>
      </c>
      <c r="L1748" s="15">
        <v>46089</v>
      </c>
      <c r="M1748" s="16">
        <v>2026</v>
      </c>
      <c r="S1748" s="9"/>
    </row>
    <row r="1749" spans="1:19" ht="15.6" hidden="1">
      <c r="A1749" s="5">
        <v>1748</v>
      </c>
      <c r="B1749" s="18"/>
      <c r="C1749" s="13" t="s">
        <v>2599</v>
      </c>
      <c r="D1749" s="22" t="s">
        <v>1463</v>
      </c>
      <c r="E1749" s="22">
        <v>3130325019</v>
      </c>
      <c r="F1749" s="22" t="s">
        <v>1464</v>
      </c>
      <c r="G1749" s="18"/>
      <c r="H1749" s="18"/>
      <c r="I1749" s="22" t="s">
        <v>1974</v>
      </c>
      <c r="J1749" s="14" t="s">
        <v>1975</v>
      </c>
      <c r="K1749" s="14" t="s">
        <v>1352</v>
      </c>
      <c r="L1749" s="15">
        <v>46090</v>
      </c>
      <c r="M1749" s="16">
        <v>2026</v>
      </c>
      <c r="S1749" s="9"/>
    </row>
    <row r="1750" spans="1:19" ht="15.6" hidden="1">
      <c r="A1750" s="5">
        <v>1749</v>
      </c>
      <c r="B1750" s="18"/>
      <c r="C1750" s="13"/>
      <c r="D1750" s="22" t="s">
        <v>2583</v>
      </c>
      <c r="E1750" s="22">
        <v>3130325026</v>
      </c>
      <c r="F1750" s="22" t="s">
        <v>1464</v>
      </c>
      <c r="G1750" s="18"/>
      <c r="H1750" s="18"/>
      <c r="I1750" s="22" t="s">
        <v>1974</v>
      </c>
      <c r="J1750" s="14" t="s">
        <v>1975</v>
      </c>
      <c r="K1750" s="14" t="s">
        <v>1352</v>
      </c>
      <c r="L1750" s="15">
        <v>46091</v>
      </c>
      <c r="M1750" s="16">
        <v>2026</v>
      </c>
      <c r="S1750" s="9"/>
    </row>
    <row r="1751" spans="1:19" ht="15.6" hidden="1">
      <c r="A1751" s="5">
        <v>1750</v>
      </c>
      <c r="B1751" s="18"/>
      <c r="C1751" s="13"/>
      <c r="D1751" s="22" t="s">
        <v>2600</v>
      </c>
      <c r="E1751" s="22">
        <v>3130325033</v>
      </c>
      <c r="F1751" s="22" t="s">
        <v>1464</v>
      </c>
      <c r="G1751" s="18"/>
      <c r="H1751" s="18"/>
      <c r="I1751" s="22" t="s">
        <v>1974</v>
      </c>
      <c r="J1751" s="14" t="s">
        <v>1975</v>
      </c>
      <c r="K1751" s="14" t="s">
        <v>1352</v>
      </c>
      <c r="L1751" s="15">
        <v>46092</v>
      </c>
      <c r="M1751" s="16">
        <v>2026</v>
      </c>
      <c r="S1751" s="9"/>
    </row>
    <row r="1752" spans="1:19" ht="15.6" hidden="1">
      <c r="A1752" s="5">
        <v>1751</v>
      </c>
      <c r="B1752" s="18"/>
      <c r="C1752" s="13"/>
      <c r="D1752" s="22" t="s">
        <v>2601</v>
      </c>
      <c r="E1752" s="22">
        <v>3110525005</v>
      </c>
      <c r="F1752" s="22" t="s">
        <v>1464</v>
      </c>
      <c r="G1752" s="18"/>
      <c r="H1752" s="18"/>
      <c r="I1752" s="22" t="s">
        <v>1974</v>
      </c>
      <c r="J1752" s="14" t="s">
        <v>1975</v>
      </c>
      <c r="K1752" s="14" t="s">
        <v>1352</v>
      </c>
      <c r="L1752" s="15">
        <v>46093</v>
      </c>
      <c r="M1752" s="16">
        <v>2026</v>
      </c>
      <c r="S1752" s="9"/>
    </row>
    <row r="1753" spans="1:19" ht="46.8" hidden="1">
      <c r="A1753" s="5">
        <v>1752</v>
      </c>
      <c r="B1753" s="18"/>
      <c r="C1753" s="13" t="s">
        <v>2602</v>
      </c>
      <c r="D1753" s="22" t="s">
        <v>2603</v>
      </c>
      <c r="E1753" s="22">
        <v>3240423054</v>
      </c>
      <c r="F1753" s="22" t="s">
        <v>2604</v>
      </c>
      <c r="G1753" s="18"/>
      <c r="H1753" s="18"/>
      <c r="I1753" s="22" t="s">
        <v>2605</v>
      </c>
      <c r="J1753" s="14" t="s">
        <v>2606</v>
      </c>
      <c r="K1753" s="14" t="s">
        <v>1370</v>
      </c>
      <c r="L1753" s="15">
        <v>46094</v>
      </c>
      <c r="M1753" s="16">
        <v>2026</v>
      </c>
      <c r="S1753" s="9"/>
    </row>
    <row r="1754" spans="1:19" ht="46.8" hidden="1">
      <c r="A1754" s="5">
        <v>1753</v>
      </c>
      <c r="B1754" s="18"/>
      <c r="C1754" s="13"/>
      <c r="D1754" s="22" t="s">
        <v>2607</v>
      </c>
      <c r="E1754" s="22">
        <v>3240423051</v>
      </c>
      <c r="F1754" s="22" t="s">
        <v>2604</v>
      </c>
      <c r="G1754" s="18"/>
      <c r="H1754" s="18"/>
      <c r="I1754" s="22" t="s">
        <v>2605</v>
      </c>
      <c r="J1754" s="14" t="s">
        <v>2606</v>
      </c>
      <c r="K1754" s="14" t="s">
        <v>1370</v>
      </c>
      <c r="L1754" s="15">
        <v>46095</v>
      </c>
      <c r="M1754" s="16">
        <v>2026</v>
      </c>
      <c r="S1754" s="9"/>
    </row>
    <row r="1755" spans="1:19" ht="46.8" hidden="1">
      <c r="A1755" s="5">
        <v>1754</v>
      </c>
      <c r="B1755" s="18"/>
      <c r="C1755" s="13" t="s">
        <v>2608</v>
      </c>
      <c r="D1755" s="22" t="s">
        <v>2609</v>
      </c>
      <c r="E1755" s="22">
        <v>3240423027</v>
      </c>
      <c r="F1755" s="22" t="s">
        <v>2604</v>
      </c>
      <c r="G1755" s="18"/>
      <c r="H1755" s="18"/>
      <c r="I1755" s="22" t="s">
        <v>2605</v>
      </c>
      <c r="J1755" s="14" t="s">
        <v>2606</v>
      </c>
      <c r="K1755" s="14" t="s">
        <v>1370</v>
      </c>
      <c r="L1755" s="15">
        <v>46096</v>
      </c>
      <c r="M1755" s="16">
        <v>2026</v>
      </c>
      <c r="S1755" s="9"/>
    </row>
    <row r="1756" spans="1:19" ht="46.8" hidden="1">
      <c r="A1756" s="5">
        <v>1755</v>
      </c>
      <c r="B1756" s="18"/>
      <c r="C1756" s="13"/>
      <c r="D1756" s="22" t="s">
        <v>2610</v>
      </c>
      <c r="E1756" s="22">
        <v>3240423006</v>
      </c>
      <c r="F1756" s="22" t="s">
        <v>2604</v>
      </c>
      <c r="G1756" s="18"/>
      <c r="H1756" s="18"/>
      <c r="I1756" s="22" t="s">
        <v>2605</v>
      </c>
      <c r="J1756" s="14" t="s">
        <v>2606</v>
      </c>
      <c r="K1756" s="14" t="s">
        <v>1370</v>
      </c>
      <c r="L1756" s="15">
        <v>46097</v>
      </c>
      <c r="M1756" s="16">
        <v>2026</v>
      </c>
      <c r="S1756" s="9"/>
    </row>
    <row r="1757" spans="1:19" ht="46.8" hidden="1">
      <c r="A1757" s="5">
        <v>1756</v>
      </c>
      <c r="B1757" s="18"/>
      <c r="C1757" s="13"/>
      <c r="D1757" s="22" t="s">
        <v>2611</v>
      </c>
      <c r="E1757" s="22">
        <v>3240423014</v>
      </c>
      <c r="F1757" s="22" t="s">
        <v>2604</v>
      </c>
      <c r="G1757" s="18"/>
      <c r="H1757" s="18"/>
      <c r="I1757" s="22" t="s">
        <v>2605</v>
      </c>
      <c r="J1757" s="14" t="s">
        <v>2606</v>
      </c>
      <c r="K1757" s="14" t="s">
        <v>1370</v>
      </c>
      <c r="L1757" s="15">
        <v>46098</v>
      </c>
      <c r="M1757" s="16">
        <v>2026</v>
      </c>
      <c r="S1757" s="9"/>
    </row>
    <row r="1758" spans="1:19" ht="46.8" hidden="1">
      <c r="A1758" s="5">
        <v>1757</v>
      </c>
      <c r="B1758" s="18"/>
      <c r="C1758" s="13" t="s">
        <v>2612</v>
      </c>
      <c r="D1758" s="22" t="s">
        <v>2613</v>
      </c>
      <c r="E1758" s="22">
        <v>3240423001</v>
      </c>
      <c r="F1758" s="22" t="s">
        <v>2604</v>
      </c>
      <c r="G1758" s="18"/>
      <c r="H1758" s="18"/>
      <c r="I1758" s="22" t="s">
        <v>2605</v>
      </c>
      <c r="J1758" s="14" t="s">
        <v>2606</v>
      </c>
      <c r="K1758" s="14" t="s">
        <v>1370</v>
      </c>
      <c r="L1758" s="15">
        <v>46099</v>
      </c>
      <c r="M1758" s="16">
        <v>2026</v>
      </c>
      <c r="S1758" s="9"/>
    </row>
    <row r="1759" spans="1:19" ht="46.8" hidden="1">
      <c r="A1759" s="5">
        <v>1758</v>
      </c>
      <c r="B1759" s="18"/>
      <c r="C1759" s="13"/>
      <c r="D1759" s="22" t="s">
        <v>2614</v>
      </c>
      <c r="E1759" s="22">
        <v>3240423010</v>
      </c>
      <c r="F1759" s="22" t="s">
        <v>2604</v>
      </c>
      <c r="G1759" s="18"/>
      <c r="H1759" s="18"/>
      <c r="I1759" s="22" t="s">
        <v>2605</v>
      </c>
      <c r="J1759" s="14" t="s">
        <v>2606</v>
      </c>
      <c r="K1759" s="14" t="s">
        <v>1370</v>
      </c>
      <c r="L1759" s="15">
        <v>46100</v>
      </c>
      <c r="M1759" s="16">
        <v>2026</v>
      </c>
      <c r="S1759" s="9"/>
    </row>
    <row r="1760" spans="1:19" ht="46.8" hidden="1">
      <c r="A1760" s="5">
        <v>1759</v>
      </c>
      <c r="B1760" s="18"/>
      <c r="C1760" s="13"/>
      <c r="D1760" s="22" t="s">
        <v>2615</v>
      </c>
      <c r="E1760" s="22">
        <v>3240423013</v>
      </c>
      <c r="F1760" s="22" t="s">
        <v>2604</v>
      </c>
      <c r="G1760" s="18"/>
      <c r="H1760" s="18"/>
      <c r="I1760" s="22" t="s">
        <v>2605</v>
      </c>
      <c r="J1760" s="14" t="s">
        <v>2606</v>
      </c>
      <c r="K1760" s="14" t="s">
        <v>1370</v>
      </c>
      <c r="L1760" s="15">
        <v>46101</v>
      </c>
      <c r="M1760" s="16">
        <v>2026</v>
      </c>
      <c r="S1760" s="9"/>
    </row>
    <row r="1761" spans="1:19" ht="46.8" hidden="1">
      <c r="A1761" s="5">
        <v>1760</v>
      </c>
      <c r="B1761" s="18"/>
      <c r="C1761" s="13" t="s">
        <v>2616</v>
      </c>
      <c r="D1761" s="22" t="s">
        <v>2617</v>
      </c>
      <c r="E1761" s="22">
        <v>3240423016</v>
      </c>
      <c r="F1761" s="22" t="s">
        <v>2604</v>
      </c>
      <c r="G1761" s="18"/>
      <c r="H1761" s="18"/>
      <c r="I1761" s="22" t="s">
        <v>2605</v>
      </c>
      <c r="J1761" s="14" t="s">
        <v>2606</v>
      </c>
      <c r="K1761" s="14" t="s">
        <v>1370</v>
      </c>
      <c r="L1761" s="15">
        <v>46102</v>
      </c>
      <c r="M1761" s="16">
        <v>2026</v>
      </c>
      <c r="S1761" s="9"/>
    </row>
    <row r="1762" spans="1:19" ht="46.8" hidden="1">
      <c r="A1762" s="5">
        <v>1761</v>
      </c>
      <c r="B1762" s="18"/>
      <c r="C1762" s="13"/>
      <c r="D1762" s="22" t="s">
        <v>2618</v>
      </c>
      <c r="E1762" s="22">
        <v>3240423019</v>
      </c>
      <c r="F1762" s="22" t="s">
        <v>2604</v>
      </c>
      <c r="G1762" s="18"/>
      <c r="H1762" s="18"/>
      <c r="I1762" s="22" t="s">
        <v>2605</v>
      </c>
      <c r="J1762" s="14" t="s">
        <v>2606</v>
      </c>
      <c r="K1762" s="14" t="s">
        <v>1370</v>
      </c>
      <c r="L1762" s="15">
        <v>46103</v>
      </c>
      <c r="M1762" s="16">
        <v>2026</v>
      </c>
      <c r="S1762" s="9"/>
    </row>
    <row r="1763" spans="1:19" ht="46.8" hidden="1">
      <c r="A1763" s="5">
        <v>1762</v>
      </c>
      <c r="B1763" s="18"/>
      <c r="C1763" s="13"/>
      <c r="D1763" s="22" t="s">
        <v>2619</v>
      </c>
      <c r="E1763" s="22">
        <v>3240423072</v>
      </c>
      <c r="F1763" s="22" t="s">
        <v>2604</v>
      </c>
      <c r="G1763" s="18"/>
      <c r="H1763" s="18"/>
      <c r="I1763" s="22" t="s">
        <v>2605</v>
      </c>
      <c r="J1763" s="14" t="s">
        <v>2606</v>
      </c>
      <c r="K1763" s="14" t="s">
        <v>1370</v>
      </c>
      <c r="L1763" s="15">
        <v>46032</v>
      </c>
      <c r="M1763" s="16">
        <v>2026</v>
      </c>
      <c r="S1763" s="9"/>
    </row>
    <row r="1764" spans="1:19" ht="46.8" hidden="1">
      <c r="A1764" s="5">
        <v>1763</v>
      </c>
      <c r="B1764" s="18"/>
      <c r="C1764" s="13" t="s">
        <v>2620</v>
      </c>
      <c r="D1764" s="22" t="s">
        <v>2621</v>
      </c>
      <c r="E1764" s="22">
        <v>3240423041</v>
      </c>
      <c r="F1764" s="22" t="s">
        <v>2604</v>
      </c>
      <c r="G1764" s="18"/>
      <c r="H1764" s="18"/>
      <c r="I1764" s="22" t="s">
        <v>2605</v>
      </c>
      <c r="J1764" s="14" t="s">
        <v>2606</v>
      </c>
      <c r="K1764" s="14" t="s">
        <v>1370</v>
      </c>
      <c r="L1764" s="15">
        <v>46033</v>
      </c>
      <c r="M1764" s="16">
        <v>2026</v>
      </c>
      <c r="S1764" s="9"/>
    </row>
    <row r="1765" spans="1:19" ht="46.8" hidden="1">
      <c r="A1765" s="5">
        <v>1764</v>
      </c>
      <c r="B1765" s="18"/>
      <c r="C1765" s="13"/>
      <c r="D1765" s="22" t="s">
        <v>2622</v>
      </c>
      <c r="E1765" s="22">
        <v>3240423047</v>
      </c>
      <c r="F1765" s="22" t="s">
        <v>2604</v>
      </c>
      <c r="G1765" s="18"/>
      <c r="H1765" s="18"/>
      <c r="I1765" s="22" t="s">
        <v>2605</v>
      </c>
      <c r="J1765" s="14" t="s">
        <v>2606</v>
      </c>
      <c r="K1765" s="14" t="s">
        <v>1370</v>
      </c>
      <c r="L1765" s="15">
        <v>46034</v>
      </c>
      <c r="M1765" s="16">
        <v>2026</v>
      </c>
      <c r="S1765" s="9"/>
    </row>
    <row r="1766" spans="1:19" ht="46.8" hidden="1">
      <c r="A1766" s="5">
        <v>1765</v>
      </c>
      <c r="B1766" s="18"/>
      <c r="C1766" s="13"/>
      <c r="D1766" s="22" t="s">
        <v>2623</v>
      </c>
      <c r="E1766" s="22">
        <v>3240423055</v>
      </c>
      <c r="F1766" s="22" t="s">
        <v>2604</v>
      </c>
      <c r="G1766" s="18"/>
      <c r="H1766" s="18"/>
      <c r="I1766" s="22" t="s">
        <v>2605</v>
      </c>
      <c r="J1766" s="14" t="s">
        <v>2606</v>
      </c>
      <c r="K1766" s="14" t="s">
        <v>1370</v>
      </c>
      <c r="L1766" s="15">
        <v>46035</v>
      </c>
      <c r="M1766" s="16">
        <v>2026</v>
      </c>
      <c r="S1766" s="9"/>
    </row>
    <row r="1767" spans="1:19" ht="46.8" hidden="1">
      <c r="A1767" s="5">
        <v>1766</v>
      </c>
      <c r="B1767" s="18"/>
      <c r="C1767" s="13"/>
      <c r="D1767" s="22" t="s">
        <v>2624</v>
      </c>
      <c r="E1767" s="22">
        <v>3240423060</v>
      </c>
      <c r="F1767" s="22" t="s">
        <v>2604</v>
      </c>
      <c r="G1767" s="18"/>
      <c r="H1767" s="18"/>
      <c r="I1767" s="22" t="s">
        <v>2605</v>
      </c>
      <c r="J1767" s="14" t="s">
        <v>2606</v>
      </c>
      <c r="K1767" s="14" t="s">
        <v>1370</v>
      </c>
      <c r="L1767" s="15">
        <v>46036</v>
      </c>
      <c r="M1767" s="16">
        <v>2026</v>
      </c>
      <c r="S1767" s="9"/>
    </row>
    <row r="1768" spans="1:19" ht="46.8" hidden="1">
      <c r="A1768" s="5">
        <v>1767</v>
      </c>
      <c r="B1768" s="18"/>
      <c r="C1768" s="13"/>
      <c r="D1768" s="22" t="s">
        <v>2625</v>
      </c>
      <c r="E1768" s="22">
        <v>3240423008</v>
      </c>
      <c r="F1768" s="22" t="s">
        <v>2604</v>
      </c>
      <c r="G1768" s="18"/>
      <c r="H1768" s="18"/>
      <c r="I1768" s="22" t="s">
        <v>2605</v>
      </c>
      <c r="J1768" s="14" t="s">
        <v>2606</v>
      </c>
      <c r="K1768" s="14" t="s">
        <v>1370</v>
      </c>
      <c r="L1768" s="15">
        <v>46037</v>
      </c>
      <c r="M1768" s="16">
        <v>2026</v>
      </c>
      <c r="S1768" s="9"/>
    </row>
    <row r="1769" spans="1:19" ht="46.8" hidden="1">
      <c r="A1769" s="5">
        <v>1768</v>
      </c>
      <c r="B1769" s="18"/>
      <c r="C1769" s="13" t="s">
        <v>2626</v>
      </c>
      <c r="D1769" s="22" t="s">
        <v>2627</v>
      </c>
      <c r="E1769" s="22">
        <v>3240124007</v>
      </c>
      <c r="F1769" s="22" t="s">
        <v>2628</v>
      </c>
      <c r="G1769" s="18"/>
      <c r="H1769" s="18"/>
      <c r="I1769" s="22" t="s">
        <v>2605</v>
      </c>
      <c r="J1769" s="14" t="s">
        <v>2606</v>
      </c>
      <c r="K1769" s="14" t="s">
        <v>1370</v>
      </c>
      <c r="L1769" s="15">
        <v>46038</v>
      </c>
      <c r="M1769" s="16">
        <v>2026</v>
      </c>
      <c r="S1769" s="9"/>
    </row>
    <row r="1770" spans="1:19" ht="46.8" hidden="1">
      <c r="A1770" s="5">
        <v>1769</v>
      </c>
      <c r="B1770" s="18"/>
      <c r="C1770" s="13"/>
      <c r="D1770" s="22" t="s">
        <v>2629</v>
      </c>
      <c r="E1770" s="22">
        <v>3240124010</v>
      </c>
      <c r="F1770" s="22" t="s">
        <v>2630</v>
      </c>
      <c r="G1770" s="18"/>
      <c r="H1770" s="18"/>
      <c r="I1770" s="22" t="s">
        <v>2605</v>
      </c>
      <c r="J1770" s="14" t="s">
        <v>2606</v>
      </c>
      <c r="K1770" s="14" t="s">
        <v>1370</v>
      </c>
      <c r="L1770" s="15">
        <v>46039</v>
      </c>
      <c r="M1770" s="16">
        <v>2026</v>
      </c>
      <c r="S1770" s="9"/>
    </row>
    <row r="1771" spans="1:19" ht="46.8" hidden="1">
      <c r="A1771" s="5">
        <v>1770</v>
      </c>
      <c r="B1771" s="18"/>
      <c r="C1771" s="13" t="s">
        <v>2631</v>
      </c>
      <c r="D1771" s="22" t="s">
        <v>951</v>
      </c>
      <c r="E1771" s="22">
        <v>3160622004</v>
      </c>
      <c r="F1771" s="22" t="s">
        <v>929</v>
      </c>
      <c r="G1771" s="18"/>
      <c r="H1771" s="18"/>
      <c r="I1771" s="22" t="s">
        <v>2605</v>
      </c>
      <c r="J1771" s="14" t="s">
        <v>2606</v>
      </c>
      <c r="K1771" s="14" t="s">
        <v>1370</v>
      </c>
      <c r="L1771" s="15">
        <v>46040</v>
      </c>
      <c r="M1771" s="16">
        <v>2026</v>
      </c>
      <c r="S1771" s="9"/>
    </row>
    <row r="1772" spans="1:19" ht="46.8" hidden="1">
      <c r="A1772" s="5">
        <v>1771</v>
      </c>
      <c r="B1772" s="18"/>
      <c r="C1772" s="13"/>
      <c r="D1772" s="22" t="s">
        <v>953</v>
      </c>
      <c r="E1772" s="22">
        <v>3160622015</v>
      </c>
      <c r="F1772" s="22" t="s">
        <v>929</v>
      </c>
      <c r="G1772" s="18"/>
      <c r="H1772" s="18"/>
      <c r="I1772" s="22" t="s">
        <v>2605</v>
      </c>
      <c r="J1772" s="14" t="s">
        <v>2606</v>
      </c>
      <c r="K1772" s="14" t="s">
        <v>1370</v>
      </c>
      <c r="L1772" s="15">
        <v>46041</v>
      </c>
      <c r="M1772" s="16">
        <v>2026</v>
      </c>
      <c r="S1772" s="9"/>
    </row>
    <row r="1773" spans="1:19" ht="46.8" hidden="1">
      <c r="A1773" s="5">
        <v>1772</v>
      </c>
      <c r="B1773" s="18"/>
      <c r="C1773" s="13"/>
      <c r="D1773" s="22" t="s">
        <v>928</v>
      </c>
      <c r="E1773" s="22">
        <v>3160622020</v>
      </c>
      <c r="F1773" s="22" t="s">
        <v>929</v>
      </c>
      <c r="G1773" s="18"/>
      <c r="H1773" s="18"/>
      <c r="I1773" s="22" t="s">
        <v>2605</v>
      </c>
      <c r="J1773" s="14" t="s">
        <v>2606</v>
      </c>
      <c r="K1773" s="14" t="s">
        <v>1370</v>
      </c>
      <c r="L1773" s="15">
        <v>46042</v>
      </c>
      <c r="M1773" s="16">
        <v>2026</v>
      </c>
      <c r="S1773" s="9"/>
    </row>
    <row r="1774" spans="1:19" ht="46.8" hidden="1">
      <c r="A1774" s="5">
        <v>1773</v>
      </c>
      <c r="B1774" s="18"/>
      <c r="C1774" s="13"/>
      <c r="D1774" s="22" t="s">
        <v>941</v>
      </c>
      <c r="E1774" s="22">
        <v>3160622021</v>
      </c>
      <c r="F1774" s="22" t="s">
        <v>929</v>
      </c>
      <c r="G1774" s="18"/>
      <c r="H1774" s="18"/>
      <c r="I1774" s="22" t="s">
        <v>2605</v>
      </c>
      <c r="J1774" s="14" t="s">
        <v>2606</v>
      </c>
      <c r="K1774" s="14" t="s">
        <v>1370</v>
      </c>
      <c r="L1774" s="15">
        <v>46043</v>
      </c>
      <c r="M1774" s="16">
        <v>2026</v>
      </c>
      <c r="S1774" s="9"/>
    </row>
    <row r="1775" spans="1:19" ht="46.8" hidden="1">
      <c r="A1775" s="5">
        <v>1774</v>
      </c>
      <c r="B1775" s="18"/>
      <c r="C1775" s="13"/>
      <c r="D1775" s="22" t="s">
        <v>954</v>
      </c>
      <c r="E1775" s="22">
        <v>3160622024</v>
      </c>
      <c r="F1775" s="22" t="s">
        <v>929</v>
      </c>
      <c r="G1775" s="18"/>
      <c r="H1775" s="18"/>
      <c r="I1775" s="22" t="s">
        <v>2605</v>
      </c>
      <c r="J1775" s="14" t="s">
        <v>2606</v>
      </c>
      <c r="K1775" s="14" t="s">
        <v>1370</v>
      </c>
      <c r="L1775" s="15">
        <v>46044</v>
      </c>
      <c r="M1775" s="16">
        <v>2026</v>
      </c>
      <c r="S1775" s="9"/>
    </row>
    <row r="1776" spans="1:19" ht="46.8" hidden="1">
      <c r="A1776" s="5">
        <v>1775</v>
      </c>
      <c r="B1776" s="18"/>
      <c r="C1776" s="13" t="s">
        <v>2632</v>
      </c>
      <c r="D1776" s="22" t="s">
        <v>964</v>
      </c>
      <c r="E1776" s="22">
        <v>3240623053</v>
      </c>
      <c r="F1776" s="22" t="s">
        <v>2633</v>
      </c>
      <c r="G1776" s="18"/>
      <c r="H1776" s="18"/>
      <c r="I1776" s="22" t="s">
        <v>2605</v>
      </c>
      <c r="J1776" s="14" t="s">
        <v>2606</v>
      </c>
      <c r="K1776" s="14" t="s">
        <v>1370</v>
      </c>
      <c r="L1776" s="15">
        <v>46045</v>
      </c>
      <c r="M1776" s="16">
        <v>2026</v>
      </c>
      <c r="S1776" s="9"/>
    </row>
    <row r="1777" spans="1:19" ht="46.8" hidden="1">
      <c r="A1777" s="5">
        <v>1776</v>
      </c>
      <c r="B1777" s="18"/>
      <c r="C1777" s="13"/>
      <c r="D1777" s="22" t="s">
        <v>956</v>
      </c>
      <c r="E1777" s="22">
        <v>3240623007</v>
      </c>
      <c r="F1777" s="22" t="s">
        <v>2634</v>
      </c>
      <c r="G1777" s="18"/>
      <c r="H1777" s="18"/>
      <c r="I1777" s="22" t="s">
        <v>2605</v>
      </c>
      <c r="J1777" s="14" t="s">
        <v>2606</v>
      </c>
      <c r="K1777" s="14" t="s">
        <v>1370</v>
      </c>
      <c r="L1777" s="15">
        <v>46046</v>
      </c>
      <c r="M1777" s="16">
        <v>2026</v>
      </c>
      <c r="S1777" s="9"/>
    </row>
    <row r="1778" spans="1:19" ht="46.8" hidden="1">
      <c r="A1778" s="5">
        <v>1777</v>
      </c>
      <c r="B1778" s="18"/>
      <c r="C1778" s="13"/>
      <c r="D1778" s="22" t="s">
        <v>959</v>
      </c>
      <c r="E1778" s="22">
        <v>3240623032</v>
      </c>
      <c r="F1778" s="22" t="s">
        <v>2635</v>
      </c>
      <c r="G1778" s="18"/>
      <c r="H1778" s="18"/>
      <c r="I1778" s="22" t="s">
        <v>2605</v>
      </c>
      <c r="J1778" s="14" t="s">
        <v>2606</v>
      </c>
      <c r="K1778" s="14" t="s">
        <v>1370</v>
      </c>
      <c r="L1778" s="15">
        <v>46047</v>
      </c>
      <c r="M1778" s="16">
        <v>2026</v>
      </c>
      <c r="S1778" s="9"/>
    </row>
    <row r="1779" spans="1:19" ht="46.8" hidden="1">
      <c r="A1779" s="5">
        <v>1778</v>
      </c>
      <c r="B1779" s="18"/>
      <c r="C1779" s="13"/>
      <c r="D1779" s="22" t="s">
        <v>969</v>
      </c>
      <c r="E1779" s="22">
        <v>3240623030</v>
      </c>
      <c r="F1779" s="22" t="s">
        <v>2636</v>
      </c>
      <c r="G1779" s="18"/>
      <c r="H1779" s="18"/>
      <c r="I1779" s="22" t="s">
        <v>2605</v>
      </c>
      <c r="J1779" s="14" t="s">
        <v>2606</v>
      </c>
      <c r="K1779" s="14" t="s">
        <v>1370</v>
      </c>
      <c r="L1779" s="15">
        <v>46048</v>
      </c>
      <c r="M1779" s="16">
        <v>2026</v>
      </c>
      <c r="S1779" s="9"/>
    </row>
    <row r="1780" spans="1:19" ht="46.8" hidden="1">
      <c r="A1780" s="5">
        <v>1779</v>
      </c>
      <c r="B1780" s="18"/>
      <c r="C1780" s="13" t="s">
        <v>2637</v>
      </c>
      <c r="D1780" s="22" t="s">
        <v>978</v>
      </c>
      <c r="E1780" s="22">
        <v>3240623045</v>
      </c>
      <c r="F1780" s="22" t="s">
        <v>957</v>
      </c>
      <c r="G1780" s="18"/>
      <c r="H1780" s="18"/>
      <c r="I1780" s="22" t="s">
        <v>2605</v>
      </c>
      <c r="J1780" s="14" t="s">
        <v>2606</v>
      </c>
      <c r="K1780" s="14" t="s">
        <v>1370</v>
      </c>
      <c r="L1780" s="15">
        <v>46049</v>
      </c>
      <c r="M1780" s="16">
        <v>2026</v>
      </c>
      <c r="S1780" s="9"/>
    </row>
    <row r="1781" spans="1:19" ht="13.2">
      <c r="C1781" s="28"/>
      <c r="I1781" s="29"/>
      <c r="L1781" s="15"/>
      <c r="M1781" s="30"/>
      <c r="S1781" s="9"/>
    </row>
    <row r="1782" spans="1:19" ht="13.2">
      <c r="C1782" s="28"/>
      <c r="I1782" s="29"/>
      <c r="L1782" s="15"/>
      <c r="M1782" s="30"/>
      <c r="S1782" s="9"/>
    </row>
    <row r="1783" spans="1:19" ht="13.2">
      <c r="C1783" s="28"/>
      <c r="I1783" s="29"/>
      <c r="L1783" s="15"/>
      <c r="M1783" s="30"/>
      <c r="S1783" s="9"/>
    </row>
    <row r="1784" spans="1:19" ht="13.2">
      <c r="C1784" s="28"/>
      <c r="I1784" s="29"/>
      <c r="L1784" s="15"/>
      <c r="M1784" s="30"/>
      <c r="S1784" s="9"/>
    </row>
    <row r="1785" spans="1:19" ht="13.2">
      <c r="C1785" s="28"/>
      <c r="I1785" s="29"/>
      <c r="L1785" s="15"/>
      <c r="M1785" s="30"/>
      <c r="S1785" s="9"/>
    </row>
    <row r="1786" spans="1:19" ht="13.2">
      <c r="C1786" s="28"/>
      <c r="I1786" s="29"/>
      <c r="L1786" s="15"/>
      <c r="M1786" s="30"/>
      <c r="S1786" s="9"/>
    </row>
    <row r="1787" spans="1:19" ht="13.2">
      <c r="C1787" s="28"/>
      <c r="I1787" s="29"/>
      <c r="L1787" s="15"/>
      <c r="M1787" s="30"/>
      <c r="S1787" s="9"/>
    </row>
    <row r="1788" spans="1:19" ht="13.2">
      <c r="C1788" s="28"/>
      <c r="I1788" s="29"/>
      <c r="L1788" s="15"/>
      <c r="M1788" s="30"/>
      <c r="S1788" s="9"/>
    </row>
    <row r="1789" spans="1:19" ht="13.2">
      <c r="C1789" s="28"/>
      <c r="I1789" s="29"/>
      <c r="L1789" s="15"/>
      <c r="M1789" s="30"/>
      <c r="S1789" s="9"/>
    </row>
    <row r="1790" spans="1:19" ht="13.2">
      <c r="C1790" s="28"/>
      <c r="I1790" s="29"/>
      <c r="L1790" s="15"/>
      <c r="M1790" s="30"/>
      <c r="S1790" s="9"/>
    </row>
    <row r="1791" spans="1:19" ht="13.2">
      <c r="C1791" s="28"/>
      <c r="I1791" s="29"/>
      <c r="L1791" s="15"/>
      <c r="M1791" s="30"/>
      <c r="S1791" s="9"/>
    </row>
    <row r="1792" spans="1:19" ht="13.2">
      <c r="C1792" s="28"/>
      <c r="I1792" s="29"/>
      <c r="L1792" s="15"/>
      <c r="M1792" s="30"/>
      <c r="S1792" s="9"/>
    </row>
    <row r="1793" spans="3:19" ht="13.2">
      <c r="C1793" s="28"/>
      <c r="I1793" s="29"/>
      <c r="L1793" s="15"/>
      <c r="M1793" s="30"/>
      <c r="S1793" s="9"/>
    </row>
    <row r="1794" spans="3:19" ht="13.2">
      <c r="C1794" s="28"/>
      <c r="I1794" s="29"/>
      <c r="L1794" s="15"/>
      <c r="M1794" s="30"/>
      <c r="S1794" s="9"/>
    </row>
    <row r="1795" spans="3:19" ht="13.2">
      <c r="C1795" s="28"/>
      <c r="I1795" s="29"/>
      <c r="L1795" s="15"/>
      <c r="M1795" s="30"/>
      <c r="S1795" s="9"/>
    </row>
    <row r="1796" spans="3:19" ht="13.2">
      <c r="C1796" s="28"/>
      <c r="I1796" s="29"/>
      <c r="L1796" s="15"/>
      <c r="M1796" s="30"/>
      <c r="S1796" s="9"/>
    </row>
    <row r="1797" spans="3:19" ht="13.2">
      <c r="C1797" s="28"/>
      <c r="I1797" s="29"/>
      <c r="L1797" s="15"/>
      <c r="M1797" s="30"/>
      <c r="S1797" s="9"/>
    </row>
    <row r="1798" spans="3:19" ht="13.2">
      <c r="C1798" s="28"/>
      <c r="I1798" s="29"/>
      <c r="L1798" s="15"/>
      <c r="M1798" s="30"/>
      <c r="S1798" s="9"/>
    </row>
    <row r="1799" spans="3:19" ht="13.2">
      <c r="C1799" s="28"/>
      <c r="I1799" s="29"/>
      <c r="L1799" s="15"/>
      <c r="M1799" s="30"/>
      <c r="S1799" s="9"/>
    </row>
    <row r="1800" spans="3:19" ht="13.2">
      <c r="C1800" s="28"/>
      <c r="I1800" s="29"/>
      <c r="L1800" s="15"/>
      <c r="M1800" s="30"/>
      <c r="S1800" s="9"/>
    </row>
    <row r="1801" spans="3:19" ht="13.2">
      <c r="C1801" s="28"/>
      <c r="I1801" s="29"/>
      <c r="L1801" s="15"/>
      <c r="M1801" s="30"/>
      <c r="S1801" s="9"/>
    </row>
    <row r="1802" spans="3:19" ht="13.2">
      <c r="C1802" s="28"/>
      <c r="I1802" s="29"/>
      <c r="L1802" s="15"/>
      <c r="M1802" s="30"/>
      <c r="S1802" s="9"/>
    </row>
    <row r="1803" spans="3:19" ht="13.2">
      <c r="C1803" s="28"/>
      <c r="I1803" s="29"/>
      <c r="L1803" s="15"/>
      <c r="M1803" s="30"/>
      <c r="S1803" s="9"/>
    </row>
    <row r="1804" spans="3:19" ht="13.2">
      <c r="C1804" s="28"/>
      <c r="I1804" s="29"/>
      <c r="L1804" s="15"/>
      <c r="M1804" s="30"/>
      <c r="S1804" s="9"/>
    </row>
    <row r="1805" spans="3:19" ht="13.2">
      <c r="C1805" s="28"/>
      <c r="I1805" s="29"/>
      <c r="L1805" s="15"/>
      <c r="M1805" s="30"/>
      <c r="S1805" s="9"/>
    </row>
    <row r="1806" spans="3:19" ht="13.2">
      <c r="C1806" s="28"/>
      <c r="I1806" s="29"/>
      <c r="L1806" s="15"/>
      <c r="M1806" s="30"/>
      <c r="S1806" s="9"/>
    </row>
    <row r="1807" spans="3:19" ht="13.2">
      <c r="C1807" s="28"/>
      <c r="I1807" s="29"/>
      <c r="L1807" s="15"/>
      <c r="M1807" s="30"/>
      <c r="S1807" s="9"/>
    </row>
    <row r="1808" spans="3:19" ht="13.2">
      <c r="C1808" s="28"/>
      <c r="I1808" s="29"/>
      <c r="L1808" s="15"/>
      <c r="M1808" s="30"/>
      <c r="S1808" s="9"/>
    </row>
    <row r="1809" spans="3:19" ht="13.2">
      <c r="C1809" s="28"/>
      <c r="I1809" s="29"/>
      <c r="L1809" s="15"/>
      <c r="M1809" s="30"/>
      <c r="S1809" s="9"/>
    </row>
    <row r="1810" spans="3:19" ht="13.2">
      <c r="C1810" s="28"/>
      <c r="I1810" s="29"/>
      <c r="L1810" s="15"/>
      <c r="M1810" s="30"/>
      <c r="S1810" s="9"/>
    </row>
    <row r="1811" spans="3:19" ht="13.2">
      <c r="C1811" s="28"/>
      <c r="I1811" s="29"/>
      <c r="L1811" s="15"/>
      <c r="M1811" s="30"/>
      <c r="S1811" s="9"/>
    </row>
    <row r="1812" spans="3:19" ht="13.2">
      <c r="C1812" s="28"/>
      <c r="I1812" s="29"/>
      <c r="L1812" s="15"/>
      <c r="M1812" s="30"/>
      <c r="S1812" s="9"/>
    </row>
    <row r="1813" spans="3:19" ht="13.2">
      <c r="C1813" s="28"/>
      <c r="I1813" s="29"/>
      <c r="L1813" s="15"/>
      <c r="M1813" s="30"/>
      <c r="S1813" s="9"/>
    </row>
    <row r="1814" spans="3:19" ht="13.2">
      <c r="C1814" s="28"/>
      <c r="I1814" s="29"/>
      <c r="L1814" s="15"/>
      <c r="M1814" s="30"/>
      <c r="S1814" s="9"/>
    </row>
    <row r="1815" spans="3:19" ht="13.2">
      <c r="C1815" s="28"/>
      <c r="I1815" s="29"/>
      <c r="L1815" s="15"/>
      <c r="M1815" s="30"/>
      <c r="S1815" s="9"/>
    </row>
    <row r="1816" spans="3:19" ht="13.2">
      <c r="C1816" s="28"/>
      <c r="I1816" s="29"/>
      <c r="L1816" s="15"/>
      <c r="M1816" s="30"/>
      <c r="S1816" s="9"/>
    </row>
    <row r="1817" spans="3:19" ht="13.2">
      <c r="C1817" s="28"/>
      <c r="I1817" s="29"/>
      <c r="L1817" s="15"/>
      <c r="M1817" s="30"/>
      <c r="S1817" s="9"/>
    </row>
    <row r="1818" spans="3:19" ht="13.2">
      <c r="C1818" s="28"/>
      <c r="I1818" s="29"/>
      <c r="L1818" s="15"/>
      <c r="M1818" s="30"/>
      <c r="S1818" s="9"/>
    </row>
    <row r="1819" spans="3:19" ht="13.2">
      <c r="C1819" s="28"/>
      <c r="I1819" s="29"/>
      <c r="L1819" s="15"/>
      <c r="M1819" s="30"/>
      <c r="S1819" s="9"/>
    </row>
    <row r="1820" spans="3:19" ht="13.2">
      <c r="C1820" s="28"/>
      <c r="I1820" s="29"/>
      <c r="L1820" s="15"/>
      <c r="M1820" s="30"/>
      <c r="S1820" s="9"/>
    </row>
    <row r="1821" spans="3:19" ht="13.2">
      <c r="C1821" s="28"/>
      <c r="I1821" s="29"/>
      <c r="L1821" s="15"/>
      <c r="M1821" s="30"/>
      <c r="S1821" s="9"/>
    </row>
    <row r="1822" spans="3:19" ht="13.2">
      <c r="C1822" s="28"/>
      <c r="I1822" s="29"/>
      <c r="L1822" s="15"/>
      <c r="M1822" s="30"/>
      <c r="S1822" s="9"/>
    </row>
    <row r="1823" spans="3:19" ht="13.2">
      <c r="C1823" s="28"/>
      <c r="I1823" s="29"/>
      <c r="L1823" s="15"/>
      <c r="M1823" s="30"/>
      <c r="S1823" s="9"/>
    </row>
    <row r="1824" spans="3:19" ht="13.2">
      <c r="C1824" s="28"/>
      <c r="I1824" s="29"/>
      <c r="L1824" s="15"/>
      <c r="M1824" s="30"/>
      <c r="S1824" s="9"/>
    </row>
    <row r="1825" spans="3:19" ht="13.2">
      <c r="C1825" s="28"/>
      <c r="I1825" s="29"/>
      <c r="L1825" s="15"/>
      <c r="M1825" s="30"/>
      <c r="S1825" s="9"/>
    </row>
    <row r="1826" spans="3:19" ht="13.2">
      <c r="C1826" s="28"/>
      <c r="I1826" s="29"/>
      <c r="L1826" s="15"/>
      <c r="M1826" s="30"/>
      <c r="S1826" s="9"/>
    </row>
    <row r="1827" spans="3:19" ht="13.2">
      <c r="C1827" s="28"/>
      <c r="I1827" s="29"/>
      <c r="L1827" s="15"/>
      <c r="M1827" s="30"/>
      <c r="S1827" s="9"/>
    </row>
    <row r="1828" spans="3:19" ht="13.2">
      <c r="C1828" s="28"/>
      <c r="I1828" s="29"/>
      <c r="L1828" s="15"/>
      <c r="M1828" s="30"/>
      <c r="S1828" s="9"/>
    </row>
    <row r="1829" spans="3:19" ht="13.2">
      <c r="C1829" s="28"/>
      <c r="I1829" s="29"/>
      <c r="L1829" s="15"/>
      <c r="M1829" s="30"/>
      <c r="S1829" s="9"/>
    </row>
    <row r="1830" spans="3:19" ht="13.2">
      <c r="C1830" s="28"/>
      <c r="I1830" s="29"/>
      <c r="L1830" s="15"/>
      <c r="M1830" s="30"/>
      <c r="S1830" s="9"/>
    </row>
    <row r="1831" spans="3:19" ht="13.2">
      <c r="C1831" s="28"/>
      <c r="I1831" s="29"/>
      <c r="L1831" s="15"/>
      <c r="M1831" s="30"/>
      <c r="S1831" s="9"/>
    </row>
    <row r="1832" spans="3:19" ht="13.2">
      <c r="C1832" s="28"/>
      <c r="I1832" s="29"/>
      <c r="L1832" s="15"/>
      <c r="M1832" s="30"/>
      <c r="S1832" s="9"/>
    </row>
    <row r="1833" spans="3:19" ht="13.2">
      <c r="C1833" s="28"/>
      <c r="I1833" s="29"/>
      <c r="L1833" s="15"/>
      <c r="M1833" s="30"/>
      <c r="S1833" s="9"/>
    </row>
    <row r="1834" spans="3:19" ht="13.2">
      <c r="C1834" s="28"/>
      <c r="I1834" s="29"/>
      <c r="L1834" s="15"/>
      <c r="M1834" s="30"/>
      <c r="S1834" s="9"/>
    </row>
  </sheetData>
  <autoFilter ref="A1:AA1780">
    <filterColumn colId="9">
      <filters>
        <filter val="Khoa Sinh - Nông nghiệp - Môi trường, Trường ĐHSP"/>
      </filters>
    </filterColumn>
  </autoFilter>
  <mergeCells count="3">
    <mergeCell ref="D1135:D1137"/>
    <mergeCell ref="E1135:E1137"/>
    <mergeCell ref="F1135:F11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000"/>
  <sheetViews>
    <sheetView workbookViewId="0"/>
  </sheetViews>
  <sheetFormatPr defaultColWidth="12.6640625" defaultRowHeight="15.75" customHeight="1"/>
  <cols>
    <col min="4" max="4" width="35.109375" customWidth="1"/>
    <col min="8" max="8" width="35.6640625" customWidth="1"/>
    <col min="9" max="9" width="40.6640625" customWidth="1"/>
    <col min="12" max="12" width="55.77734375" customWidth="1"/>
    <col min="17" max="17" width="37.109375" customWidth="1"/>
  </cols>
  <sheetData>
    <row r="1" spans="1:19" ht="15.6">
      <c r="A1" s="31" t="s">
        <v>2638</v>
      </c>
      <c r="B1" s="32" t="s">
        <v>2639</v>
      </c>
      <c r="C1" s="32" t="s">
        <v>2640</v>
      </c>
      <c r="D1" s="32" t="s">
        <v>2641</v>
      </c>
      <c r="E1" s="33" t="s">
        <v>2642</v>
      </c>
      <c r="F1" s="32" t="s">
        <v>2643</v>
      </c>
      <c r="G1" s="32" t="s">
        <v>2644</v>
      </c>
      <c r="H1" s="32" t="s">
        <v>2645</v>
      </c>
      <c r="I1" s="32" t="s">
        <v>2646</v>
      </c>
      <c r="J1" s="32" t="s">
        <v>2647</v>
      </c>
      <c r="K1" s="32" t="s">
        <v>10</v>
      </c>
      <c r="L1" s="32" t="s">
        <v>2648</v>
      </c>
      <c r="M1" s="32" t="s">
        <v>2649</v>
      </c>
      <c r="N1" s="32" t="s">
        <v>2650</v>
      </c>
      <c r="O1" s="32" t="s">
        <v>2651</v>
      </c>
      <c r="P1" s="32" t="s">
        <v>2652</v>
      </c>
      <c r="Q1" s="32" t="s">
        <v>2653</v>
      </c>
      <c r="R1" s="33" t="s">
        <v>2654</v>
      </c>
      <c r="S1" s="32" t="s">
        <v>7</v>
      </c>
    </row>
    <row r="2" spans="1:19" ht="15.6">
      <c r="A2" s="34">
        <v>1</v>
      </c>
      <c r="B2" s="35">
        <v>2022</v>
      </c>
      <c r="C2" s="35">
        <v>2022</v>
      </c>
      <c r="D2" s="35" t="s">
        <v>2655</v>
      </c>
      <c r="E2" s="36">
        <v>30756</v>
      </c>
      <c r="F2" s="35" t="s">
        <v>2656</v>
      </c>
      <c r="G2" s="35" t="s">
        <v>2657</v>
      </c>
      <c r="H2" s="35"/>
      <c r="I2" s="35" t="s">
        <v>2658</v>
      </c>
      <c r="J2" s="35" t="s">
        <v>2659</v>
      </c>
      <c r="K2" s="35" t="s">
        <v>1329</v>
      </c>
      <c r="L2" s="35" t="s">
        <v>1328</v>
      </c>
      <c r="M2" s="35" t="s">
        <v>2660</v>
      </c>
      <c r="N2" s="35" t="s">
        <v>2661</v>
      </c>
      <c r="O2" s="35" t="s">
        <v>2662</v>
      </c>
      <c r="P2" s="37"/>
      <c r="Q2" s="38"/>
      <c r="R2" s="38"/>
      <c r="S2" s="35" t="s">
        <v>2663</v>
      </c>
    </row>
    <row r="3" spans="1:19" ht="15.6">
      <c r="A3" s="34">
        <v>2</v>
      </c>
      <c r="B3" s="35">
        <v>2022</v>
      </c>
      <c r="C3" s="35">
        <v>2022</v>
      </c>
      <c r="D3" s="35" t="s">
        <v>2664</v>
      </c>
      <c r="E3" s="36">
        <v>35105</v>
      </c>
      <c r="F3" s="35" t="s">
        <v>2665</v>
      </c>
      <c r="G3" s="35" t="s">
        <v>2666</v>
      </c>
      <c r="H3" s="35"/>
      <c r="I3" s="35" t="s">
        <v>2667</v>
      </c>
      <c r="J3" s="35" t="s">
        <v>2668</v>
      </c>
      <c r="K3" s="35" t="s">
        <v>1512</v>
      </c>
      <c r="L3" s="35" t="s">
        <v>1939</v>
      </c>
      <c r="M3" s="35" t="s">
        <v>2669</v>
      </c>
      <c r="N3" s="35" t="s">
        <v>2670</v>
      </c>
      <c r="O3" s="35" t="s">
        <v>2671</v>
      </c>
      <c r="P3" s="37" t="s">
        <v>2672</v>
      </c>
      <c r="Q3" s="38">
        <v>45397</v>
      </c>
      <c r="R3" s="38">
        <v>45761</v>
      </c>
      <c r="S3" s="35"/>
    </row>
    <row r="4" spans="1:19" ht="15.6">
      <c r="A4" s="34">
        <v>3</v>
      </c>
      <c r="B4" s="35">
        <v>2021</v>
      </c>
      <c r="C4" s="35">
        <v>2021</v>
      </c>
      <c r="D4" s="35" t="s">
        <v>2673</v>
      </c>
      <c r="E4" s="36">
        <v>32672</v>
      </c>
      <c r="F4" s="35" t="s">
        <v>2665</v>
      </c>
      <c r="G4" s="35" t="s">
        <v>2674</v>
      </c>
      <c r="H4" s="35"/>
      <c r="I4" s="35" t="s">
        <v>2675</v>
      </c>
      <c r="J4" s="35" t="s">
        <v>2676</v>
      </c>
      <c r="K4" s="35" t="s">
        <v>1417</v>
      </c>
      <c r="L4" s="35" t="s">
        <v>2361</v>
      </c>
      <c r="M4" s="35" t="s">
        <v>2677</v>
      </c>
      <c r="N4" s="35" t="s">
        <v>2678</v>
      </c>
      <c r="O4" s="35" t="s">
        <v>2662</v>
      </c>
      <c r="P4" s="37"/>
      <c r="Q4" s="38"/>
      <c r="R4" s="38"/>
      <c r="S4" s="35"/>
    </row>
    <row r="5" spans="1:19" ht="15.6">
      <c r="A5" s="34">
        <v>4</v>
      </c>
      <c r="B5" s="35">
        <v>2021</v>
      </c>
      <c r="C5" s="35">
        <v>2021</v>
      </c>
      <c r="D5" s="35" t="s">
        <v>2679</v>
      </c>
      <c r="E5" s="36">
        <v>34184</v>
      </c>
      <c r="F5" s="35" t="s">
        <v>2665</v>
      </c>
      <c r="G5" s="35" t="s">
        <v>2674</v>
      </c>
      <c r="H5" s="35"/>
      <c r="I5" s="35" t="s">
        <v>2675</v>
      </c>
      <c r="J5" s="35" t="s">
        <v>2676</v>
      </c>
      <c r="K5" s="35" t="s">
        <v>1417</v>
      </c>
      <c r="L5" s="35" t="s">
        <v>2361</v>
      </c>
      <c r="M5" s="35" t="s">
        <v>2677</v>
      </c>
      <c r="N5" s="35" t="s">
        <v>2680</v>
      </c>
      <c r="O5" s="35" t="s">
        <v>2662</v>
      </c>
      <c r="P5" s="37"/>
      <c r="Q5" s="38"/>
      <c r="R5" s="35"/>
      <c r="S5" s="35" t="s">
        <v>2681</v>
      </c>
    </row>
    <row r="6" spans="1:19" ht="15.6">
      <c r="A6" s="34">
        <v>5</v>
      </c>
      <c r="B6" s="35">
        <v>2021</v>
      </c>
      <c r="C6" s="35">
        <v>2021</v>
      </c>
      <c r="D6" s="35" t="s">
        <v>2682</v>
      </c>
      <c r="E6" s="36">
        <v>25065</v>
      </c>
      <c r="F6" s="35" t="s">
        <v>2656</v>
      </c>
      <c r="G6" s="35" t="s">
        <v>2657</v>
      </c>
      <c r="H6" s="35"/>
      <c r="I6" s="35" t="s">
        <v>2683</v>
      </c>
      <c r="J6" s="35" t="s">
        <v>2684</v>
      </c>
      <c r="K6" s="35" t="s">
        <v>1462</v>
      </c>
      <c r="L6" s="35" t="s">
        <v>1820</v>
      </c>
      <c r="M6" s="35" t="s">
        <v>2685</v>
      </c>
      <c r="N6" s="35" t="s">
        <v>2686</v>
      </c>
      <c r="O6" s="35" t="s">
        <v>2687</v>
      </c>
      <c r="P6" s="37"/>
      <c r="Q6" s="35"/>
      <c r="R6" s="38">
        <v>45912</v>
      </c>
      <c r="S6" s="35" t="s">
        <v>2688</v>
      </c>
    </row>
    <row r="7" spans="1:19" ht="15.6">
      <c r="A7" s="34">
        <v>6</v>
      </c>
      <c r="B7" s="35">
        <v>2022</v>
      </c>
      <c r="C7" s="35">
        <v>2022</v>
      </c>
      <c r="D7" s="35" t="s">
        <v>2689</v>
      </c>
      <c r="E7" s="36" t="s">
        <v>2690</v>
      </c>
      <c r="F7" s="35" t="s">
        <v>2656</v>
      </c>
      <c r="G7" s="35" t="s">
        <v>2691</v>
      </c>
      <c r="H7" s="35"/>
      <c r="I7" s="35" t="s">
        <v>2692</v>
      </c>
      <c r="J7" s="35" t="s">
        <v>2684</v>
      </c>
      <c r="K7" s="35" t="s">
        <v>1462</v>
      </c>
      <c r="L7" s="35" t="s">
        <v>1820</v>
      </c>
      <c r="M7" s="35" t="s">
        <v>2660</v>
      </c>
      <c r="N7" s="35" t="s">
        <v>2693</v>
      </c>
      <c r="O7" s="35" t="s">
        <v>2662</v>
      </c>
      <c r="P7" s="37"/>
      <c r="Q7" s="35"/>
      <c r="R7" s="35"/>
      <c r="S7" s="35" t="s">
        <v>2694</v>
      </c>
    </row>
    <row r="8" spans="1:19" ht="15.6">
      <c r="A8" s="34">
        <v>7</v>
      </c>
      <c r="B8" s="35">
        <v>2024</v>
      </c>
      <c r="C8" s="35">
        <v>2024</v>
      </c>
      <c r="D8" s="35" t="s">
        <v>2695</v>
      </c>
      <c r="E8" s="36">
        <v>31170</v>
      </c>
      <c r="F8" s="35" t="s">
        <v>2656</v>
      </c>
      <c r="G8" s="35" t="s">
        <v>2691</v>
      </c>
      <c r="H8" s="35"/>
      <c r="I8" s="35" t="s">
        <v>2692</v>
      </c>
      <c r="J8" s="35" t="s">
        <v>2684</v>
      </c>
      <c r="K8" s="35" t="s">
        <v>1462</v>
      </c>
      <c r="L8" s="35" t="s">
        <v>1820</v>
      </c>
      <c r="M8" s="35" t="s">
        <v>2660</v>
      </c>
      <c r="N8" s="35" t="s">
        <v>2696</v>
      </c>
      <c r="O8" s="35" t="s">
        <v>2662</v>
      </c>
      <c r="P8" s="37"/>
      <c r="Q8" s="35"/>
      <c r="R8" s="35"/>
      <c r="S8" s="35" t="s">
        <v>2694</v>
      </c>
    </row>
    <row r="9" spans="1:19" ht="15.6">
      <c r="A9" s="34">
        <v>8</v>
      </c>
      <c r="B9" s="35">
        <v>2024</v>
      </c>
      <c r="C9" s="35">
        <v>2024</v>
      </c>
      <c r="D9" s="35" t="s">
        <v>2697</v>
      </c>
      <c r="E9" s="36" t="s">
        <v>2698</v>
      </c>
      <c r="F9" s="35" t="s">
        <v>2656</v>
      </c>
      <c r="G9" s="35" t="s">
        <v>2699</v>
      </c>
      <c r="H9" s="35"/>
      <c r="I9" s="35" t="s">
        <v>2675</v>
      </c>
      <c r="J9" s="35" t="s">
        <v>2676</v>
      </c>
      <c r="K9" s="35" t="s">
        <v>1417</v>
      </c>
      <c r="L9" s="35" t="s">
        <v>2361</v>
      </c>
      <c r="M9" s="35" t="s">
        <v>2700</v>
      </c>
      <c r="N9" s="35" t="s">
        <v>2701</v>
      </c>
      <c r="O9" s="35"/>
      <c r="P9" s="37"/>
      <c r="Q9" s="35"/>
      <c r="R9" s="35"/>
      <c r="S9" s="35" t="s">
        <v>2702</v>
      </c>
    </row>
    <row r="10" spans="1:19" ht="15.6">
      <c r="A10" s="34">
        <v>9</v>
      </c>
      <c r="B10" s="35">
        <v>2025</v>
      </c>
      <c r="C10" s="35">
        <v>2025</v>
      </c>
      <c r="D10" s="35" t="s">
        <v>2703</v>
      </c>
      <c r="E10" s="36" t="s">
        <v>2704</v>
      </c>
      <c r="F10" s="35" t="s">
        <v>2665</v>
      </c>
      <c r="G10" s="35" t="s">
        <v>2674</v>
      </c>
      <c r="H10" s="35"/>
      <c r="I10" s="35" t="s">
        <v>2667</v>
      </c>
      <c r="J10" s="35" t="s">
        <v>2668</v>
      </c>
      <c r="K10" s="35" t="s">
        <v>1512</v>
      </c>
      <c r="L10" s="35" t="s">
        <v>1939</v>
      </c>
      <c r="M10" s="35"/>
      <c r="N10" s="35" t="s">
        <v>2705</v>
      </c>
      <c r="O10" s="35" t="s">
        <v>2662</v>
      </c>
      <c r="P10" s="37"/>
      <c r="Q10" s="35"/>
      <c r="R10" s="35"/>
      <c r="S10" s="35"/>
    </row>
    <row r="11" spans="1:19" ht="15.6">
      <c r="A11" s="34">
        <v>10</v>
      </c>
      <c r="B11" s="35">
        <v>2023</v>
      </c>
      <c r="C11" s="35" t="s">
        <v>2706</v>
      </c>
      <c r="D11" s="35" t="s">
        <v>2707</v>
      </c>
      <c r="E11" s="36">
        <v>28976</v>
      </c>
      <c r="F11" s="35" t="s">
        <v>2656</v>
      </c>
      <c r="G11" s="35" t="s">
        <v>2657</v>
      </c>
      <c r="H11" s="35"/>
      <c r="I11" s="35" t="s">
        <v>2684</v>
      </c>
      <c r="J11" s="35" t="s">
        <v>2684</v>
      </c>
      <c r="K11" s="35" t="s">
        <v>1462</v>
      </c>
      <c r="L11" s="35" t="s">
        <v>1820</v>
      </c>
      <c r="M11" s="35" t="s">
        <v>2708</v>
      </c>
      <c r="N11" s="35" t="s">
        <v>2709</v>
      </c>
      <c r="O11" s="35" t="s">
        <v>2662</v>
      </c>
      <c r="P11" s="35" t="s">
        <v>2710</v>
      </c>
      <c r="Q11" s="38">
        <v>45041</v>
      </c>
      <c r="R11" s="39" t="s">
        <v>2711</v>
      </c>
      <c r="S11" s="35"/>
    </row>
    <row r="12" spans="1:19" ht="15.6">
      <c r="A12" s="34">
        <v>11</v>
      </c>
      <c r="B12" s="35">
        <v>2023</v>
      </c>
      <c r="C12" s="35" t="s">
        <v>2706</v>
      </c>
      <c r="D12" s="35" t="s">
        <v>2712</v>
      </c>
      <c r="E12" s="36">
        <v>31547</v>
      </c>
      <c r="F12" s="35" t="s">
        <v>2656</v>
      </c>
      <c r="G12" s="35" t="s">
        <v>2657</v>
      </c>
      <c r="H12" s="35"/>
      <c r="I12" s="35" t="s">
        <v>2684</v>
      </c>
      <c r="J12" s="35" t="s">
        <v>2684</v>
      </c>
      <c r="K12" s="35" t="s">
        <v>1462</v>
      </c>
      <c r="L12" s="35" t="s">
        <v>1820</v>
      </c>
      <c r="M12" s="35" t="s">
        <v>2708</v>
      </c>
      <c r="N12" s="35" t="s">
        <v>2713</v>
      </c>
      <c r="O12" s="35" t="s">
        <v>2662</v>
      </c>
      <c r="P12" s="35" t="s">
        <v>2714</v>
      </c>
      <c r="Q12" s="38">
        <v>45041</v>
      </c>
      <c r="R12" s="39" t="s">
        <v>2711</v>
      </c>
      <c r="S12" s="35"/>
    </row>
    <row r="13" spans="1:19" ht="15.6">
      <c r="A13" s="34">
        <v>12</v>
      </c>
      <c r="B13" s="35">
        <v>2023</v>
      </c>
      <c r="C13" s="35" t="s">
        <v>2706</v>
      </c>
      <c r="D13" s="35" t="s">
        <v>2715</v>
      </c>
      <c r="E13" s="36">
        <v>30726</v>
      </c>
      <c r="F13" s="35" t="s">
        <v>2665</v>
      </c>
      <c r="G13" s="35" t="s">
        <v>2657</v>
      </c>
      <c r="H13" s="35"/>
      <c r="I13" s="35" t="s">
        <v>2684</v>
      </c>
      <c r="J13" s="35" t="s">
        <v>2684</v>
      </c>
      <c r="K13" s="35" t="s">
        <v>1462</v>
      </c>
      <c r="L13" s="35" t="s">
        <v>1820</v>
      </c>
      <c r="M13" s="35" t="s">
        <v>2716</v>
      </c>
      <c r="N13" s="35" t="s">
        <v>2717</v>
      </c>
      <c r="O13" s="35" t="s">
        <v>2662</v>
      </c>
      <c r="P13" s="35" t="s">
        <v>2718</v>
      </c>
      <c r="Q13" s="38">
        <v>45041</v>
      </c>
      <c r="R13" s="38"/>
      <c r="S13" s="35" t="s">
        <v>2694</v>
      </c>
    </row>
    <row r="14" spans="1:19" ht="15.6">
      <c r="A14" s="34">
        <v>13</v>
      </c>
      <c r="B14" s="35">
        <v>2023</v>
      </c>
      <c r="C14" s="35" t="s">
        <v>2706</v>
      </c>
      <c r="D14" s="35" t="s">
        <v>2719</v>
      </c>
      <c r="E14" s="36">
        <v>31171</v>
      </c>
      <c r="F14" s="35" t="s">
        <v>2665</v>
      </c>
      <c r="G14" s="35" t="s">
        <v>2657</v>
      </c>
      <c r="H14" s="35"/>
      <c r="I14" s="35" t="s">
        <v>2684</v>
      </c>
      <c r="J14" s="35" t="s">
        <v>2684</v>
      </c>
      <c r="K14" s="35" t="s">
        <v>1462</v>
      </c>
      <c r="L14" s="35" t="s">
        <v>1820</v>
      </c>
      <c r="M14" s="35" t="s">
        <v>2720</v>
      </c>
      <c r="N14" s="35" t="s">
        <v>2721</v>
      </c>
      <c r="O14" s="35" t="s">
        <v>2662</v>
      </c>
      <c r="P14" s="35" t="s">
        <v>2722</v>
      </c>
      <c r="Q14" s="38">
        <v>45041</v>
      </c>
      <c r="R14" s="38"/>
      <c r="S14" s="35" t="s">
        <v>2694</v>
      </c>
    </row>
    <row r="15" spans="1:19" ht="15.6">
      <c r="A15" s="34">
        <v>14</v>
      </c>
      <c r="B15" s="35">
        <v>2023</v>
      </c>
      <c r="C15" s="35" t="s">
        <v>2706</v>
      </c>
      <c r="D15" s="35" t="s">
        <v>2723</v>
      </c>
      <c r="E15" s="38">
        <v>33425</v>
      </c>
      <c r="F15" s="35" t="s">
        <v>2656</v>
      </c>
      <c r="G15" s="35" t="s">
        <v>2657</v>
      </c>
      <c r="H15" s="35"/>
      <c r="I15" s="35" t="s">
        <v>2724</v>
      </c>
      <c r="J15" s="35" t="s">
        <v>2724</v>
      </c>
      <c r="K15" s="35" t="s">
        <v>1352</v>
      </c>
      <c r="L15" s="35" t="s">
        <v>1975</v>
      </c>
      <c r="M15" s="35" t="s">
        <v>2725</v>
      </c>
      <c r="N15" s="35" t="s">
        <v>2726</v>
      </c>
      <c r="O15" s="35" t="s">
        <v>2662</v>
      </c>
      <c r="P15" s="35" t="s">
        <v>2727</v>
      </c>
      <c r="Q15" s="38">
        <v>45041</v>
      </c>
      <c r="R15" s="38"/>
      <c r="S15" s="35" t="s">
        <v>2694</v>
      </c>
    </row>
    <row r="16" spans="1:19" ht="15.6">
      <c r="A16" s="34">
        <v>15</v>
      </c>
      <c r="B16" s="35">
        <v>2023</v>
      </c>
      <c r="C16" s="35" t="s">
        <v>2706</v>
      </c>
      <c r="D16" s="35" t="s">
        <v>2728</v>
      </c>
      <c r="E16" s="36">
        <v>30359</v>
      </c>
      <c r="F16" s="35" t="s">
        <v>2656</v>
      </c>
      <c r="G16" s="35" t="s">
        <v>2657</v>
      </c>
      <c r="H16" s="35"/>
      <c r="I16" s="35" t="s">
        <v>2684</v>
      </c>
      <c r="J16" s="35" t="s">
        <v>2684</v>
      </c>
      <c r="K16" s="35" t="s">
        <v>1462</v>
      </c>
      <c r="L16" s="35" t="s">
        <v>1820</v>
      </c>
      <c r="M16" s="35" t="s">
        <v>2729</v>
      </c>
      <c r="N16" s="35" t="s">
        <v>2730</v>
      </c>
      <c r="O16" s="35" t="s">
        <v>2662</v>
      </c>
      <c r="P16" s="35" t="s">
        <v>2731</v>
      </c>
      <c r="Q16" s="38">
        <v>45041</v>
      </c>
      <c r="R16" s="38"/>
      <c r="S16" s="35" t="s">
        <v>2694</v>
      </c>
    </row>
    <row r="17" spans="1:19" ht="15.6">
      <c r="A17" s="34">
        <v>16</v>
      </c>
      <c r="B17" s="35">
        <v>2023</v>
      </c>
      <c r="C17" s="35" t="s">
        <v>2706</v>
      </c>
      <c r="D17" s="35" t="s">
        <v>2732</v>
      </c>
      <c r="E17" s="38">
        <v>31242</v>
      </c>
      <c r="F17" s="35" t="s">
        <v>2656</v>
      </c>
      <c r="G17" s="35" t="s">
        <v>2657</v>
      </c>
      <c r="H17" s="35"/>
      <c r="I17" s="35" t="s">
        <v>2733</v>
      </c>
      <c r="J17" s="35" t="s">
        <v>2733</v>
      </c>
      <c r="K17" s="35" t="s">
        <v>1329</v>
      </c>
      <c r="L17" s="35" t="s">
        <v>1328</v>
      </c>
      <c r="M17" s="35" t="s">
        <v>2725</v>
      </c>
      <c r="N17" s="35" t="s">
        <v>2730</v>
      </c>
      <c r="O17" s="35" t="s">
        <v>2662</v>
      </c>
      <c r="P17" s="35" t="s">
        <v>2734</v>
      </c>
      <c r="Q17" s="38">
        <v>45041</v>
      </c>
      <c r="R17" s="39" t="s">
        <v>2711</v>
      </c>
      <c r="S17" s="35"/>
    </row>
    <row r="18" spans="1:19" ht="15.6">
      <c r="A18" s="34">
        <v>17</v>
      </c>
      <c r="B18" s="35">
        <v>2023</v>
      </c>
      <c r="C18" s="35" t="s">
        <v>2706</v>
      </c>
      <c r="D18" s="35" t="s">
        <v>2735</v>
      </c>
      <c r="E18" s="36">
        <v>31174</v>
      </c>
      <c r="F18" s="35" t="s">
        <v>2736</v>
      </c>
      <c r="G18" s="35" t="s">
        <v>2657</v>
      </c>
      <c r="H18" s="35"/>
      <c r="I18" s="35" t="s">
        <v>2684</v>
      </c>
      <c r="J18" s="35" t="s">
        <v>2684</v>
      </c>
      <c r="K18" s="35" t="s">
        <v>1462</v>
      </c>
      <c r="L18" s="35" t="s">
        <v>1820</v>
      </c>
      <c r="M18" s="35" t="s">
        <v>2737</v>
      </c>
      <c r="N18" s="35" t="s">
        <v>2738</v>
      </c>
      <c r="O18" s="35" t="s">
        <v>2739</v>
      </c>
      <c r="P18" s="35"/>
      <c r="Q18" s="35"/>
      <c r="R18" s="36"/>
      <c r="S18" s="35" t="s">
        <v>2694</v>
      </c>
    </row>
    <row r="19" spans="1:19" ht="15.6">
      <c r="A19" s="34">
        <v>18</v>
      </c>
      <c r="B19" s="35">
        <v>2023</v>
      </c>
      <c r="C19" s="35" t="s">
        <v>2706</v>
      </c>
      <c r="D19" s="35" t="s">
        <v>2740</v>
      </c>
      <c r="E19" s="38">
        <v>31143</v>
      </c>
      <c r="F19" s="35" t="s">
        <v>2656</v>
      </c>
      <c r="G19" s="35" t="s">
        <v>2691</v>
      </c>
      <c r="H19" s="35"/>
      <c r="I19" s="35" t="s">
        <v>2741</v>
      </c>
      <c r="J19" s="35" t="s">
        <v>2741</v>
      </c>
      <c r="K19" s="35" t="s">
        <v>1512</v>
      </c>
      <c r="L19" s="35" t="s">
        <v>1939</v>
      </c>
      <c r="M19" s="35" t="s">
        <v>2742</v>
      </c>
      <c r="N19" s="35" t="s">
        <v>2743</v>
      </c>
      <c r="O19" s="35" t="s">
        <v>2739</v>
      </c>
      <c r="P19" s="35" t="s">
        <v>2744</v>
      </c>
      <c r="Q19" s="38">
        <v>45226</v>
      </c>
      <c r="R19" s="38">
        <v>45635</v>
      </c>
      <c r="S19" s="35"/>
    </row>
    <row r="20" spans="1:19" ht="15.6">
      <c r="A20" s="34">
        <v>19</v>
      </c>
      <c r="B20" s="35">
        <v>2023</v>
      </c>
      <c r="C20" s="35" t="s">
        <v>2706</v>
      </c>
      <c r="D20" s="35" t="s">
        <v>2745</v>
      </c>
      <c r="E20" s="38">
        <v>33843</v>
      </c>
      <c r="F20" s="35" t="s">
        <v>2656</v>
      </c>
      <c r="G20" s="35" t="s">
        <v>2691</v>
      </c>
      <c r="H20" s="35"/>
      <c r="I20" s="35" t="s">
        <v>2746</v>
      </c>
      <c r="J20" s="35" t="s">
        <v>2746</v>
      </c>
      <c r="K20" s="35" t="s">
        <v>1329</v>
      </c>
      <c r="L20" s="35" t="s">
        <v>1328</v>
      </c>
      <c r="M20" s="35" t="s">
        <v>2747</v>
      </c>
      <c r="N20" s="35" t="s">
        <v>2748</v>
      </c>
      <c r="O20" s="35" t="s">
        <v>2739</v>
      </c>
      <c r="P20" s="35" t="s">
        <v>2749</v>
      </c>
      <c r="Q20" s="38">
        <v>45220</v>
      </c>
      <c r="R20" s="38">
        <v>45635</v>
      </c>
      <c r="S20" s="35"/>
    </row>
    <row r="21" spans="1:19" ht="15.6">
      <c r="A21" s="34">
        <v>20</v>
      </c>
      <c r="B21" s="35">
        <v>2023</v>
      </c>
      <c r="C21" s="35" t="s">
        <v>2706</v>
      </c>
      <c r="D21" s="35" t="s">
        <v>2750</v>
      </c>
      <c r="E21" s="36">
        <v>32332</v>
      </c>
      <c r="F21" s="35" t="s">
        <v>2656</v>
      </c>
      <c r="G21" s="35" t="s">
        <v>2691</v>
      </c>
      <c r="H21" s="35"/>
      <c r="I21" s="35" t="s">
        <v>2668</v>
      </c>
      <c r="J21" s="35" t="s">
        <v>2668</v>
      </c>
      <c r="K21" s="35" t="s">
        <v>1512</v>
      </c>
      <c r="L21" s="35" t="s">
        <v>1939</v>
      </c>
      <c r="M21" s="35" t="s">
        <v>2737</v>
      </c>
      <c r="N21" s="35" t="s">
        <v>2751</v>
      </c>
      <c r="O21" s="35" t="s">
        <v>2739</v>
      </c>
      <c r="P21" s="35"/>
      <c r="Q21" s="35"/>
      <c r="R21" s="36"/>
      <c r="S21" s="35" t="s">
        <v>2694</v>
      </c>
    </row>
    <row r="22" spans="1:19" ht="15.6">
      <c r="A22" s="34">
        <v>21</v>
      </c>
      <c r="B22" s="35">
        <v>2023</v>
      </c>
      <c r="C22" s="35" t="s">
        <v>2752</v>
      </c>
      <c r="D22" s="35" t="s">
        <v>2753</v>
      </c>
      <c r="E22" s="35" t="s">
        <v>2754</v>
      </c>
      <c r="F22" s="35" t="s">
        <v>2665</v>
      </c>
      <c r="G22" s="35" t="s">
        <v>2691</v>
      </c>
      <c r="H22" s="35"/>
      <c r="I22" s="35" t="s">
        <v>2755</v>
      </c>
      <c r="J22" s="35" t="s">
        <v>2755</v>
      </c>
      <c r="K22" s="35" t="s">
        <v>1462</v>
      </c>
      <c r="L22" s="35" t="s">
        <v>1820</v>
      </c>
      <c r="M22" s="35" t="s">
        <v>2756</v>
      </c>
      <c r="N22" s="35" t="s">
        <v>2757</v>
      </c>
      <c r="O22" s="35" t="s">
        <v>2739</v>
      </c>
      <c r="P22" s="35"/>
      <c r="Q22" s="35"/>
      <c r="R22" s="36"/>
      <c r="S22" s="35" t="s">
        <v>2694</v>
      </c>
    </row>
    <row r="23" spans="1:19" ht="15.6">
      <c r="A23" s="34">
        <v>22</v>
      </c>
      <c r="B23" s="35">
        <v>2023</v>
      </c>
      <c r="C23" s="35" t="s">
        <v>2752</v>
      </c>
      <c r="D23" s="35" t="s">
        <v>2758</v>
      </c>
      <c r="E23" s="35" t="s">
        <v>2759</v>
      </c>
      <c r="F23" s="35" t="s">
        <v>2656</v>
      </c>
      <c r="G23" s="35" t="s">
        <v>2691</v>
      </c>
      <c r="H23" s="35"/>
      <c r="I23" s="35" t="s">
        <v>2760</v>
      </c>
      <c r="J23" s="35" t="s">
        <v>2760</v>
      </c>
      <c r="K23" s="35" t="e">
        <v>#N/A</v>
      </c>
      <c r="L23" s="35" t="e">
        <v>#N/A</v>
      </c>
      <c r="M23" s="35" t="s">
        <v>2761</v>
      </c>
      <c r="N23" s="35" t="s">
        <v>2762</v>
      </c>
      <c r="O23" s="35" t="s">
        <v>2739</v>
      </c>
      <c r="P23" s="35" t="s">
        <v>2763</v>
      </c>
      <c r="Q23" s="39" t="s">
        <v>2764</v>
      </c>
      <c r="R23" s="40" t="s">
        <v>2765</v>
      </c>
      <c r="S23" s="35" t="s">
        <v>2766</v>
      </c>
    </row>
    <row r="24" spans="1:19" ht="15.6">
      <c r="A24" s="34">
        <v>23</v>
      </c>
      <c r="B24" s="35">
        <v>2023</v>
      </c>
      <c r="C24" s="35" t="s">
        <v>2752</v>
      </c>
      <c r="D24" s="35" t="s">
        <v>2767</v>
      </c>
      <c r="E24" s="35" t="s">
        <v>2768</v>
      </c>
      <c r="F24" s="35" t="s">
        <v>2665</v>
      </c>
      <c r="G24" s="35" t="s">
        <v>2691</v>
      </c>
      <c r="H24" s="35"/>
      <c r="I24" s="35" t="s">
        <v>2668</v>
      </c>
      <c r="J24" s="35" t="s">
        <v>2668</v>
      </c>
      <c r="K24" s="35" t="s">
        <v>1512</v>
      </c>
      <c r="L24" s="35" t="s">
        <v>1939</v>
      </c>
      <c r="M24" s="35" t="s">
        <v>2761</v>
      </c>
      <c r="N24" s="35" t="s">
        <v>2769</v>
      </c>
      <c r="O24" s="35" t="s">
        <v>2739</v>
      </c>
      <c r="P24" s="35"/>
      <c r="Q24" s="35"/>
      <c r="R24" s="36"/>
      <c r="S24" s="35" t="s">
        <v>2694</v>
      </c>
    </row>
    <row r="25" spans="1:19" ht="15.6">
      <c r="A25" s="34">
        <v>24</v>
      </c>
      <c r="B25" s="35">
        <v>2023</v>
      </c>
      <c r="C25" s="35" t="s">
        <v>2752</v>
      </c>
      <c r="D25" s="35" t="s">
        <v>2770</v>
      </c>
      <c r="E25" s="35" t="s">
        <v>2771</v>
      </c>
      <c r="F25" s="35" t="s">
        <v>2656</v>
      </c>
      <c r="G25" s="35" t="s">
        <v>2691</v>
      </c>
      <c r="H25" s="35"/>
      <c r="I25" s="35" t="s">
        <v>2684</v>
      </c>
      <c r="J25" s="35" t="s">
        <v>2684</v>
      </c>
      <c r="K25" s="35" t="s">
        <v>1462</v>
      </c>
      <c r="L25" s="35" t="s">
        <v>1820</v>
      </c>
      <c r="M25" s="35" t="s">
        <v>2772</v>
      </c>
      <c r="N25" s="35" t="s">
        <v>2773</v>
      </c>
      <c r="O25" s="35" t="s">
        <v>2739</v>
      </c>
      <c r="P25" s="35"/>
      <c r="Q25" s="35"/>
      <c r="R25" s="36"/>
      <c r="S25" s="35" t="s">
        <v>2694</v>
      </c>
    </row>
    <row r="26" spans="1:19" ht="15.6">
      <c r="A26" s="34">
        <v>25</v>
      </c>
      <c r="B26" s="35">
        <v>2023</v>
      </c>
      <c r="C26" s="35" t="s">
        <v>2752</v>
      </c>
      <c r="D26" s="35" t="s">
        <v>2774</v>
      </c>
      <c r="E26" s="35" t="s">
        <v>2775</v>
      </c>
      <c r="F26" s="35" t="s">
        <v>2656</v>
      </c>
      <c r="G26" s="35" t="s">
        <v>2691</v>
      </c>
      <c r="H26" s="35"/>
      <c r="I26" s="35" t="s">
        <v>2684</v>
      </c>
      <c r="J26" s="35" t="s">
        <v>2684</v>
      </c>
      <c r="K26" s="35" t="s">
        <v>1462</v>
      </c>
      <c r="L26" s="35" t="s">
        <v>1820</v>
      </c>
      <c r="M26" s="35" t="s">
        <v>2776</v>
      </c>
      <c r="N26" s="35" t="s">
        <v>2777</v>
      </c>
      <c r="O26" s="35" t="s">
        <v>2739</v>
      </c>
      <c r="P26" s="35"/>
      <c r="Q26" s="35"/>
      <c r="R26" s="36"/>
      <c r="S26" s="35" t="s">
        <v>2694</v>
      </c>
    </row>
    <row r="27" spans="1:19" ht="15.6">
      <c r="A27" s="34">
        <v>26</v>
      </c>
      <c r="B27" s="35">
        <v>2023</v>
      </c>
      <c r="C27" s="35" t="s">
        <v>2752</v>
      </c>
      <c r="D27" s="35" t="s">
        <v>2778</v>
      </c>
      <c r="E27" s="35" t="s">
        <v>2779</v>
      </c>
      <c r="F27" s="35" t="s">
        <v>2665</v>
      </c>
      <c r="G27" s="35" t="s">
        <v>2691</v>
      </c>
      <c r="H27" s="35"/>
      <c r="I27" s="35" t="s">
        <v>2684</v>
      </c>
      <c r="J27" s="35" t="s">
        <v>2684</v>
      </c>
      <c r="K27" s="35" t="s">
        <v>1462</v>
      </c>
      <c r="L27" s="35" t="s">
        <v>1820</v>
      </c>
      <c r="M27" s="35" t="s">
        <v>2780</v>
      </c>
      <c r="N27" s="35" t="s">
        <v>2781</v>
      </c>
      <c r="O27" s="35" t="s">
        <v>2739</v>
      </c>
      <c r="P27" s="35"/>
      <c r="Q27" s="35"/>
      <c r="R27" s="36"/>
      <c r="S27" s="35" t="s">
        <v>2694</v>
      </c>
    </row>
    <row r="28" spans="1:19" ht="15.6">
      <c r="A28" s="34">
        <v>27</v>
      </c>
      <c r="B28" s="35">
        <v>2023</v>
      </c>
      <c r="C28" s="35" t="s">
        <v>2752</v>
      </c>
      <c r="D28" s="35" t="s">
        <v>2782</v>
      </c>
      <c r="E28" s="35" t="s">
        <v>2783</v>
      </c>
      <c r="F28" s="35" t="s">
        <v>2656</v>
      </c>
      <c r="G28" s="35" t="s">
        <v>2691</v>
      </c>
      <c r="H28" s="35"/>
      <c r="I28" s="35" t="s">
        <v>2684</v>
      </c>
      <c r="J28" s="35" t="s">
        <v>2684</v>
      </c>
      <c r="K28" s="35" t="s">
        <v>1462</v>
      </c>
      <c r="L28" s="35" t="s">
        <v>1820</v>
      </c>
      <c r="M28" s="35" t="s">
        <v>2784</v>
      </c>
      <c r="N28" s="35" t="s">
        <v>2785</v>
      </c>
      <c r="O28" s="35" t="s">
        <v>2739</v>
      </c>
      <c r="P28" s="35" t="s">
        <v>2786</v>
      </c>
      <c r="Q28" s="41" t="s">
        <v>2787</v>
      </c>
      <c r="R28" s="40" t="s">
        <v>2788</v>
      </c>
      <c r="S28" s="35" t="s">
        <v>2789</v>
      </c>
    </row>
    <row r="29" spans="1:19" ht="15.6">
      <c r="A29" s="34">
        <v>28</v>
      </c>
      <c r="B29" s="35">
        <v>2023</v>
      </c>
      <c r="C29" s="35" t="s">
        <v>2752</v>
      </c>
      <c r="D29" s="35" t="s">
        <v>2790</v>
      </c>
      <c r="E29" s="35" t="s">
        <v>2791</v>
      </c>
      <c r="F29" s="35" t="s">
        <v>2656</v>
      </c>
      <c r="G29" s="35" t="s">
        <v>2691</v>
      </c>
      <c r="H29" s="35"/>
      <c r="I29" s="35" t="s">
        <v>2684</v>
      </c>
      <c r="J29" s="35" t="s">
        <v>2684</v>
      </c>
      <c r="K29" s="35" t="s">
        <v>1462</v>
      </c>
      <c r="L29" s="35" t="s">
        <v>1820</v>
      </c>
      <c r="M29" s="35" t="s">
        <v>2792</v>
      </c>
      <c r="N29" s="35" t="s">
        <v>2793</v>
      </c>
      <c r="O29" s="35" t="s">
        <v>2739</v>
      </c>
      <c r="P29" s="35"/>
      <c r="Q29" s="35"/>
      <c r="R29" s="36"/>
      <c r="S29" s="35" t="s">
        <v>2694</v>
      </c>
    </row>
    <row r="30" spans="1:19" ht="15.6">
      <c r="A30" s="34">
        <v>29</v>
      </c>
      <c r="B30" s="35">
        <v>2023</v>
      </c>
      <c r="C30" s="35" t="s">
        <v>2752</v>
      </c>
      <c r="D30" s="35" t="s">
        <v>2794</v>
      </c>
      <c r="E30" s="35" t="s">
        <v>2795</v>
      </c>
      <c r="F30" s="35" t="s">
        <v>2656</v>
      </c>
      <c r="G30" s="35" t="s">
        <v>2691</v>
      </c>
      <c r="H30" s="35"/>
      <c r="I30" s="35" t="s">
        <v>2684</v>
      </c>
      <c r="J30" s="35" t="s">
        <v>2684</v>
      </c>
      <c r="K30" s="35" t="s">
        <v>1462</v>
      </c>
      <c r="L30" s="35" t="s">
        <v>1820</v>
      </c>
      <c r="M30" s="35" t="s">
        <v>2796</v>
      </c>
      <c r="N30" s="35" t="s">
        <v>2797</v>
      </c>
      <c r="O30" s="35" t="s">
        <v>2739</v>
      </c>
      <c r="P30" s="35" t="s">
        <v>2798</v>
      </c>
      <c r="Q30" s="41" t="s">
        <v>2799</v>
      </c>
      <c r="R30" s="40" t="s">
        <v>2788</v>
      </c>
      <c r="S30" s="35" t="s">
        <v>2789</v>
      </c>
    </row>
    <row r="31" spans="1:19" ht="15.6">
      <c r="A31" s="34">
        <v>30</v>
      </c>
      <c r="B31" s="35">
        <v>2023</v>
      </c>
      <c r="C31" s="35" t="s">
        <v>2752</v>
      </c>
      <c r="D31" s="35" t="s">
        <v>2800</v>
      </c>
      <c r="E31" s="38">
        <v>36109</v>
      </c>
      <c r="F31" s="35" t="s">
        <v>2656</v>
      </c>
      <c r="G31" s="35" t="s">
        <v>2691</v>
      </c>
      <c r="H31" s="35"/>
      <c r="I31" s="35" t="s">
        <v>2684</v>
      </c>
      <c r="J31" s="35" t="s">
        <v>2684</v>
      </c>
      <c r="K31" s="35" t="s">
        <v>1462</v>
      </c>
      <c r="L31" s="35" t="s">
        <v>1820</v>
      </c>
      <c r="M31" s="35" t="s">
        <v>2796</v>
      </c>
      <c r="N31" s="35" t="s">
        <v>2801</v>
      </c>
      <c r="O31" s="35" t="s">
        <v>2739</v>
      </c>
      <c r="P31" s="35"/>
      <c r="Q31" s="35"/>
      <c r="R31" s="36"/>
      <c r="S31" s="35" t="s">
        <v>2694</v>
      </c>
    </row>
    <row r="32" spans="1:19" ht="15.6">
      <c r="A32" s="34">
        <v>31</v>
      </c>
      <c r="B32" s="35">
        <v>2023</v>
      </c>
      <c r="C32" s="35" t="s">
        <v>2752</v>
      </c>
      <c r="D32" s="35" t="s">
        <v>2802</v>
      </c>
      <c r="E32" s="35" t="s">
        <v>2803</v>
      </c>
      <c r="F32" s="35" t="s">
        <v>2665</v>
      </c>
      <c r="G32" s="35" t="s">
        <v>2691</v>
      </c>
      <c r="H32" s="35"/>
      <c r="I32" s="35" t="s">
        <v>2684</v>
      </c>
      <c r="J32" s="35" t="s">
        <v>2684</v>
      </c>
      <c r="K32" s="35" t="s">
        <v>1462</v>
      </c>
      <c r="L32" s="35" t="s">
        <v>1820</v>
      </c>
      <c r="M32" s="35" t="s">
        <v>2761</v>
      </c>
      <c r="N32" s="35" t="s">
        <v>2804</v>
      </c>
      <c r="O32" s="35" t="s">
        <v>2739</v>
      </c>
      <c r="P32" s="35"/>
      <c r="Q32" s="35"/>
      <c r="R32" s="36"/>
      <c r="S32" s="35" t="s">
        <v>2694</v>
      </c>
    </row>
    <row r="33" spans="1:19" ht="15.6">
      <c r="A33" s="34">
        <v>32</v>
      </c>
      <c r="B33" s="35">
        <v>2023</v>
      </c>
      <c r="C33" s="35" t="s">
        <v>2752</v>
      </c>
      <c r="D33" s="35" t="s">
        <v>2805</v>
      </c>
      <c r="E33" s="35" t="s">
        <v>2806</v>
      </c>
      <c r="F33" s="35" t="s">
        <v>2656</v>
      </c>
      <c r="G33" s="35" t="s">
        <v>2691</v>
      </c>
      <c r="H33" s="35"/>
      <c r="I33" s="35" t="s">
        <v>2684</v>
      </c>
      <c r="J33" s="35" t="s">
        <v>2684</v>
      </c>
      <c r="K33" s="35" t="s">
        <v>1462</v>
      </c>
      <c r="L33" s="35" t="s">
        <v>1820</v>
      </c>
      <c r="M33" s="35" t="s">
        <v>2780</v>
      </c>
      <c r="N33" s="35" t="s">
        <v>2807</v>
      </c>
      <c r="O33" s="35" t="s">
        <v>2739</v>
      </c>
      <c r="P33" s="35"/>
      <c r="Q33" s="35"/>
      <c r="R33" s="36"/>
      <c r="S33" s="35" t="s">
        <v>2694</v>
      </c>
    </row>
    <row r="34" spans="1:19" ht="15.6">
      <c r="A34" s="34">
        <v>33</v>
      </c>
      <c r="B34" s="35">
        <v>2024</v>
      </c>
      <c r="C34" s="35" t="s">
        <v>2808</v>
      </c>
      <c r="D34" s="35" t="s">
        <v>2809</v>
      </c>
      <c r="E34" s="38">
        <v>30256</v>
      </c>
      <c r="F34" s="35" t="s">
        <v>2656</v>
      </c>
      <c r="G34" s="35" t="s">
        <v>2657</v>
      </c>
      <c r="H34" s="35"/>
      <c r="I34" s="35" t="s">
        <v>2684</v>
      </c>
      <c r="J34" s="35" t="s">
        <v>2684</v>
      </c>
      <c r="K34" s="35" t="s">
        <v>1462</v>
      </c>
      <c r="L34" s="35" t="s">
        <v>1820</v>
      </c>
      <c r="M34" s="35" t="s">
        <v>2810</v>
      </c>
      <c r="N34" s="35" t="s">
        <v>2811</v>
      </c>
      <c r="O34" s="35" t="s">
        <v>2812</v>
      </c>
      <c r="P34" s="35" t="s">
        <v>2813</v>
      </c>
      <c r="Q34" s="39" t="s">
        <v>2814</v>
      </c>
      <c r="R34" s="40" t="s">
        <v>2815</v>
      </c>
      <c r="S34" s="35" t="s">
        <v>2816</v>
      </c>
    </row>
    <row r="35" spans="1:19" ht="15.6">
      <c r="A35" s="34">
        <v>34</v>
      </c>
      <c r="B35" s="35">
        <v>2024</v>
      </c>
      <c r="C35" s="35" t="s">
        <v>2808</v>
      </c>
      <c r="D35" s="35" t="s">
        <v>2817</v>
      </c>
      <c r="E35" s="38">
        <v>32395</v>
      </c>
      <c r="F35" s="35" t="s">
        <v>2656</v>
      </c>
      <c r="G35" s="35" t="s">
        <v>2657</v>
      </c>
      <c r="H35" s="35"/>
      <c r="I35" s="35" t="s">
        <v>2684</v>
      </c>
      <c r="J35" s="35" t="s">
        <v>2684</v>
      </c>
      <c r="K35" s="35" t="s">
        <v>1462</v>
      </c>
      <c r="L35" s="35" t="s">
        <v>1820</v>
      </c>
      <c r="M35" s="35" t="s">
        <v>2810</v>
      </c>
      <c r="N35" s="35" t="s">
        <v>2818</v>
      </c>
      <c r="O35" s="35" t="s">
        <v>2812</v>
      </c>
      <c r="P35" s="35" t="s">
        <v>2819</v>
      </c>
      <c r="Q35" s="39" t="s">
        <v>2814</v>
      </c>
      <c r="R35" s="40" t="s">
        <v>2815</v>
      </c>
      <c r="S35" s="35" t="s">
        <v>2816</v>
      </c>
    </row>
    <row r="36" spans="1:19" ht="15.6">
      <c r="A36" s="34">
        <v>35</v>
      </c>
      <c r="B36" s="35">
        <v>2024</v>
      </c>
      <c r="C36" s="35" t="s">
        <v>2808</v>
      </c>
      <c r="D36" s="35" t="s">
        <v>2820</v>
      </c>
      <c r="E36" s="38">
        <v>33141</v>
      </c>
      <c r="F36" s="35" t="s">
        <v>2656</v>
      </c>
      <c r="G36" s="35" t="s">
        <v>2657</v>
      </c>
      <c r="H36" s="35"/>
      <c r="I36" s="35" t="s">
        <v>2684</v>
      </c>
      <c r="J36" s="35" t="s">
        <v>2684</v>
      </c>
      <c r="K36" s="35" t="s">
        <v>1462</v>
      </c>
      <c r="L36" s="35" t="s">
        <v>1820</v>
      </c>
      <c r="M36" s="35" t="s">
        <v>2810</v>
      </c>
      <c r="N36" s="35" t="s">
        <v>2821</v>
      </c>
      <c r="O36" s="35" t="s">
        <v>2812</v>
      </c>
      <c r="P36" s="35" t="s">
        <v>2822</v>
      </c>
      <c r="Q36" s="39" t="s">
        <v>2814</v>
      </c>
      <c r="R36" s="40" t="s">
        <v>2815</v>
      </c>
      <c r="S36" s="35" t="s">
        <v>2816</v>
      </c>
    </row>
    <row r="37" spans="1:19" ht="15.6">
      <c r="A37" s="34">
        <v>36</v>
      </c>
      <c r="B37" s="35">
        <v>2024</v>
      </c>
      <c r="C37" s="35" t="s">
        <v>2808</v>
      </c>
      <c r="D37" s="35" t="s">
        <v>2823</v>
      </c>
      <c r="E37" s="38">
        <v>33839</v>
      </c>
      <c r="F37" s="35" t="s">
        <v>2656</v>
      </c>
      <c r="G37" s="35" t="s">
        <v>2657</v>
      </c>
      <c r="H37" s="35"/>
      <c r="I37" s="35" t="s">
        <v>2684</v>
      </c>
      <c r="J37" s="35" t="s">
        <v>2684</v>
      </c>
      <c r="K37" s="35" t="s">
        <v>1462</v>
      </c>
      <c r="L37" s="35" t="s">
        <v>1820</v>
      </c>
      <c r="M37" s="35" t="s">
        <v>2810</v>
      </c>
      <c r="N37" s="35" t="s">
        <v>2824</v>
      </c>
      <c r="O37" s="35" t="s">
        <v>2812</v>
      </c>
      <c r="P37" s="35" t="s">
        <v>2825</v>
      </c>
      <c r="Q37" s="39" t="s">
        <v>2814</v>
      </c>
      <c r="R37" s="40" t="s">
        <v>2815</v>
      </c>
      <c r="S37" s="35" t="s">
        <v>2816</v>
      </c>
    </row>
    <row r="38" spans="1:19" ht="15.6">
      <c r="A38" s="34">
        <v>37</v>
      </c>
      <c r="B38" s="35">
        <v>2024</v>
      </c>
      <c r="C38" s="35" t="s">
        <v>2808</v>
      </c>
      <c r="D38" s="35" t="s">
        <v>2826</v>
      </c>
      <c r="E38" s="38">
        <v>33087</v>
      </c>
      <c r="F38" s="35" t="s">
        <v>2656</v>
      </c>
      <c r="G38" s="35" t="s">
        <v>2657</v>
      </c>
      <c r="H38" s="35"/>
      <c r="I38" s="35" t="s">
        <v>2684</v>
      </c>
      <c r="J38" s="35" t="s">
        <v>2684</v>
      </c>
      <c r="K38" s="35" t="s">
        <v>1462</v>
      </c>
      <c r="L38" s="35" t="s">
        <v>1820</v>
      </c>
      <c r="M38" s="35" t="s">
        <v>2810</v>
      </c>
      <c r="N38" s="35" t="s">
        <v>2827</v>
      </c>
      <c r="O38" s="35" t="s">
        <v>2812</v>
      </c>
      <c r="P38" s="35" t="s">
        <v>2828</v>
      </c>
      <c r="Q38" s="39" t="s">
        <v>2829</v>
      </c>
      <c r="R38" s="40" t="s">
        <v>2830</v>
      </c>
      <c r="S38" s="35" t="s">
        <v>2831</v>
      </c>
    </row>
    <row r="39" spans="1:19" ht="15.6">
      <c r="A39" s="34">
        <v>38</v>
      </c>
      <c r="B39" s="35">
        <v>2024</v>
      </c>
      <c r="C39" s="35" t="s">
        <v>2808</v>
      </c>
      <c r="D39" s="35" t="s">
        <v>2832</v>
      </c>
      <c r="E39" s="38">
        <v>32866</v>
      </c>
      <c r="F39" s="35" t="s">
        <v>2665</v>
      </c>
      <c r="G39" s="35" t="s">
        <v>2657</v>
      </c>
      <c r="H39" s="35"/>
      <c r="I39" s="35" t="s">
        <v>2684</v>
      </c>
      <c r="J39" s="35" t="s">
        <v>2684</v>
      </c>
      <c r="K39" s="35" t="s">
        <v>1462</v>
      </c>
      <c r="L39" s="35" t="s">
        <v>1820</v>
      </c>
      <c r="M39" s="35" t="s">
        <v>2810</v>
      </c>
      <c r="N39" s="35" t="s">
        <v>2833</v>
      </c>
      <c r="O39" s="35" t="s">
        <v>2812</v>
      </c>
      <c r="P39" s="35" t="s">
        <v>2834</v>
      </c>
      <c r="Q39" s="38">
        <v>45243</v>
      </c>
      <c r="R39" s="36">
        <v>45930</v>
      </c>
      <c r="S39" s="35" t="s">
        <v>2694</v>
      </c>
    </row>
    <row r="40" spans="1:19" ht="15.6">
      <c r="A40" s="34">
        <v>39</v>
      </c>
      <c r="B40" s="35">
        <v>2025</v>
      </c>
      <c r="C40" s="35" t="s">
        <v>2835</v>
      </c>
      <c r="D40" s="35" t="s">
        <v>2836</v>
      </c>
      <c r="E40" s="38">
        <v>33063</v>
      </c>
      <c r="F40" s="35" t="s">
        <v>2665</v>
      </c>
      <c r="G40" s="35" t="s">
        <v>2657</v>
      </c>
      <c r="H40" s="35"/>
      <c r="I40" s="35" t="s">
        <v>2837</v>
      </c>
      <c r="J40" s="35" t="s">
        <v>2837</v>
      </c>
      <c r="K40" s="35" t="s">
        <v>1437</v>
      </c>
      <c r="L40" s="35" t="s">
        <v>1478</v>
      </c>
      <c r="M40" s="35" t="s">
        <v>2810</v>
      </c>
      <c r="N40" s="35" t="s">
        <v>2838</v>
      </c>
      <c r="O40" s="35" t="s">
        <v>2812</v>
      </c>
      <c r="P40" s="35"/>
      <c r="Q40" s="38"/>
      <c r="R40" s="36"/>
      <c r="S40" s="35"/>
    </row>
    <row r="41" spans="1:19" ht="15.6">
      <c r="A41" s="34">
        <v>40</v>
      </c>
      <c r="B41" s="35">
        <v>2025</v>
      </c>
      <c r="C41" s="35" t="s">
        <v>2835</v>
      </c>
      <c r="D41" s="35" t="s">
        <v>2839</v>
      </c>
      <c r="E41" s="38">
        <v>31452</v>
      </c>
      <c r="F41" s="35" t="s">
        <v>2656</v>
      </c>
      <c r="G41" s="35" t="s">
        <v>2657</v>
      </c>
      <c r="H41" s="35"/>
      <c r="I41" s="35" t="s">
        <v>2840</v>
      </c>
      <c r="J41" s="35" t="s">
        <v>2840</v>
      </c>
      <c r="K41" s="35" t="s">
        <v>1512</v>
      </c>
      <c r="L41" s="35" t="s">
        <v>1939</v>
      </c>
      <c r="M41" s="35" t="s">
        <v>2810</v>
      </c>
      <c r="N41" s="35" t="s">
        <v>2841</v>
      </c>
      <c r="O41" s="35" t="s">
        <v>2812</v>
      </c>
      <c r="P41" s="35"/>
      <c r="Q41" s="38"/>
      <c r="R41" s="36"/>
      <c r="S41" s="35"/>
    </row>
    <row r="42" spans="1:19" ht="15.6">
      <c r="A42" s="34">
        <v>41</v>
      </c>
      <c r="B42" s="35">
        <v>2025</v>
      </c>
      <c r="C42" s="35" t="s">
        <v>2835</v>
      </c>
      <c r="D42" s="35" t="s">
        <v>2842</v>
      </c>
      <c r="E42" s="38" t="s">
        <v>2843</v>
      </c>
      <c r="F42" s="35" t="s">
        <v>2656</v>
      </c>
      <c r="G42" s="35" t="s">
        <v>2657</v>
      </c>
      <c r="H42" s="35"/>
      <c r="I42" s="35" t="s">
        <v>2844</v>
      </c>
      <c r="J42" s="35" t="s">
        <v>2844</v>
      </c>
      <c r="K42" s="35" t="s">
        <v>1329</v>
      </c>
      <c r="L42" s="35" t="s">
        <v>1328</v>
      </c>
      <c r="M42" s="35" t="s">
        <v>2810</v>
      </c>
      <c r="N42" s="35" t="s">
        <v>2845</v>
      </c>
      <c r="O42" s="35" t="s">
        <v>2812</v>
      </c>
      <c r="P42" s="35"/>
      <c r="Q42" s="38"/>
      <c r="R42" s="36"/>
      <c r="S42" s="35"/>
    </row>
    <row r="43" spans="1:19" ht="15.6">
      <c r="A43" s="34">
        <v>42</v>
      </c>
      <c r="B43" s="35">
        <v>2025</v>
      </c>
      <c r="C43" s="35" t="s">
        <v>2835</v>
      </c>
      <c r="D43" s="35" t="s">
        <v>2846</v>
      </c>
      <c r="E43" s="38">
        <v>32915</v>
      </c>
      <c r="F43" s="35" t="s">
        <v>2656</v>
      </c>
      <c r="G43" s="35" t="s">
        <v>2657</v>
      </c>
      <c r="H43" s="35"/>
      <c r="I43" s="35" t="s">
        <v>2684</v>
      </c>
      <c r="J43" s="35" t="s">
        <v>2684</v>
      </c>
      <c r="K43" s="35" t="s">
        <v>1462</v>
      </c>
      <c r="L43" s="35" t="s">
        <v>1820</v>
      </c>
      <c r="M43" s="35" t="s">
        <v>2810</v>
      </c>
      <c r="N43" s="35" t="s">
        <v>2847</v>
      </c>
      <c r="O43" s="35" t="s">
        <v>2812</v>
      </c>
      <c r="P43" s="35"/>
      <c r="Q43" s="38"/>
      <c r="R43" s="36"/>
      <c r="S43" s="35"/>
    </row>
    <row r="44" spans="1:19" ht="15.6">
      <c r="A44" s="34">
        <v>43</v>
      </c>
      <c r="B44" s="35">
        <v>2025</v>
      </c>
      <c r="C44" s="35" t="s">
        <v>2835</v>
      </c>
      <c r="D44" s="35" t="s">
        <v>2848</v>
      </c>
      <c r="E44" s="38">
        <v>34340</v>
      </c>
      <c r="F44" s="35" t="s">
        <v>2656</v>
      </c>
      <c r="G44" s="35" t="s">
        <v>2657</v>
      </c>
      <c r="H44" s="35"/>
      <c r="I44" s="35" t="s">
        <v>2684</v>
      </c>
      <c r="J44" s="35" t="s">
        <v>2684</v>
      </c>
      <c r="K44" s="35" t="s">
        <v>1462</v>
      </c>
      <c r="L44" s="35" t="s">
        <v>1820</v>
      </c>
      <c r="M44" s="35" t="s">
        <v>2810</v>
      </c>
      <c r="N44" s="35" t="s">
        <v>2849</v>
      </c>
      <c r="O44" s="35" t="s">
        <v>2812</v>
      </c>
      <c r="P44" s="35"/>
      <c r="Q44" s="38"/>
      <c r="R44" s="36"/>
      <c r="S44" s="35"/>
    </row>
    <row r="45" spans="1:19" ht="15.6">
      <c r="A45" s="34">
        <v>44</v>
      </c>
      <c r="B45" s="35">
        <v>2025</v>
      </c>
      <c r="C45" s="35" t="s">
        <v>2835</v>
      </c>
      <c r="D45" s="35" t="s">
        <v>2850</v>
      </c>
      <c r="E45" s="38">
        <v>31569</v>
      </c>
      <c r="F45" s="35" t="s">
        <v>2665</v>
      </c>
      <c r="G45" s="35" t="s">
        <v>2657</v>
      </c>
      <c r="H45" s="35"/>
      <c r="I45" s="35" t="s">
        <v>2684</v>
      </c>
      <c r="J45" s="35" t="s">
        <v>2684</v>
      </c>
      <c r="K45" s="35" t="s">
        <v>1462</v>
      </c>
      <c r="L45" s="35" t="s">
        <v>1820</v>
      </c>
      <c r="M45" s="35" t="s">
        <v>2810</v>
      </c>
      <c r="N45" s="35" t="s">
        <v>2851</v>
      </c>
      <c r="O45" s="35" t="s">
        <v>2812</v>
      </c>
      <c r="P45" s="35"/>
      <c r="Q45" s="38"/>
      <c r="R45" s="36"/>
      <c r="S45" s="35"/>
    </row>
    <row r="46" spans="1:19" ht="15.6">
      <c r="A46" s="34">
        <v>45</v>
      </c>
      <c r="B46" s="35">
        <v>2025</v>
      </c>
      <c r="C46" s="35" t="s">
        <v>2835</v>
      </c>
      <c r="D46" s="35" t="s">
        <v>2852</v>
      </c>
      <c r="E46" s="38" t="s">
        <v>2853</v>
      </c>
      <c r="F46" s="35" t="s">
        <v>2656</v>
      </c>
      <c r="G46" s="35" t="s">
        <v>2674</v>
      </c>
      <c r="H46" s="35"/>
      <c r="I46" s="35" t="s">
        <v>2854</v>
      </c>
      <c r="J46" s="35" t="s">
        <v>2854</v>
      </c>
      <c r="K46" s="35" t="s">
        <v>1462</v>
      </c>
      <c r="L46" s="35" t="s">
        <v>1820</v>
      </c>
      <c r="M46" s="35" t="s">
        <v>2669</v>
      </c>
      <c r="N46" s="35" t="s">
        <v>2855</v>
      </c>
      <c r="O46" s="35" t="s">
        <v>2856</v>
      </c>
      <c r="P46" s="35"/>
      <c r="Q46" s="38"/>
      <c r="R46" s="36"/>
      <c r="S46" s="35"/>
    </row>
    <row r="47" spans="1:19" ht="15.6">
      <c r="A47" s="34">
        <v>46</v>
      </c>
      <c r="B47" s="35">
        <v>2025</v>
      </c>
      <c r="C47" s="35" t="s">
        <v>2857</v>
      </c>
      <c r="D47" s="35" t="s">
        <v>2858</v>
      </c>
      <c r="E47" s="38" t="s">
        <v>2859</v>
      </c>
      <c r="F47" s="35" t="s">
        <v>2656</v>
      </c>
      <c r="G47" s="35" t="s">
        <v>2657</v>
      </c>
      <c r="H47" s="35"/>
      <c r="I47" s="35" t="s">
        <v>2659</v>
      </c>
      <c r="J47" s="35" t="s">
        <v>2659</v>
      </c>
      <c r="K47" s="35" t="s">
        <v>1329</v>
      </c>
      <c r="L47" s="35" t="s">
        <v>1328</v>
      </c>
      <c r="M47" s="35" t="s">
        <v>2810</v>
      </c>
      <c r="N47" s="35" t="s">
        <v>2860</v>
      </c>
      <c r="O47" s="35"/>
      <c r="P47" s="35"/>
      <c r="Q47" s="38"/>
      <c r="R47" s="36"/>
      <c r="S47" s="35"/>
    </row>
    <row r="48" spans="1:19" ht="15.6">
      <c r="A48" s="34">
        <v>47</v>
      </c>
      <c r="B48" s="35">
        <v>2025</v>
      </c>
      <c r="C48" s="35" t="s">
        <v>2857</v>
      </c>
      <c r="D48" s="35" t="s">
        <v>2861</v>
      </c>
      <c r="E48" s="38" t="s">
        <v>2862</v>
      </c>
      <c r="F48" s="35" t="s">
        <v>2656</v>
      </c>
      <c r="G48" s="35" t="s">
        <v>2657</v>
      </c>
      <c r="H48" s="35"/>
      <c r="I48" s="35" t="s">
        <v>2684</v>
      </c>
      <c r="J48" s="35" t="s">
        <v>2684</v>
      </c>
      <c r="K48" s="35" t="s">
        <v>1462</v>
      </c>
      <c r="L48" s="35" t="s">
        <v>1820</v>
      </c>
      <c r="M48" s="35" t="s">
        <v>2810</v>
      </c>
      <c r="N48" s="35" t="s">
        <v>2863</v>
      </c>
      <c r="O48" s="35"/>
      <c r="P48" s="35"/>
      <c r="Q48" s="38"/>
      <c r="R48" s="36"/>
      <c r="S48" s="35"/>
    </row>
    <row r="49" spans="1:19" ht="15.6">
      <c r="A49" s="34">
        <v>48</v>
      </c>
      <c r="B49" s="35">
        <v>2025</v>
      </c>
      <c r="C49" s="35" t="s">
        <v>2857</v>
      </c>
      <c r="D49" s="35" t="s">
        <v>2864</v>
      </c>
      <c r="E49" s="39" t="s">
        <v>2865</v>
      </c>
      <c r="F49" s="35" t="s">
        <v>2656</v>
      </c>
      <c r="G49" s="35" t="s">
        <v>2657</v>
      </c>
      <c r="H49" s="35"/>
      <c r="I49" s="35" t="s">
        <v>2684</v>
      </c>
      <c r="J49" s="35" t="s">
        <v>2684</v>
      </c>
      <c r="K49" s="35" t="s">
        <v>1462</v>
      </c>
      <c r="L49" s="35" t="s">
        <v>1820</v>
      </c>
      <c r="M49" s="35" t="s">
        <v>2810</v>
      </c>
      <c r="N49" s="35" t="s">
        <v>2866</v>
      </c>
      <c r="O49" s="35"/>
      <c r="P49" s="35" t="s">
        <v>2867</v>
      </c>
      <c r="Q49" s="38"/>
      <c r="R49" s="36" t="s">
        <v>2868</v>
      </c>
      <c r="S49" s="35" t="s">
        <v>2869</v>
      </c>
    </row>
    <row r="50" spans="1:19" ht="15.6">
      <c r="A50" s="34">
        <v>49</v>
      </c>
      <c r="B50" s="35">
        <v>2025</v>
      </c>
      <c r="C50" s="35" t="s">
        <v>2857</v>
      </c>
      <c r="D50" s="35" t="s">
        <v>2870</v>
      </c>
      <c r="E50" s="39" t="s">
        <v>2871</v>
      </c>
      <c r="F50" s="35" t="s">
        <v>2665</v>
      </c>
      <c r="G50" s="35" t="s">
        <v>2657</v>
      </c>
      <c r="H50" s="35"/>
      <c r="I50" s="35" t="s">
        <v>2684</v>
      </c>
      <c r="J50" s="35" t="s">
        <v>2684</v>
      </c>
      <c r="K50" s="35" t="s">
        <v>1462</v>
      </c>
      <c r="L50" s="35" t="s">
        <v>1820</v>
      </c>
      <c r="M50" s="35" t="s">
        <v>2810</v>
      </c>
      <c r="N50" s="35" t="s">
        <v>2872</v>
      </c>
      <c r="O50" s="35"/>
      <c r="P50" s="35" t="s">
        <v>2873</v>
      </c>
      <c r="Q50" s="38"/>
      <c r="R50" s="36" t="s">
        <v>2874</v>
      </c>
      <c r="S50" s="35" t="s">
        <v>2875</v>
      </c>
    </row>
    <row r="51" spans="1:19" ht="15.6">
      <c r="A51" s="34">
        <v>50</v>
      </c>
      <c r="B51" s="35">
        <v>2025</v>
      </c>
      <c r="C51" s="35" t="s">
        <v>2857</v>
      </c>
      <c r="D51" s="35" t="s">
        <v>2876</v>
      </c>
      <c r="E51" s="39" t="s">
        <v>2877</v>
      </c>
      <c r="F51" s="35" t="s">
        <v>2656</v>
      </c>
      <c r="G51" s="35" t="s">
        <v>2657</v>
      </c>
      <c r="H51" s="35"/>
      <c r="I51" s="35" t="s">
        <v>2684</v>
      </c>
      <c r="J51" s="35" t="s">
        <v>2684</v>
      </c>
      <c r="K51" s="35" t="s">
        <v>1462</v>
      </c>
      <c r="L51" s="35" t="s">
        <v>1820</v>
      </c>
      <c r="M51" s="35" t="s">
        <v>2810</v>
      </c>
      <c r="N51" s="35" t="s">
        <v>2878</v>
      </c>
      <c r="O51" s="35"/>
      <c r="P51" s="35" t="s">
        <v>2879</v>
      </c>
      <c r="Q51" s="38"/>
      <c r="R51" s="36" t="s">
        <v>2868</v>
      </c>
      <c r="S51" s="35" t="s">
        <v>2869</v>
      </c>
    </row>
    <row r="52" spans="1:19" ht="15.6">
      <c r="A52" s="34">
        <v>51</v>
      </c>
      <c r="B52" s="35">
        <v>2025</v>
      </c>
      <c r="C52" s="35" t="s">
        <v>2857</v>
      </c>
      <c r="D52" s="35" t="s">
        <v>2880</v>
      </c>
      <c r="E52" s="39" t="s">
        <v>2881</v>
      </c>
      <c r="F52" s="35" t="s">
        <v>2656</v>
      </c>
      <c r="G52" s="35" t="s">
        <v>2657</v>
      </c>
      <c r="H52" s="35"/>
      <c r="I52" s="35" t="s">
        <v>2684</v>
      </c>
      <c r="J52" s="35" t="s">
        <v>2684</v>
      </c>
      <c r="K52" s="35" t="s">
        <v>1462</v>
      </c>
      <c r="L52" s="35" t="s">
        <v>1820</v>
      </c>
      <c r="M52" s="35" t="s">
        <v>2810</v>
      </c>
      <c r="N52" s="35" t="s">
        <v>2882</v>
      </c>
      <c r="O52" s="35"/>
      <c r="P52" s="35" t="s">
        <v>2883</v>
      </c>
      <c r="Q52" s="38"/>
      <c r="R52" s="36" t="s">
        <v>2868</v>
      </c>
      <c r="S52" s="35" t="s">
        <v>2869</v>
      </c>
    </row>
    <row r="53" spans="1:19" ht="15.6">
      <c r="A53" s="34">
        <v>52</v>
      </c>
      <c r="B53" s="35">
        <v>2025</v>
      </c>
      <c r="C53" s="35" t="s">
        <v>2857</v>
      </c>
      <c r="D53" s="35" t="s">
        <v>2884</v>
      </c>
      <c r="E53" s="39" t="s">
        <v>2885</v>
      </c>
      <c r="F53" s="35" t="s">
        <v>2656</v>
      </c>
      <c r="G53" s="35" t="s">
        <v>2657</v>
      </c>
      <c r="H53" s="35"/>
      <c r="I53" s="35" t="s">
        <v>2684</v>
      </c>
      <c r="J53" s="35" t="s">
        <v>2684</v>
      </c>
      <c r="K53" s="35" t="s">
        <v>1462</v>
      </c>
      <c r="L53" s="35" t="s">
        <v>1820</v>
      </c>
      <c r="M53" s="35" t="s">
        <v>2810</v>
      </c>
      <c r="N53" s="35" t="s">
        <v>2886</v>
      </c>
      <c r="O53" s="35"/>
      <c r="P53" s="35" t="s">
        <v>2887</v>
      </c>
      <c r="Q53" s="38"/>
      <c r="R53" s="36" t="s">
        <v>2868</v>
      </c>
      <c r="S53" s="35" t="s">
        <v>2869</v>
      </c>
    </row>
    <row r="54" spans="1:19" ht="15.6">
      <c r="A54" s="34">
        <v>53</v>
      </c>
      <c r="B54" s="35">
        <v>2025</v>
      </c>
      <c r="C54" s="35" t="s">
        <v>2857</v>
      </c>
      <c r="D54" s="35" t="s">
        <v>2888</v>
      </c>
      <c r="E54" s="39" t="s">
        <v>2889</v>
      </c>
      <c r="F54" s="35" t="s">
        <v>2656</v>
      </c>
      <c r="G54" s="35" t="s">
        <v>2657</v>
      </c>
      <c r="H54" s="35"/>
      <c r="I54" s="35" t="s">
        <v>2684</v>
      </c>
      <c r="J54" s="35" t="s">
        <v>2684</v>
      </c>
      <c r="K54" s="35" t="s">
        <v>1462</v>
      </c>
      <c r="L54" s="35" t="s">
        <v>1820</v>
      </c>
      <c r="M54" s="35" t="s">
        <v>2810</v>
      </c>
      <c r="N54" s="35" t="s">
        <v>2890</v>
      </c>
      <c r="O54" s="35"/>
      <c r="P54" s="35" t="s">
        <v>2891</v>
      </c>
      <c r="Q54" s="38"/>
      <c r="R54" s="36" t="s">
        <v>2868</v>
      </c>
      <c r="S54" s="35" t="s">
        <v>2869</v>
      </c>
    </row>
    <row r="55" spans="1:19" ht="15.6">
      <c r="A55" s="34">
        <v>54</v>
      </c>
      <c r="B55" s="35">
        <v>2025</v>
      </c>
      <c r="C55" s="35" t="s">
        <v>2857</v>
      </c>
      <c r="D55" s="35" t="s">
        <v>2892</v>
      </c>
      <c r="E55" s="39" t="s">
        <v>2893</v>
      </c>
      <c r="F55" s="35" t="s">
        <v>2656</v>
      </c>
      <c r="G55" s="35" t="s">
        <v>2657</v>
      </c>
      <c r="H55" s="35"/>
      <c r="I55" s="35" t="s">
        <v>2684</v>
      </c>
      <c r="J55" s="35" t="s">
        <v>2684</v>
      </c>
      <c r="K55" s="35" t="s">
        <v>1462</v>
      </c>
      <c r="L55" s="35" t="s">
        <v>1820</v>
      </c>
      <c r="M55" s="35" t="s">
        <v>2810</v>
      </c>
      <c r="N55" s="35" t="s">
        <v>2894</v>
      </c>
      <c r="O55" s="35"/>
      <c r="P55" s="35" t="s">
        <v>2895</v>
      </c>
      <c r="Q55" s="38"/>
      <c r="R55" s="36" t="s">
        <v>2868</v>
      </c>
      <c r="S55" s="35" t="s">
        <v>2869</v>
      </c>
    </row>
    <row r="56" spans="1:19" ht="15.6">
      <c r="A56" s="34">
        <v>55</v>
      </c>
      <c r="B56" s="35">
        <v>2025</v>
      </c>
      <c r="C56" s="35" t="s">
        <v>2857</v>
      </c>
      <c r="D56" s="35" t="s">
        <v>2896</v>
      </c>
      <c r="E56" s="38" t="s">
        <v>2897</v>
      </c>
      <c r="F56" s="35" t="s">
        <v>2656</v>
      </c>
      <c r="G56" s="35" t="s">
        <v>2657</v>
      </c>
      <c r="H56" s="35"/>
      <c r="I56" s="35" t="s">
        <v>2684</v>
      </c>
      <c r="J56" s="35" t="s">
        <v>2684</v>
      </c>
      <c r="K56" s="35" t="s">
        <v>1462</v>
      </c>
      <c r="L56" s="35" t="s">
        <v>1820</v>
      </c>
      <c r="M56" s="35" t="s">
        <v>2810</v>
      </c>
      <c r="N56" s="35" t="s">
        <v>2898</v>
      </c>
      <c r="O56" s="35"/>
      <c r="P56" s="35" t="s">
        <v>2899</v>
      </c>
      <c r="Q56" s="38"/>
      <c r="R56" s="36" t="s">
        <v>2868</v>
      </c>
      <c r="S56" s="35" t="s">
        <v>2869</v>
      </c>
    </row>
    <row r="57" spans="1:19" ht="15.6">
      <c r="A57" s="34">
        <v>56</v>
      </c>
      <c r="B57" s="35">
        <v>2025</v>
      </c>
      <c r="C57" s="35" t="s">
        <v>2857</v>
      </c>
      <c r="D57" s="35" t="s">
        <v>2900</v>
      </c>
      <c r="E57" s="39" t="s">
        <v>2901</v>
      </c>
      <c r="F57" s="35" t="s">
        <v>2665</v>
      </c>
      <c r="G57" s="35" t="s">
        <v>2657</v>
      </c>
      <c r="H57" s="35"/>
      <c r="I57" s="35" t="s">
        <v>2684</v>
      </c>
      <c r="J57" s="35" t="s">
        <v>2684</v>
      </c>
      <c r="K57" s="35" t="s">
        <v>1462</v>
      </c>
      <c r="L57" s="35" t="s">
        <v>1820</v>
      </c>
      <c r="M57" s="35" t="s">
        <v>2810</v>
      </c>
      <c r="N57" s="35" t="s">
        <v>2902</v>
      </c>
      <c r="O57" s="35"/>
      <c r="P57" s="35" t="s">
        <v>2903</v>
      </c>
      <c r="Q57" s="38"/>
      <c r="R57" s="36" t="s">
        <v>2868</v>
      </c>
      <c r="S57" s="35" t="s">
        <v>2869</v>
      </c>
    </row>
    <row r="58" spans="1:19" ht="15.6">
      <c r="A58" s="34">
        <v>57</v>
      </c>
      <c r="B58" s="35">
        <v>2025</v>
      </c>
      <c r="C58" s="35" t="s">
        <v>2857</v>
      </c>
      <c r="D58" s="35" t="s">
        <v>2904</v>
      </c>
      <c r="E58" s="38" t="s">
        <v>2905</v>
      </c>
      <c r="F58" s="35" t="s">
        <v>2665</v>
      </c>
      <c r="G58" s="35" t="s">
        <v>2657</v>
      </c>
      <c r="H58" s="35"/>
      <c r="I58" s="35" t="s">
        <v>2684</v>
      </c>
      <c r="J58" s="35" t="s">
        <v>2684</v>
      </c>
      <c r="K58" s="35" t="s">
        <v>1462</v>
      </c>
      <c r="L58" s="35" t="s">
        <v>1820</v>
      </c>
      <c r="M58" s="35" t="s">
        <v>2810</v>
      </c>
      <c r="N58" s="35" t="s">
        <v>2906</v>
      </c>
      <c r="O58" s="35"/>
      <c r="P58" s="35" t="s">
        <v>2907</v>
      </c>
      <c r="Q58" s="38"/>
      <c r="R58" s="36" t="s">
        <v>2874</v>
      </c>
      <c r="S58" s="35" t="s">
        <v>2875</v>
      </c>
    </row>
    <row r="59" spans="1:19" ht="15.6">
      <c r="A59" s="34">
        <v>58</v>
      </c>
      <c r="B59" s="35">
        <v>2025</v>
      </c>
      <c r="C59" s="35" t="s">
        <v>2857</v>
      </c>
      <c r="D59" s="35" t="s">
        <v>2908</v>
      </c>
      <c r="E59" s="38" t="s">
        <v>2909</v>
      </c>
      <c r="F59" s="35" t="s">
        <v>2665</v>
      </c>
      <c r="G59" s="35" t="s">
        <v>2657</v>
      </c>
      <c r="H59" s="35"/>
      <c r="I59" s="35" t="s">
        <v>2910</v>
      </c>
      <c r="J59" s="35" t="s">
        <v>2910</v>
      </c>
      <c r="K59" s="35" t="s">
        <v>1393</v>
      </c>
      <c r="L59" s="35" t="s">
        <v>2158</v>
      </c>
      <c r="M59" s="35" t="s">
        <v>2810</v>
      </c>
      <c r="N59" s="35" t="s">
        <v>2911</v>
      </c>
      <c r="O59" s="35"/>
      <c r="P59" s="35" t="s">
        <v>2912</v>
      </c>
      <c r="Q59" s="38"/>
      <c r="R59" s="36" t="s">
        <v>2868</v>
      </c>
      <c r="S59" s="35" t="s">
        <v>2869</v>
      </c>
    </row>
    <row r="60" spans="1:19" ht="15.6">
      <c r="A60" s="34">
        <v>59</v>
      </c>
      <c r="B60" s="35">
        <v>2025</v>
      </c>
      <c r="C60" s="35" t="s">
        <v>2857</v>
      </c>
      <c r="D60" s="35" t="s">
        <v>2913</v>
      </c>
      <c r="E60" s="38" t="s">
        <v>2914</v>
      </c>
      <c r="F60" s="35" t="s">
        <v>2656</v>
      </c>
      <c r="G60" s="35" t="s">
        <v>2915</v>
      </c>
      <c r="H60" s="35"/>
      <c r="I60" s="35" t="s">
        <v>2916</v>
      </c>
      <c r="J60" s="35" t="s">
        <v>2916</v>
      </c>
      <c r="K60" s="35" t="s">
        <v>1512</v>
      </c>
      <c r="L60" s="35" t="s">
        <v>1939</v>
      </c>
      <c r="M60" s="35" t="s">
        <v>2669</v>
      </c>
      <c r="N60" s="35" t="s">
        <v>2917</v>
      </c>
      <c r="O60" s="35" t="s">
        <v>2918</v>
      </c>
      <c r="P60" s="35" t="s">
        <v>2919</v>
      </c>
      <c r="Q60" s="35" t="s">
        <v>2920</v>
      </c>
      <c r="R60" s="36" t="s">
        <v>2921</v>
      </c>
      <c r="S60" s="35"/>
    </row>
    <row r="61" spans="1:19" ht="15.6">
      <c r="A61" s="34">
        <v>60</v>
      </c>
      <c r="B61" s="35">
        <v>2025</v>
      </c>
      <c r="C61" s="35" t="s">
        <v>2922</v>
      </c>
      <c r="D61" s="35" t="s">
        <v>2923</v>
      </c>
      <c r="E61" s="41" t="s">
        <v>2924</v>
      </c>
      <c r="F61" s="35" t="s">
        <v>2656</v>
      </c>
      <c r="G61" s="35" t="s">
        <v>2657</v>
      </c>
      <c r="H61" s="35" t="s">
        <v>2925</v>
      </c>
      <c r="I61" s="35" t="s">
        <v>2916</v>
      </c>
      <c r="J61" s="35" t="s">
        <v>2916</v>
      </c>
      <c r="K61" s="35" t="s">
        <v>1512</v>
      </c>
      <c r="L61" s="35" t="s">
        <v>1939</v>
      </c>
      <c r="M61" s="35" t="s">
        <v>2926</v>
      </c>
      <c r="N61" s="35" t="s">
        <v>2927</v>
      </c>
      <c r="O61" s="35" t="s">
        <v>2812</v>
      </c>
      <c r="P61" s="35"/>
      <c r="Q61" s="35"/>
      <c r="R61" s="36"/>
      <c r="S61" s="35" t="s">
        <v>2928</v>
      </c>
    </row>
    <row r="62" spans="1:19" ht="15.6">
      <c r="A62" s="34">
        <v>61</v>
      </c>
      <c r="B62" s="35">
        <v>2025</v>
      </c>
      <c r="C62" s="35" t="s">
        <v>2922</v>
      </c>
      <c r="D62" s="35" t="s">
        <v>2929</v>
      </c>
      <c r="E62" s="38" t="s">
        <v>2930</v>
      </c>
      <c r="F62" s="35" t="s">
        <v>2656</v>
      </c>
      <c r="G62" s="35" t="s">
        <v>2931</v>
      </c>
      <c r="H62" s="35"/>
      <c r="I62" s="35" t="s">
        <v>2916</v>
      </c>
      <c r="J62" s="35" t="s">
        <v>2916</v>
      </c>
      <c r="K62" s="35" t="s">
        <v>1512</v>
      </c>
      <c r="L62" s="35" t="s">
        <v>1939</v>
      </c>
      <c r="M62" s="35" t="s">
        <v>2669</v>
      </c>
      <c r="N62" s="35"/>
      <c r="O62" s="35"/>
      <c r="P62" s="35"/>
      <c r="Q62" s="35"/>
      <c r="R62" s="36"/>
      <c r="S62" s="35" t="s">
        <v>2928</v>
      </c>
    </row>
    <row r="63" spans="1:19" ht="15.6">
      <c r="A63" s="34">
        <v>62</v>
      </c>
      <c r="B63" s="35">
        <v>2018</v>
      </c>
      <c r="C63" s="35" t="s">
        <v>2932</v>
      </c>
      <c r="D63" s="35" t="s">
        <v>2933</v>
      </c>
      <c r="E63" s="36">
        <v>36430</v>
      </c>
      <c r="F63" s="35" t="s">
        <v>2665</v>
      </c>
      <c r="G63" s="35" t="s">
        <v>2657</v>
      </c>
      <c r="H63" s="35"/>
      <c r="I63" s="35" t="s">
        <v>2934</v>
      </c>
      <c r="J63" s="35" t="s">
        <v>2934</v>
      </c>
      <c r="K63" s="35" t="s">
        <v>1393</v>
      </c>
      <c r="L63" s="35" t="s">
        <v>2158</v>
      </c>
      <c r="M63" s="35" t="s">
        <v>2935</v>
      </c>
      <c r="N63" s="35" t="s">
        <v>2936</v>
      </c>
      <c r="O63" s="35" t="s">
        <v>2662</v>
      </c>
      <c r="P63" s="35" t="s">
        <v>2937</v>
      </c>
      <c r="Q63" s="38">
        <v>44193</v>
      </c>
      <c r="R63" s="36"/>
      <c r="S63" s="35" t="s">
        <v>2694</v>
      </c>
    </row>
    <row r="64" spans="1:19" ht="15.6">
      <c r="A64" s="34">
        <v>63</v>
      </c>
      <c r="B64" s="35">
        <v>2019</v>
      </c>
      <c r="C64" s="35" t="s">
        <v>2938</v>
      </c>
      <c r="D64" s="35" t="s">
        <v>2939</v>
      </c>
      <c r="E64" s="36" t="s">
        <v>2940</v>
      </c>
      <c r="F64" s="35" t="s">
        <v>2656</v>
      </c>
      <c r="G64" s="35" t="s">
        <v>2657</v>
      </c>
      <c r="H64" s="35"/>
      <c r="I64" s="35" t="s">
        <v>2941</v>
      </c>
      <c r="J64" s="35" t="s">
        <v>2941</v>
      </c>
      <c r="K64" s="35" t="s">
        <v>1329</v>
      </c>
      <c r="L64" s="35" t="s">
        <v>1328</v>
      </c>
      <c r="M64" s="35" t="s">
        <v>2942</v>
      </c>
      <c r="N64" s="35" t="s">
        <v>2943</v>
      </c>
      <c r="O64" s="35" t="s">
        <v>2662</v>
      </c>
      <c r="P64" s="35"/>
      <c r="Q64" s="38"/>
      <c r="R64" s="38"/>
      <c r="S64" s="35" t="s">
        <v>2694</v>
      </c>
    </row>
    <row r="65" spans="1:19" ht="15.6">
      <c r="A65" s="34">
        <v>64</v>
      </c>
      <c r="B65" s="35">
        <v>2019</v>
      </c>
      <c r="C65" s="35" t="s">
        <v>2944</v>
      </c>
      <c r="D65" s="35" t="s">
        <v>2945</v>
      </c>
      <c r="E65" s="36" t="s">
        <v>2946</v>
      </c>
      <c r="F65" s="35" t="s">
        <v>2656</v>
      </c>
      <c r="G65" s="35" t="s">
        <v>2657</v>
      </c>
      <c r="H65" s="35"/>
      <c r="I65" s="35" t="s">
        <v>2941</v>
      </c>
      <c r="J65" s="35" t="s">
        <v>2941</v>
      </c>
      <c r="K65" s="35" t="s">
        <v>1329</v>
      </c>
      <c r="L65" s="35" t="s">
        <v>1328</v>
      </c>
      <c r="M65" s="35" t="s">
        <v>2947</v>
      </c>
      <c r="N65" s="35" t="s">
        <v>2948</v>
      </c>
      <c r="O65" s="35" t="s">
        <v>2662</v>
      </c>
      <c r="P65" s="37"/>
      <c r="Q65" s="38"/>
      <c r="R65" s="38"/>
      <c r="S65" s="35" t="s">
        <v>2949</v>
      </c>
    </row>
    <row r="66" spans="1:19" ht="15.6">
      <c r="A66" s="34">
        <v>65</v>
      </c>
      <c r="B66" s="35">
        <v>2019</v>
      </c>
      <c r="C66" s="35" t="s">
        <v>2938</v>
      </c>
      <c r="D66" s="35" t="s">
        <v>2950</v>
      </c>
      <c r="E66" s="36" t="s">
        <v>2951</v>
      </c>
      <c r="F66" s="35" t="s">
        <v>2665</v>
      </c>
      <c r="G66" s="35" t="s">
        <v>2657</v>
      </c>
      <c r="H66" s="35"/>
      <c r="I66" s="35" t="s">
        <v>2941</v>
      </c>
      <c r="J66" s="35" t="s">
        <v>2941</v>
      </c>
      <c r="K66" s="35" t="s">
        <v>1329</v>
      </c>
      <c r="L66" s="35" t="s">
        <v>1328</v>
      </c>
      <c r="M66" s="35" t="s">
        <v>2952</v>
      </c>
      <c r="N66" s="35" t="s">
        <v>2953</v>
      </c>
      <c r="O66" s="35" t="s">
        <v>2662</v>
      </c>
      <c r="P66" s="35" t="s">
        <v>2954</v>
      </c>
      <c r="Q66" s="38">
        <v>44193</v>
      </c>
      <c r="R66" s="38"/>
      <c r="S66" s="35" t="s">
        <v>2694</v>
      </c>
    </row>
    <row r="67" spans="1:19" ht="15.6">
      <c r="A67" s="34">
        <v>66</v>
      </c>
      <c r="B67" s="35">
        <v>2019</v>
      </c>
      <c r="C67" s="35" t="s">
        <v>2938</v>
      </c>
      <c r="D67" s="35" t="s">
        <v>2955</v>
      </c>
      <c r="E67" s="36" t="s">
        <v>2956</v>
      </c>
      <c r="F67" s="35" t="s">
        <v>2665</v>
      </c>
      <c r="G67" s="35" t="s">
        <v>2657</v>
      </c>
      <c r="H67" s="35"/>
      <c r="I67" s="35" t="s">
        <v>2941</v>
      </c>
      <c r="J67" s="35" t="s">
        <v>2941</v>
      </c>
      <c r="K67" s="35" t="s">
        <v>1329</v>
      </c>
      <c r="L67" s="35" t="s">
        <v>1328</v>
      </c>
      <c r="M67" s="35" t="s">
        <v>2660</v>
      </c>
      <c r="N67" s="35" t="s">
        <v>2957</v>
      </c>
      <c r="O67" s="35" t="s">
        <v>2662</v>
      </c>
      <c r="P67" s="35" t="s">
        <v>2958</v>
      </c>
      <c r="Q67" s="38">
        <v>44193</v>
      </c>
      <c r="R67" s="38"/>
      <c r="S67" s="35" t="s">
        <v>2694</v>
      </c>
    </row>
    <row r="68" spans="1:19" ht="15.6">
      <c r="A68" s="34">
        <v>67</v>
      </c>
      <c r="B68" s="35">
        <v>2019</v>
      </c>
      <c r="C68" s="35" t="s">
        <v>2938</v>
      </c>
      <c r="D68" s="35" t="s">
        <v>2959</v>
      </c>
      <c r="E68" s="36" t="s">
        <v>2960</v>
      </c>
      <c r="F68" s="35" t="s">
        <v>2656</v>
      </c>
      <c r="G68" s="35" t="s">
        <v>2657</v>
      </c>
      <c r="H68" s="35"/>
      <c r="I68" s="35" t="s">
        <v>2941</v>
      </c>
      <c r="J68" s="35" t="s">
        <v>2941</v>
      </c>
      <c r="K68" s="35" t="s">
        <v>1329</v>
      </c>
      <c r="L68" s="35" t="s">
        <v>1328</v>
      </c>
      <c r="M68" s="35" t="s">
        <v>2952</v>
      </c>
      <c r="N68" s="35" t="s">
        <v>2961</v>
      </c>
      <c r="O68" s="35" t="s">
        <v>2662</v>
      </c>
      <c r="P68" s="37" t="s">
        <v>2962</v>
      </c>
      <c r="Q68" s="38">
        <v>44193</v>
      </c>
      <c r="R68" s="38"/>
      <c r="S68" s="35"/>
    </row>
    <row r="69" spans="1:19" ht="15.6">
      <c r="A69" s="34">
        <v>68</v>
      </c>
      <c r="B69" s="35">
        <v>2019</v>
      </c>
      <c r="C69" s="35" t="s">
        <v>2963</v>
      </c>
      <c r="D69" s="35" t="s">
        <v>2964</v>
      </c>
      <c r="E69" s="36" t="s">
        <v>2965</v>
      </c>
      <c r="F69" s="35" t="s">
        <v>2665</v>
      </c>
      <c r="G69" s="35" t="s">
        <v>2657</v>
      </c>
      <c r="H69" s="35"/>
      <c r="I69" s="35" t="s">
        <v>2966</v>
      </c>
      <c r="J69" s="35" t="s">
        <v>2966</v>
      </c>
      <c r="K69" s="35" t="s">
        <v>1512</v>
      </c>
      <c r="L69" s="35" t="s">
        <v>1939</v>
      </c>
      <c r="M69" s="35" t="s">
        <v>2967</v>
      </c>
      <c r="N69" s="35" t="s">
        <v>2968</v>
      </c>
      <c r="O69" s="35" t="s">
        <v>2662</v>
      </c>
      <c r="P69" s="35"/>
      <c r="Q69" s="38"/>
      <c r="R69" s="38"/>
      <c r="S69" s="35"/>
    </row>
    <row r="70" spans="1:19" ht="15.6">
      <c r="A70" s="34">
        <v>69</v>
      </c>
      <c r="B70" s="35">
        <v>2019</v>
      </c>
      <c r="C70" s="35" t="s">
        <v>2969</v>
      </c>
      <c r="D70" s="35" t="s">
        <v>2970</v>
      </c>
      <c r="E70" s="36" t="s">
        <v>2971</v>
      </c>
      <c r="F70" s="35" t="s">
        <v>2665</v>
      </c>
      <c r="G70" s="35" t="s">
        <v>2657</v>
      </c>
      <c r="H70" s="35"/>
      <c r="I70" s="35" t="s">
        <v>2972</v>
      </c>
      <c r="J70" s="35" t="s">
        <v>2972</v>
      </c>
      <c r="K70" s="35" t="s">
        <v>1417</v>
      </c>
      <c r="L70" s="35" t="s">
        <v>2361</v>
      </c>
      <c r="M70" s="35" t="s">
        <v>2967</v>
      </c>
      <c r="N70" s="35" t="s">
        <v>2973</v>
      </c>
      <c r="O70" s="35" t="s">
        <v>2662</v>
      </c>
      <c r="P70" s="35" t="s">
        <v>2974</v>
      </c>
      <c r="Q70" s="38">
        <v>44193</v>
      </c>
      <c r="R70" s="38">
        <v>45807</v>
      </c>
      <c r="S70" s="35"/>
    </row>
    <row r="71" spans="1:19" ht="15.6">
      <c r="A71" s="34">
        <v>70</v>
      </c>
      <c r="B71" s="35">
        <v>2021</v>
      </c>
      <c r="C71" s="35" t="s">
        <v>2975</v>
      </c>
      <c r="D71" s="35" t="s">
        <v>2976</v>
      </c>
      <c r="E71" s="36" t="s">
        <v>2977</v>
      </c>
      <c r="F71" s="35" t="s">
        <v>2656</v>
      </c>
      <c r="G71" s="35" t="s">
        <v>2657</v>
      </c>
      <c r="H71" s="35"/>
      <c r="I71" s="35" t="s">
        <v>2941</v>
      </c>
      <c r="J71" s="35" t="s">
        <v>2941</v>
      </c>
      <c r="K71" s="35" t="s">
        <v>1329</v>
      </c>
      <c r="L71" s="35" t="s">
        <v>1328</v>
      </c>
      <c r="M71" s="35" t="s">
        <v>2978</v>
      </c>
      <c r="N71" s="35" t="s">
        <v>2979</v>
      </c>
      <c r="O71" s="35" t="s">
        <v>2662</v>
      </c>
      <c r="P71" s="35" t="s">
        <v>2980</v>
      </c>
      <c r="Q71" s="39" t="s">
        <v>2981</v>
      </c>
      <c r="R71" s="39" t="s">
        <v>2982</v>
      </c>
      <c r="S71" s="35" t="s">
        <v>2983</v>
      </c>
    </row>
    <row r="72" spans="1:19" ht="15.6">
      <c r="A72" s="34">
        <v>71</v>
      </c>
      <c r="B72" s="35">
        <v>2021</v>
      </c>
      <c r="C72" s="35" t="s">
        <v>2975</v>
      </c>
      <c r="D72" s="35" t="s">
        <v>2984</v>
      </c>
      <c r="E72" s="36" t="s">
        <v>2985</v>
      </c>
      <c r="F72" s="35" t="s">
        <v>2656</v>
      </c>
      <c r="G72" s="35" t="s">
        <v>2657</v>
      </c>
      <c r="H72" s="35"/>
      <c r="I72" s="35" t="s">
        <v>2941</v>
      </c>
      <c r="J72" s="35" t="s">
        <v>2941</v>
      </c>
      <c r="K72" s="35" t="s">
        <v>1329</v>
      </c>
      <c r="L72" s="35" t="s">
        <v>1328</v>
      </c>
      <c r="M72" s="35" t="s">
        <v>2986</v>
      </c>
      <c r="N72" s="35" t="s">
        <v>2987</v>
      </c>
      <c r="O72" s="35" t="s">
        <v>2662</v>
      </c>
      <c r="P72" s="35" t="s">
        <v>2988</v>
      </c>
      <c r="Q72" s="39" t="s">
        <v>2989</v>
      </c>
      <c r="R72" s="39" t="s">
        <v>2982</v>
      </c>
      <c r="S72" s="35" t="s">
        <v>2983</v>
      </c>
    </row>
    <row r="73" spans="1:19" ht="15.6">
      <c r="A73" s="34">
        <v>72</v>
      </c>
      <c r="B73" s="35">
        <v>2021</v>
      </c>
      <c r="C73" s="35" t="s">
        <v>2990</v>
      </c>
      <c r="D73" s="35" t="s">
        <v>2991</v>
      </c>
      <c r="E73" s="36" t="s">
        <v>2992</v>
      </c>
      <c r="F73" s="35" t="s">
        <v>2656</v>
      </c>
      <c r="G73" s="35" t="s">
        <v>2657</v>
      </c>
      <c r="H73" s="35"/>
      <c r="I73" s="35" t="s">
        <v>2934</v>
      </c>
      <c r="J73" s="35" t="s">
        <v>2934</v>
      </c>
      <c r="K73" s="35" t="s">
        <v>1393</v>
      </c>
      <c r="L73" s="35" t="s">
        <v>2158</v>
      </c>
      <c r="M73" s="35" t="s">
        <v>2993</v>
      </c>
      <c r="N73" s="35" t="s">
        <v>2994</v>
      </c>
      <c r="O73" s="35" t="s">
        <v>2662</v>
      </c>
      <c r="P73" s="35" t="s">
        <v>2995</v>
      </c>
      <c r="Q73" s="38">
        <v>44589</v>
      </c>
      <c r="R73" s="39" t="s">
        <v>2996</v>
      </c>
      <c r="S73" s="35" t="s">
        <v>2997</v>
      </c>
    </row>
    <row r="74" spans="1:19" ht="15.6">
      <c r="A74" s="34">
        <v>73</v>
      </c>
      <c r="B74" s="35">
        <v>2021</v>
      </c>
      <c r="C74" s="35" t="s">
        <v>2975</v>
      </c>
      <c r="D74" s="35" t="s">
        <v>2998</v>
      </c>
      <c r="E74" s="36" t="s">
        <v>2999</v>
      </c>
      <c r="F74" s="35" t="s">
        <v>2656</v>
      </c>
      <c r="G74" s="35" t="s">
        <v>2657</v>
      </c>
      <c r="H74" s="35"/>
      <c r="I74" s="35" t="s">
        <v>3000</v>
      </c>
      <c r="J74" s="35" t="s">
        <v>3000</v>
      </c>
      <c r="K74" s="35" t="s">
        <v>1329</v>
      </c>
      <c r="L74" s="35" t="s">
        <v>1328</v>
      </c>
      <c r="M74" s="35" t="s">
        <v>3001</v>
      </c>
      <c r="N74" s="35" t="s">
        <v>3002</v>
      </c>
      <c r="O74" s="35" t="s">
        <v>2662</v>
      </c>
      <c r="P74" s="35" t="s">
        <v>3003</v>
      </c>
      <c r="Q74" s="39" t="s">
        <v>3004</v>
      </c>
      <c r="R74" s="38" t="s">
        <v>3005</v>
      </c>
      <c r="S74" s="35" t="s">
        <v>3006</v>
      </c>
    </row>
    <row r="75" spans="1:19" ht="15.6">
      <c r="A75" s="34">
        <v>74</v>
      </c>
      <c r="B75" s="35">
        <v>2021</v>
      </c>
      <c r="C75" s="35" t="s">
        <v>3007</v>
      </c>
      <c r="D75" s="35" t="s">
        <v>3008</v>
      </c>
      <c r="E75" s="36" t="s">
        <v>3009</v>
      </c>
      <c r="F75" s="35" t="s">
        <v>2656</v>
      </c>
      <c r="G75" s="35" t="s">
        <v>2657</v>
      </c>
      <c r="H75" s="35"/>
      <c r="I75" s="35" t="s">
        <v>3000</v>
      </c>
      <c r="J75" s="35" t="s">
        <v>3000</v>
      </c>
      <c r="K75" s="35" t="s">
        <v>1329</v>
      </c>
      <c r="L75" s="35" t="s">
        <v>1328</v>
      </c>
      <c r="M75" s="35" t="s">
        <v>3010</v>
      </c>
      <c r="N75" s="35" t="s">
        <v>3011</v>
      </c>
      <c r="O75" s="35" t="s">
        <v>2662</v>
      </c>
      <c r="P75" s="35" t="s">
        <v>3012</v>
      </c>
      <c r="Q75" s="38">
        <v>45902</v>
      </c>
      <c r="R75" s="38" t="s">
        <v>3005</v>
      </c>
      <c r="S75" s="35" t="s">
        <v>3006</v>
      </c>
    </row>
    <row r="76" spans="1:19" ht="15.6">
      <c r="A76" s="34">
        <v>75</v>
      </c>
      <c r="B76" s="35">
        <v>2021</v>
      </c>
      <c r="C76" s="35" t="s">
        <v>3013</v>
      </c>
      <c r="D76" s="35" t="s">
        <v>3014</v>
      </c>
      <c r="E76" s="36" t="s">
        <v>3015</v>
      </c>
      <c r="F76" s="35" t="s">
        <v>2656</v>
      </c>
      <c r="G76" s="35" t="s">
        <v>2657</v>
      </c>
      <c r="H76" s="35"/>
      <c r="I76" s="35" t="s">
        <v>2966</v>
      </c>
      <c r="J76" s="35" t="s">
        <v>2966</v>
      </c>
      <c r="K76" s="35" t="s">
        <v>1512</v>
      </c>
      <c r="L76" s="35" t="s">
        <v>1939</v>
      </c>
      <c r="M76" s="35" t="s">
        <v>2669</v>
      </c>
      <c r="N76" s="35" t="s">
        <v>3016</v>
      </c>
      <c r="O76" s="35" t="s">
        <v>2662</v>
      </c>
      <c r="P76" s="35" t="s">
        <v>3017</v>
      </c>
      <c r="Q76" s="38" t="s">
        <v>3018</v>
      </c>
      <c r="R76" s="39" t="s">
        <v>3019</v>
      </c>
      <c r="S76" s="35" t="s">
        <v>3020</v>
      </c>
    </row>
    <row r="77" spans="1:19" ht="15.6">
      <c r="A77" s="34">
        <v>76</v>
      </c>
      <c r="B77" s="35">
        <v>2021</v>
      </c>
      <c r="C77" s="35" t="s">
        <v>3013</v>
      </c>
      <c r="D77" s="35" t="s">
        <v>3021</v>
      </c>
      <c r="E77" s="36" t="s">
        <v>3022</v>
      </c>
      <c r="F77" s="35" t="s">
        <v>2665</v>
      </c>
      <c r="G77" s="35" t="s">
        <v>2657</v>
      </c>
      <c r="H77" s="35"/>
      <c r="I77" s="35" t="s">
        <v>2966</v>
      </c>
      <c r="J77" s="35" t="s">
        <v>2966</v>
      </c>
      <c r="K77" s="35" t="s">
        <v>1512</v>
      </c>
      <c r="L77" s="35" t="s">
        <v>1939</v>
      </c>
      <c r="M77" s="35" t="s">
        <v>3023</v>
      </c>
      <c r="N77" s="35" t="s">
        <v>3024</v>
      </c>
      <c r="O77" s="35" t="s">
        <v>2662</v>
      </c>
      <c r="P77" s="35" t="s">
        <v>3025</v>
      </c>
      <c r="Q77" s="38" t="s">
        <v>3026</v>
      </c>
      <c r="R77" s="38" t="s">
        <v>3005</v>
      </c>
      <c r="S77" s="35" t="s">
        <v>3027</v>
      </c>
    </row>
    <row r="78" spans="1:19" ht="15.6">
      <c r="A78" s="34">
        <v>77</v>
      </c>
      <c r="B78" s="35">
        <v>2022</v>
      </c>
      <c r="C78" s="35">
        <v>2022</v>
      </c>
      <c r="D78" s="35" t="s">
        <v>3028</v>
      </c>
      <c r="E78" s="36">
        <v>38133</v>
      </c>
      <c r="F78" s="35" t="s">
        <v>2665</v>
      </c>
      <c r="G78" s="35" t="s">
        <v>2657</v>
      </c>
      <c r="H78" s="35"/>
      <c r="I78" s="35" t="s">
        <v>2910</v>
      </c>
      <c r="J78" s="35" t="s">
        <v>2910</v>
      </c>
      <c r="K78" s="35" t="s">
        <v>1393</v>
      </c>
      <c r="L78" s="35" t="s">
        <v>2158</v>
      </c>
      <c r="M78" s="35" t="s">
        <v>3029</v>
      </c>
      <c r="N78" s="35" t="s">
        <v>3030</v>
      </c>
      <c r="O78" s="35" t="s">
        <v>2662</v>
      </c>
      <c r="P78" s="35" t="s">
        <v>3031</v>
      </c>
      <c r="Q78" s="38">
        <v>44996</v>
      </c>
      <c r="R78" s="39" t="s">
        <v>3032</v>
      </c>
      <c r="S78" s="35"/>
    </row>
    <row r="79" spans="1:19" ht="15.6">
      <c r="A79" s="34">
        <v>78</v>
      </c>
      <c r="B79" s="35">
        <v>2022</v>
      </c>
      <c r="C79" s="35">
        <v>2022</v>
      </c>
      <c r="D79" s="35" t="s">
        <v>3033</v>
      </c>
      <c r="E79" s="36">
        <v>37533</v>
      </c>
      <c r="F79" s="35" t="s">
        <v>2656</v>
      </c>
      <c r="G79" s="35" t="s">
        <v>2657</v>
      </c>
      <c r="H79" s="35"/>
      <c r="I79" s="35" t="s">
        <v>3000</v>
      </c>
      <c r="J79" s="35" t="s">
        <v>3000</v>
      </c>
      <c r="K79" s="35" t="s">
        <v>1329</v>
      </c>
      <c r="L79" s="35" t="s">
        <v>1328</v>
      </c>
      <c r="M79" s="35" t="s">
        <v>3034</v>
      </c>
      <c r="N79" s="35" t="s">
        <v>3035</v>
      </c>
      <c r="O79" s="35" t="s">
        <v>2662</v>
      </c>
      <c r="P79" s="35" t="s">
        <v>3036</v>
      </c>
      <c r="Q79" s="38">
        <v>45963</v>
      </c>
      <c r="R79" s="38" t="s">
        <v>3005</v>
      </c>
      <c r="S79" s="35" t="s">
        <v>3006</v>
      </c>
    </row>
    <row r="80" spans="1:19" ht="15.6">
      <c r="A80" s="34">
        <v>79</v>
      </c>
      <c r="B80" s="35">
        <v>2022</v>
      </c>
      <c r="C80" s="35">
        <v>2022</v>
      </c>
      <c r="D80" s="35" t="s">
        <v>3037</v>
      </c>
      <c r="E80" s="36">
        <v>36788</v>
      </c>
      <c r="F80" s="35" t="s">
        <v>2665</v>
      </c>
      <c r="G80" s="35" t="s">
        <v>2657</v>
      </c>
      <c r="H80" s="35"/>
      <c r="I80" s="35" t="s">
        <v>3000</v>
      </c>
      <c r="J80" s="35" t="s">
        <v>3000</v>
      </c>
      <c r="K80" s="35" t="s">
        <v>1329</v>
      </c>
      <c r="L80" s="35" t="s">
        <v>1328</v>
      </c>
      <c r="M80" s="35" t="s">
        <v>3038</v>
      </c>
      <c r="N80" s="35" t="s">
        <v>3039</v>
      </c>
      <c r="O80" s="35" t="s">
        <v>2662</v>
      </c>
      <c r="P80" s="35" t="s">
        <v>3040</v>
      </c>
      <c r="Q80" s="39" t="s">
        <v>3041</v>
      </c>
      <c r="R80" s="38" t="s">
        <v>3005</v>
      </c>
      <c r="S80" s="35" t="s">
        <v>3006</v>
      </c>
    </row>
    <row r="81" spans="1:19" ht="15.6">
      <c r="A81" s="34">
        <v>80</v>
      </c>
      <c r="B81" s="35">
        <v>2022</v>
      </c>
      <c r="C81" s="35">
        <v>2022</v>
      </c>
      <c r="D81" s="35" t="s">
        <v>3042</v>
      </c>
      <c r="E81" s="36">
        <v>37431</v>
      </c>
      <c r="F81" s="35" t="s">
        <v>2665</v>
      </c>
      <c r="G81" s="35" t="s">
        <v>2657</v>
      </c>
      <c r="H81" s="35"/>
      <c r="I81" s="35" t="s">
        <v>3000</v>
      </c>
      <c r="J81" s="35" t="s">
        <v>3000</v>
      </c>
      <c r="K81" s="35" t="s">
        <v>1329</v>
      </c>
      <c r="L81" s="35" t="s">
        <v>1328</v>
      </c>
      <c r="M81" s="35" t="s">
        <v>3043</v>
      </c>
      <c r="N81" s="35" t="s">
        <v>3044</v>
      </c>
      <c r="O81" s="35" t="s">
        <v>2662</v>
      </c>
      <c r="P81" s="35" t="s">
        <v>3045</v>
      </c>
      <c r="Q81" s="38">
        <v>45963</v>
      </c>
      <c r="R81" s="38" t="s">
        <v>3005</v>
      </c>
      <c r="S81" s="35" t="s">
        <v>3006</v>
      </c>
    </row>
    <row r="82" spans="1:19" ht="15.6">
      <c r="A82" s="34">
        <v>81</v>
      </c>
      <c r="B82" s="35">
        <v>2022</v>
      </c>
      <c r="C82" s="35">
        <v>2022</v>
      </c>
      <c r="D82" s="35" t="s">
        <v>3046</v>
      </c>
      <c r="E82" s="36">
        <v>37605</v>
      </c>
      <c r="F82" s="35" t="s">
        <v>2665</v>
      </c>
      <c r="G82" s="35" t="s">
        <v>2657</v>
      </c>
      <c r="H82" s="35"/>
      <c r="I82" s="35" t="s">
        <v>3000</v>
      </c>
      <c r="J82" s="35" t="s">
        <v>3000</v>
      </c>
      <c r="K82" s="35" t="s">
        <v>1329</v>
      </c>
      <c r="L82" s="35" t="s">
        <v>1328</v>
      </c>
      <c r="M82" s="35" t="s">
        <v>3047</v>
      </c>
      <c r="N82" s="35" t="s">
        <v>3048</v>
      </c>
      <c r="O82" s="35" t="s">
        <v>2662</v>
      </c>
      <c r="P82" s="35" t="s">
        <v>3049</v>
      </c>
      <c r="Q82" s="39" t="s">
        <v>3050</v>
      </c>
      <c r="R82" s="39" t="s">
        <v>2982</v>
      </c>
      <c r="S82" s="35" t="s">
        <v>2983</v>
      </c>
    </row>
    <row r="83" spans="1:19" ht="15.6">
      <c r="A83" s="34">
        <v>82</v>
      </c>
      <c r="B83" s="35">
        <v>2022</v>
      </c>
      <c r="C83" s="35">
        <v>2022</v>
      </c>
      <c r="D83" s="35" t="s">
        <v>3051</v>
      </c>
      <c r="E83" s="36">
        <v>37644</v>
      </c>
      <c r="F83" s="35" t="s">
        <v>2665</v>
      </c>
      <c r="G83" s="35" t="s">
        <v>2657</v>
      </c>
      <c r="H83" s="35"/>
      <c r="I83" s="35" t="s">
        <v>3000</v>
      </c>
      <c r="J83" s="35" t="s">
        <v>3000</v>
      </c>
      <c r="K83" s="35" t="s">
        <v>1329</v>
      </c>
      <c r="L83" s="35" t="s">
        <v>1328</v>
      </c>
      <c r="M83" s="35" t="s">
        <v>3052</v>
      </c>
      <c r="N83" s="35" t="s">
        <v>3053</v>
      </c>
      <c r="O83" s="35" t="s">
        <v>2662</v>
      </c>
      <c r="P83" s="35" t="s">
        <v>3054</v>
      </c>
      <c r="Q83" s="38" t="s">
        <v>3055</v>
      </c>
      <c r="R83" s="38">
        <v>46214</v>
      </c>
      <c r="S83" s="35" t="s">
        <v>3056</v>
      </c>
    </row>
    <row r="84" spans="1:19" ht="15.6">
      <c r="A84" s="34">
        <v>83</v>
      </c>
      <c r="B84" s="35">
        <v>2022</v>
      </c>
      <c r="C84" s="35">
        <v>2022</v>
      </c>
      <c r="D84" s="35" t="s">
        <v>3057</v>
      </c>
      <c r="E84" s="36">
        <v>37408</v>
      </c>
      <c r="F84" s="35" t="s">
        <v>2736</v>
      </c>
      <c r="G84" s="35" t="s">
        <v>2657</v>
      </c>
      <c r="H84" s="35"/>
      <c r="I84" s="35" t="s">
        <v>3000</v>
      </c>
      <c r="J84" s="35" t="s">
        <v>3000</v>
      </c>
      <c r="K84" s="35" t="s">
        <v>1329</v>
      </c>
      <c r="L84" s="35" t="s">
        <v>1328</v>
      </c>
      <c r="M84" s="35" t="s">
        <v>3058</v>
      </c>
      <c r="N84" s="35" t="s">
        <v>3059</v>
      </c>
      <c r="O84" s="35" t="s">
        <v>2662</v>
      </c>
      <c r="P84" s="35" t="s">
        <v>3060</v>
      </c>
      <c r="Q84" s="38">
        <v>45963</v>
      </c>
      <c r="R84" s="38" t="s">
        <v>3005</v>
      </c>
      <c r="S84" s="35" t="s">
        <v>3006</v>
      </c>
    </row>
    <row r="85" spans="1:19" ht="15.6">
      <c r="A85" s="34">
        <v>84</v>
      </c>
      <c r="B85" s="35">
        <v>2022</v>
      </c>
      <c r="C85" s="35">
        <v>2022</v>
      </c>
      <c r="D85" s="35" t="s">
        <v>3061</v>
      </c>
      <c r="E85" s="36">
        <v>36892</v>
      </c>
      <c r="F85" s="35" t="s">
        <v>2656</v>
      </c>
      <c r="G85" s="35" t="s">
        <v>2657</v>
      </c>
      <c r="H85" s="35"/>
      <c r="I85" s="35" t="s">
        <v>3000</v>
      </c>
      <c r="J85" s="35" t="s">
        <v>3000</v>
      </c>
      <c r="K85" s="35" t="s">
        <v>1329</v>
      </c>
      <c r="L85" s="35" t="s">
        <v>1328</v>
      </c>
      <c r="M85" s="35" t="s">
        <v>3052</v>
      </c>
      <c r="N85" s="35" t="s">
        <v>3062</v>
      </c>
      <c r="O85" s="35" t="s">
        <v>2662</v>
      </c>
      <c r="P85" s="37"/>
      <c r="Q85" s="38"/>
      <c r="R85" s="38"/>
      <c r="S85" s="35" t="s">
        <v>2949</v>
      </c>
    </row>
    <row r="86" spans="1:19" ht="15.6">
      <c r="A86" s="34">
        <v>85</v>
      </c>
      <c r="B86" s="35">
        <v>2023</v>
      </c>
      <c r="C86" s="35">
        <v>2023</v>
      </c>
      <c r="D86" s="35" t="s">
        <v>3063</v>
      </c>
      <c r="E86" s="35" t="s">
        <v>3064</v>
      </c>
      <c r="F86" s="35" t="s">
        <v>2656</v>
      </c>
      <c r="G86" s="35" t="s">
        <v>2657</v>
      </c>
      <c r="H86" s="35"/>
      <c r="I86" s="35" t="s">
        <v>3000</v>
      </c>
      <c r="J86" s="35" t="s">
        <v>3000</v>
      </c>
      <c r="K86" s="35" t="s">
        <v>1329</v>
      </c>
      <c r="L86" s="35" t="s">
        <v>1328</v>
      </c>
      <c r="M86" s="35" t="s">
        <v>3065</v>
      </c>
      <c r="N86" s="35" t="s">
        <v>3066</v>
      </c>
      <c r="O86" s="35" t="s">
        <v>2739</v>
      </c>
      <c r="P86" s="35" t="s">
        <v>3067</v>
      </c>
      <c r="Q86" s="38"/>
      <c r="R86" s="36">
        <v>46337</v>
      </c>
      <c r="S86" s="35" t="s">
        <v>3068</v>
      </c>
    </row>
    <row r="87" spans="1:19" ht="15.6">
      <c r="A87" s="34">
        <v>86</v>
      </c>
      <c r="B87" s="35">
        <v>2023</v>
      </c>
      <c r="C87" s="35">
        <v>2023</v>
      </c>
      <c r="D87" s="35" t="s">
        <v>3069</v>
      </c>
      <c r="E87" s="36">
        <v>37613</v>
      </c>
      <c r="F87" s="35" t="s">
        <v>2656</v>
      </c>
      <c r="G87" s="35" t="s">
        <v>2657</v>
      </c>
      <c r="H87" s="35"/>
      <c r="I87" s="35" t="s">
        <v>3000</v>
      </c>
      <c r="J87" s="35" t="s">
        <v>3000</v>
      </c>
      <c r="K87" s="35" t="s">
        <v>1329</v>
      </c>
      <c r="L87" s="35" t="s">
        <v>1328</v>
      </c>
      <c r="M87" s="35" t="s">
        <v>3070</v>
      </c>
      <c r="N87" s="35" t="s">
        <v>3071</v>
      </c>
      <c r="O87" s="35" t="s">
        <v>2739</v>
      </c>
      <c r="P87" s="35" t="s">
        <v>3072</v>
      </c>
      <c r="Q87" s="38"/>
      <c r="R87" s="36">
        <v>46337</v>
      </c>
      <c r="S87" s="35" t="s">
        <v>3068</v>
      </c>
    </row>
    <row r="88" spans="1:19" ht="15.6">
      <c r="A88" s="34">
        <v>87</v>
      </c>
      <c r="B88" s="35">
        <v>2023</v>
      </c>
      <c r="C88" s="35">
        <v>2023</v>
      </c>
      <c r="D88" s="35" t="s">
        <v>3073</v>
      </c>
      <c r="E88" s="35" t="s">
        <v>3074</v>
      </c>
      <c r="F88" s="35" t="s">
        <v>2665</v>
      </c>
      <c r="G88" s="35" t="s">
        <v>2657</v>
      </c>
      <c r="H88" s="35"/>
      <c r="I88" s="35" t="s">
        <v>3075</v>
      </c>
      <c r="J88" s="35" t="s">
        <v>3075</v>
      </c>
      <c r="K88" s="35" t="s">
        <v>1417</v>
      </c>
      <c r="L88" s="35" t="s">
        <v>2361</v>
      </c>
      <c r="M88" s="35" t="s">
        <v>3076</v>
      </c>
      <c r="N88" s="35" t="s">
        <v>3077</v>
      </c>
      <c r="O88" s="35" t="s">
        <v>2739</v>
      </c>
      <c r="P88" s="35" t="s">
        <v>3078</v>
      </c>
      <c r="Q88" s="38"/>
      <c r="R88" s="36">
        <v>46337</v>
      </c>
      <c r="S88" s="35" t="s">
        <v>3068</v>
      </c>
    </row>
    <row r="89" spans="1:19" ht="15.6">
      <c r="A89" s="34">
        <v>88</v>
      </c>
      <c r="B89" s="35">
        <v>2023</v>
      </c>
      <c r="C89" s="35">
        <v>2023</v>
      </c>
      <c r="D89" s="35" t="s">
        <v>3079</v>
      </c>
      <c r="E89" s="36">
        <v>35923</v>
      </c>
      <c r="F89" s="35" t="s">
        <v>2665</v>
      </c>
      <c r="G89" s="35" t="s">
        <v>2657</v>
      </c>
      <c r="H89" s="35"/>
      <c r="I89" s="35" t="s">
        <v>3080</v>
      </c>
      <c r="J89" s="35" t="s">
        <v>3080</v>
      </c>
      <c r="K89" s="35" t="s">
        <v>1352</v>
      </c>
      <c r="L89" s="35" t="s">
        <v>1975</v>
      </c>
      <c r="M89" s="35" t="s">
        <v>3070</v>
      </c>
      <c r="N89" s="35" t="s">
        <v>3081</v>
      </c>
      <c r="O89" s="35" t="s">
        <v>2739</v>
      </c>
      <c r="P89" s="35" t="s">
        <v>3082</v>
      </c>
      <c r="Q89" s="38"/>
      <c r="R89" s="36">
        <v>46337</v>
      </c>
      <c r="S89" s="35" t="s">
        <v>3068</v>
      </c>
    </row>
    <row r="90" spans="1:19" ht="15.6">
      <c r="A90" s="34">
        <v>89</v>
      </c>
      <c r="B90" s="35">
        <v>2023</v>
      </c>
      <c r="C90" s="35">
        <v>2023</v>
      </c>
      <c r="D90" s="35" t="s">
        <v>3083</v>
      </c>
      <c r="E90" s="36">
        <v>37482</v>
      </c>
      <c r="F90" s="35" t="s">
        <v>2665</v>
      </c>
      <c r="G90" s="35" t="s">
        <v>2657</v>
      </c>
      <c r="H90" s="35"/>
      <c r="I90" s="35" t="s">
        <v>2934</v>
      </c>
      <c r="J90" s="35" t="s">
        <v>2934</v>
      </c>
      <c r="K90" s="35" t="s">
        <v>1393</v>
      </c>
      <c r="L90" s="35" t="s">
        <v>2158</v>
      </c>
      <c r="M90" s="35" t="s">
        <v>3070</v>
      </c>
      <c r="N90" s="35" t="s">
        <v>3084</v>
      </c>
      <c r="O90" s="35" t="s">
        <v>2739</v>
      </c>
      <c r="P90" s="35" t="s">
        <v>3085</v>
      </c>
      <c r="Q90" s="38"/>
      <c r="R90" s="36">
        <v>46337</v>
      </c>
      <c r="S90" s="35" t="s">
        <v>3068</v>
      </c>
    </row>
    <row r="91" spans="1:19" ht="15.6">
      <c r="A91" s="34">
        <v>90</v>
      </c>
      <c r="B91" s="35">
        <v>2023</v>
      </c>
      <c r="C91" s="35">
        <v>2023</v>
      </c>
      <c r="D91" s="35" t="s">
        <v>3086</v>
      </c>
      <c r="E91" s="36">
        <v>38150</v>
      </c>
      <c r="F91" s="35" t="s">
        <v>2665</v>
      </c>
      <c r="G91" s="35" t="s">
        <v>2657</v>
      </c>
      <c r="H91" s="35"/>
      <c r="I91" s="35" t="s">
        <v>2972</v>
      </c>
      <c r="J91" s="35" t="s">
        <v>2972</v>
      </c>
      <c r="K91" s="35" t="s">
        <v>1417</v>
      </c>
      <c r="L91" s="35" t="s">
        <v>2361</v>
      </c>
      <c r="M91" s="35" t="s">
        <v>3087</v>
      </c>
      <c r="N91" s="35" t="s">
        <v>3088</v>
      </c>
      <c r="O91" s="35" t="s">
        <v>2739</v>
      </c>
      <c r="P91" s="35" t="s">
        <v>3089</v>
      </c>
      <c r="Q91" s="38">
        <v>45902</v>
      </c>
      <c r="R91" s="38" t="s">
        <v>3005</v>
      </c>
      <c r="S91" s="35" t="s">
        <v>3006</v>
      </c>
    </row>
    <row r="92" spans="1:19" ht="15.6">
      <c r="A92" s="34">
        <v>91</v>
      </c>
      <c r="B92" s="35">
        <v>2023</v>
      </c>
      <c r="C92" s="35">
        <v>2023</v>
      </c>
      <c r="D92" s="35" t="s">
        <v>3090</v>
      </c>
      <c r="E92" s="35" t="s">
        <v>3091</v>
      </c>
      <c r="F92" s="35" t="s">
        <v>2656</v>
      </c>
      <c r="G92" s="35" t="s">
        <v>2657</v>
      </c>
      <c r="H92" s="35"/>
      <c r="I92" s="35" t="s">
        <v>3092</v>
      </c>
      <c r="J92" s="35" t="s">
        <v>3092</v>
      </c>
      <c r="K92" s="35" t="s">
        <v>1370</v>
      </c>
      <c r="L92" s="35" t="s">
        <v>2606</v>
      </c>
      <c r="M92" s="35" t="s">
        <v>3076</v>
      </c>
      <c r="N92" s="35" t="s">
        <v>3093</v>
      </c>
      <c r="O92" s="35" t="s">
        <v>2739</v>
      </c>
      <c r="P92" s="35" t="s">
        <v>3094</v>
      </c>
      <c r="Q92" s="38">
        <v>44915</v>
      </c>
      <c r="R92" s="36">
        <v>45994</v>
      </c>
      <c r="S92" s="35" t="s">
        <v>3095</v>
      </c>
    </row>
    <row r="93" spans="1:19" ht="15.6">
      <c r="A93" s="34">
        <v>92</v>
      </c>
      <c r="B93" s="35">
        <v>2023</v>
      </c>
      <c r="C93" s="35">
        <v>2023</v>
      </c>
      <c r="D93" s="35" t="s">
        <v>3096</v>
      </c>
      <c r="E93" s="38">
        <v>38272</v>
      </c>
      <c r="F93" s="35" t="s">
        <v>2656</v>
      </c>
      <c r="G93" s="35" t="s">
        <v>2657</v>
      </c>
      <c r="H93" s="35"/>
      <c r="I93" s="35" t="s">
        <v>3000</v>
      </c>
      <c r="J93" s="35" t="s">
        <v>3000</v>
      </c>
      <c r="K93" s="35" t="s">
        <v>1329</v>
      </c>
      <c r="L93" s="35" t="s">
        <v>1328</v>
      </c>
      <c r="M93" s="35" t="s">
        <v>3097</v>
      </c>
      <c r="N93" s="35" t="s">
        <v>3098</v>
      </c>
      <c r="O93" s="35" t="s">
        <v>2739</v>
      </c>
      <c r="P93" s="35" t="s">
        <v>3099</v>
      </c>
      <c r="Q93" s="38">
        <v>45786</v>
      </c>
      <c r="R93" s="40" t="s">
        <v>2874</v>
      </c>
      <c r="S93" s="35" t="s">
        <v>3100</v>
      </c>
    </row>
    <row r="94" spans="1:19" ht="15.6">
      <c r="A94" s="34">
        <v>93</v>
      </c>
      <c r="B94" s="35">
        <v>2023</v>
      </c>
      <c r="C94" s="35">
        <v>2023</v>
      </c>
      <c r="D94" s="35" t="s">
        <v>3101</v>
      </c>
      <c r="E94" s="38">
        <v>37758</v>
      </c>
      <c r="F94" s="35" t="s">
        <v>2656</v>
      </c>
      <c r="G94" s="35" t="s">
        <v>2657</v>
      </c>
      <c r="H94" s="35"/>
      <c r="I94" s="35" t="s">
        <v>3000</v>
      </c>
      <c r="J94" s="35" t="s">
        <v>3000</v>
      </c>
      <c r="K94" s="35" t="s">
        <v>1329</v>
      </c>
      <c r="L94" s="35" t="s">
        <v>1328</v>
      </c>
      <c r="M94" s="35" t="s">
        <v>3102</v>
      </c>
      <c r="N94" s="35" t="s">
        <v>3103</v>
      </c>
      <c r="O94" s="35" t="s">
        <v>2739</v>
      </c>
      <c r="P94" s="35" t="s">
        <v>3104</v>
      </c>
      <c r="Q94" s="38"/>
      <c r="R94" s="36">
        <v>46337</v>
      </c>
      <c r="S94" s="35" t="s">
        <v>3068</v>
      </c>
    </row>
    <row r="95" spans="1:19" ht="15.6">
      <c r="A95" s="34">
        <v>94</v>
      </c>
      <c r="B95" s="35">
        <v>2023</v>
      </c>
      <c r="C95" s="35">
        <v>2023</v>
      </c>
      <c r="D95" s="35" t="s">
        <v>3105</v>
      </c>
      <c r="E95" s="35" t="s">
        <v>3106</v>
      </c>
      <c r="F95" s="35" t="s">
        <v>2665</v>
      </c>
      <c r="G95" s="35" t="s">
        <v>2657</v>
      </c>
      <c r="H95" s="35"/>
      <c r="I95" s="35" t="s">
        <v>2941</v>
      </c>
      <c r="J95" s="35" t="s">
        <v>2941</v>
      </c>
      <c r="K95" s="35" t="s">
        <v>1329</v>
      </c>
      <c r="L95" s="35" t="s">
        <v>1328</v>
      </c>
      <c r="M95" s="35" t="s">
        <v>3107</v>
      </c>
      <c r="N95" s="35" t="s">
        <v>3108</v>
      </c>
      <c r="O95" s="35" t="s">
        <v>2739</v>
      </c>
      <c r="P95" s="35" t="s">
        <v>3109</v>
      </c>
      <c r="Q95" s="38"/>
      <c r="R95" s="36">
        <v>46337</v>
      </c>
      <c r="S95" s="35" t="s">
        <v>3068</v>
      </c>
    </row>
    <row r="96" spans="1:19" ht="15.6">
      <c r="A96" s="34">
        <v>95</v>
      </c>
      <c r="B96" s="35">
        <v>2023</v>
      </c>
      <c r="C96" s="35">
        <v>2023</v>
      </c>
      <c r="D96" s="35" t="s">
        <v>3110</v>
      </c>
      <c r="E96" s="38">
        <v>38388</v>
      </c>
      <c r="F96" s="35" t="s">
        <v>2665</v>
      </c>
      <c r="G96" s="35" t="s">
        <v>2657</v>
      </c>
      <c r="H96" s="35"/>
      <c r="I96" s="35" t="s">
        <v>2941</v>
      </c>
      <c r="J96" s="35" t="s">
        <v>2941</v>
      </c>
      <c r="K96" s="35" t="s">
        <v>1329</v>
      </c>
      <c r="L96" s="35" t="s">
        <v>1328</v>
      </c>
      <c r="M96" s="35" t="s">
        <v>3107</v>
      </c>
      <c r="N96" s="35" t="s">
        <v>3111</v>
      </c>
      <c r="O96" s="35" t="s">
        <v>2739</v>
      </c>
      <c r="P96" s="35" t="s">
        <v>3112</v>
      </c>
      <c r="Q96" s="38"/>
      <c r="R96" s="36">
        <v>46337</v>
      </c>
      <c r="S96" s="35" t="s">
        <v>3068</v>
      </c>
    </row>
    <row r="97" spans="1:19" ht="15.6">
      <c r="A97" s="34">
        <v>96</v>
      </c>
      <c r="B97" s="35">
        <v>2024</v>
      </c>
      <c r="C97" s="35">
        <v>2024</v>
      </c>
      <c r="D97" s="35" t="s">
        <v>3113</v>
      </c>
      <c r="E97" s="38">
        <v>38670</v>
      </c>
      <c r="F97" s="35" t="s">
        <v>2656</v>
      </c>
      <c r="G97" s="35" t="s">
        <v>2657</v>
      </c>
      <c r="H97" s="35"/>
      <c r="I97" s="35" t="s">
        <v>2941</v>
      </c>
      <c r="J97" s="35" t="s">
        <v>2941</v>
      </c>
      <c r="K97" s="35" t="s">
        <v>1329</v>
      </c>
      <c r="L97" s="35" t="s">
        <v>1328</v>
      </c>
      <c r="M97" s="35" t="s">
        <v>2926</v>
      </c>
      <c r="N97" s="35" t="s">
        <v>3114</v>
      </c>
      <c r="O97" s="35" t="s">
        <v>2812</v>
      </c>
      <c r="P97" s="35" t="s">
        <v>3115</v>
      </c>
      <c r="Q97" s="38"/>
      <c r="R97" s="36" t="s">
        <v>3116</v>
      </c>
      <c r="S97" s="35" t="s">
        <v>3117</v>
      </c>
    </row>
    <row r="98" spans="1:19" ht="15.6">
      <c r="A98" s="34">
        <v>97</v>
      </c>
      <c r="B98" s="35">
        <v>2024</v>
      </c>
      <c r="C98" s="35">
        <v>2024</v>
      </c>
      <c r="D98" s="35" t="s">
        <v>3118</v>
      </c>
      <c r="E98" s="38">
        <v>38387</v>
      </c>
      <c r="F98" s="35" t="s">
        <v>2656</v>
      </c>
      <c r="G98" s="35" t="s">
        <v>2657</v>
      </c>
      <c r="H98" s="35"/>
      <c r="I98" s="35" t="s">
        <v>2941</v>
      </c>
      <c r="J98" s="35" t="s">
        <v>2941</v>
      </c>
      <c r="K98" s="35" t="s">
        <v>1329</v>
      </c>
      <c r="L98" s="35" t="s">
        <v>1328</v>
      </c>
      <c r="M98" s="35" t="s">
        <v>2926</v>
      </c>
      <c r="N98" s="35" t="s">
        <v>3119</v>
      </c>
      <c r="O98" s="35" t="s">
        <v>2812</v>
      </c>
      <c r="P98" s="35" t="s">
        <v>3120</v>
      </c>
      <c r="Q98" s="38">
        <v>45756</v>
      </c>
      <c r="R98" s="36" t="s">
        <v>3116</v>
      </c>
      <c r="S98" s="35" t="s">
        <v>3117</v>
      </c>
    </row>
    <row r="99" spans="1:19" ht="15.6">
      <c r="A99" s="34">
        <v>98</v>
      </c>
      <c r="B99" s="35">
        <v>2024</v>
      </c>
      <c r="C99" s="35">
        <v>2024</v>
      </c>
      <c r="D99" s="35" t="s">
        <v>3121</v>
      </c>
      <c r="E99" s="38">
        <v>38523</v>
      </c>
      <c r="F99" s="35" t="s">
        <v>2656</v>
      </c>
      <c r="G99" s="35" t="s">
        <v>2657</v>
      </c>
      <c r="H99" s="35"/>
      <c r="I99" s="35" t="s">
        <v>2941</v>
      </c>
      <c r="J99" s="35" t="s">
        <v>2941</v>
      </c>
      <c r="K99" s="35" t="s">
        <v>1329</v>
      </c>
      <c r="L99" s="35" t="s">
        <v>1328</v>
      </c>
      <c r="M99" s="35" t="s">
        <v>2926</v>
      </c>
      <c r="N99" s="35" t="s">
        <v>3122</v>
      </c>
      <c r="O99" s="35" t="s">
        <v>2812</v>
      </c>
      <c r="P99" s="35" t="s">
        <v>3123</v>
      </c>
      <c r="Q99" s="38" t="s">
        <v>3124</v>
      </c>
      <c r="R99" s="36" t="s">
        <v>3116</v>
      </c>
      <c r="S99" s="35" t="s">
        <v>3117</v>
      </c>
    </row>
    <row r="100" spans="1:19" ht="15.6">
      <c r="A100" s="34">
        <v>99</v>
      </c>
      <c r="B100" s="35">
        <v>2024</v>
      </c>
      <c r="C100" s="35">
        <v>2024</v>
      </c>
      <c r="D100" s="35" t="s">
        <v>3125</v>
      </c>
      <c r="E100" s="38">
        <v>38297</v>
      </c>
      <c r="F100" s="35" t="s">
        <v>2665</v>
      </c>
      <c r="G100" s="35" t="s">
        <v>2657</v>
      </c>
      <c r="H100" s="35"/>
      <c r="I100" s="35" t="s">
        <v>2941</v>
      </c>
      <c r="J100" s="35" t="s">
        <v>2941</v>
      </c>
      <c r="K100" s="35" t="s">
        <v>1329</v>
      </c>
      <c r="L100" s="35" t="s">
        <v>1328</v>
      </c>
      <c r="M100" s="35" t="s">
        <v>2926</v>
      </c>
      <c r="N100" s="35" t="s">
        <v>3126</v>
      </c>
      <c r="O100" s="35" t="s">
        <v>2812</v>
      </c>
      <c r="P100" s="35" t="s">
        <v>3127</v>
      </c>
      <c r="Q100" s="38" t="s">
        <v>3124</v>
      </c>
      <c r="R100" s="36" t="s">
        <v>3116</v>
      </c>
      <c r="S100" s="35" t="s">
        <v>3117</v>
      </c>
    </row>
    <row r="101" spans="1:19" ht="15.6">
      <c r="A101" s="34">
        <v>100</v>
      </c>
      <c r="B101" s="35">
        <v>2024</v>
      </c>
      <c r="C101" s="35">
        <v>2024</v>
      </c>
      <c r="D101" s="35" t="s">
        <v>3128</v>
      </c>
      <c r="E101" s="38">
        <v>38782</v>
      </c>
      <c r="F101" s="35" t="s">
        <v>2665</v>
      </c>
      <c r="G101" s="35" t="s">
        <v>2657</v>
      </c>
      <c r="H101" s="35"/>
      <c r="I101" s="35" t="s">
        <v>2941</v>
      </c>
      <c r="J101" s="35" t="s">
        <v>2941</v>
      </c>
      <c r="K101" s="35" t="s">
        <v>1329</v>
      </c>
      <c r="L101" s="35" t="s">
        <v>1328</v>
      </c>
      <c r="M101" s="35" t="s">
        <v>2926</v>
      </c>
      <c r="N101" s="35" t="s">
        <v>3129</v>
      </c>
      <c r="O101" s="35" t="s">
        <v>2812</v>
      </c>
      <c r="P101" s="35" t="s">
        <v>3130</v>
      </c>
      <c r="Q101" s="38" t="s">
        <v>3131</v>
      </c>
      <c r="R101" s="36" t="s">
        <v>3116</v>
      </c>
      <c r="S101" s="35" t="s">
        <v>3117</v>
      </c>
    </row>
    <row r="102" spans="1:19" ht="15.6">
      <c r="A102" s="34">
        <v>101</v>
      </c>
      <c r="B102" s="35">
        <v>2024</v>
      </c>
      <c r="C102" s="35">
        <v>2024</v>
      </c>
      <c r="D102" s="35" t="s">
        <v>3132</v>
      </c>
      <c r="E102" s="38">
        <v>38680</v>
      </c>
      <c r="F102" s="35" t="s">
        <v>2665</v>
      </c>
      <c r="G102" s="35" t="s">
        <v>2657</v>
      </c>
      <c r="H102" s="35"/>
      <c r="I102" s="35" t="s">
        <v>2941</v>
      </c>
      <c r="J102" s="35" t="s">
        <v>2941</v>
      </c>
      <c r="K102" s="35" t="s">
        <v>1329</v>
      </c>
      <c r="L102" s="35" t="s">
        <v>1328</v>
      </c>
      <c r="M102" s="35" t="s">
        <v>2926</v>
      </c>
      <c r="N102" s="35" t="s">
        <v>3133</v>
      </c>
      <c r="O102" s="35" t="s">
        <v>2812</v>
      </c>
      <c r="P102" s="35" t="s">
        <v>3134</v>
      </c>
      <c r="Q102" s="38" t="s">
        <v>3135</v>
      </c>
      <c r="R102" s="36" t="s">
        <v>3116</v>
      </c>
      <c r="S102" s="35" t="s">
        <v>3117</v>
      </c>
    </row>
    <row r="103" spans="1:19" ht="15.6">
      <c r="A103" s="34">
        <v>102</v>
      </c>
      <c r="B103" s="35">
        <v>2024</v>
      </c>
      <c r="C103" s="35">
        <v>2024</v>
      </c>
      <c r="D103" s="35" t="s">
        <v>3136</v>
      </c>
      <c r="E103" s="38">
        <v>38049</v>
      </c>
      <c r="F103" s="35" t="s">
        <v>2656</v>
      </c>
      <c r="G103" s="35" t="s">
        <v>2657</v>
      </c>
      <c r="H103" s="35"/>
      <c r="I103" s="35" t="s">
        <v>2941</v>
      </c>
      <c r="J103" s="35" t="s">
        <v>2941</v>
      </c>
      <c r="K103" s="35" t="s">
        <v>1329</v>
      </c>
      <c r="L103" s="35" t="s">
        <v>1328</v>
      </c>
      <c r="M103" s="35" t="s">
        <v>2926</v>
      </c>
      <c r="N103" s="35" t="s">
        <v>3137</v>
      </c>
      <c r="O103" s="35" t="s">
        <v>2812</v>
      </c>
      <c r="P103" s="35" t="s">
        <v>3138</v>
      </c>
      <c r="Q103" s="38" t="s">
        <v>3124</v>
      </c>
      <c r="R103" s="36" t="s">
        <v>3116</v>
      </c>
      <c r="S103" s="35" t="s">
        <v>3117</v>
      </c>
    </row>
    <row r="104" spans="1:19" ht="15.6">
      <c r="A104" s="34">
        <v>103</v>
      </c>
      <c r="B104" s="35">
        <v>2024</v>
      </c>
      <c r="C104" s="35">
        <v>2024</v>
      </c>
      <c r="D104" s="35" t="s">
        <v>3139</v>
      </c>
      <c r="E104" s="38">
        <v>38535</v>
      </c>
      <c r="F104" s="35" t="s">
        <v>2656</v>
      </c>
      <c r="G104" s="35" t="s">
        <v>2657</v>
      </c>
      <c r="H104" s="35"/>
      <c r="I104" s="35" t="s">
        <v>2941</v>
      </c>
      <c r="J104" s="35" t="s">
        <v>2941</v>
      </c>
      <c r="K104" s="35" t="s">
        <v>1329</v>
      </c>
      <c r="L104" s="35" t="s">
        <v>1328</v>
      </c>
      <c r="M104" s="35" t="s">
        <v>2669</v>
      </c>
      <c r="N104" s="35" t="s">
        <v>3140</v>
      </c>
      <c r="O104" s="35" t="s">
        <v>2812</v>
      </c>
      <c r="P104" s="35" t="s">
        <v>3141</v>
      </c>
      <c r="Q104" s="38" t="s">
        <v>3135</v>
      </c>
      <c r="R104" s="36" t="s">
        <v>3116</v>
      </c>
      <c r="S104" s="35" t="s">
        <v>3117</v>
      </c>
    </row>
    <row r="105" spans="1:19" ht="15.6">
      <c r="A105" s="34">
        <v>104</v>
      </c>
      <c r="B105" s="35">
        <v>2024</v>
      </c>
      <c r="C105" s="35">
        <v>2024</v>
      </c>
      <c r="D105" s="35" t="s">
        <v>3142</v>
      </c>
      <c r="E105" s="38">
        <v>37943</v>
      </c>
      <c r="F105" s="35" t="s">
        <v>2665</v>
      </c>
      <c r="G105" s="35" t="s">
        <v>2657</v>
      </c>
      <c r="H105" s="35"/>
      <c r="I105" s="35" t="s">
        <v>2941</v>
      </c>
      <c r="J105" s="35" t="s">
        <v>2941</v>
      </c>
      <c r="K105" s="35" t="s">
        <v>1329</v>
      </c>
      <c r="L105" s="35" t="s">
        <v>1328</v>
      </c>
      <c r="M105" s="35" t="s">
        <v>2926</v>
      </c>
      <c r="N105" s="35" t="s">
        <v>3143</v>
      </c>
      <c r="O105" s="35" t="s">
        <v>2812</v>
      </c>
      <c r="P105" s="35" t="s">
        <v>3144</v>
      </c>
      <c r="Q105" s="38" t="s">
        <v>3135</v>
      </c>
      <c r="R105" s="36" t="s">
        <v>3116</v>
      </c>
      <c r="S105" s="35" t="s">
        <v>3117</v>
      </c>
    </row>
    <row r="106" spans="1:19" ht="15.6">
      <c r="A106" s="34">
        <v>105</v>
      </c>
      <c r="B106" s="35">
        <v>2024</v>
      </c>
      <c r="C106" s="35">
        <v>2024</v>
      </c>
      <c r="D106" s="35" t="s">
        <v>3145</v>
      </c>
      <c r="E106" s="38">
        <v>38700</v>
      </c>
      <c r="F106" s="35" t="s">
        <v>2665</v>
      </c>
      <c r="G106" s="35" t="s">
        <v>2657</v>
      </c>
      <c r="H106" s="35"/>
      <c r="I106" s="35" t="s">
        <v>2941</v>
      </c>
      <c r="J106" s="35" t="s">
        <v>2941</v>
      </c>
      <c r="K106" s="35" t="s">
        <v>1329</v>
      </c>
      <c r="L106" s="35" t="s">
        <v>1328</v>
      </c>
      <c r="M106" s="35" t="s">
        <v>2926</v>
      </c>
      <c r="N106" s="35" t="s">
        <v>3146</v>
      </c>
      <c r="O106" s="35" t="s">
        <v>2812</v>
      </c>
      <c r="P106" s="35" t="s">
        <v>3147</v>
      </c>
      <c r="Q106" s="38" t="s">
        <v>3148</v>
      </c>
      <c r="R106" s="36" t="s">
        <v>3116</v>
      </c>
      <c r="S106" s="35" t="s">
        <v>3117</v>
      </c>
    </row>
    <row r="107" spans="1:19" ht="15.6">
      <c r="A107" s="34">
        <v>106</v>
      </c>
      <c r="B107" s="35">
        <v>2024</v>
      </c>
      <c r="C107" s="35">
        <v>2024</v>
      </c>
      <c r="D107" s="35" t="s">
        <v>3149</v>
      </c>
      <c r="E107" s="38">
        <v>38651</v>
      </c>
      <c r="F107" s="35" t="s">
        <v>2656</v>
      </c>
      <c r="G107" s="35" t="s">
        <v>2657</v>
      </c>
      <c r="H107" s="35"/>
      <c r="I107" s="35" t="s">
        <v>2941</v>
      </c>
      <c r="J107" s="35" t="s">
        <v>2941</v>
      </c>
      <c r="K107" s="35" t="s">
        <v>1329</v>
      </c>
      <c r="L107" s="35" t="s">
        <v>1328</v>
      </c>
      <c r="M107" s="35" t="s">
        <v>2926</v>
      </c>
      <c r="N107" s="35" t="s">
        <v>3150</v>
      </c>
      <c r="O107" s="35" t="s">
        <v>2812</v>
      </c>
      <c r="P107" s="35" t="s">
        <v>3151</v>
      </c>
      <c r="Q107" s="38">
        <v>45755</v>
      </c>
      <c r="R107" s="36" t="s">
        <v>3116</v>
      </c>
      <c r="S107" s="35" t="s">
        <v>3117</v>
      </c>
    </row>
    <row r="108" spans="1:19" ht="15.6">
      <c r="A108" s="34">
        <v>107</v>
      </c>
      <c r="B108" s="35">
        <v>2024</v>
      </c>
      <c r="C108" s="35">
        <v>2024</v>
      </c>
      <c r="D108" s="35" t="s">
        <v>3152</v>
      </c>
      <c r="E108" s="38">
        <v>38332</v>
      </c>
      <c r="F108" s="35" t="s">
        <v>2665</v>
      </c>
      <c r="G108" s="35" t="s">
        <v>2657</v>
      </c>
      <c r="H108" s="35"/>
      <c r="I108" s="35" t="s">
        <v>3153</v>
      </c>
      <c r="J108" s="35" t="s">
        <v>3153</v>
      </c>
      <c r="K108" s="35" t="s">
        <v>1437</v>
      </c>
      <c r="L108" s="35" t="s">
        <v>1478</v>
      </c>
      <c r="M108" s="35" t="s">
        <v>2926</v>
      </c>
      <c r="N108" s="35" t="s">
        <v>3154</v>
      </c>
      <c r="O108" s="35" t="s">
        <v>2812</v>
      </c>
      <c r="P108" s="35" t="s">
        <v>3155</v>
      </c>
      <c r="Q108" s="38" t="s">
        <v>3148</v>
      </c>
      <c r="R108" s="36" t="s">
        <v>3116</v>
      </c>
      <c r="S108" s="35" t="s">
        <v>3117</v>
      </c>
    </row>
    <row r="109" spans="1:19" ht="15.6">
      <c r="A109" s="34">
        <v>108</v>
      </c>
      <c r="B109" s="35">
        <v>2024</v>
      </c>
      <c r="C109" s="35">
        <v>2024</v>
      </c>
      <c r="D109" s="35" t="s">
        <v>3156</v>
      </c>
      <c r="E109" s="38">
        <v>38864</v>
      </c>
      <c r="F109" s="35" t="s">
        <v>2665</v>
      </c>
      <c r="G109" s="35" t="s">
        <v>2657</v>
      </c>
      <c r="H109" s="35"/>
      <c r="I109" s="35" t="s">
        <v>2972</v>
      </c>
      <c r="J109" s="35" t="s">
        <v>2972</v>
      </c>
      <c r="K109" s="35" t="s">
        <v>1417</v>
      </c>
      <c r="L109" s="35" t="s">
        <v>2361</v>
      </c>
      <c r="M109" s="35" t="s">
        <v>2926</v>
      </c>
      <c r="N109" s="35" t="s">
        <v>3157</v>
      </c>
      <c r="O109" s="35" t="s">
        <v>2812</v>
      </c>
      <c r="P109" s="35" t="s">
        <v>3158</v>
      </c>
      <c r="Q109" s="38">
        <v>45908</v>
      </c>
      <c r="R109" s="36" t="s">
        <v>3116</v>
      </c>
      <c r="S109" s="35" t="s">
        <v>3117</v>
      </c>
    </row>
    <row r="110" spans="1:19" ht="15.6">
      <c r="A110" s="34">
        <v>109</v>
      </c>
      <c r="B110" s="35">
        <v>2024</v>
      </c>
      <c r="C110" s="35">
        <v>2024</v>
      </c>
      <c r="D110" s="35" t="s">
        <v>3159</v>
      </c>
      <c r="E110" s="38">
        <v>38832</v>
      </c>
      <c r="F110" s="35" t="s">
        <v>2665</v>
      </c>
      <c r="G110" s="35" t="s">
        <v>2657</v>
      </c>
      <c r="H110" s="35"/>
      <c r="I110" s="35" t="s">
        <v>3160</v>
      </c>
      <c r="J110" s="35" t="s">
        <v>3160</v>
      </c>
      <c r="K110" s="35" t="s">
        <v>1329</v>
      </c>
      <c r="L110" s="35" t="s">
        <v>1328</v>
      </c>
      <c r="M110" s="35" t="s">
        <v>2926</v>
      </c>
      <c r="N110" s="35" t="s">
        <v>3161</v>
      </c>
      <c r="O110" s="35" t="s">
        <v>2812</v>
      </c>
      <c r="P110" s="35" t="s">
        <v>3162</v>
      </c>
      <c r="Q110" s="38" t="s">
        <v>3124</v>
      </c>
      <c r="R110" s="36" t="s">
        <v>3116</v>
      </c>
      <c r="S110" s="35" t="s">
        <v>3117</v>
      </c>
    </row>
    <row r="111" spans="1:19" ht="15.6">
      <c r="A111" s="34">
        <v>110</v>
      </c>
      <c r="B111" s="35">
        <v>2024</v>
      </c>
      <c r="C111" s="35">
        <v>2024</v>
      </c>
      <c r="D111" s="35" t="s">
        <v>3163</v>
      </c>
      <c r="E111" s="38">
        <v>38141</v>
      </c>
      <c r="F111" s="35" t="s">
        <v>2665</v>
      </c>
      <c r="G111" s="35" t="s">
        <v>2657</v>
      </c>
      <c r="H111" s="35"/>
      <c r="I111" s="35" t="s">
        <v>2916</v>
      </c>
      <c r="J111" s="35" t="s">
        <v>2916</v>
      </c>
      <c r="K111" s="35" t="s">
        <v>1512</v>
      </c>
      <c r="L111" s="35" t="s">
        <v>1939</v>
      </c>
      <c r="M111" s="35" t="s">
        <v>2926</v>
      </c>
      <c r="N111" s="35" t="s">
        <v>3164</v>
      </c>
      <c r="O111" s="35" t="s">
        <v>2812</v>
      </c>
      <c r="P111" s="35" t="s">
        <v>3165</v>
      </c>
      <c r="Q111" s="38" t="s">
        <v>3148</v>
      </c>
      <c r="R111" s="36" t="s">
        <v>3116</v>
      </c>
      <c r="S111" s="35" t="s">
        <v>3117</v>
      </c>
    </row>
    <row r="112" spans="1:19" ht="15.6">
      <c r="A112" s="34">
        <v>111</v>
      </c>
      <c r="B112" s="35">
        <v>2024</v>
      </c>
      <c r="C112" s="35">
        <v>2024</v>
      </c>
      <c r="D112" s="35" t="s">
        <v>3166</v>
      </c>
      <c r="E112" s="38">
        <v>38081</v>
      </c>
      <c r="F112" s="35" t="s">
        <v>2656</v>
      </c>
      <c r="G112" s="35" t="s">
        <v>2657</v>
      </c>
      <c r="H112" s="35"/>
      <c r="I112" s="35" t="s">
        <v>2941</v>
      </c>
      <c r="J112" s="35" t="s">
        <v>2941</v>
      </c>
      <c r="K112" s="35" t="s">
        <v>1329</v>
      </c>
      <c r="L112" s="35" t="s">
        <v>1328</v>
      </c>
      <c r="M112" s="35" t="s">
        <v>2926</v>
      </c>
      <c r="N112" s="35" t="s">
        <v>3167</v>
      </c>
      <c r="O112" s="35" t="s">
        <v>2812</v>
      </c>
      <c r="P112" s="35" t="s">
        <v>3168</v>
      </c>
      <c r="Q112" s="38" t="s">
        <v>3131</v>
      </c>
      <c r="R112" s="36" t="s">
        <v>3169</v>
      </c>
      <c r="S112" s="35" t="s">
        <v>3117</v>
      </c>
    </row>
    <row r="113" spans="1:19" ht="15.6">
      <c r="A113" s="34">
        <v>112</v>
      </c>
      <c r="B113" s="35">
        <v>2024</v>
      </c>
      <c r="C113" s="35">
        <v>2024</v>
      </c>
      <c r="D113" s="35" t="s">
        <v>3170</v>
      </c>
      <c r="E113" s="38">
        <v>37754</v>
      </c>
      <c r="F113" s="35" t="s">
        <v>2656</v>
      </c>
      <c r="G113" s="35" t="s">
        <v>2657</v>
      </c>
      <c r="H113" s="35"/>
      <c r="I113" s="35" t="s">
        <v>2941</v>
      </c>
      <c r="J113" s="35" t="s">
        <v>2941</v>
      </c>
      <c r="K113" s="35" t="s">
        <v>1329</v>
      </c>
      <c r="L113" s="35" t="s">
        <v>1328</v>
      </c>
      <c r="M113" s="35" t="s">
        <v>2926</v>
      </c>
      <c r="N113" s="35" t="s">
        <v>3171</v>
      </c>
      <c r="O113" s="35" t="s">
        <v>2812</v>
      </c>
      <c r="P113" s="35" t="s">
        <v>3172</v>
      </c>
      <c r="Q113" s="38">
        <v>45246</v>
      </c>
      <c r="R113" s="36">
        <v>45958</v>
      </c>
      <c r="S113" s="35" t="s">
        <v>3117</v>
      </c>
    </row>
    <row r="114" spans="1:19" ht="15.6">
      <c r="A114" s="34">
        <v>113</v>
      </c>
      <c r="B114" s="35">
        <v>2024</v>
      </c>
      <c r="C114" s="35">
        <v>2024</v>
      </c>
      <c r="D114" s="35" t="s">
        <v>3173</v>
      </c>
      <c r="E114" s="38">
        <v>38528</v>
      </c>
      <c r="F114" s="35" t="s">
        <v>2656</v>
      </c>
      <c r="G114" s="35" t="s">
        <v>2657</v>
      </c>
      <c r="H114" s="35"/>
      <c r="I114" s="35" t="s">
        <v>2934</v>
      </c>
      <c r="J114" s="35" t="s">
        <v>2934</v>
      </c>
      <c r="K114" s="35" t="s">
        <v>1393</v>
      </c>
      <c r="L114" s="35" t="s">
        <v>2158</v>
      </c>
      <c r="M114" s="35" t="s">
        <v>2685</v>
      </c>
      <c r="N114" s="35" t="s">
        <v>3174</v>
      </c>
      <c r="O114" s="35" t="s">
        <v>2812</v>
      </c>
      <c r="P114" s="38" t="s">
        <v>3175</v>
      </c>
      <c r="Q114" s="35" t="s">
        <v>3176</v>
      </c>
      <c r="R114" s="42" t="s">
        <v>3177</v>
      </c>
      <c r="S114" s="35" t="s">
        <v>3117</v>
      </c>
    </row>
    <row r="115" spans="1:19" ht="15.6">
      <c r="A115" s="34">
        <v>114</v>
      </c>
      <c r="B115" s="35">
        <v>2024</v>
      </c>
      <c r="C115" s="35">
        <v>2024</v>
      </c>
      <c r="D115" s="35" t="s">
        <v>3178</v>
      </c>
      <c r="E115" s="38">
        <v>37348</v>
      </c>
      <c r="F115" s="35" t="s">
        <v>2665</v>
      </c>
      <c r="G115" s="35" t="s">
        <v>2657</v>
      </c>
      <c r="H115" s="35"/>
      <c r="I115" s="35" t="s">
        <v>2916</v>
      </c>
      <c r="J115" s="35" t="s">
        <v>2916</v>
      </c>
      <c r="K115" s="35" t="s">
        <v>1512</v>
      </c>
      <c r="L115" s="35" t="s">
        <v>1939</v>
      </c>
      <c r="M115" s="35" t="s">
        <v>2685</v>
      </c>
      <c r="N115" s="35" t="s">
        <v>3179</v>
      </c>
      <c r="O115" s="35" t="s">
        <v>2812</v>
      </c>
      <c r="P115" s="38" t="s">
        <v>3180</v>
      </c>
      <c r="Q115" s="35" t="s">
        <v>3176</v>
      </c>
      <c r="R115" s="42" t="s">
        <v>3177</v>
      </c>
      <c r="S115" s="35" t="s">
        <v>3117</v>
      </c>
    </row>
    <row r="116" spans="1:19" ht="15.6">
      <c r="A116" s="34">
        <v>115</v>
      </c>
      <c r="B116" s="35">
        <v>2024</v>
      </c>
      <c r="C116" s="35">
        <v>2024</v>
      </c>
      <c r="D116" s="35" t="s">
        <v>3181</v>
      </c>
      <c r="E116" s="38">
        <v>38576</v>
      </c>
      <c r="F116" s="35" t="s">
        <v>2665</v>
      </c>
      <c r="G116" s="35" t="s">
        <v>2657</v>
      </c>
      <c r="H116" s="35"/>
      <c r="I116" s="35" t="s">
        <v>3182</v>
      </c>
      <c r="J116" s="35" t="s">
        <v>3182</v>
      </c>
      <c r="K116" s="35" t="s">
        <v>1352</v>
      </c>
      <c r="L116" s="35" t="s">
        <v>1975</v>
      </c>
      <c r="M116" s="35" t="s">
        <v>2685</v>
      </c>
      <c r="N116" s="35" t="s">
        <v>3183</v>
      </c>
      <c r="O116" s="35" t="s">
        <v>2812</v>
      </c>
      <c r="P116" s="38" t="s">
        <v>3184</v>
      </c>
      <c r="Q116" s="35" t="s">
        <v>3176</v>
      </c>
      <c r="R116" s="42" t="s">
        <v>3177</v>
      </c>
      <c r="S116" s="35" t="s">
        <v>3117</v>
      </c>
    </row>
    <row r="117" spans="1:19" ht="15.6">
      <c r="A117" s="34">
        <v>116</v>
      </c>
      <c r="B117" s="35">
        <v>2024</v>
      </c>
      <c r="C117" s="35">
        <v>2024</v>
      </c>
      <c r="D117" s="35" t="s">
        <v>3185</v>
      </c>
      <c r="E117" s="38">
        <v>38519</v>
      </c>
      <c r="F117" s="35" t="s">
        <v>2665</v>
      </c>
      <c r="G117" s="35" t="s">
        <v>2657</v>
      </c>
      <c r="H117" s="35"/>
      <c r="I117" s="35" t="s">
        <v>3000</v>
      </c>
      <c r="J117" s="35" t="s">
        <v>3000</v>
      </c>
      <c r="K117" s="35" t="s">
        <v>1329</v>
      </c>
      <c r="L117" s="35" t="s">
        <v>1328</v>
      </c>
      <c r="M117" s="35" t="s">
        <v>2685</v>
      </c>
      <c r="N117" s="35" t="s">
        <v>3186</v>
      </c>
      <c r="O117" s="35" t="s">
        <v>2812</v>
      </c>
      <c r="P117" s="38" t="s">
        <v>3187</v>
      </c>
      <c r="Q117" s="35" t="s">
        <v>3176</v>
      </c>
      <c r="R117" s="42" t="s">
        <v>3177</v>
      </c>
      <c r="S117" s="35" t="s">
        <v>3117</v>
      </c>
    </row>
    <row r="118" spans="1:19" ht="15.6">
      <c r="A118" s="34">
        <v>117</v>
      </c>
      <c r="B118" s="35">
        <v>2024</v>
      </c>
      <c r="C118" s="35">
        <v>2024</v>
      </c>
      <c r="D118" s="35" t="s">
        <v>3188</v>
      </c>
      <c r="E118" s="38">
        <v>38463</v>
      </c>
      <c r="F118" s="35" t="s">
        <v>2665</v>
      </c>
      <c r="G118" s="35" t="s">
        <v>2657</v>
      </c>
      <c r="H118" s="35"/>
      <c r="I118" s="35" t="s">
        <v>3092</v>
      </c>
      <c r="J118" s="35" t="s">
        <v>3092</v>
      </c>
      <c r="K118" s="35" t="s">
        <v>1370</v>
      </c>
      <c r="L118" s="35" t="s">
        <v>2606</v>
      </c>
      <c r="M118" s="35" t="s">
        <v>2685</v>
      </c>
      <c r="N118" s="35" t="s">
        <v>3189</v>
      </c>
      <c r="O118" s="35" t="s">
        <v>2812</v>
      </c>
      <c r="P118" s="38" t="s">
        <v>3190</v>
      </c>
      <c r="Q118" s="35" t="s">
        <v>3176</v>
      </c>
      <c r="R118" s="42" t="s">
        <v>3177</v>
      </c>
      <c r="S118" s="35" t="s">
        <v>3117</v>
      </c>
    </row>
    <row r="119" spans="1:19" ht="15.6">
      <c r="A119" s="34">
        <v>118</v>
      </c>
      <c r="B119" s="35">
        <v>2024</v>
      </c>
      <c r="C119" s="35">
        <v>2024</v>
      </c>
      <c r="D119" s="35" t="s">
        <v>3191</v>
      </c>
      <c r="E119" s="38">
        <v>38621</v>
      </c>
      <c r="F119" s="35" t="s">
        <v>2665</v>
      </c>
      <c r="G119" s="35" t="s">
        <v>2657</v>
      </c>
      <c r="H119" s="35"/>
      <c r="I119" s="35" t="s">
        <v>3192</v>
      </c>
      <c r="J119" s="35" t="s">
        <v>3192</v>
      </c>
      <c r="K119" s="35" t="s">
        <v>1393</v>
      </c>
      <c r="L119" s="35" t="s">
        <v>2158</v>
      </c>
      <c r="M119" s="35" t="s">
        <v>2685</v>
      </c>
      <c r="N119" s="35" t="s">
        <v>3193</v>
      </c>
      <c r="O119" s="35" t="s">
        <v>2812</v>
      </c>
      <c r="P119" s="38" t="s">
        <v>3194</v>
      </c>
      <c r="Q119" s="35" t="s">
        <v>3176</v>
      </c>
      <c r="R119" s="42" t="s">
        <v>3177</v>
      </c>
      <c r="S119" s="35" t="s">
        <v>3117</v>
      </c>
    </row>
    <row r="120" spans="1:19" ht="15.6">
      <c r="A120" s="34">
        <v>119</v>
      </c>
      <c r="B120" s="35">
        <v>2024</v>
      </c>
      <c r="C120" s="35">
        <v>2024</v>
      </c>
      <c r="D120" s="35" t="s">
        <v>3195</v>
      </c>
      <c r="E120" s="38">
        <v>38803</v>
      </c>
      <c r="F120" s="35" t="s">
        <v>2665</v>
      </c>
      <c r="G120" s="35" t="s">
        <v>2657</v>
      </c>
      <c r="H120" s="35"/>
      <c r="I120" s="35" t="s">
        <v>3000</v>
      </c>
      <c r="J120" s="35" t="s">
        <v>3000</v>
      </c>
      <c r="K120" s="35" t="s">
        <v>1329</v>
      </c>
      <c r="L120" s="35" t="s">
        <v>1328</v>
      </c>
      <c r="M120" s="35" t="s">
        <v>2685</v>
      </c>
      <c r="N120" s="35" t="s">
        <v>3196</v>
      </c>
      <c r="O120" s="35" t="s">
        <v>2812</v>
      </c>
      <c r="P120" s="38" t="s">
        <v>3197</v>
      </c>
      <c r="Q120" s="35" t="s">
        <v>3176</v>
      </c>
      <c r="R120" s="42" t="s">
        <v>3177</v>
      </c>
      <c r="S120" s="35" t="s">
        <v>3117</v>
      </c>
    </row>
    <row r="121" spans="1:19" ht="15.6">
      <c r="A121" s="34">
        <v>120</v>
      </c>
      <c r="B121" s="35">
        <v>2025</v>
      </c>
      <c r="C121" s="35">
        <v>2025</v>
      </c>
      <c r="D121" s="35" t="s">
        <v>3198</v>
      </c>
      <c r="E121" s="36" t="s">
        <v>3199</v>
      </c>
      <c r="F121" s="35" t="s">
        <v>2656</v>
      </c>
      <c r="G121" s="35" t="s">
        <v>3200</v>
      </c>
      <c r="H121" s="35"/>
      <c r="I121" s="35" t="s">
        <v>2966</v>
      </c>
      <c r="J121" s="35" t="s">
        <v>2966</v>
      </c>
      <c r="K121" s="35" t="s">
        <v>1512</v>
      </c>
      <c r="L121" s="35" t="s">
        <v>1939</v>
      </c>
      <c r="M121" s="35" t="s">
        <v>2669</v>
      </c>
      <c r="N121" s="35" t="s">
        <v>3201</v>
      </c>
      <c r="O121" s="35"/>
      <c r="P121" s="35"/>
      <c r="Q121" s="38"/>
      <c r="R121" s="36"/>
      <c r="S121" s="35"/>
    </row>
    <row r="122" spans="1:19" ht="15.6">
      <c r="A122" s="34">
        <v>121</v>
      </c>
      <c r="B122" s="35">
        <v>2025</v>
      </c>
      <c r="C122" s="35">
        <v>2025</v>
      </c>
      <c r="D122" s="35" t="s">
        <v>3202</v>
      </c>
      <c r="E122" s="40" t="s">
        <v>3203</v>
      </c>
      <c r="F122" s="35" t="s">
        <v>2656</v>
      </c>
      <c r="G122" s="35" t="s">
        <v>2915</v>
      </c>
      <c r="H122" s="35"/>
      <c r="I122" s="35" t="s">
        <v>2916</v>
      </c>
      <c r="J122" s="35" t="s">
        <v>2916</v>
      </c>
      <c r="K122" s="35" t="s">
        <v>1512</v>
      </c>
      <c r="L122" s="35" t="s">
        <v>1939</v>
      </c>
      <c r="M122" s="35" t="s">
        <v>2669</v>
      </c>
      <c r="N122" s="35" t="s">
        <v>3204</v>
      </c>
      <c r="O122" s="35" t="s">
        <v>3205</v>
      </c>
      <c r="P122" s="35" t="s">
        <v>3206</v>
      </c>
      <c r="Q122" s="38">
        <v>45135</v>
      </c>
      <c r="R122" s="36">
        <v>45940</v>
      </c>
      <c r="S122" s="35"/>
    </row>
    <row r="123" spans="1:19" ht="15.6">
      <c r="A123" s="34">
        <v>122</v>
      </c>
      <c r="B123" s="35">
        <v>2025</v>
      </c>
      <c r="C123" s="35">
        <v>2025</v>
      </c>
      <c r="D123" s="35" t="s">
        <v>3207</v>
      </c>
      <c r="E123" s="35" t="s">
        <v>3208</v>
      </c>
      <c r="F123" s="35" t="s">
        <v>2665</v>
      </c>
      <c r="G123" s="35" t="s">
        <v>3209</v>
      </c>
      <c r="H123" s="35"/>
      <c r="I123" s="35" t="s">
        <v>3092</v>
      </c>
      <c r="J123" s="35" t="s">
        <v>3092</v>
      </c>
      <c r="K123" s="35" t="s">
        <v>1370</v>
      </c>
      <c r="L123" s="35" t="s">
        <v>2606</v>
      </c>
      <c r="M123" s="35" t="s">
        <v>2669</v>
      </c>
      <c r="N123" s="35">
        <v>765267004</v>
      </c>
      <c r="O123" s="35" t="s">
        <v>3210</v>
      </c>
      <c r="P123" s="35" t="s">
        <v>3211</v>
      </c>
      <c r="Q123" s="35" t="s">
        <v>3212</v>
      </c>
      <c r="R123" s="36" t="s">
        <v>3213</v>
      </c>
      <c r="S123" s="35"/>
    </row>
    <row r="124" spans="1:19" ht="15.6">
      <c r="A124" s="34">
        <v>123</v>
      </c>
      <c r="B124" s="35">
        <v>2025</v>
      </c>
      <c r="C124" s="35">
        <v>2025</v>
      </c>
      <c r="D124" s="35" t="s">
        <v>3214</v>
      </c>
      <c r="E124" s="35" t="s">
        <v>3215</v>
      </c>
      <c r="F124" s="35" t="s">
        <v>2656</v>
      </c>
      <c r="G124" s="35" t="s">
        <v>3216</v>
      </c>
      <c r="H124" s="35"/>
      <c r="I124" s="35" t="s">
        <v>3092</v>
      </c>
      <c r="J124" s="35" t="s">
        <v>3092</v>
      </c>
      <c r="K124" s="35" t="s">
        <v>1370</v>
      </c>
      <c r="L124" s="35" t="s">
        <v>2606</v>
      </c>
      <c r="M124" s="35" t="s">
        <v>2669</v>
      </c>
      <c r="N124" s="35" t="s">
        <v>3217</v>
      </c>
      <c r="O124" s="35" t="s">
        <v>3218</v>
      </c>
      <c r="P124" s="35"/>
      <c r="Q124" s="35"/>
      <c r="R124" s="36"/>
      <c r="S124" s="35"/>
    </row>
    <row r="125" spans="1:19" ht="15.6">
      <c r="A125" s="34">
        <v>124</v>
      </c>
      <c r="B125" s="35">
        <v>2025</v>
      </c>
      <c r="C125" s="35">
        <v>2025</v>
      </c>
      <c r="D125" s="35" t="s">
        <v>3219</v>
      </c>
      <c r="E125" s="35" t="s">
        <v>3220</v>
      </c>
      <c r="F125" s="35" t="s">
        <v>2656</v>
      </c>
      <c r="G125" s="35" t="s">
        <v>2657</v>
      </c>
      <c r="H125" s="35"/>
      <c r="I125" s="35" t="s">
        <v>3221</v>
      </c>
      <c r="J125" s="35" t="s">
        <v>3221</v>
      </c>
      <c r="K125" s="35" t="s">
        <v>1512</v>
      </c>
      <c r="L125" s="35" t="s">
        <v>1939</v>
      </c>
      <c r="M125" s="35" t="s">
        <v>2926</v>
      </c>
      <c r="N125" s="35" t="s">
        <v>3222</v>
      </c>
      <c r="O125" s="35" t="s">
        <v>2812</v>
      </c>
      <c r="P125" s="35" t="s">
        <v>3223</v>
      </c>
      <c r="Q125" s="35" t="s">
        <v>3135</v>
      </c>
      <c r="R125" s="40" t="s">
        <v>3224</v>
      </c>
      <c r="S125" s="35" t="s">
        <v>3095</v>
      </c>
    </row>
    <row r="126" spans="1:19" ht="15.6">
      <c r="A126" s="34">
        <v>125</v>
      </c>
      <c r="B126" s="35">
        <v>2025</v>
      </c>
      <c r="C126" s="35">
        <v>2025</v>
      </c>
      <c r="D126" s="35" t="s">
        <v>3225</v>
      </c>
      <c r="E126" s="38">
        <v>38857</v>
      </c>
      <c r="F126" s="35" t="s">
        <v>2656</v>
      </c>
      <c r="G126" s="35" t="s">
        <v>2657</v>
      </c>
      <c r="H126" s="35"/>
      <c r="I126" s="35" t="s">
        <v>2941</v>
      </c>
      <c r="J126" s="35" t="s">
        <v>2941</v>
      </c>
      <c r="K126" s="35" t="s">
        <v>1329</v>
      </c>
      <c r="L126" s="35" t="s">
        <v>1328</v>
      </c>
      <c r="M126" s="35" t="s">
        <v>2926</v>
      </c>
      <c r="N126" s="35" t="s">
        <v>3226</v>
      </c>
      <c r="O126" s="35" t="s">
        <v>2812</v>
      </c>
      <c r="P126" s="35" t="s">
        <v>3227</v>
      </c>
      <c r="Q126" s="38" t="s">
        <v>3228</v>
      </c>
      <c r="R126" s="36" t="s">
        <v>2868</v>
      </c>
      <c r="S126" s="35" t="s">
        <v>3229</v>
      </c>
    </row>
    <row r="127" spans="1:19" ht="15.6">
      <c r="A127" s="34">
        <v>126</v>
      </c>
      <c r="B127" s="35">
        <v>2025</v>
      </c>
      <c r="C127" s="35">
        <v>2025</v>
      </c>
      <c r="D127" s="35" t="s">
        <v>3230</v>
      </c>
      <c r="E127" s="38">
        <v>38911</v>
      </c>
      <c r="F127" s="35" t="s">
        <v>2665</v>
      </c>
      <c r="G127" s="35" t="s">
        <v>2657</v>
      </c>
      <c r="H127" s="35"/>
      <c r="I127" s="35" t="s">
        <v>2941</v>
      </c>
      <c r="J127" s="35" t="s">
        <v>2941</v>
      </c>
      <c r="K127" s="35" t="s">
        <v>1329</v>
      </c>
      <c r="L127" s="35" t="s">
        <v>1328</v>
      </c>
      <c r="M127" s="35" t="s">
        <v>2926</v>
      </c>
      <c r="N127" s="35" t="s">
        <v>3231</v>
      </c>
      <c r="O127" s="35" t="s">
        <v>2812</v>
      </c>
      <c r="P127" s="35" t="s">
        <v>3232</v>
      </c>
      <c r="Q127" s="38" t="s">
        <v>3124</v>
      </c>
      <c r="R127" s="36" t="s">
        <v>2868</v>
      </c>
      <c r="S127" s="35" t="s">
        <v>3229</v>
      </c>
    </row>
    <row r="128" spans="1:19" ht="15.6">
      <c r="A128" s="34">
        <v>127</v>
      </c>
      <c r="B128" s="35">
        <v>2025</v>
      </c>
      <c r="C128" s="35">
        <v>2025</v>
      </c>
      <c r="D128" s="35" t="s">
        <v>3233</v>
      </c>
      <c r="E128" s="38">
        <v>39093</v>
      </c>
      <c r="F128" s="35" t="s">
        <v>2665</v>
      </c>
      <c r="G128" s="35" t="s">
        <v>2657</v>
      </c>
      <c r="H128" s="35"/>
      <c r="I128" s="35" t="s">
        <v>2941</v>
      </c>
      <c r="J128" s="35" t="s">
        <v>2941</v>
      </c>
      <c r="K128" s="35" t="s">
        <v>1329</v>
      </c>
      <c r="L128" s="35" t="s">
        <v>1328</v>
      </c>
      <c r="M128" s="35" t="s">
        <v>2926</v>
      </c>
      <c r="N128" s="35" t="s">
        <v>3234</v>
      </c>
      <c r="O128" s="35" t="s">
        <v>2812</v>
      </c>
      <c r="P128" s="35" t="s">
        <v>3235</v>
      </c>
      <c r="Q128" s="38">
        <v>45725</v>
      </c>
      <c r="R128" s="36" t="s">
        <v>2868</v>
      </c>
      <c r="S128" s="35" t="s">
        <v>3229</v>
      </c>
    </row>
    <row r="129" spans="1:19" ht="15.6">
      <c r="A129" s="34">
        <v>128</v>
      </c>
      <c r="B129" s="35">
        <v>2025</v>
      </c>
      <c r="C129" s="35">
        <v>2025</v>
      </c>
      <c r="D129" s="35" t="s">
        <v>3236</v>
      </c>
      <c r="E129" s="38">
        <v>39022</v>
      </c>
      <c r="F129" s="35" t="s">
        <v>2656</v>
      </c>
      <c r="G129" s="35" t="s">
        <v>2657</v>
      </c>
      <c r="H129" s="35"/>
      <c r="I129" s="35" t="s">
        <v>2941</v>
      </c>
      <c r="J129" s="35" t="s">
        <v>2941</v>
      </c>
      <c r="K129" s="35" t="s">
        <v>1329</v>
      </c>
      <c r="L129" s="35" t="s">
        <v>1328</v>
      </c>
      <c r="M129" s="35" t="s">
        <v>2926</v>
      </c>
      <c r="N129" s="35" t="s">
        <v>3237</v>
      </c>
      <c r="O129" s="35" t="s">
        <v>2812</v>
      </c>
      <c r="P129" s="35" t="s">
        <v>3238</v>
      </c>
      <c r="Q129" s="38" t="s">
        <v>3228</v>
      </c>
      <c r="R129" s="36" t="s">
        <v>2868</v>
      </c>
      <c r="S129" s="35" t="s">
        <v>3229</v>
      </c>
    </row>
    <row r="130" spans="1:19" ht="15.6">
      <c r="A130" s="34">
        <v>129</v>
      </c>
      <c r="B130" s="35">
        <v>2025</v>
      </c>
      <c r="C130" s="35">
        <v>2025</v>
      </c>
      <c r="D130" s="35" t="s">
        <v>3239</v>
      </c>
      <c r="E130" s="38">
        <v>37319</v>
      </c>
      <c r="F130" s="35" t="s">
        <v>2656</v>
      </c>
      <c r="G130" s="35" t="s">
        <v>2657</v>
      </c>
      <c r="H130" s="35"/>
      <c r="I130" s="35" t="s">
        <v>2941</v>
      </c>
      <c r="J130" s="35" t="s">
        <v>2941</v>
      </c>
      <c r="K130" s="35" t="s">
        <v>1329</v>
      </c>
      <c r="L130" s="35" t="s">
        <v>1328</v>
      </c>
      <c r="M130" s="35" t="s">
        <v>2926</v>
      </c>
      <c r="N130" s="35" t="s">
        <v>3240</v>
      </c>
      <c r="O130" s="35" t="s">
        <v>2812</v>
      </c>
      <c r="P130" s="35" t="s">
        <v>3241</v>
      </c>
      <c r="Q130" s="38">
        <v>45697</v>
      </c>
      <c r="R130" s="36" t="s">
        <v>2868</v>
      </c>
      <c r="S130" s="35" t="s">
        <v>3229</v>
      </c>
    </row>
    <row r="131" spans="1:19" ht="15.6">
      <c r="A131" s="34">
        <v>130</v>
      </c>
      <c r="B131" s="35">
        <v>2025</v>
      </c>
      <c r="C131" s="35">
        <v>2025</v>
      </c>
      <c r="D131" s="35" t="s">
        <v>3242</v>
      </c>
      <c r="E131" s="38">
        <v>38905</v>
      </c>
      <c r="F131" s="35" t="s">
        <v>2656</v>
      </c>
      <c r="G131" s="35" t="s">
        <v>2657</v>
      </c>
      <c r="H131" s="35"/>
      <c r="I131" s="35" t="s">
        <v>2941</v>
      </c>
      <c r="J131" s="35" t="s">
        <v>2941</v>
      </c>
      <c r="K131" s="35" t="s">
        <v>1329</v>
      </c>
      <c r="L131" s="35" t="s">
        <v>1328</v>
      </c>
      <c r="M131" s="35" t="s">
        <v>2926</v>
      </c>
      <c r="N131" s="35" t="s">
        <v>3243</v>
      </c>
      <c r="O131" s="35" t="s">
        <v>2812</v>
      </c>
      <c r="P131" s="35" t="s">
        <v>3244</v>
      </c>
      <c r="Q131" s="38" t="s">
        <v>3135</v>
      </c>
      <c r="R131" s="36" t="s">
        <v>2868</v>
      </c>
      <c r="S131" s="35" t="s">
        <v>3229</v>
      </c>
    </row>
    <row r="132" spans="1:19" ht="15.6">
      <c r="A132" s="34">
        <v>131</v>
      </c>
      <c r="B132" s="35">
        <v>2025</v>
      </c>
      <c r="C132" s="35">
        <v>2025</v>
      </c>
      <c r="D132" s="35" t="s">
        <v>3245</v>
      </c>
      <c r="E132" s="38">
        <v>38918</v>
      </c>
      <c r="F132" s="35" t="s">
        <v>2656</v>
      </c>
      <c r="G132" s="35" t="s">
        <v>2657</v>
      </c>
      <c r="H132" s="35"/>
      <c r="I132" s="35" t="s">
        <v>2941</v>
      </c>
      <c r="J132" s="35" t="s">
        <v>2941</v>
      </c>
      <c r="K132" s="35" t="s">
        <v>1329</v>
      </c>
      <c r="L132" s="35" t="s">
        <v>1328</v>
      </c>
      <c r="M132" s="35" t="s">
        <v>2926</v>
      </c>
      <c r="N132" s="35" t="s">
        <v>3246</v>
      </c>
      <c r="O132" s="35" t="s">
        <v>2812</v>
      </c>
      <c r="P132" s="35" t="s">
        <v>3247</v>
      </c>
      <c r="Q132" s="38" t="s">
        <v>3248</v>
      </c>
      <c r="R132" s="36" t="s">
        <v>2921</v>
      </c>
      <c r="S132" s="35" t="s">
        <v>3229</v>
      </c>
    </row>
    <row r="133" spans="1:19" ht="15.6">
      <c r="A133" s="34">
        <v>132</v>
      </c>
      <c r="B133" s="35">
        <v>2025</v>
      </c>
      <c r="C133" s="35">
        <v>2025</v>
      </c>
      <c r="D133" s="35" t="s">
        <v>3249</v>
      </c>
      <c r="E133" s="38">
        <v>37927</v>
      </c>
      <c r="F133" s="35" t="s">
        <v>2656</v>
      </c>
      <c r="G133" s="35" t="s">
        <v>2657</v>
      </c>
      <c r="H133" s="35"/>
      <c r="I133" s="35" t="s">
        <v>2941</v>
      </c>
      <c r="J133" s="35" t="s">
        <v>2941</v>
      </c>
      <c r="K133" s="35" t="s">
        <v>1329</v>
      </c>
      <c r="L133" s="35" t="s">
        <v>1328</v>
      </c>
      <c r="M133" s="35" t="s">
        <v>2926</v>
      </c>
      <c r="N133" s="35" t="s">
        <v>3250</v>
      </c>
      <c r="O133" s="35" t="s">
        <v>2812</v>
      </c>
      <c r="P133" s="35" t="s">
        <v>3251</v>
      </c>
      <c r="Q133" s="38" t="s">
        <v>3248</v>
      </c>
      <c r="R133" s="36" t="s">
        <v>2868</v>
      </c>
      <c r="S133" s="35" t="s">
        <v>3229</v>
      </c>
    </row>
    <row r="134" spans="1:19" ht="15.6">
      <c r="A134" s="34">
        <v>133</v>
      </c>
      <c r="B134" s="35">
        <v>2025</v>
      </c>
      <c r="C134" s="35">
        <v>2025</v>
      </c>
      <c r="D134" s="35" t="s">
        <v>3252</v>
      </c>
      <c r="E134" s="38">
        <v>39281</v>
      </c>
      <c r="F134" s="35" t="s">
        <v>2665</v>
      </c>
      <c r="G134" s="35" t="s">
        <v>2657</v>
      </c>
      <c r="H134" s="35"/>
      <c r="I134" s="35" t="s">
        <v>2941</v>
      </c>
      <c r="J134" s="35" t="s">
        <v>2941</v>
      </c>
      <c r="K134" s="35" t="s">
        <v>1329</v>
      </c>
      <c r="L134" s="35" t="s">
        <v>1328</v>
      </c>
      <c r="M134" s="35" t="s">
        <v>2926</v>
      </c>
      <c r="N134" s="35" t="s">
        <v>3253</v>
      </c>
      <c r="O134" s="35" t="s">
        <v>2812</v>
      </c>
      <c r="P134" s="35" t="s">
        <v>3254</v>
      </c>
      <c r="Q134" s="38" t="s">
        <v>3124</v>
      </c>
      <c r="R134" s="36" t="s">
        <v>2921</v>
      </c>
      <c r="S134" s="35" t="s">
        <v>3229</v>
      </c>
    </row>
    <row r="135" spans="1:19" ht="15.6">
      <c r="A135" s="34">
        <v>134</v>
      </c>
      <c r="B135" s="35">
        <v>2025</v>
      </c>
      <c r="C135" s="35">
        <v>2025</v>
      </c>
      <c r="D135" s="35" t="s">
        <v>3255</v>
      </c>
      <c r="E135" s="38">
        <v>39118</v>
      </c>
      <c r="F135" s="35" t="s">
        <v>2665</v>
      </c>
      <c r="G135" s="35" t="s">
        <v>2657</v>
      </c>
      <c r="H135" s="35"/>
      <c r="I135" s="35" t="s">
        <v>2941</v>
      </c>
      <c r="J135" s="35" t="s">
        <v>2941</v>
      </c>
      <c r="K135" s="35" t="s">
        <v>1329</v>
      </c>
      <c r="L135" s="35" t="s">
        <v>1328</v>
      </c>
      <c r="M135" s="35" t="s">
        <v>2926</v>
      </c>
      <c r="N135" s="35" t="s">
        <v>3256</v>
      </c>
      <c r="O135" s="35" t="s">
        <v>2812</v>
      </c>
      <c r="P135" s="35" t="s">
        <v>3257</v>
      </c>
      <c r="Q135" s="38" t="s">
        <v>3124</v>
      </c>
      <c r="R135" s="36" t="s">
        <v>2868</v>
      </c>
      <c r="S135" s="35" t="s">
        <v>3229</v>
      </c>
    </row>
    <row r="136" spans="1:19" ht="15.6">
      <c r="A136" s="34">
        <v>135</v>
      </c>
      <c r="B136" s="35">
        <v>2025</v>
      </c>
      <c r="C136" s="35">
        <v>2025</v>
      </c>
      <c r="D136" s="35" t="s">
        <v>3258</v>
      </c>
      <c r="E136" s="38">
        <v>39146</v>
      </c>
      <c r="F136" s="35" t="s">
        <v>2665</v>
      </c>
      <c r="G136" s="35" t="s">
        <v>2657</v>
      </c>
      <c r="H136" s="35"/>
      <c r="I136" s="35" t="s">
        <v>2941</v>
      </c>
      <c r="J136" s="35" t="s">
        <v>2941</v>
      </c>
      <c r="K136" s="35" t="s">
        <v>1329</v>
      </c>
      <c r="L136" s="35" t="s">
        <v>1328</v>
      </c>
      <c r="M136" s="35" t="s">
        <v>2926</v>
      </c>
      <c r="N136" s="35" t="s">
        <v>3259</v>
      </c>
      <c r="O136" s="35" t="s">
        <v>2812</v>
      </c>
      <c r="P136" s="35" t="s">
        <v>3260</v>
      </c>
      <c r="Q136" s="38" t="s">
        <v>3124</v>
      </c>
      <c r="R136" s="36" t="s">
        <v>2868</v>
      </c>
      <c r="S136" s="35" t="s">
        <v>3229</v>
      </c>
    </row>
    <row r="137" spans="1:19" ht="15.6">
      <c r="A137" s="34">
        <v>136</v>
      </c>
      <c r="B137" s="35">
        <v>2025</v>
      </c>
      <c r="C137" s="35">
        <v>2025</v>
      </c>
      <c r="D137" s="35" t="s">
        <v>3261</v>
      </c>
      <c r="E137" s="38">
        <v>39170</v>
      </c>
      <c r="F137" s="35" t="s">
        <v>2665</v>
      </c>
      <c r="G137" s="35" t="s">
        <v>2657</v>
      </c>
      <c r="H137" s="35"/>
      <c r="I137" s="35" t="s">
        <v>2941</v>
      </c>
      <c r="J137" s="35" t="s">
        <v>2941</v>
      </c>
      <c r="K137" s="35" t="s">
        <v>1329</v>
      </c>
      <c r="L137" s="35" t="s">
        <v>1328</v>
      </c>
      <c r="M137" s="35" t="s">
        <v>2926</v>
      </c>
      <c r="N137" s="35" t="s">
        <v>3262</v>
      </c>
      <c r="O137" s="35" t="s">
        <v>2812</v>
      </c>
      <c r="P137" s="35" t="s">
        <v>3263</v>
      </c>
      <c r="Q137" s="38" t="s">
        <v>3124</v>
      </c>
      <c r="R137" s="36" t="s">
        <v>2868</v>
      </c>
      <c r="S137" s="35" t="s">
        <v>3229</v>
      </c>
    </row>
    <row r="138" spans="1:19" ht="15.6">
      <c r="A138" s="34">
        <v>137</v>
      </c>
      <c r="B138" s="35">
        <v>2025</v>
      </c>
      <c r="C138" s="35">
        <v>2025</v>
      </c>
      <c r="D138" s="35" t="s">
        <v>3264</v>
      </c>
      <c r="E138" s="38">
        <v>38943</v>
      </c>
      <c r="F138" s="35" t="s">
        <v>2665</v>
      </c>
      <c r="G138" s="35" t="s">
        <v>2657</v>
      </c>
      <c r="H138" s="35"/>
      <c r="I138" s="35" t="s">
        <v>2941</v>
      </c>
      <c r="J138" s="35" t="s">
        <v>2941</v>
      </c>
      <c r="K138" s="35" t="s">
        <v>1329</v>
      </c>
      <c r="L138" s="35" t="s">
        <v>1328</v>
      </c>
      <c r="M138" s="35" t="s">
        <v>2926</v>
      </c>
      <c r="N138" s="35" t="s">
        <v>3265</v>
      </c>
      <c r="O138" s="35" t="s">
        <v>2812</v>
      </c>
      <c r="P138" s="35" t="s">
        <v>3266</v>
      </c>
      <c r="Q138" s="38" t="s">
        <v>3124</v>
      </c>
      <c r="R138" s="36" t="s">
        <v>2868</v>
      </c>
      <c r="S138" s="35" t="s">
        <v>3229</v>
      </c>
    </row>
    <row r="139" spans="1:19" ht="15.6">
      <c r="A139" s="34">
        <v>138</v>
      </c>
      <c r="B139" s="35">
        <v>2025</v>
      </c>
      <c r="C139" s="35">
        <v>2025</v>
      </c>
      <c r="D139" s="35" t="s">
        <v>3267</v>
      </c>
      <c r="E139" s="38" t="s">
        <v>3268</v>
      </c>
      <c r="F139" s="35" t="s">
        <v>2656</v>
      </c>
      <c r="G139" s="35" t="s">
        <v>2657</v>
      </c>
      <c r="H139" s="35"/>
      <c r="I139" s="35" t="s">
        <v>2941</v>
      </c>
      <c r="J139" s="35" t="s">
        <v>2941</v>
      </c>
      <c r="K139" s="35" t="s">
        <v>1329</v>
      </c>
      <c r="L139" s="35" t="s">
        <v>1328</v>
      </c>
      <c r="M139" s="35" t="s">
        <v>2926</v>
      </c>
      <c r="N139" s="35" t="s">
        <v>3269</v>
      </c>
      <c r="O139" s="35" t="s">
        <v>2812</v>
      </c>
      <c r="P139" s="35" t="s">
        <v>3270</v>
      </c>
      <c r="Q139" s="38" t="s">
        <v>3124</v>
      </c>
      <c r="R139" s="36" t="s">
        <v>2868</v>
      </c>
      <c r="S139" s="35" t="s">
        <v>3229</v>
      </c>
    </row>
    <row r="140" spans="1:19" ht="15.6">
      <c r="A140" s="34">
        <v>139</v>
      </c>
      <c r="B140" s="35">
        <v>2025</v>
      </c>
      <c r="C140" s="35">
        <v>2025</v>
      </c>
      <c r="D140" s="35" t="s">
        <v>3271</v>
      </c>
      <c r="E140" s="39" t="s">
        <v>3272</v>
      </c>
      <c r="F140" s="35" t="s">
        <v>2656</v>
      </c>
      <c r="G140" s="35" t="s">
        <v>2657</v>
      </c>
      <c r="H140" s="35"/>
      <c r="I140" s="35" t="s">
        <v>2941</v>
      </c>
      <c r="J140" s="35" t="s">
        <v>2941</v>
      </c>
      <c r="K140" s="35" t="s">
        <v>1329</v>
      </c>
      <c r="L140" s="35" t="s">
        <v>1328</v>
      </c>
      <c r="M140" s="35" t="s">
        <v>2926</v>
      </c>
      <c r="N140" s="35" t="s">
        <v>3273</v>
      </c>
      <c r="O140" s="35" t="s">
        <v>2812</v>
      </c>
      <c r="P140" s="35" t="s">
        <v>3274</v>
      </c>
      <c r="Q140" s="38" t="s">
        <v>3275</v>
      </c>
      <c r="R140" s="36" t="s">
        <v>2868</v>
      </c>
      <c r="S140" s="35" t="s">
        <v>3229</v>
      </c>
    </row>
    <row r="141" spans="1:19" ht="15.6">
      <c r="A141" s="34">
        <v>140</v>
      </c>
      <c r="B141" s="35">
        <v>2025</v>
      </c>
      <c r="C141" s="35">
        <v>2025</v>
      </c>
      <c r="D141" s="35" t="s">
        <v>3276</v>
      </c>
      <c r="E141" s="38">
        <v>38548</v>
      </c>
      <c r="F141" s="35" t="s">
        <v>2656</v>
      </c>
      <c r="G141" s="35" t="s">
        <v>2657</v>
      </c>
      <c r="H141" s="35"/>
      <c r="I141" s="35" t="s">
        <v>3277</v>
      </c>
      <c r="J141" s="35" t="s">
        <v>3277</v>
      </c>
      <c r="K141" s="35" t="s">
        <v>1417</v>
      </c>
      <c r="L141" s="35" t="s">
        <v>2361</v>
      </c>
      <c r="M141" s="35" t="s">
        <v>3278</v>
      </c>
      <c r="N141" s="35" t="s">
        <v>3279</v>
      </c>
      <c r="O141" s="35" t="s">
        <v>2812</v>
      </c>
      <c r="P141" s="35" t="s">
        <v>3280</v>
      </c>
      <c r="Q141" s="38" t="s">
        <v>3281</v>
      </c>
      <c r="R141" s="36" t="s">
        <v>2868</v>
      </c>
      <c r="S141" s="35" t="s">
        <v>3229</v>
      </c>
    </row>
    <row r="142" spans="1:19" ht="15.6">
      <c r="A142" s="34">
        <v>141</v>
      </c>
      <c r="B142" s="35">
        <v>2025</v>
      </c>
      <c r="C142" s="35">
        <v>2025</v>
      </c>
      <c r="D142" s="35" t="s">
        <v>3282</v>
      </c>
      <c r="E142" s="38">
        <v>39158</v>
      </c>
      <c r="F142" s="35" t="s">
        <v>2656</v>
      </c>
      <c r="G142" s="35" t="s">
        <v>2657</v>
      </c>
      <c r="H142" s="35"/>
      <c r="I142" s="35" t="s">
        <v>3277</v>
      </c>
      <c r="J142" s="35" t="s">
        <v>3277</v>
      </c>
      <c r="K142" s="35" t="s">
        <v>1419</v>
      </c>
      <c r="L142" s="35" t="s">
        <v>2361</v>
      </c>
      <c r="M142" s="35" t="s">
        <v>3278</v>
      </c>
      <c r="N142" s="35" t="s">
        <v>3283</v>
      </c>
      <c r="O142" s="35" t="s">
        <v>2812</v>
      </c>
      <c r="P142" s="35" t="s">
        <v>3284</v>
      </c>
      <c r="Q142" s="38">
        <v>45939</v>
      </c>
      <c r="R142" s="36" t="s">
        <v>2868</v>
      </c>
      <c r="S142" s="35" t="s">
        <v>3229</v>
      </c>
    </row>
    <row r="143" spans="1:19" ht="15.6">
      <c r="A143" s="34">
        <v>142</v>
      </c>
      <c r="B143" s="35">
        <v>2025</v>
      </c>
      <c r="C143" s="35">
        <v>2025</v>
      </c>
      <c r="D143" s="35" t="s">
        <v>3285</v>
      </c>
      <c r="E143" s="38">
        <v>39246</v>
      </c>
      <c r="F143" s="35" t="s">
        <v>2656</v>
      </c>
      <c r="G143" s="35" t="s">
        <v>2657</v>
      </c>
      <c r="H143" s="35"/>
      <c r="I143" s="35" t="s">
        <v>3277</v>
      </c>
      <c r="J143" s="35" t="s">
        <v>3277</v>
      </c>
      <c r="K143" s="35" t="s">
        <v>1421</v>
      </c>
      <c r="L143" s="35" t="s">
        <v>2361</v>
      </c>
      <c r="M143" s="35" t="s">
        <v>3278</v>
      </c>
      <c r="N143" s="35" t="s">
        <v>3286</v>
      </c>
      <c r="O143" s="35" t="s">
        <v>2812</v>
      </c>
      <c r="P143" s="35" t="s">
        <v>3287</v>
      </c>
      <c r="Q143" s="38">
        <v>45602</v>
      </c>
      <c r="R143" s="36">
        <v>45950</v>
      </c>
      <c r="S143" s="35" t="s">
        <v>3288</v>
      </c>
    </row>
    <row r="144" spans="1:19" ht="15.6">
      <c r="A144" s="34">
        <v>143</v>
      </c>
      <c r="B144" s="35">
        <v>2025</v>
      </c>
      <c r="C144" s="35">
        <v>2025</v>
      </c>
      <c r="D144" s="35" t="s">
        <v>3289</v>
      </c>
      <c r="E144" s="38">
        <v>38342</v>
      </c>
      <c r="F144" s="35" t="s">
        <v>2656</v>
      </c>
      <c r="G144" s="35" t="s">
        <v>2657</v>
      </c>
      <c r="H144" s="35"/>
      <c r="I144" s="35" t="s">
        <v>3277</v>
      </c>
      <c r="J144" s="35" t="s">
        <v>3277</v>
      </c>
      <c r="K144" s="35" t="s">
        <v>1424</v>
      </c>
      <c r="L144" s="35" t="s">
        <v>2361</v>
      </c>
      <c r="M144" s="35" t="s">
        <v>3278</v>
      </c>
      <c r="N144" s="35" t="s">
        <v>3290</v>
      </c>
      <c r="O144" s="35" t="s">
        <v>2812</v>
      </c>
      <c r="P144" s="35" t="s">
        <v>3291</v>
      </c>
      <c r="Q144" s="38">
        <v>45970</v>
      </c>
      <c r="R144" s="36" t="s">
        <v>2868</v>
      </c>
      <c r="S144" s="35" t="s">
        <v>3229</v>
      </c>
    </row>
    <row r="145" spans="1:19" ht="15.6">
      <c r="A145" s="34">
        <v>144</v>
      </c>
      <c r="B145" s="35">
        <v>2025</v>
      </c>
      <c r="C145" s="35">
        <v>2025</v>
      </c>
      <c r="D145" s="35" t="s">
        <v>3292</v>
      </c>
      <c r="E145" s="38">
        <v>38883</v>
      </c>
      <c r="F145" s="35" t="s">
        <v>2656</v>
      </c>
      <c r="G145" s="35" t="s">
        <v>2657</v>
      </c>
      <c r="H145" s="35"/>
      <c r="I145" s="35" t="s">
        <v>3277</v>
      </c>
      <c r="J145" s="35" t="s">
        <v>3277</v>
      </c>
      <c r="K145" s="35" t="s">
        <v>1427</v>
      </c>
      <c r="L145" s="35" t="s">
        <v>2361</v>
      </c>
      <c r="M145" s="35" t="s">
        <v>3278</v>
      </c>
      <c r="N145" s="35" t="s">
        <v>3293</v>
      </c>
      <c r="O145" s="35" t="s">
        <v>2812</v>
      </c>
      <c r="P145" s="35" t="s">
        <v>3294</v>
      </c>
      <c r="Q145" s="38">
        <v>45610</v>
      </c>
      <c r="R145" s="36">
        <v>45950</v>
      </c>
      <c r="S145" s="35"/>
    </row>
    <row r="146" spans="1:19" ht="15.6">
      <c r="A146" s="34">
        <v>145</v>
      </c>
      <c r="B146" s="35">
        <v>2025</v>
      </c>
      <c r="C146" s="35">
        <v>2025</v>
      </c>
      <c r="D146" s="35" t="s">
        <v>3295</v>
      </c>
      <c r="E146" s="38">
        <v>38878</v>
      </c>
      <c r="F146" s="35" t="s">
        <v>2665</v>
      </c>
      <c r="G146" s="35" t="s">
        <v>2657</v>
      </c>
      <c r="H146" s="35"/>
      <c r="I146" s="35" t="s">
        <v>3277</v>
      </c>
      <c r="J146" s="35" t="s">
        <v>3277</v>
      </c>
      <c r="K146" s="35" t="s">
        <v>1428</v>
      </c>
      <c r="L146" s="35" t="s">
        <v>2361</v>
      </c>
      <c r="M146" s="35" t="s">
        <v>3278</v>
      </c>
      <c r="N146" s="35" t="s">
        <v>3296</v>
      </c>
      <c r="O146" s="35" t="s">
        <v>2812</v>
      </c>
      <c r="P146" s="35" t="s">
        <v>3297</v>
      </c>
      <c r="Q146" s="38" t="s">
        <v>3298</v>
      </c>
      <c r="R146" s="36" t="s">
        <v>2868</v>
      </c>
      <c r="S146" s="35" t="s">
        <v>3229</v>
      </c>
    </row>
    <row r="147" spans="1:19" ht="15.6">
      <c r="A147" s="34">
        <v>146</v>
      </c>
      <c r="B147" s="35">
        <v>2025</v>
      </c>
      <c r="C147" s="35">
        <v>2025</v>
      </c>
      <c r="D147" s="35" t="s">
        <v>3299</v>
      </c>
      <c r="E147" s="38">
        <v>38866</v>
      </c>
      <c r="F147" s="35" t="s">
        <v>2656</v>
      </c>
      <c r="G147" s="35" t="s">
        <v>2657</v>
      </c>
      <c r="H147" s="35"/>
      <c r="I147" s="35" t="s">
        <v>3277</v>
      </c>
      <c r="J147" s="35" t="s">
        <v>3277</v>
      </c>
      <c r="K147" s="35" t="s">
        <v>1430</v>
      </c>
      <c r="L147" s="35" t="s">
        <v>2361</v>
      </c>
      <c r="M147" s="35" t="s">
        <v>3278</v>
      </c>
      <c r="N147" s="35" t="s">
        <v>3300</v>
      </c>
      <c r="O147" s="35" t="s">
        <v>2812</v>
      </c>
      <c r="P147" s="35" t="s">
        <v>3301</v>
      </c>
      <c r="Q147" s="38">
        <v>45910</v>
      </c>
      <c r="R147" s="36" t="s">
        <v>2868</v>
      </c>
      <c r="S147" s="35" t="s">
        <v>3229</v>
      </c>
    </row>
    <row r="148" spans="1:19" ht="15.6">
      <c r="A148" s="34">
        <v>147</v>
      </c>
      <c r="B148" s="35">
        <v>2025</v>
      </c>
      <c r="C148" s="35">
        <v>2025</v>
      </c>
      <c r="D148" s="35" t="s">
        <v>3302</v>
      </c>
      <c r="E148" s="38">
        <v>38993</v>
      </c>
      <c r="F148" s="35" t="s">
        <v>2656</v>
      </c>
      <c r="G148" s="35" t="s">
        <v>2657</v>
      </c>
      <c r="H148" s="35"/>
      <c r="I148" s="35" t="s">
        <v>3277</v>
      </c>
      <c r="J148" s="35" t="s">
        <v>3277</v>
      </c>
      <c r="K148" s="35" t="s">
        <v>1433</v>
      </c>
      <c r="L148" s="35" t="s">
        <v>2361</v>
      </c>
      <c r="M148" s="35" t="s">
        <v>3303</v>
      </c>
      <c r="N148" s="35" t="s">
        <v>3304</v>
      </c>
      <c r="O148" s="35" t="s">
        <v>2812</v>
      </c>
      <c r="P148" s="35" t="s">
        <v>3305</v>
      </c>
      <c r="Q148" s="38" t="s">
        <v>3248</v>
      </c>
      <c r="R148" s="36" t="s">
        <v>2868</v>
      </c>
      <c r="S148" s="35" t="s">
        <v>3229</v>
      </c>
    </row>
    <row r="149" spans="1:19" ht="15.6">
      <c r="A149" s="34">
        <v>148</v>
      </c>
      <c r="B149" s="35">
        <v>2025</v>
      </c>
      <c r="C149" s="35">
        <v>2025</v>
      </c>
      <c r="D149" s="35" t="s">
        <v>3306</v>
      </c>
      <c r="E149" s="38" t="s">
        <v>3307</v>
      </c>
      <c r="F149" s="35" t="s">
        <v>2656</v>
      </c>
      <c r="G149" s="35" t="s">
        <v>2657</v>
      </c>
      <c r="H149" s="35"/>
      <c r="I149" s="35" t="s">
        <v>3277</v>
      </c>
      <c r="J149" s="35" t="s">
        <v>3277</v>
      </c>
      <c r="K149" s="35" t="s">
        <v>1434</v>
      </c>
      <c r="L149" s="35" t="s">
        <v>2361</v>
      </c>
      <c r="M149" s="35" t="s">
        <v>3303</v>
      </c>
      <c r="N149" s="35" t="s">
        <v>3308</v>
      </c>
      <c r="O149" s="35" t="s">
        <v>2812</v>
      </c>
      <c r="P149" s="35" t="s">
        <v>3309</v>
      </c>
      <c r="Q149" s="38">
        <v>46001</v>
      </c>
      <c r="R149" s="36" t="s">
        <v>2868</v>
      </c>
      <c r="S149" s="35" t="s">
        <v>3229</v>
      </c>
    </row>
    <row r="150" spans="1:19" ht="15.6">
      <c r="A150" s="34">
        <v>149</v>
      </c>
      <c r="B150" s="35">
        <v>2025</v>
      </c>
      <c r="C150" s="35">
        <v>2025</v>
      </c>
      <c r="D150" s="35" t="s">
        <v>3310</v>
      </c>
      <c r="E150" s="38">
        <v>31391</v>
      </c>
      <c r="F150" s="35" t="s">
        <v>2665</v>
      </c>
      <c r="G150" s="35" t="s">
        <v>2657</v>
      </c>
      <c r="H150" s="35"/>
      <c r="I150" s="35" t="s">
        <v>3311</v>
      </c>
      <c r="J150" s="35" t="s">
        <v>3311</v>
      </c>
      <c r="K150" s="35" t="s">
        <v>1436</v>
      </c>
      <c r="L150" s="35" t="s">
        <v>2361</v>
      </c>
      <c r="M150" s="35" t="s">
        <v>3312</v>
      </c>
      <c r="N150" s="35" t="s">
        <v>3313</v>
      </c>
      <c r="O150" s="35" t="s">
        <v>2812</v>
      </c>
      <c r="P150" s="35" t="s">
        <v>3314</v>
      </c>
      <c r="Q150" s="35" t="s">
        <v>3315</v>
      </c>
      <c r="R150" s="36" t="s">
        <v>3316</v>
      </c>
      <c r="S150" s="35"/>
    </row>
    <row r="151" spans="1:19" ht="15.6">
      <c r="A151" s="34">
        <v>150</v>
      </c>
      <c r="B151" s="35">
        <v>2025</v>
      </c>
      <c r="C151" s="35">
        <v>2025</v>
      </c>
      <c r="D151" s="35" t="s">
        <v>3317</v>
      </c>
      <c r="E151" s="35" t="s">
        <v>3318</v>
      </c>
      <c r="F151" s="35" t="s">
        <v>2656</v>
      </c>
      <c r="G151" s="35" t="s">
        <v>2657</v>
      </c>
      <c r="H151" s="35"/>
      <c r="I151" s="35" t="s">
        <v>3311</v>
      </c>
      <c r="J151" s="35" t="s">
        <v>3311</v>
      </c>
      <c r="K151" s="35" t="s">
        <v>1437</v>
      </c>
      <c r="L151" s="35" t="s">
        <v>2361</v>
      </c>
      <c r="M151" s="35" t="s">
        <v>3319</v>
      </c>
      <c r="N151" s="35" t="s">
        <v>3320</v>
      </c>
      <c r="O151" s="35" t="s">
        <v>2812</v>
      </c>
      <c r="P151" s="35" t="s">
        <v>3321</v>
      </c>
      <c r="Q151" s="38">
        <v>45727</v>
      </c>
      <c r="R151" s="36" t="s">
        <v>3316</v>
      </c>
      <c r="S151" s="35"/>
    </row>
    <row r="152" spans="1:19" ht="15.6">
      <c r="A152" s="34">
        <v>151</v>
      </c>
      <c r="B152" s="35">
        <v>2025</v>
      </c>
      <c r="C152" s="35">
        <v>2025</v>
      </c>
      <c r="D152" s="35" t="s">
        <v>3322</v>
      </c>
      <c r="E152" s="35" t="s">
        <v>3323</v>
      </c>
      <c r="F152" s="35" t="s">
        <v>2665</v>
      </c>
      <c r="G152" s="35" t="s">
        <v>2657</v>
      </c>
      <c r="H152" s="35"/>
      <c r="I152" s="35" t="s">
        <v>3311</v>
      </c>
      <c r="J152" s="35" t="s">
        <v>3311</v>
      </c>
      <c r="K152" s="35" t="s">
        <v>1440</v>
      </c>
      <c r="L152" s="35" t="s">
        <v>2361</v>
      </c>
      <c r="M152" s="35" t="s">
        <v>3324</v>
      </c>
      <c r="N152" s="35" t="s">
        <v>3325</v>
      </c>
      <c r="O152" s="35" t="s">
        <v>2812</v>
      </c>
      <c r="P152" s="35" t="s">
        <v>3326</v>
      </c>
      <c r="Q152" s="38">
        <v>45727</v>
      </c>
      <c r="R152" s="36" t="s">
        <v>3316</v>
      </c>
      <c r="S152" s="35"/>
    </row>
    <row r="153" spans="1:19" ht="15.6">
      <c r="A153" s="34">
        <v>152</v>
      </c>
      <c r="B153" s="35">
        <v>2025</v>
      </c>
      <c r="C153" s="35">
        <v>2025</v>
      </c>
      <c r="D153" s="35" t="s">
        <v>3327</v>
      </c>
      <c r="E153" s="38">
        <v>39301</v>
      </c>
      <c r="F153" s="35" t="s">
        <v>2665</v>
      </c>
      <c r="G153" s="35" t="s">
        <v>2657</v>
      </c>
      <c r="H153" s="35"/>
      <c r="I153" s="35" t="s">
        <v>3311</v>
      </c>
      <c r="J153" s="35" t="s">
        <v>3311</v>
      </c>
      <c r="K153" s="35" t="s">
        <v>1443</v>
      </c>
      <c r="L153" s="35" t="s">
        <v>2361</v>
      </c>
      <c r="M153" s="35" t="s">
        <v>3328</v>
      </c>
      <c r="N153" s="35" t="s">
        <v>3329</v>
      </c>
      <c r="O153" s="35" t="s">
        <v>2812</v>
      </c>
      <c r="P153" s="35" t="s">
        <v>3330</v>
      </c>
      <c r="Q153" s="38">
        <v>45727</v>
      </c>
      <c r="R153" s="36" t="s">
        <v>3316</v>
      </c>
      <c r="S153" s="35"/>
    </row>
    <row r="154" spans="1:19" ht="15.6">
      <c r="A154" s="34">
        <v>153</v>
      </c>
      <c r="B154" s="35">
        <v>2025</v>
      </c>
      <c r="C154" s="35">
        <v>2025</v>
      </c>
      <c r="D154" s="35" t="s">
        <v>3331</v>
      </c>
      <c r="E154" s="35" t="s">
        <v>3332</v>
      </c>
      <c r="F154" s="35" t="s">
        <v>2665</v>
      </c>
      <c r="G154" s="35" t="s">
        <v>2657</v>
      </c>
      <c r="H154" s="35"/>
      <c r="I154" s="35" t="s">
        <v>3311</v>
      </c>
      <c r="J154" s="35" t="s">
        <v>3311</v>
      </c>
      <c r="K154" s="35" t="s">
        <v>1446</v>
      </c>
      <c r="L154" s="35" t="s">
        <v>2361</v>
      </c>
      <c r="M154" s="35" t="s">
        <v>3333</v>
      </c>
      <c r="N154" s="35" t="s">
        <v>3334</v>
      </c>
      <c r="O154" s="35" t="s">
        <v>2812</v>
      </c>
      <c r="P154" s="35" t="s">
        <v>3335</v>
      </c>
      <c r="Q154" s="38">
        <v>45727</v>
      </c>
      <c r="R154" s="36" t="s">
        <v>3316</v>
      </c>
      <c r="S154" s="35"/>
    </row>
    <row r="155" spans="1:19" ht="15.6">
      <c r="A155" s="34">
        <v>154</v>
      </c>
      <c r="B155" s="35">
        <v>2025</v>
      </c>
      <c r="C155" s="35">
        <v>2025</v>
      </c>
      <c r="D155" s="35" t="s">
        <v>3336</v>
      </c>
      <c r="E155" s="35" t="s">
        <v>3337</v>
      </c>
      <c r="F155" s="35" t="s">
        <v>2665</v>
      </c>
      <c r="G155" s="35" t="s">
        <v>2657</v>
      </c>
      <c r="H155" s="35"/>
      <c r="I155" s="35" t="s">
        <v>3311</v>
      </c>
      <c r="J155" s="35" t="s">
        <v>3311</v>
      </c>
      <c r="K155" s="35" t="s">
        <v>1449</v>
      </c>
      <c r="L155" s="35" t="s">
        <v>2361</v>
      </c>
      <c r="M155" s="35" t="s">
        <v>3338</v>
      </c>
      <c r="N155" s="35" t="s">
        <v>3339</v>
      </c>
      <c r="O155" s="35" t="s">
        <v>2812</v>
      </c>
      <c r="P155" s="35" t="s">
        <v>3340</v>
      </c>
      <c r="Q155" s="38">
        <v>45727</v>
      </c>
      <c r="R155" s="36" t="s">
        <v>3316</v>
      </c>
      <c r="S155" s="35"/>
    </row>
    <row r="156" spans="1:19" ht="15.6">
      <c r="A156" s="34">
        <v>155</v>
      </c>
      <c r="B156" s="35">
        <v>2025</v>
      </c>
      <c r="C156" s="35">
        <v>2025</v>
      </c>
      <c r="D156" s="35" t="s">
        <v>3341</v>
      </c>
      <c r="E156" s="38">
        <v>38540</v>
      </c>
      <c r="F156" s="35" t="s">
        <v>2665</v>
      </c>
      <c r="G156" s="35" t="s">
        <v>2657</v>
      </c>
      <c r="H156" s="35"/>
      <c r="I156" s="35" t="s">
        <v>3311</v>
      </c>
      <c r="J156" s="35" t="s">
        <v>3311</v>
      </c>
      <c r="K156" s="35" t="s">
        <v>1450</v>
      </c>
      <c r="L156" s="35" t="s">
        <v>2361</v>
      </c>
      <c r="M156" s="35" t="s">
        <v>3342</v>
      </c>
      <c r="N156" s="35" t="s">
        <v>3343</v>
      </c>
      <c r="O156" s="35" t="s">
        <v>2812</v>
      </c>
      <c r="P156" s="35" t="s">
        <v>3344</v>
      </c>
      <c r="Q156" s="38">
        <v>45727</v>
      </c>
      <c r="R156" s="36" t="s">
        <v>3316</v>
      </c>
      <c r="S156" s="35"/>
    </row>
    <row r="157" spans="1:19" ht="15.6">
      <c r="A157" s="34">
        <v>156</v>
      </c>
      <c r="B157" s="35">
        <v>2025</v>
      </c>
      <c r="C157" s="35">
        <v>2025</v>
      </c>
      <c r="D157" s="35" t="s">
        <v>3345</v>
      </c>
      <c r="E157" s="38">
        <v>39244</v>
      </c>
      <c r="F157" s="35" t="s">
        <v>2665</v>
      </c>
      <c r="G157" s="35" t="s">
        <v>2657</v>
      </c>
      <c r="H157" s="35"/>
      <c r="I157" s="35" t="s">
        <v>3311</v>
      </c>
      <c r="J157" s="35" t="s">
        <v>3311</v>
      </c>
      <c r="K157" s="35" t="s">
        <v>1453</v>
      </c>
      <c r="L157" s="35" t="s">
        <v>2361</v>
      </c>
      <c r="M157" s="35" t="s">
        <v>3346</v>
      </c>
      <c r="N157" s="35" t="s">
        <v>3347</v>
      </c>
      <c r="O157" s="35" t="s">
        <v>2812</v>
      </c>
      <c r="P157" s="35" t="s">
        <v>3348</v>
      </c>
      <c r="Q157" s="38">
        <v>45727</v>
      </c>
      <c r="R157" s="36" t="s">
        <v>3316</v>
      </c>
      <c r="S157" s="35"/>
    </row>
    <row r="158" spans="1:19" ht="15.6">
      <c r="A158" s="34">
        <v>157</v>
      </c>
      <c r="B158" s="35">
        <v>2025</v>
      </c>
      <c r="C158" s="35">
        <v>2025</v>
      </c>
      <c r="D158" s="35" t="s">
        <v>3349</v>
      </c>
      <c r="E158" s="35" t="s">
        <v>3350</v>
      </c>
      <c r="F158" s="35" t="s">
        <v>2665</v>
      </c>
      <c r="G158" s="35" t="s">
        <v>2657</v>
      </c>
      <c r="H158" s="35"/>
      <c r="I158" s="35" t="s">
        <v>3311</v>
      </c>
      <c r="J158" s="35" t="s">
        <v>3311</v>
      </c>
      <c r="K158" s="35" t="s">
        <v>1456</v>
      </c>
      <c r="L158" s="35" t="s">
        <v>2361</v>
      </c>
      <c r="M158" s="35" t="s">
        <v>3351</v>
      </c>
      <c r="N158" s="35" t="s">
        <v>3352</v>
      </c>
      <c r="O158" s="35" t="s">
        <v>2812</v>
      </c>
      <c r="P158" s="35" t="s">
        <v>3353</v>
      </c>
      <c r="Q158" s="38">
        <v>45727</v>
      </c>
      <c r="R158" s="36" t="s">
        <v>3316</v>
      </c>
      <c r="S158" s="35"/>
    </row>
    <row r="159" spans="1:19" ht="15.6">
      <c r="A159" s="34">
        <v>158</v>
      </c>
      <c r="B159" s="35">
        <v>2025</v>
      </c>
      <c r="C159" s="35">
        <v>2025</v>
      </c>
      <c r="D159" s="35" t="s">
        <v>3354</v>
      </c>
      <c r="E159" s="38">
        <v>38081</v>
      </c>
      <c r="F159" s="35" t="s">
        <v>2665</v>
      </c>
      <c r="G159" s="35" t="s">
        <v>2657</v>
      </c>
      <c r="H159" s="35"/>
      <c r="I159" s="35" t="s">
        <v>3311</v>
      </c>
      <c r="J159" s="35" t="s">
        <v>3311</v>
      </c>
      <c r="K159" s="35" t="s">
        <v>1457</v>
      </c>
      <c r="L159" s="35" t="s">
        <v>2361</v>
      </c>
      <c r="M159" s="35" t="s">
        <v>3355</v>
      </c>
      <c r="N159" s="35" t="s">
        <v>3356</v>
      </c>
      <c r="O159" s="35" t="s">
        <v>2812</v>
      </c>
      <c r="P159" s="35" t="s">
        <v>3357</v>
      </c>
      <c r="Q159" s="38">
        <v>45727</v>
      </c>
      <c r="R159" s="36" t="s">
        <v>3316</v>
      </c>
      <c r="S159" s="35"/>
    </row>
    <row r="160" spans="1:19" ht="15.6">
      <c r="A160" s="34">
        <v>159</v>
      </c>
      <c r="B160" s="35">
        <v>2025</v>
      </c>
      <c r="C160" s="35">
        <v>2025</v>
      </c>
      <c r="D160" s="35" t="s">
        <v>3358</v>
      </c>
      <c r="E160" s="35" t="s">
        <v>3359</v>
      </c>
      <c r="F160" s="35" t="s">
        <v>2665</v>
      </c>
      <c r="G160" s="35" t="s">
        <v>2657</v>
      </c>
      <c r="H160" s="35"/>
      <c r="I160" s="35" t="s">
        <v>3311</v>
      </c>
      <c r="J160" s="35" t="s">
        <v>3311</v>
      </c>
      <c r="K160" s="35" t="s">
        <v>1460</v>
      </c>
      <c r="L160" s="35" t="s">
        <v>2361</v>
      </c>
      <c r="M160" s="35" t="s">
        <v>3360</v>
      </c>
      <c r="N160" s="35" t="s">
        <v>3361</v>
      </c>
      <c r="O160" s="35" t="s">
        <v>2812</v>
      </c>
      <c r="P160" s="35" t="s">
        <v>3362</v>
      </c>
      <c r="Q160" s="38">
        <v>45727</v>
      </c>
      <c r="R160" s="36" t="s">
        <v>3316</v>
      </c>
      <c r="S160" s="35"/>
    </row>
    <row r="161" spans="1:19" ht="15.6">
      <c r="A161" s="34">
        <v>160</v>
      </c>
      <c r="B161" s="35">
        <v>2025</v>
      </c>
      <c r="C161" s="35">
        <v>2025</v>
      </c>
      <c r="D161" s="35" t="s">
        <v>3363</v>
      </c>
      <c r="E161" s="38">
        <v>39360</v>
      </c>
      <c r="F161" s="35" t="s">
        <v>2656</v>
      </c>
      <c r="G161" s="35" t="s">
        <v>2657</v>
      </c>
      <c r="H161" s="35"/>
      <c r="I161" s="35" t="s">
        <v>3311</v>
      </c>
      <c r="J161" s="35" t="s">
        <v>3311</v>
      </c>
      <c r="K161" s="35" t="s">
        <v>1462</v>
      </c>
      <c r="L161" s="35" t="s">
        <v>2361</v>
      </c>
      <c r="M161" s="35" t="s">
        <v>3364</v>
      </c>
      <c r="N161" s="35" t="s">
        <v>3365</v>
      </c>
      <c r="O161" s="35" t="s">
        <v>2812</v>
      </c>
      <c r="P161" s="35" t="s">
        <v>3366</v>
      </c>
      <c r="Q161" s="38">
        <v>45727</v>
      </c>
      <c r="R161" s="36" t="s">
        <v>3316</v>
      </c>
      <c r="S161" s="35"/>
    </row>
    <row r="162" spans="1:19" ht="15.6">
      <c r="A162" s="34">
        <v>161</v>
      </c>
      <c r="B162" s="35">
        <v>2025</v>
      </c>
      <c r="C162" s="35">
        <v>2025</v>
      </c>
      <c r="D162" s="35" t="s">
        <v>3367</v>
      </c>
      <c r="E162" s="38">
        <v>38543</v>
      </c>
      <c r="F162" s="35" t="s">
        <v>2656</v>
      </c>
      <c r="G162" s="35" t="s">
        <v>2657</v>
      </c>
      <c r="H162" s="35"/>
      <c r="I162" s="35" t="s">
        <v>3311</v>
      </c>
      <c r="J162" s="35" t="s">
        <v>3311</v>
      </c>
      <c r="K162" s="35" t="s">
        <v>1465</v>
      </c>
      <c r="L162" s="35" t="s">
        <v>2361</v>
      </c>
      <c r="M162" s="35" t="s">
        <v>3368</v>
      </c>
      <c r="N162" s="35" t="s">
        <v>3369</v>
      </c>
      <c r="O162" s="35" t="s">
        <v>2812</v>
      </c>
      <c r="P162" s="35" t="s">
        <v>3370</v>
      </c>
      <c r="Q162" s="38">
        <v>45727</v>
      </c>
      <c r="R162" s="36" t="s">
        <v>3316</v>
      </c>
      <c r="S162" s="35"/>
    </row>
    <row r="163" spans="1:19" ht="15.6">
      <c r="A163" s="34">
        <v>162</v>
      </c>
      <c r="B163" s="35">
        <v>2025</v>
      </c>
      <c r="C163" s="35">
        <v>2025</v>
      </c>
      <c r="D163" s="35" t="s">
        <v>3371</v>
      </c>
      <c r="E163" s="35" t="s">
        <v>3372</v>
      </c>
      <c r="F163" s="35" t="s">
        <v>2656</v>
      </c>
      <c r="G163" s="35" t="s">
        <v>2657</v>
      </c>
      <c r="H163" s="35"/>
      <c r="I163" s="35" t="s">
        <v>3311</v>
      </c>
      <c r="J163" s="35" t="s">
        <v>3311</v>
      </c>
      <c r="K163" s="35" t="s">
        <v>1469</v>
      </c>
      <c r="L163" s="35" t="s">
        <v>2361</v>
      </c>
      <c r="M163" s="35" t="s">
        <v>3373</v>
      </c>
      <c r="N163" s="35" t="s">
        <v>3374</v>
      </c>
      <c r="O163" s="35" t="s">
        <v>2812</v>
      </c>
      <c r="P163" s="35" t="s">
        <v>3375</v>
      </c>
      <c r="Q163" s="38">
        <v>45727</v>
      </c>
      <c r="R163" s="36" t="s">
        <v>3316</v>
      </c>
      <c r="S163" s="35"/>
    </row>
    <row r="164" spans="1:19" ht="15.6">
      <c r="A164" s="34">
        <v>163</v>
      </c>
      <c r="B164" s="35">
        <v>2025</v>
      </c>
      <c r="C164" s="35">
        <v>2025</v>
      </c>
      <c r="D164" s="35" t="s">
        <v>3376</v>
      </c>
      <c r="E164" s="35" t="s">
        <v>3377</v>
      </c>
      <c r="F164" s="35" t="s">
        <v>2665</v>
      </c>
      <c r="G164" s="35" t="s">
        <v>2657</v>
      </c>
      <c r="H164" s="35"/>
      <c r="I164" s="35" t="s">
        <v>3311</v>
      </c>
      <c r="J164" s="35" t="s">
        <v>3311</v>
      </c>
      <c r="K164" s="35" t="s">
        <v>1471</v>
      </c>
      <c r="L164" s="35" t="s">
        <v>2361</v>
      </c>
      <c r="M164" s="35" t="s">
        <v>3378</v>
      </c>
      <c r="N164" s="35" t="s">
        <v>3379</v>
      </c>
      <c r="O164" s="35" t="s">
        <v>2812</v>
      </c>
      <c r="P164" s="35" t="s">
        <v>3380</v>
      </c>
      <c r="Q164" s="38">
        <v>45727</v>
      </c>
      <c r="R164" s="36" t="s">
        <v>3316</v>
      </c>
      <c r="S164" s="35"/>
    </row>
    <row r="165" spans="1:19" ht="15.6">
      <c r="A165" s="34">
        <v>164</v>
      </c>
      <c r="B165" s="35">
        <v>2025</v>
      </c>
      <c r="C165" s="35">
        <v>2025</v>
      </c>
      <c r="D165" s="35" t="s">
        <v>3381</v>
      </c>
      <c r="E165" s="39" t="s">
        <v>3382</v>
      </c>
      <c r="F165" s="35" t="s">
        <v>2656</v>
      </c>
      <c r="G165" s="35" t="s">
        <v>2657</v>
      </c>
      <c r="H165" s="35"/>
      <c r="I165" s="35" t="s">
        <v>3311</v>
      </c>
      <c r="J165" s="35" t="s">
        <v>3311</v>
      </c>
      <c r="K165" s="35" t="s">
        <v>1474</v>
      </c>
      <c r="L165" s="35" t="s">
        <v>2361</v>
      </c>
      <c r="M165" s="35" t="s">
        <v>2669</v>
      </c>
      <c r="N165" s="35" t="s">
        <v>3383</v>
      </c>
      <c r="O165" s="35" t="s">
        <v>2812</v>
      </c>
      <c r="P165" s="35"/>
      <c r="Q165" s="35"/>
      <c r="R165" s="36"/>
      <c r="S165" s="35" t="s">
        <v>3384</v>
      </c>
    </row>
    <row r="166" spans="1:19" ht="15.6">
      <c r="A166" s="34">
        <v>165</v>
      </c>
      <c r="B166" s="35">
        <v>2025</v>
      </c>
      <c r="C166" s="35">
        <v>2025</v>
      </c>
      <c r="D166" s="35" t="s">
        <v>3385</v>
      </c>
      <c r="E166" s="35" t="s">
        <v>3386</v>
      </c>
      <c r="F166" s="35" t="s">
        <v>2665</v>
      </c>
      <c r="G166" s="35" t="s">
        <v>2657</v>
      </c>
      <c r="H166" s="35"/>
      <c r="I166" s="35" t="s">
        <v>3311</v>
      </c>
      <c r="J166" s="35" t="s">
        <v>3311</v>
      </c>
      <c r="K166" s="35" t="s">
        <v>1500</v>
      </c>
      <c r="L166" s="35" t="s">
        <v>2361</v>
      </c>
      <c r="M166" s="35" t="s">
        <v>2669</v>
      </c>
      <c r="N166" s="35" t="s">
        <v>3387</v>
      </c>
      <c r="O166" s="35" t="s">
        <v>2812</v>
      </c>
      <c r="P166" s="35"/>
      <c r="Q166" s="35"/>
      <c r="R166" s="36"/>
      <c r="S166" s="35" t="s">
        <v>3384</v>
      </c>
    </row>
    <row r="167" spans="1:19" ht="15.6">
      <c r="A167" s="34">
        <v>166</v>
      </c>
      <c r="B167" s="35">
        <v>2025</v>
      </c>
      <c r="C167" s="35">
        <v>2025</v>
      </c>
      <c r="D167" s="35" t="s">
        <v>3388</v>
      </c>
      <c r="E167" s="35" t="s">
        <v>3389</v>
      </c>
      <c r="F167" s="35" t="s">
        <v>2656</v>
      </c>
      <c r="G167" s="35" t="s">
        <v>2657</v>
      </c>
      <c r="H167" s="35" t="s">
        <v>3390</v>
      </c>
      <c r="I167" s="35" t="s">
        <v>3311</v>
      </c>
      <c r="J167" s="35" t="s">
        <v>3311</v>
      </c>
      <c r="K167" s="35" t="s">
        <v>1502</v>
      </c>
      <c r="L167" s="35" t="s">
        <v>2361</v>
      </c>
      <c r="M167" s="35" t="s">
        <v>2926</v>
      </c>
      <c r="N167" s="35" t="s">
        <v>3391</v>
      </c>
      <c r="O167" s="35" t="s">
        <v>2812</v>
      </c>
      <c r="P167" s="35"/>
      <c r="Q167" s="35"/>
      <c r="R167" s="36"/>
      <c r="S167" s="35" t="s">
        <v>3392</v>
      </c>
    </row>
    <row r="168" spans="1:19" ht="15.6">
      <c r="A168" s="34">
        <v>167</v>
      </c>
      <c r="B168" s="35">
        <v>2025</v>
      </c>
      <c r="C168" s="35" t="s">
        <v>3393</v>
      </c>
      <c r="D168" s="35" t="s">
        <v>3394</v>
      </c>
      <c r="E168" s="35" t="s">
        <v>3395</v>
      </c>
      <c r="F168" s="35" t="s">
        <v>2665</v>
      </c>
      <c r="G168" s="35" t="s">
        <v>2657</v>
      </c>
      <c r="H168" s="35" t="s">
        <v>3396</v>
      </c>
      <c r="I168" s="35" t="s">
        <v>3397</v>
      </c>
      <c r="J168" s="35" t="s">
        <v>3397</v>
      </c>
      <c r="K168" s="35" t="s">
        <v>1506</v>
      </c>
      <c r="L168" s="35" t="s">
        <v>2361</v>
      </c>
      <c r="M168" s="35" t="s">
        <v>2926</v>
      </c>
      <c r="N168" s="35" t="s">
        <v>3398</v>
      </c>
      <c r="O168" s="35" t="s">
        <v>2812</v>
      </c>
      <c r="P168" s="35"/>
      <c r="Q168" s="35"/>
      <c r="R168" s="36"/>
      <c r="S168" s="35" t="s">
        <v>3399</v>
      </c>
    </row>
    <row r="169" spans="1:19" ht="15.6">
      <c r="A169" s="34">
        <v>168</v>
      </c>
      <c r="B169" s="35">
        <v>2025</v>
      </c>
      <c r="C169" s="35">
        <v>2025</v>
      </c>
      <c r="D169" s="35" t="s">
        <v>3400</v>
      </c>
      <c r="E169" s="35" t="s">
        <v>3401</v>
      </c>
      <c r="F169" s="35" t="s">
        <v>2656</v>
      </c>
      <c r="G169" s="35" t="s">
        <v>2657</v>
      </c>
      <c r="H169" s="35" t="s">
        <v>3396</v>
      </c>
      <c r="I169" s="35" t="s">
        <v>3311</v>
      </c>
      <c r="J169" s="35" t="s">
        <v>3311</v>
      </c>
      <c r="K169" s="35" t="s">
        <v>1508</v>
      </c>
      <c r="L169" s="35" t="s">
        <v>2361</v>
      </c>
      <c r="M169" s="35" t="s">
        <v>2926</v>
      </c>
      <c r="N169" s="35" t="s">
        <v>3402</v>
      </c>
      <c r="O169" s="35" t="s">
        <v>2812</v>
      </c>
      <c r="P169" s="35" t="s">
        <v>3403</v>
      </c>
      <c r="Q169" s="35" t="s">
        <v>3404</v>
      </c>
      <c r="R169" s="36" t="s">
        <v>3405</v>
      </c>
      <c r="S169" s="35"/>
    </row>
    <row r="170" spans="1:19" ht="15.6">
      <c r="A170" s="34">
        <v>169</v>
      </c>
      <c r="B170" s="35">
        <v>2025</v>
      </c>
      <c r="C170" s="35">
        <v>2025</v>
      </c>
      <c r="D170" s="35" t="s">
        <v>3406</v>
      </c>
      <c r="E170" s="41" t="s">
        <v>3407</v>
      </c>
      <c r="F170" s="35" t="s">
        <v>2656</v>
      </c>
      <c r="G170" s="35" t="s">
        <v>2657</v>
      </c>
      <c r="H170" s="35" t="s">
        <v>3396</v>
      </c>
      <c r="I170" s="35" t="s">
        <v>3311</v>
      </c>
      <c r="J170" s="35" t="s">
        <v>3311</v>
      </c>
      <c r="K170" s="35" t="s">
        <v>1510</v>
      </c>
      <c r="L170" s="35" t="s">
        <v>2361</v>
      </c>
      <c r="M170" s="35" t="s">
        <v>2926</v>
      </c>
      <c r="N170" s="35" t="s">
        <v>3408</v>
      </c>
      <c r="O170" s="35" t="s">
        <v>2812</v>
      </c>
      <c r="P170" s="35" t="s">
        <v>3409</v>
      </c>
      <c r="Q170" s="35" t="s">
        <v>3404</v>
      </c>
      <c r="R170" s="36" t="s">
        <v>3405</v>
      </c>
      <c r="S170" s="35"/>
    </row>
    <row r="171" spans="1:19" ht="15.6">
      <c r="A171" s="34">
        <v>170</v>
      </c>
      <c r="B171" s="35">
        <v>2025</v>
      </c>
      <c r="C171" s="35">
        <v>2025</v>
      </c>
      <c r="D171" s="35" t="s">
        <v>3410</v>
      </c>
      <c r="E171" s="41" t="s">
        <v>3411</v>
      </c>
      <c r="F171" s="35" t="s">
        <v>2665</v>
      </c>
      <c r="G171" s="35" t="s">
        <v>2657</v>
      </c>
      <c r="H171" s="35" t="s">
        <v>3396</v>
      </c>
      <c r="I171" s="35" t="s">
        <v>3311</v>
      </c>
      <c r="J171" s="35" t="s">
        <v>3311</v>
      </c>
      <c r="K171" s="35" t="s">
        <v>1512</v>
      </c>
      <c r="L171" s="35" t="s">
        <v>2361</v>
      </c>
      <c r="M171" s="35" t="s">
        <v>2926</v>
      </c>
      <c r="N171" s="35" t="s">
        <v>3412</v>
      </c>
      <c r="O171" s="35" t="s">
        <v>2812</v>
      </c>
      <c r="P171" s="35" t="s">
        <v>3413</v>
      </c>
      <c r="Q171" s="35" t="s">
        <v>3414</v>
      </c>
      <c r="R171" s="36" t="s">
        <v>3405</v>
      </c>
      <c r="S171" s="35"/>
    </row>
    <row r="172" spans="1:19" ht="15.6">
      <c r="A172" s="34">
        <v>171</v>
      </c>
      <c r="B172" s="35">
        <v>2025</v>
      </c>
      <c r="C172" s="35">
        <v>2025</v>
      </c>
      <c r="D172" s="35" t="s">
        <v>3415</v>
      </c>
      <c r="E172" s="41" t="s">
        <v>3416</v>
      </c>
      <c r="F172" s="35" t="s">
        <v>2656</v>
      </c>
      <c r="G172" s="35" t="s">
        <v>2657</v>
      </c>
      <c r="H172" s="35" t="s">
        <v>3396</v>
      </c>
      <c r="I172" s="35" t="s">
        <v>3311</v>
      </c>
      <c r="J172" s="35" t="s">
        <v>3311</v>
      </c>
      <c r="K172" s="35" t="s">
        <v>1514</v>
      </c>
      <c r="L172" s="35" t="s">
        <v>2361</v>
      </c>
      <c r="M172" s="35" t="s">
        <v>2926</v>
      </c>
      <c r="N172" s="35" t="s">
        <v>3417</v>
      </c>
      <c r="O172" s="35" t="s">
        <v>2812</v>
      </c>
      <c r="P172" s="35" t="s">
        <v>3418</v>
      </c>
      <c r="Q172" s="35" t="s">
        <v>3404</v>
      </c>
      <c r="R172" s="36" t="s">
        <v>3405</v>
      </c>
      <c r="S172" s="35"/>
    </row>
    <row r="173" spans="1:19" ht="15.6">
      <c r="A173" s="34">
        <v>172</v>
      </c>
      <c r="B173" s="35">
        <v>2025</v>
      </c>
      <c r="C173" s="35">
        <v>2025</v>
      </c>
      <c r="D173" s="35" t="s">
        <v>3419</v>
      </c>
      <c r="E173" s="35" t="s">
        <v>3420</v>
      </c>
      <c r="F173" s="35" t="s">
        <v>2665</v>
      </c>
      <c r="G173" s="35" t="s">
        <v>2657</v>
      </c>
      <c r="H173" s="35" t="s">
        <v>3396</v>
      </c>
      <c r="I173" s="35" t="s">
        <v>3311</v>
      </c>
      <c r="J173" s="35" t="s">
        <v>3311</v>
      </c>
      <c r="K173" s="35" t="s">
        <v>1516</v>
      </c>
      <c r="L173" s="35" t="s">
        <v>2361</v>
      </c>
      <c r="M173" s="35" t="s">
        <v>2926</v>
      </c>
      <c r="N173" s="35" t="s">
        <v>3421</v>
      </c>
      <c r="O173" s="35" t="s">
        <v>2812</v>
      </c>
      <c r="P173" s="35" t="s">
        <v>3422</v>
      </c>
      <c r="Q173" s="35" t="s">
        <v>3404</v>
      </c>
      <c r="R173" s="36" t="s">
        <v>3405</v>
      </c>
      <c r="S173" s="35"/>
    </row>
    <row r="174" spans="1:19" ht="15.6">
      <c r="A174" s="34">
        <v>173</v>
      </c>
      <c r="B174" s="35">
        <v>2025</v>
      </c>
      <c r="C174" s="35">
        <v>2025</v>
      </c>
      <c r="D174" s="35" t="s">
        <v>3423</v>
      </c>
      <c r="E174" s="35" t="s">
        <v>3424</v>
      </c>
      <c r="F174" s="35" t="s">
        <v>2665</v>
      </c>
      <c r="G174" s="35" t="s">
        <v>2657</v>
      </c>
      <c r="H174" s="35" t="s">
        <v>3396</v>
      </c>
      <c r="I174" s="35" t="s">
        <v>3311</v>
      </c>
      <c r="J174" s="35" t="s">
        <v>3311</v>
      </c>
      <c r="K174" s="35" t="s">
        <v>1518</v>
      </c>
      <c r="L174" s="35" t="s">
        <v>2361</v>
      </c>
      <c r="M174" s="35" t="s">
        <v>2926</v>
      </c>
      <c r="N174" s="35" t="s">
        <v>3425</v>
      </c>
      <c r="O174" s="35" t="s">
        <v>2812</v>
      </c>
      <c r="P174" s="35" t="s">
        <v>3426</v>
      </c>
      <c r="Q174" s="35" t="s">
        <v>3404</v>
      </c>
      <c r="R174" s="36" t="s">
        <v>3405</v>
      </c>
      <c r="S174" s="35"/>
    </row>
    <row r="175" spans="1:19" ht="15.6">
      <c r="A175" s="34">
        <v>174</v>
      </c>
      <c r="B175" s="35">
        <v>2025</v>
      </c>
      <c r="C175" s="35">
        <v>2025</v>
      </c>
      <c r="D175" s="35" t="s">
        <v>3427</v>
      </c>
      <c r="E175" s="41" t="s">
        <v>3428</v>
      </c>
      <c r="F175" s="35" t="s">
        <v>2665</v>
      </c>
      <c r="G175" s="35" t="s">
        <v>2657</v>
      </c>
      <c r="H175" s="35" t="s">
        <v>3396</v>
      </c>
      <c r="I175" s="35" t="s">
        <v>3311</v>
      </c>
      <c r="J175" s="35" t="s">
        <v>3311</v>
      </c>
      <c r="K175" s="35" t="s">
        <v>1519</v>
      </c>
      <c r="L175" s="35" t="s">
        <v>2361</v>
      </c>
      <c r="M175" s="35" t="s">
        <v>2926</v>
      </c>
      <c r="N175" s="35" t="s">
        <v>3429</v>
      </c>
      <c r="O175" s="35" t="s">
        <v>2812</v>
      </c>
      <c r="P175" s="35" t="s">
        <v>3430</v>
      </c>
      <c r="Q175" s="35" t="s">
        <v>3404</v>
      </c>
      <c r="R175" s="36" t="s">
        <v>3405</v>
      </c>
      <c r="S175" s="35"/>
    </row>
    <row r="176" spans="1:19" ht="15.6">
      <c r="A176" s="34">
        <v>175</v>
      </c>
      <c r="B176" s="35">
        <v>2025</v>
      </c>
      <c r="C176" s="35">
        <v>2025</v>
      </c>
      <c r="D176" s="35" t="s">
        <v>3431</v>
      </c>
      <c r="E176" s="35" t="s">
        <v>3432</v>
      </c>
      <c r="F176" s="35" t="s">
        <v>2656</v>
      </c>
      <c r="G176" s="35" t="s">
        <v>2657</v>
      </c>
      <c r="H176" s="35" t="s">
        <v>3396</v>
      </c>
      <c r="I176" s="35" t="s">
        <v>3311</v>
      </c>
      <c r="J176" s="35" t="s">
        <v>3311</v>
      </c>
      <c r="K176" s="35" t="s">
        <v>1520</v>
      </c>
      <c r="L176" s="35" t="s">
        <v>2361</v>
      </c>
      <c r="M176" s="35" t="s">
        <v>2926</v>
      </c>
      <c r="N176" s="35" t="s">
        <v>3433</v>
      </c>
      <c r="O176" s="35" t="s">
        <v>2812</v>
      </c>
      <c r="P176" s="35" t="s">
        <v>3434</v>
      </c>
      <c r="Q176" s="35" t="s">
        <v>3404</v>
      </c>
      <c r="R176" s="36" t="s">
        <v>3405</v>
      </c>
      <c r="S176" s="35"/>
    </row>
    <row r="177" spans="1:19" ht="15.6">
      <c r="A177" s="34">
        <v>176</v>
      </c>
      <c r="B177" s="35">
        <v>2025</v>
      </c>
      <c r="C177" s="35">
        <v>2025</v>
      </c>
      <c r="D177" s="35" t="s">
        <v>3435</v>
      </c>
      <c r="E177" s="35" t="s">
        <v>3436</v>
      </c>
      <c r="F177" s="35" t="s">
        <v>2665</v>
      </c>
      <c r="G177" s="35" t="s">
        <v>2657</v>
      </c>
      <c r="H177" s="35" t="s">
        <v>3396</v>
      </c>
      <c r="I177" s="35" t="s">
        <v>3311</v>
      </c>
      <c r="J177" s="35" t="s">
        <v>3311</v>
      </c>
      <c r="K177" s="35" t="s">
        <v>1521</v>
      </c>
      <c r="L177" s="35" t="s">
        <v>2361</v>
      </c>
      <c r="M177" s="35" t="s">
        <v>2926</v>
      </c>
      <c r="N177" s="35" t="s">
        <v>3437</v>
      </c>
      <c r="O177" s="35" t="s">
        <v>2812</v>
      </c>
      <c r="P177" s="35" t="s">
        <v>3438</v>
      </c>
      <c r="Q177" s="35" t="s">
        <v>3404</v>
      </c>
      <c r="R177" s="36" t="s">
        <v>3405</v>
      </c>
      <c r="S177" s="35"/>
    </row>
    <row r="178" spans="1:19" ht="15.6">
      <c r="A178" s="34">
        <v>177</v>
      </c>
      <c r="B178" s="35">
        <v>2025</v>
      </c>
      <c r="C178" s="35">
        <v>2025</v>
      </c>
      <c r="D178" s="35" t="s">
        <v>3439</v>
      </c>
      <c r="E178" s="41" t="s">
        <v>3440</v>
      </c>
      <c r="F178" s="35" t="s">
        <v>2665</v>
      </c>
      <c r="G178" s="35" t="s">
        <v>2657</v>
      </c>
      <c r="H178" s="35" t="s">
        <v>3396</v>
      </c>
      <c r="I178" s="35" t="s">
        <v>3311</v>
      </c>
      <c r="J178" s="35" t="s">
        <v>3311</v>
      </c>
      <c r="K178" s="35" t="s">
        <v>1524</v>
      </c>
      <c r="L178" s="35" t="s">
        <v>2361</v>
      </c>
      <c r="M178" s="35" t="s">
        <v>2926</v>
      </c>
      <c r="N178" s="35" t="s">
        <v>3441</v>
      </c>
      <c r="O178" s="35" t="s">
        <v>2812</v>
      </c>
      <c r="P178" s="35" t="s">
        <v>3442</v>
      </c>
      <c r="Q178" s="35" t="s">
        <v>3404</v>
      </c>
      <c r="R178" s="36" t="s">
        <v>3405</v>
      </c>
      <c r="S178" s="35"/>
    </row>
    <row r="179" spans="1:19" ht="15.6">
      <c r="A179" s="34">
        <v>178</v>
      </c>
      <c r="B179" s="35">
        <v>2025</v>
      </c>
      <c r="C179" s="35">
        <v>2025</v>
      </c>
      <c r="D179" s="35" t="s">
        <v>3443</v>
      </c>
      <c r="E179" s="35">
        <v>39093</v>
      </c>
      <c r="F179" s="35" t="s">
        <v>2736</v>
      </c>
      <c r="G179" s="35" t="s">
        <v>2657</v>
      </c>
      <c r="H179" s="35" t="s">
        <v>3396</v>
      </c>
      <c r="I179" s="35" t="s">
        <v>3311</v>
      </c>
      <c r="J179" s="35" t="s">
        <v>3311</v>
      </c>
      <c r="K179" s="35" t="s">
        <v>1526</v>
      </c>
      <c r="L179" s="35" t="s">
        <v>2361</v>
      </c>
      <c r="M179" s="35" t="s">
        <v>2926</v>
      </c>
      <c r="N179" s="35" t="s">
        <v>3444</v>
      </c>
      <c r="O179" s="35" t="s">
        <v>2812</v>
      </c>
      <c r="P179" s="35" t="s">
        <v>3445</v>
      </c>
      <c r="Q179" s="35" t="s">
        <v>3404</v>
      </c>
      <c r="R179" s="36" t="s">
        <v>3405</v>
      </c>
      <c r="S179" s="35"/>
    </row>
    <row r="180" spans="1:19" ht="15.6">
      <c r="A180" s="34">
        <v>179</v>
      </c>
      <c r="B180" s="35">
        <v>2025</v>
      </c>
      <c r="C180" s="35">
        <v>2025</v>
      </c>
      <c r="D180" s="35" t="s">
        <v>3446</v>
      </c>
      <c r="E180" s="35" t="s">
        <v>3447</v>
      </c>
      <c r="F180" s="35" t="s">
        <v>2656</v>
      </c>
      <c r="G180" s="35" t="s">
        <v>2657</v>
      </c>
      <c r="H180" s="35" t="s">
        <v>3396</v>
      </c>
      <c r="I180" s="35" t="s">
        <v>3311</v>
      </c>
      <c r="J180" s="35" t="s">
        <v>3311</v>
      </c>
      <c r="K180" s="35" t="s">
        <v>1528</v>
      </c>
      <c r="L180" s="35" t="s">
        <v>2361</v>
      </c>
      <c r="M180" s="35" t="s">
        <v>2926</v>
      </c>
      <c r="N180" s="35" t="s">
        <v>3448</v>
      </c>
      <c r="O180" s="35" t="s">
        <v>2812</v>
      </c>
      <c r="P180" s="35" t="s">
        <v>3449</v>
      </c>
      <c r="Q180" s="35" t="s">
        <v>3414</v>
      </c>
      <c r="R180" s="36" t="s">
        <v>3405</v>
      </c>
      <c r="S180" s="35"/>
    </row>
    <row r="181" spans="1:19" ht="15.6">
      <c r="A181" s="34">
        <v>180</v>
      </c>
      <c r="B181" s="35">
        <v>2025</v>
      </c>
      <c r="C181" s="35">
        <v>2025</v>
      </c>
      <c r="D181" s="35" t="s">
        <v>3450</v>
      </c>
      <c r="E181" s="41" t="s">
        <v>3451</v>
      </c>
      <c r="F181" s="35" t="s">
        <v>2656</v>
      </c>
      <c r="G181" s="35" t="s">
        <v>2657</v>
      </c>
      <c r="H181" s="35" t="s">
        <v>3396</v>
      </c>
      <c r="I181" s="35" t="s">
        <v>3311</v>
      </c>
      <c r="J181" s="35" t="s">
        <v>3311</v>
      </c>
      <c r="K181" s="35" t="s">
        <v>1530</v>
      </c>
      <c r="L181" s="35" t="s">
        <v>2361</v>
      </c>
      <c r="M181" s="35" t="s">
        <v>2926</v>
      </c>
      <c r="N181" s="35" t="s">
        <v>3452</v>
      </c>
      <c r="O181" s="35" t="s">
        <v>2812</v>
      </c>
      <c r="P181" s="35" t="s">
        <v>3453</v>
      </c>
      <c r="Q181" s="35" t="s">
        <v>3404</v>
      </c>
      <c r="R181" s="36" t="s">
        <v>3405</v>
      </c>
      <c r="S181" s="35"/>
    </row>
    <row r="182" spans="1:19" ht="15.6">
      <c r="A182" s="34">
        <v>181</v>
      </c>
      <c r="B182" s="35">
        <v>2025</v>
      </c>
      <c r="C182" s="35">
        <v>2025</v>
      </c>
      <c r="D182" s="35" t="s">
        <v>3454</v>
      </c>
      <c r="E182" s="35" t="s">
        <v>3455</v>
      </c>
      <c r="F182" s="35" t="s">
        <v>2656</v>
      </c>
      <c r="G182" s="35" t="s">
        <v>2657</v>
      </c>
      <c r="H182" s="35" t="s">
        <v>3396</v>
      </c>
      <c r="I182" s="35" t="s">
        <v>3311</v>
      </c>
      <c r="J182" s="35" t="s">
        <v>3311</v>
      </c>
      <c r="K182" s="35" t="s">
        <v>1532</v>
      </c>
      <c r="L182" s="35" t="s">
        <v>2361</v>
      </c>
      <c r="M182" s="35" t="s">
        <v>2926</v>
      </c>
      <c r="N182" s="35" t="s">
        <v>3456</v>
      </c>
      <c r="O182" s="35" t="s">
        <v>2812</v>
      </c>
      <c r="P182" s="35" t="s">
        <v>3457</v>
      </c>
      <c r="Q182" s="35" t="s">
        <v>3414</v>
      </c>
      <c r="R182" s="36" t="s">
        <v>3405</v>
      </c>
      <c r="S182" s="35"/>
    </row>
    <row r="183" spans="1:19" ht="15.6">
      <c r="A183" s="34">
        <v>182</v>
      </c>
      <c r="B183" s="35">
        <v>2025</v>
      </c>
      <c r="C183" s="35">
        <v>2025</v>
      </c>
      <c r="D183" s="35" t="s">
        <v>3458</v>
      </c>
      <c r="E183" s="35" t="s">
        <v>3459</v>
      </c>
      <c r="F183" s="35" t="s">
        <v>2736</v>
      </c>
      <c r="G183" s="35" t="s">
        <v>2657</v>
      </c>
      <c r="H183" s="35" t="s">
        <v>3396</v>
      </c>
      <c r="I183" s="35" t="s">
        <v>3311</v>
      </c>
      <c r="J183" s="35" t="s">
        <v>3311</v>
      </c>
      <c r="K183" s="35" t="s">
        <v>1535</v>
      </c>
      <c r="L183" s="35" t="s">
        <v>2361</v>
      </c>
      <c r="M183" s="35" t="s">
        <v>2926</v>
      </c>
      <c r="N183" s="35" t="s">
        <v>3460</v>
      </c>
      <c r="O183" s="35" t="s">
        <v>2812</v>
      </c>
      <c r="P183" s="35" t="s">
        <v>3461</v>
      </c>
      <c r="Q183" s="35" t="s">
        <v>3404</v>
      </c>
      <c r="R183" s="36" t="s">
        <v>3405</v>
      </c>
      <c r="S183" s="35"/>
    </row>
    <row r="184" spans="1:19" ht="15.6">
      <c r="A184" s="34">
        <v>183</v>
      </c>
      <c r="B184" s="35">
        <v>2025</v>
      </c>
      <c r="C184" s="35">
        <v>2025</v>
      </c>
      <c r="D184" s="35" t="s">
        <v>3462</v>
      </c>
      <c r="E184" s="41" t="s">
        <v>3463</v>
      </c>
      <c r="F184" s="35" t="s">
        <v>2656</v>
      </c>
      <c r="G184" s="35" t="s">
        <v>2657</v>
      </c>
      <c r="H184" s="35" t="s">
        <v>3396</v>
      </c>
      <c r="I184" s="35" t="s">
        <v>3311</v>
      </c>
      <c r="J184" s="35" t="s">
        <v>3311</v>
      </c>
      <c r="K184" s="35" t="s">
        <v>1537</v>
      </c>
      <c r="L184" s="35" t="s">
        <v>2361</v>
      </c>
      <c r="M184" s="35" t="s">
        <v>2926</v>
      </c>
      <c r="N184" s="35" t="s">
        <v>3464</v>
      </c>
      <c r="O184" s="35" t="s">
        <v>2812</v>
      </c>
      <c r="P184" s="35" t="s">
        <v>3465</v>
      </c>
      <c r="Q184" s="35" t="s">
        <v>3414</v>
      </c>
      <c r="R184" s="36" t="s">
        <v>3405</v>
      </c>
      <c r="S184" s="35"/>
    </row>
    <row r="185" spans="1:19" ht="15.6">
      <c r="A185" s="34">
        <v>184</v>
      </c>
      <c r="B185" s="35">
        <v>2025</v>
      </c>
      <c r="C185" s="35">
        <v>2025</v>
      </c>
      <c r="D185" s="35" t="s">
        <v>3466</v>
      </c>
      <c r="E185" s="41" t="s">
        <v>3467</v>
      </c>
      <c r="F185" s="35" t="s">
        <v>2656</v>
      </c>
      <c r="G185" s="35" t="s">
        <v>2657</v>
      </c>
      <c r="H185" s="35" t="s">
        <v>3396</v>
      </c>
      <c r="I185" s="35" t="s">
        <v>3311</v>
      </c>
      <c r="J185" s="35" t="s">
        <v>3311</v>
      </c>
      <c r="K185" s="35" t="s">
        <v>1539</v>
      </c>
      <c r="L185" s="35" t="s">
        <v>2361</v>
      </c>
      <c r="M185" s="35" t="s">
        <v>2926</v>
      </c>
      <c r="N185" s="35" t="s">
        <v>3468</v>
      </c>
      <c r="O185" s="35" t="s">
        <v>2812</v>
      </c>
      <c r="P185" s="35" t="s">
        <v>3469</v>
      </c>
      <c r="Q185" s="35" t="s">
        <v>3414</v>
      </c>
      <c r="R185" s="36" t="s">
        <v>3405</v>
      </c>
      <c r="S185" s="35"/>
    </row>
    <row r="186" spans="1:19" ht="15.6">
      <c r="A186" s="34">
        <v>185</v>
      </c>
      <c r="B186" s="35">
        <v>2025</v>
      </c>
      <c r="C186" s="35">
        <v>2025</v>
      </c>
      <c r="D186" s="35" t="s">
        <v>3470</v>
      </c>
      <c r="E186" s="41" t="s">
        <v>3471</v>
      </c>
      <c r="F186" s="35" t="s">
        <v>2656</v>
      </c>
      <c r="G186" s="35" t="s">
        <v>2657</v>
      </c>
      <c r="H186" s="35" t="s">
        <v>3396</v>
      </c>
      <c r="I186" s="35" t="s">
        <v>3311</v>
      </c>
      <c r="J186" s="35" t="s">
        <v>3311</v>
      </c>
      <c r="K186" s="35" t="s">
        <v>1541</v>
      </c>
      <c r="L186" s="35" t="s">
        <v>2361</v>
      </c>
      <c r="M186" s="35" t="s">
        <v>2926</v>
      </c>
      <c r="N186" s="35" t="s">
        <v>3472</v>
      </c>
      <c r="O186" s="35" t="s">
        <v>2812</v>
      </c>
      <c r="P186" s="35" t="s">
        <v>3473</v>
      </c>
      <c r="Q186" s="35" t="s">
        <v>3414</v>
      </c>
      <c r="R186" s="36" t="s">
        <v>3405</v>
      </c>
      <c r="S186" s="35"/>
    </row>
    <row r="187" spans="1:19" ht="15.6">
      <c r="A187" s="34">
        <v>186</v>
      </c>
      <c r="B187" s="35">
        <v>2025</v>
      </c>
      <c r="C187" s="35">
        <v>2025</v>
      </c>
      <c r="D187" s="35" t="s">
        <v>3474</v>
      </c>
      <c r="E187" s="35" t="s">
        <v>3475</v>
      </c>
      <c r="F187" s="35" t="s">
        <v>2665</v>
      </c>
      <c r="G187" s="35" t="s">
        <v>2657</v>
      </c>
      <c r="H187" s="35" t="s">
        <v>3396</v>
      </c>
      <c r="I187" s="35" t="s">
        <v>3311</v>
      </c>
      <c r="J187" s="35" t="s">
        <v>3311</v>
      </c>
      <c r="K187" s="35" t="s">
        <v>1543</v>
      </c>
      <c r="L187" s="35" t="s">
        <v>2361</v>
      </c>
      <c r="M187" s="35" t="s">
        <v>2926</v>
      </c>
      <c r="N187" s="35" t="s">
        <v>3476</v>
      </c>
      <c r="O187" s="35" t="s">
        <v>2812</v>
      </c>
      <c r="P187" s="35" t="s">
        <v>3477</v>
      </c>
      <c r="Q187" s="35" t="s">
        <v>3414</v>
      </c>
      <c r="R187" s="36" t="s">
        <v>3405</v>
      </c>
      <c r="S187" s="35"/>
    </row>
    <row r="188" spans="1:19" ht="15.6">
      <c r="A188" s="34">
        <v>187</v>
      </c>
      <c r="B188" s="35">
        <v>2025</v>
      </c>
      <c r="C188" s="35">
        <v>2025</v>
      </c>
      <c r="D188" s="35" t="s">
        <v>3478</v>
      </c>
      <c r="E188" s="35" t="s">
        <v>3479</v>
      </c>
      <c r="F188" s="35" t="s">
        <v>2665</v>
      </c>
      <c r="G188" s="35" t="s">
        <v>2657</v>
      </c>
      <c r="H188" s="35" t="s">
        <v>3396</v>
      </c>
      <c r="I188" s="35" t="s">
        <v>3311</v>
      </c>
      <c r="J188" s="35" t="s">
        <v>3311</v>
      </c>
      <c r="K188" s="35" t="s">
        <v>1546</v>
      </c>
      <c r="L188" s="35" t="s">
        <v>2361</v>
      </c>
      <c r="M188" s="35" t="s">
        <v>2926</v>
      </c>
      <c r="N188" s="35" t="s">
        <v>3480</v>
      </c>
      <c r="O188" s="35" t="s">
        <v>2812</v>
      </c>
      <c r="P188" s="35" t="s">
        <v>3481</v>
      </c>
      <c r="Q188" s="35" t="s">
        <v>3414</v>
      </c>
      <c r="R188" s="36" t="s">
        <v>3405</v>
      </c>
      <c r="S188" s="35"/>
    </row>
    <row r="189" spans="1:19" ht="15.6">
      <c r="A189" s="34">
        <v>188</v>
      </c>
      <c r="B189" s="35">
        <v>2025</v>
      </c>
      <c r="C189" s="35">
        <v>2025</v>
      </c>
      <c r="D189" s="35" t="s">
        <v>3482</v>
      </c>
      <c r="E189" s="35" t="s">
        <v>3483</v>
      </c>
      <c r="F189" s="35" t="s">
        <v>2665</v>
      </c>
      <c r="G189" s="35" t="s">
        <v>2657</v>
      </c>
      <c r="H189" s="35" t="s">
        <v>3396</v>
      </c>
      <c r="I189" s="35" t="s">
        <v>3311</v>
      </c>
      <c r="J189" s="35" t="s">
        <v>3311</v>
      </c>
      <c r="K189" s="35" t="s">
        <v>1548</v>
      </c>
      <c r="L189" s="35" t="s">
        <v>2361</v>
      </c>
      <c r="M189" s="35" t="s">
        <v>2926</v>
      </c>
      <c r="N189" s="35" t="s">
        <v>3484</v>
      </c>
      <c r="O189" s="35" t="s">
        <v>2812</v>
      </c>
      <c r="P189" s="35" t="s">
        <v>3485</v>
      </c>
      <c r="Q189" s="35" t="s">
        <v>3404</v>
      </c>
      <c r="R189" s="36" t="s">
        <v>3405</v>
      </c>
      <c r="S189" s="35"/>
    </row>
    <row r="190" spans="1:19" ht="15.6">
      <c r="A190" s="34">
        <v>189</v>
      </c>
      <c r="B190" s="35">
        <v>2025</v>
      </c>
      <c r="C190" s="35">
        <v>2025</v>
      </c>
      <c r="D190" s="35" t="s">
        <v>3486</v>
      </c>
      <c r="E190" s="41" t="s">
        <v>3471</v>
      </c>
      <c r="F190" s="35" t="s">
        <v>2665</v>
      </c>
      <c r="G190" s="35" t="s">
        <v>2657</v>
      </c>
      <c r="H190" s="35" t="s">
        <v>3396</v>
      </c>
      <c r="I190" s="35" t="s">
        <v>3487</v>
      </c>
      <c r="J190" s="35" t="s">
        <v>3487</v>
      </c>
      <c r="K190" s="35" t="s">
        <v>1550</v>
      </c>
      <c r="L190" s="35" t="s">
        <v>2361</v>
      </c>
      <c r="M190" s="35" t="s">
        <v>2926</v>
      </c>
      <c r="N190" s="35" t="s">
        <v>3488</v>
      </c>
      <c r="O190" s="35" t="s">
        <v>2812</v>
      </c>
      <c r="P190" s="35" t="s">
        <v>3489</v>
      </c>
      <c r="Q190" s="35"/>
      <c r="R190" s="36"/>
      <c r="S190" s="35"/>
    </row>
    <row r="191" spans="1:19" ht="15.6">
      <c r="A191" s="34">
        <v>190</v>
      </c>
      <c r="B191" s="35">
        <v>2025</v>
      </c>
      <c r="C191" s="35">
        <v>2025</v>
      </c>
      <c r="D191" s="35" t="s">
        <v>3490</v>
      </c>
      <c r="E191" s="35" t="s">
        <v>3491</v>
      </c>
      <c r="F191" s="35" t="s">
        <v>2665</v>
      </c>
      <c r="G191" s="35" t="s">
        <v>2657</v>
      </c>
      <c r="H191" s="35" t="s">
        <v>3396</v>
      </c>
      <c r="I191" s="35" t="s">
        <v>3311</v>
      </c>
      <c r="J191" s="35" t="s">
        <v>3311</v>
      </c>
      <c r="K191" s="35" t="s">
        <v>1552</v>
      </c>
      <c r="L191" s="35" t="s">
        <v>2361</v>
      </c>
      <c r="M191" s="35" t="s">
        <v>2926</v>
      </c>
      <c r="N191" s="35" t="s">
        <v>3492</v>
      </c>
      <c r="O191" s="35" t="s">
        <v>2812</v>
      </c>
      <c r="P191" s="35" t="s">
        <v>3493</v>
      </c>
      <c r="Q191" s="35"/>
      <c r="R191" s="36"/>
      <c r="S191" s="35"/>
    </row>
    <row r="192" spans="1:19" ht="15.6">
      <c r="A192" s="34">
        <v>191</v>
      </c>
      <c r="B192" s="35">
        <v>2025</v>
      </c>
      <c r="C192" s="35">
        <v>2025</v>
      </c>
      <c r="D192" s="35" t="s">
        <v>3494</v>
      </c>
      <c r="E192" s="35"/>
      <c r="F192" s="35" t="s">
        <v>2656</v>
      </c>
      <c r="G192" s="35" t="s">
        <v>2657</v>
      </c>
      <c r="H192" s="35" t="s">
        <v>3396</v>
      </c>
      <c r="I192" s="35" t="s">
        <v>3311</v>
      </c>
      <c r="J192" s="35" t="s">
        <v>3311</v>
      </c>
      <c r="K192" s="35" t="s">
        <v>1554</v>
      </c>
      <c r="L192" s="35" t="s">
        <v>2361</v>
      </c>
      <c r="M192" s="35" t="s">
        <v>2669</v>
      </c>
      <c r="N192" s="35" t="s">
        <v>3495</v>
      </c>
      <c r="O192" s="35"/>
      <c r="P192" s="35"/>
      <c r="Q192" s="35"/>
      <c r="R192" s="36"/>
      <c r="S192" s="35" t="s">
        <v>3496</v>
      </c>
    </row>
    <row r="193" spans="1:19" ht="15.6">
      <c r="A193" s="34">
        <v>192</v>
      </c>
      <c r="B193" s="35">
        <v>2025</v>
      </c>
      <c r="C193" s="35">
        <v>2025</v>
      </c>
      <c r="D193" s="35" t="s">
        <v>3497</v>
      </c>
      <c r="E193" s="41" t="s">
        <v>3498</v>
      </c>
      <c r="F193" s="35" t="s">
        <v>2665</v>
      </c>
      <c r="G193" s="35" t="s">
        <v>2657</v>
      </c>
      <c r="H193" s="35" t="s">
        <v>3499</v>
      </c>
      <c r="I193" s="35" t="s">
        <v>3311</v>
      </c>
      <c r="J193" s="35" t="s">
        <v>3311</v>
      </c>
      <c r="K193" s="35" t="s">
        <v>1555</v>
      </c>
      <c r="L193" s="35" t="s">
        <v>2361</v>
      </c>
      <c r="M193" s="35" t="s">
        <v>3500</v>
      </c>
      <c r="N193" s="35" t="s">
        <v>3501</v>
      </c>
      <c r="O193" s="35" t="s">
        <v>2812</v>
      </c>
      <c r="P193" s="35"/>
      <c r="Q193" s="35"/>
      <c r="R193" s="36"/>
      <c r="S193" s="41" t="s">
        <v>3502</v>
      </c>
    </row>
    <row r="194" spans="1:19" ht="15.6">
      <c r="A194" s="34">
        <v>193</v>
      </c>
      <c r="B194" s="35">
        <v>2025</v>
      </c>
      <c r="C194" s="35">
        <v>2025</v>
      </c>
      <c r="D194" s="35" t="s">
        <v>3503</v>
      </c>
      <c r="E194" s="41" t="s">
        <v>3504</v>
      </c>
      <c r="F194" s="35" t="s">
        <v>2665</v>
      </c>
      <c r="G194" s="35" t="s">
        <v>2657</v>
      </c>
      <c r="H194" s="35" t="s">
        <v>3499</v>
      </c>
      <c r="I194" s="35" t="s">
        <v>3311</v>
      </c>
      <c r="J194" s="35" t="s">
        <v>3311</v>
      </c>
      <c r="K194" s="35" t="s">
        <v>1556</v>
      </c>
      <c r="L194" s="35" t="s">
        <v>2361</v>
      </c>
      <c r="M194" s="35" t="s">
        <v>3500</v>
      </c>
      <c r="N194" s="35" t="s">
        <v>3505</v>
      </c>
      <c r="O194" s="35" t="s">
        <v>2812</v>
      </c>
      <c r="P194" s="35"/>
      <c r="Q194" s="35"/>
      <c r="R194" s="36"/>
      <c r="S194" s="41" t="s">
        <v>3506</v>
      </c>
    </row>
    <row r="195" spans="1:19" ht="15.6">
      <c r="A195" s="34">
        <v>194</v>
      </c>
      <c r="B195" s="35">
        <v>2025</v>
      </c>
      <c r="C195" s="35">
        <v>2025</v>
      </c>
      <c r="D195" s="35" t="s">
        <v>3507</v>
      </c>
      <c r="E195" s="41" t="s">
        <v>3508</v>
      </c>
      <c r="F195" s="35" t="s">
        <v>2665</v>
      </c>
      <c r="G195" s="35" t="s">
        <v>2657</v>
      </c>
      <c r="H195" s="35" t="s">
        <v>3499</v>
      </c>
      <c r="I195" s="35" t="s">
        <v>3311</v>
      </c>
      <c r="J195" s="35" t="s">
        <v>3311</v>
      </c>
      <c r="K195" s="35" t="s">
        <v>1557</v>
      </c>
      <c r="L195" s="35" t="s">
        <v>2361</v>
      </c>
      <c r="M195" s="35" t="s">
        <v>3500</v>
      </c>
      <c r="N195" s="35" t="s">
        <v>3509</v>
      </c>
      <c r="O195" s="35" t="s">
        <v>2812</v>
      </c>
      <c r="P195" s="35"/>
      <c r="Q195" s="35"/>
      <c r="R195" s="36"/>
      <c r="S195" s="41" t="s">
        <v>3510</v>
      </c>
    </row>
    <row r="196" spans="1:19" ht="15.6">
      <c r="A196" s="34">
        <v>195</v>
      </c>
      <c r="B196" s="35">
        <v>2025</v>
      </c>
      <c r="C196" s="35">
        <v>2025</v>
      </c>
      <c r="D196" s="35" t="s">
        <v>3511</v>
      </c>
      <c r="E196" s="35" t="s">
        <v>3512</v>
      </c>
      <c r="F196" s="35" t="s">
        <v>2665</v>
      </c>
      <c r="G196" s="35" t="s">
        <v>2657</v>
      </c>
      <c r="H196" s="35" t="s">
        <v>3499</v>
      </c>
      <c r="I196" s="35" t="s">
        <v>3311</v>
      </c>
      <c r="J196" s="35" t="s">
        <v>3311</v>
      </c>
      <c r="K196" s="35" t="s">
        <v>1558</v>
      </c>
      <c r="L196" s="35" t="s">
        <v>2361</v>
      </c>
      <c r="M196" s="35" t="s">
        <v>3500</v>
      </c>
      <c r="N196" s="35" t="s">
        <v>3513</v>
      </c>
      <c r="O196" s="35" t="s">
        <v>2812</v>
      </c>
      <c r="P196" s="35"/>
      <c r="Q196" s="35"/>
      <c r="R196" s="36"/>
      <c r="S196" s="41" t="s">
        <v>3514</v>
      </c>
    </row>
    <row r="197" spans="1:19" ht="15.6">
      <c r="A197" s="34">
        <v>196</v>
      </c>
      <c r="B197" s="35">
        <v>2025</v>
      </c>
      <c r="C197" s="35">
        <v>2025</v>
      </c>
      <c r="D197" s="35" t="s">
        <v>3515</v>
      </c>
      <c r="E197" s="35" t="s">
        <v>3516</v>
      </c>
      <c r="F197" s="35" t="s">
        <v>2665</v>
      </c>
      <c r="G197" s="35" t="s">
        <v>2657</v>
      </c>
      <c r="H197" s="35" t="s">
        <v>3499</v>
      </c>
      <c r="I197" s="35" t="s">
        <v>3311</v>
      </c>
      <c r="J197" s="35" t="s">
        <v>3311</v>
      </c>
      <c r="K197" s="35" t="s">
        <v>1560</v>
      </c>
      <c r="L197" s="35" t="s">
        <v>2361</v>
      </c>
      <c r="M197" s="35" t="s">
        <v>3500</v>
      </c>
      <c r="N197" s="35" t="s">
        <v>3517</v>
      </c>
      <c r="O197" s="35" t="s">
        <v>2812</v>
      </c>
      <c r="P197" s="35"/>
      <c r="Q197" s="35"/>
      <c r="R197" s="36"/>
      <c r="S197" s="41" t="s">
        <v>3518</v>
      </c>
    </row>
    <row r="198" spans="1:19" ht="15.6">
      <c r="A198" s="34">
        <v>197</v>
      </c>
      <c r="B198" s="35">
        <v>2025</v>
      </c>
      <c r="C198" s="35">
        <v>2025</v>
      </c>
      <c r="D198" s="35" t="s">
        <v>3519</v>
      </c>
      <c r="E198" s="41" t="s">
        <v>3520</v>
      </c>
      <c r="F198" s="35" t="s">
        <v>2656</v>
      </c>
      <c r="G198" s="35" t="s">
        <v>2657</v>
      </c>
      <c r="H198" s="35" t="s">
        <v>3499</v>
      </c>
      <c r="I198" s="35" t="s">
        <v>3311</v>
      </c>
      <c r="J198" s="35" t="s">
        <v>3311</v>
      </c>
      <c r="K198" s="35" t="s">
        <v>1561</v>
      </c>
      <c r="L198" s="35" t="s">
        <v>2361</v>
      </c>
      <c r="M198" s="35" t="s">
        <v>3500</v>
      </c>
      <c r="N198" s="35" t="s">
        <v>3521</v>
      </c>
      <c r="O198" s="35" t="s">
        <v>2812</v>
      </c>
      <c r="P198" s="35"/>
      <c r="Q198" s="35"/>
      <c r="R198" s="36"/>
      <c r="S198" s="41" t="s">
        <v>3522</v>
      </c>
    </row>
    <row r="199" spans="1:19" ht="15.6">
      <c r="A199" s="34">
        <v>198</v>
      </c>
      <c r="B199" s="35">
        <v>2025</v>
      </c>
      <c r="C199" s="35">
        <v>2025</v>
      </c>
      <c r="D199" s="35" t="s">
        <v>3523</v>
      </c>
      <c r="E199" s="35" t="s">
        <v>3524</v>
      </c>
      <c r="F199" s="35" t="s">
        <v>2656</v>
      </c>
      <c r="G199" s="35" t="s">
        <v>2657</v>
      </c>
      <c r="H199" s="35" t="s">
        <v>3499</v>
      </c>
      <c r="I199" s="35" t="s">
        <v>3311</v>
      </c>
      <c r="J199" s="35" t="s">
        <v>3311</v>
      </c>
      <c r="K199" s="35" t="s">
        <v>1562</v>
      </c>
      <c r="L199" s="35" t="s">
        <v>2361</v>
      </c>
      <c r="M199" s="35" t="s">
        <v>3500</v>
      </c>
      <c r="N199" s="35" t="s">
        <v>3525</v>
      </c>
      <c r="O199" s="35" t="s">
        <v>2812</v>
      </c>
      <c r="P199" s="35"/>
      <c r="Q199" s="35"/>
      <c r="R199" s="36"/>
      <c r="S199" s="41" t="s">
        <v>3526</v>
      </c>
    </row>
    <row r="200" spans="1:19" ht="15.6">
      <c r="A200" s="34">
        <v>199</v>
      </c>
      <c r="B200" s="35">
        <v>2025</v>
      </c>
      <c r="C200" s="35">
        <v>2025</v>
      </c>
      <c r="D200" s="35" t="s">
        <v>3527</v>
      </c>
      <c r="E200" s="35" t="s">
        <v>3528</v>
      </c>
      <c r="F200" s="35" t="s">
        <v>2656</v>
      </c>
      <c r="G200" s="35" t="s">
        <v>2657</v>
      </c>
      <c r="H200" s="35" t="s">
        <v>3499</v>
      </c>
      <c r="I200" s="35" t="s">
        <v>3311</v>
      </c>
      <c r="J200" s="35" t="s">
        <v>3311</v>
      </c>
      <c r="K200" s="35" t="s">
        <v>1563</v>
      </c>
      <c r="L200" s="35" t="s">
        <v>2361</v>
      </c>
      <c r="M200" s="35" t="s">
        <v>3500</v>
      </c>
      <c r="N200" s="35" t="s">
        <v>3529</v>
      </c>
      <c r="O200" s="35" t="s">
        <v>2812</v>
      </c>
      <c r="P200" s="35"/>
      <c r="Q200" s="35"/>
      <c r="R200" s="36"/>
      <c r="S200" s="41" t="s">
        <v>3530</v>
      </c>
    </row>
    <row r="201" spans="1:19" ht="15.6">
      <c r="A201" s="34">
        <v>200</v>
      </c>
      <c r="B201" s="35">
        <v>2025</v>
      </c>
      <c r="C201" s="35">
        <v>2025</v>
      </c>
      <c r="D201" s="35" t="s">
        <v>3531</v>
      </c>
      <c r="E201" s="41" t="s">
        <v>3451</v>
      </c>
      <c r="F201" s="35" t="s">
        <v>2656</v>
      </c>
      <c r="G201" s="35" t="s">
        <v>2657</v>
      </c>
      <c r="H201" s="35" t="s">
        <v>3499</v>
      </c>
      <c r="I201" s="35" t="s">
        <v>3311</v>
      </c>
      <c r="J201" s="35" t="s">
        <v>3311</v>
      </c>
      <c r="K201" s="35" t="s">
        <v>1564</v>
      </c>
      <c r="L201" s="35" t="s">
        <v>2361</v>
      </c>
      <c r="M201" s="35" t="s">
        <v>3500</v>
      </c>
      <c r="N201" s="35" t="s">
        <v>3532</v>
      </c>
      <c r="O201" s="35" t="s">
        <v>2812</v>
      </c>
      <c r="P201" s="35"/>
      <c r="Q201" s="35"/>
      <c r="R201" s="36"/>
      <c r="S201" s="41" t="s">
        <v>3533</v>
      </c>
    </row>
    <row r="202" spans="1:19" ht="15.6">
      <c r="A202" s="34">
        <v>201</v>
      </c>
      <c r="B202" s="35">
        <v>2025</v>
      </c>
      <c r="C202" s="35">
        <v>2025</v>
      </c>
      <c r="D202" s="35" t="s">
        <v>3534</v>
      </c>
      <c r="E202" s="35" t="s">
        <v>3535</v>
      </c>
      <c r="F202" s="35" t="s">
        <v>2656</v>
      </c>
      <c r="G202" s="35" t="s">
        <v>2657</v>
      </c>
      <c r="H202" s="35" t="s">
        <v>3499</v>
      </c>
      <c r="I202" s="35" t="s">
        <v>3311</v>
      </c>
      <c r="J202" s="35" t="s">
        <v>3311</v>
      </c>
      <c r="K202" s="35" t="s">
        <v>1566</v>
      </c>
      <c r="L202" s="35" t="s">
        <v>2361</v>
      </c>
      <c r="M202" s="35" t="s">
        <v>3500</v>
      </c>
      <c r="N202" s="35" t="s">
        <v>3536</v>
      </c>
      <c r="O202" s="35" t="s">
        <v>2812</v>
      </c>
      <c r="P202" s="35"/>
      <c r="Q202" s="35"/>
      <c r="R202" s="36"/>
      <c r="S202" s="41" t="s">
        <v>3537</v>
      </c>
    </row>
    <row r="203" spans="1:19" ht="15.6">
      <c r="A203" s="34">
        <v>202</v>
      </c>
      <c r="B203" s="35"/>
      <c r="C203" s="35" t="s">
        <v>3393</v>
      </c>
      <c r="D203" s="35" t="s">
        <v>3538</v>
      </c>
      <c r="E203" s="41" t="s">
        <v>3539</v>
      </c>
      <c r="F203" s="35" t="s">
        <v>2656</v>
      </c>
      <c r="G203" s="35" t="s">
        <v>2657</v>
      </c>
      <c r="H203" s="35" t="s">
        <v>2925</v>
      </c>
      <c r="I203" s="35" t="s">
        <v>3540</v>
      </c>
      <c r="J203" s="35" t="s">
        <v>3311</v>
      </c>
      <c r="K203" s="35" t="e">
        <v>#N/A</v>
      </c>
      <c r="L203" s="35" t="e">
        <v>#N/A</v>
      </c>
      <c r="M203" s="35" t="s">
        <v>2926</v>
      </c>
      <c r="N203" s="35" t="s">
        <v>3541</v>
      </c>
      <c r="O203" s="35" t="s">
        <v>2812</v>
      </c>
      <c r="P203" s="35"/>
      <c r="Q203" s="35"/>
      <c r="R203" s="36"/>
      <c r="S203" s="35" t="s">
        <v>3542</v>
      </c>
    </row>
    <row r="204" spans="1:19" ht="15.6">
      <c r="A204" s="34">
        <v>203</v>
      </c>
      <c r="B204" s="35">
        <v>2025</v>
      </c>
      <c r="C204" s="35">
        <v>2025</v>
      </c>
      <c r="D204" s="35" t="s">
        <v>3543</v>
      </c>
      <c r="E204" s="41" t="s">
        <v>3544</v>
      </c>
      <c r="F204" s="35" t="s">
        <v>2656</v>
      </c>
      <c r="G204" s="35" t="s">
        <v>2657</v>
      </c>
      <c r="H204" s="35" t="s">
        <v>2925</v>
      </c>
      <c r="I204" s="35" t="s">
        <v>3311</v>
      </c>
      <c r="J204" s="35" t="s">
        <v>3311</v>
      </c>
      <c r="K204" s="35" t="s">
        <v>1567</v>
      </c>
      <c r="L204" s="35" t="s">
        <v>2361</v>
      </c>
      <c r="M204" s="35" t="s">
        <v>2926</v>
      </c>
      <c r="N204" s="35" t="s">
        <v>3545</v>
      </c>
      <c r="O204" s="35" t="s">
        <v>2812</v>
      </c>
      <c r="P204" s="35"/>
      <c r="Q204" s="35"/>
      <c r="R204" s="36"/>
      <c r="S204" s="35"/>
    </row>
    <row r="205" spans="1:19" ht="15.6">
      <c r="A205" s="34">
        <v>204</v>
      </c>
      <c r="B205" s="35">
        <v>2025</v>
      </c>
      <c r="C205" s="35">
        <v>2025</v>
      </c>
      <c r="D205" s="35" t="s">
        <v>3546</v>
      </c>
      <c r="E205" s="41" t="s">
        <v>3547</v>
      </c>
      <c r="F205" s="35" t="s">
        <v>2656</v>
      </c>
      <c r="G205" s="35" t="s">
        <v>2657</v>
      </c>
      <c r="H205" s="35" t="s">
        <v>2925</v>
      </c>
      <c r="I205" s="35" t="s">
        <v>3311</v>
      </c>
      <c r="J205" s="35" t="s">
        <v>3311</v>
      </c>
      <c r="K205" s="35" t="s">
        <v>1569</v>
      </c>
      <c r="L205" s="35" t="s">
        <v>2361</v>
      </c>
      <c r="M205" s="35" t="s">
        <v>2926</v>
      </c>
      <c r="N205" s="35" t="s">
        <v>3548</v>
      </c>
      <c r="O205" s="35" t="s">
        <v>2812</v>
      </c>
      <c r="P205" s="35"/>
      <c r="Q205" s="35"/>
      <c r="R205" s="36"/>
      <c r="S205" s="35"/>
    </row>
    <row r="206" spans="1:19" ht="15.6">
      <c r="A206" s="34">
        <v>205</v>
      </c>
      <c r="B206" s="35">
        <v>2025</v>
      </c>
      <c r="C206" s="35">
        <v>2025</v>
      </c>
      <c r="D206" s="35" t="s">
        <v>3549</v>
      </c>
      <c r="E206" s="41" t="s">
        <v>3550</v>
      </c>
      <c r="F206" s="35" t="s">
        <v>2656</v>
      </c>
      <c r="G206" s="35" t="s">
        <v>2657</v>
      </c>
      <c r="H206" s="35" t="s">
        <v>2925</v>
      </c>
      <c r="I206" s="35" t="s">
        <v>3311</v>
      </c>
      <c r="J206" s="35" t="s">
        <v>3311</v>
      </c>
      <c r="K206" s="35" t="s">
        <v>1572</v>
      </c>
      <c r="L206" s="35" t="s">
        <v>2361</v>
      </c>
      <c r="M206" s="35" t="s">
        <v>2926</v>
      </c>
      <c r="N206" s="35" t="s">
        <v>3551</v>
      </c>
      <c r="O206" s="35" t="s">
        <v>2812</v>
      </c>
      <c r="P206" s="35"/>
      <c r="Q206" s="35"/>
      <c r="R206" s="36"/>
      <c r="S206" s="35"/>
    </row>
    <row r="207" spans="1:19" ht="15.6">
      <c r="A207" s="34">
        <v>206</v>
      </c>
      <c r="B207" s="35">
        <v>2025</v>
      </c>
      <c r="C207" s="35">
        <v>2025</v>
      </c>
      <c r="D207" s="35" t="s">
        <v>3552</v>
      </c>
      <c r="E207" s="41" t="s">
        <v>3451</v>
      </c>
      <c r="F207" s="35" t="s">
        <v>2656</v>
      </c>
      <c r="G207" s="35" t="s">
        <v>2657</v>
      </c>
      <c r="H207" s="35" t="s">
        <v>2925</v>
      </c>
      <c r="I207" s="35" t="s">
        <v>3311</v>
      </c>
      <c r="J207" s="35" t="s">
        <v>3311</v>
      </c>
      <c r="K207" s="35" t="s">
        <v>1574</v>
      </c>
      <c r="L207" s="35" t="s">
        <v>2361</v>
      </c>
      <c r="M207" s="35" t="s">
        <v>2926</v>
      </c>
      <c r="N207" s="35" t="s">
        <v>3553</v>
      </c>
      <c r="O207" s="35" t="s">
        <v>2812</v>
      </c>
      <c r="P207" s="35"/>
      <c r="Q207" s="35"/>
      <c r="R207" s="36"/>
      <c r="S207" s="35"/>
    </row>
    <row r="208" spans="1:19" ht="15.6">
      <c r="A208" s="34">
        <v>207</v>
      </c>
      <c r="B208" s="35">
        <v>2025</v>
      </c>
      <c r="C208" s="35">
        <v>2025</v>
      </c>
      <c r="D208" s="35" t="s">
        <v>3554</v>
      </c>
      <c r="E208" s="41" t="s">
        <v>3555</v>
      </c>
      <c r="F208" s="35" t="s">
        <v>2656</v>
      </c>
      <c r="G208" s="35" t="s">
        <v>2657</v>
      </c>
      <c r="H208" s="35" t="s">
        <v>2925</v>
      </c>
      <c r="I208" s="35" t="s">
        <v>3311</v>
      </c>
      <c r="J208" s="35" t="s">
        <v>3311</v>
      </c>
      <c r="K208" s="35" t="s">
        <v>1576</v>
      </c>
      <c r="L208" s="35" t="s">
        <v>2361</v>
      </c>
      <c r="M208" s="35" t="s">
        <v>2926</v>
      </c>
      <c r="N208" s="35" t="s">
        <v>3556</v>
      </c>
      <c r="O208" s="35" t="s">
        <v>2812</v>
      </c>
      <c r="P208" s="35"/>
      <c r="Q208" s="35"/>
      <c r="R208" s="36"/>
      <c r="S208" s="35"/>
    </row>
    <row r="209" spans="1:19" ht="15.6">
      <c r="A209" s="34">
        <v>208</v>
      </c>
      <c r="B209" s="35">
        <v>2025</v>
      </c>
      <c r="C209" s="35">
        <v>2025</v>
      </c>
      <c r="D209" s="35" t="s">
        <v>3557</v>
      </c>
      <c r="E209" s="41" t="s">
        <v>3558</v>
      </c>
      <c r="F209" s="35" t="s">
        <v>2656</v>
      </c>
      <c r="G209" s="35" t="s">
        <v>2657</v>
      </c>
      <c r="H209" s="35" t="s">
        <v>2925</v>
      </c>
      <c r="I209" s="35" t="s">
        <v>3311</v>
      </c>
      <c r="J209" s="35" t="s">
        <v>3311</v>
      </c>
      <c r="K209" s="35" t="s">
        <v>1578</v>
      </c>
      <c r="L209" s="35" t="s">
        <v>2361</v>
      </c>
      <c r="M209" s="35" t="s">
        <v>2926</v>
      </c>
      <c r="N209" s="35" t="s">
        <v>3559</v>
      </c>
      <c r="O209" s="35" t="s">
        <v>2812</v>
      </c>
      <c r="P209" s="35"/>
      <c r="Q209" s="35"/>
      <c r="R209" s="36"/>
      <c r="S209" s="35"/>
    </row>
    <row r="210" spans="1:19" ht="15.6">
      <c r="A210" s="34">
        <v>209</v>
      </c>
      <c r="B210" s="35">
        <v>2025</v>
      </c>
      <c r="C210" s="35">
        <v>2025</v>
      </c>
      <c r="D210" s="35" t="s">
        <v>3560</v>
      </c>
      <c r="E210" s="41" t="s">
        <v>3561</v>
      </c>
      <c r="F210" s="35" t="s">
        <v>2656</v>
      </c>
      <c r="G210" s="35" t="s">
        <v>2657</v>
      </c>
      <c r="H210" s="35" t="s">
        <v>2925</v>
      </c>
      <c r="I210" s="35" t="s">
        <v>3311</v>
      </c>
      <c r="J210" s="35" t="s">
        <v>3311</v>
      </c>
      <c r="K210" s="35" t="s">
        <v>1579</v>
      </c>
      <c r="L210" s="35" t="s">
        <v>2361</v>
      </c>
      <c r="M210" s="35" t="s">
        <v>2926</v>
      </c>
      <c r="N210" s="35" t="s">
        <v>3562</v>
      </c>
      <c r="O210" s="35" t="s">
        <v>2812</v>
      </c>
      <c r="P210" s="35"/>
      <c r="Q210" s="35"/>
      <c r="R210" s="36"/>
      <c r="S210" s="35"/>
    </row>
    <row r="211" spans="1:19" ht="15.6">
      <c r="A211" s="34">
        <v>210</v>
      </c>
      <c r="B211" s="35">
        <v>2025</v>
      </c>
      <c r="C211" s="35">
        <v>2025</v>
      </c>
      <c r="D211" s="35" t="s">
        <v>3563</v>
      </c>
      <c r="E211" s="41" t="s">
        <v>3564</v>
      </c>
      <c r="F211" s="35" t="s">
        <v>2665</v>
      </c>
      <c r="G211" s="35" t="s">
        <v>2657</v>
      </c>
      <c r="H211" s="35" t="s">
        <v>2925</v>
      </c>
      <c r="I211" s="35" t="s">
        <v>3311</v>
      </c>
      <c r="J211" s="35" t="s">
        <v>3311</v>
      </c>
      <c r="K211" s="35" t="s">
        <v>1582</v>
      </c>
      <c r="L211" s="35" t="s">
        <v>2361</v>
      </c>
      <c r="M211" s="35" t="s">
        <v>2926</v>
      </c>
      <c r="N211" s="35" t="s">
        <v>3565</v>
      </c>
      <c r="O211" s="35" t="s">
        <v>2812</v>
      </c>
      <c r="P211" s="35"/>
      <c r="Q211" s="35"/>
      <c r="R211" s="36"/>
      <c r="S211" s="35"/>
    </row>
    <row r="212" spans="1:19" ht="15.6">
      <c r="A212" s="34">
        <v>211</v>
      </c>
      <c r="B212" s="35">
        <v>2025</v>
      </c>
      <c r="C212" s="35">
        <v>2025</v>
      </c>
      <c r="D212" s="35" t="s">
        <v>3566</v>
      </c>
      <c r="E212" s="41" t="s">
        <v>3567</v>
      </c>
      <c r="F212" s="35" t="s">
        <v>2665</v>
      </c>
      <c r="G212" s="35" t="s">
        <v>2657</v>
      </c>
      <c r="H212" s="35" t="s">
        <v>2925</v>
      </c>
      <c r="I212" s="35" t="s">
        <v>3311</v>
      </c>
      <c r="J212" s="35" t="s">
        <v>3311</v>
      </c>
      <c r="K212" s="35" t="s">
        <v>1584</v>
      </c>
      <c r="L212" s="35" t="s">
        <v>2361</v>
      </c>
      <c r="M212" s="35" t="s">
        <v>2926</v>
      </c>
      <c r="N212" s="35" t="s">
        <v>3568</v>
      </c>
      <c r="O212" s="35" t="s">
        <v>2812</v>
      </c>
      <c r="P212" s="35"/>
      <c r="Q212" s="35"/>
      <c r="R212" s="36"/>
      <c r="S212" s="35"/>
    </row>
    <row r="213" spans="1:19" ht="15.6">
      <c r="A213" s="34">
        <v>212</v>
      </c>
      <c r="B213" s="35">
        <v>2025</v>
      </c>
      <c r="C213" s="35">
        <v>2025</v>
      </c>
      <c r="D213" s="35" t="s">
        <v>3569</v>
      </c>
      <c r="E213" s="41" t="s">
        <v>3570</v>
      </c>
      <c r="F213" s="35" t="s">
        <v>2665</v>
      </c>
      <c r="G213" s="35" t="s">
        <v>2657</v>
      </c>
      <c r="H213" s="35" t="s">
        <v>2925</v>
      </c>
      <c r="I213" s="35" t="s">
        <v>3311</v>
      </c>
      <c r="J213" s="35" t="s">
        <v>3311</v>
      </c>
      <c r="K213" s="35" t="s">
        <v>1586</v>
      </c>
      <c r="L213" s="35" t="s">
        <v>2361</v>
      </c>
      <c r="M213" s="35" t="s">
        <v>2926</v>
      </c>
      <c r="N213" s="35" t="s">
        <v>3571</v>
      </c>
      <c r="O213" s="35" t="s">
        <v>2812</v>
      </c>
      <c r="P213" s="35"/>
      <c r="Q213" s="35"/>
      <c r="R213" s="36"/>
      <c r="S213" s="35"/>
    </row>
    <row r="214" spans="1:19" ht="15.6">
      <c r="A214" s="34">
        <v>213</v>
      </c>
      <c r="B214" s="35">
        <v>2025</v>
      </c>
      <c r="C214" s="35">
        <v>2025</v>
      </c>
      <c r="D214" s="35" t="s">
        <v>3572</v>
      </c>
      <c r="E214" s="41" t="s">
        <v>3573</v>
      </c>
      <c r="F214" s="35" t="s">
        <v>2665</v>
      </c>
      <c r="G214" s="35" t="s">
        <v>2657</v>
      </c>
      <c r="H214" s="35" t="s">
        <v>2925</v>
      </c>
      <c r="I214" s="35" t="s">
        <v>3311</v>
      </c>
      <c r="J214" s="35" t="s">
        <v>3311</v>
      </c>
      <c r="K214" s="35" t="s">
        <v>1588</v>
      </c>
      <c r="L214" s="35" t="s">
        <v>2361</v>
      </c>
      <c r="M214" s="35" t="s">
        <v>2926</v>
      </c>
      <c r="N214" s="35" t="s">
        <v>3574</v>
      </c>
      <c r="O214" s="35" t="s">
        <v>2812</v>
      </c>
      <c r="P214" s="35"/>
      <c r="Q214" s="35"/>
      <c r="R214" s="36"/>
      <c r="S214" s="35"/>
    </row>
    <row r="215" spans="1:19" ht="15.6">
      <c r="A215" s="34">
        <v>214</v>
      </c>
      <c r="B215" s="35">
        <v>2025</v>
      </c>
      <c r="C215" s="35">
        <v>2025</v>
      </c>
      <c r="D215" s="35" t="s">
        <v>3575</v>
      </c>
      <c r="E215" s="41" t="s">
        <v>3576</v>
      </c>
      <c r="F215" s="35" t="s">
        <v>2665</v>
      </c>
      <c r="G215" s="35" t="s">
        <v>2657</v>
      </c>
      <c r="H215" s="35" t="s">
        <v>2925</v>
      </c>
      <c r="I215" s="35" t="s">
        <v>3311</v>
      </c>
      <c r="J215" s="35" t="s">
        <v>3311</v>
      </c>
      <c r="K215" s="35" t="s">
        <v>1591</v>
      </c>
      <c r="L215" s="35" t="s">
        <v>2361</v>
      </c>
      <c r="M215" s="35" t="s">
        <v>2926</v>
      </c>
      <c r="N215" s="35" t="s">
        <v>3577</v>
      </c>
      <c r="O215" s="35" t="s">
        <v>2812</v>
      </c>
      <c r="P215" s="35"/>
      <c r="Q215" s="35"/>
      <c r="R215" s="36"/>
      <c r="S215" s="35"/>
    </row>
    <row r="216" spans="1:19" ht="15.6">
      <c r="A216" s="34">
        <v>215</v>
      </c>
      <c r="B216" s="35">
        <v>2025</v>
      </c>
      <c r="C216" s="35">
        <v>2025</v>
      </c>
      <c r="D216" s="35" t="s">
        <v>3578</v>
      </c>
      <c r="E216" s="41" t="s">
        <v>3579</v>
      </c>
      <c r="F216" s="35" t="s">
        <v>2665</v>
      </c>
      <c r="G216" s="35" t="s">
        <v>2657</v>
      </c>
      <c r="H216" s="35" t="s">
        <v>2925</v>
      </c>
      <c r="I216" s="35" t="s">
        <v>3311</v>
      </c>
      <c r="J216" s="35" t="s">
        <v>3311</v>
      </c>
      <c r="K216" s="35" t="s">
        <v>1593</v>
      </c>
      <c r="L216" s="35" t="s">
        <v>2361</v>
      </c>
      <c r="M216" s="35" t="s">
        <v>2926</v>
      </c>
      <c r="N216" s="35" t="s">
        <v>3580</v>
      </c>
      <c r="O216" s="35" t="s">
        <v>2812</v>
      </c>
      <c r="P216" s="35"/>
      <c r="Q216" s="35"/>
      <c r="R216" s="36"/>
      <c r="S216" s="35"/>
    </row>
    <row r="217" spans="1:19" ht="15.6">
      <c r="A217" s="34">
        <v>216</v>
      </c>
      <c r="B217" s="35">
        <v>2025</v>
      </c>
      <c r="C217" s="35">
        <v>2025</v>
      </c>
      <c r="D217" s="35" t="s">
        <v>3581</v>
      </c>
      <c r="E217" s="41" t="s">
        <v>3582</v>
      </c>
      <c r="F217" s="35" t="s">
        <v>2665</v>
      </c>
      <c r="G217" s="35" t="s">
        <v>2657</v>
      </c>
      <c r="H217" s="35" t="s">
        <v>2925</v>
      </c>
      <c r="I217" s="35" t="s">
        <v>3311</v>
      </c>
      <c r="J217" s="35" t="s">
        <v>3311</v>
      </c>
      <c r="K217" s="35" t="s">
        <v>1595</v>
      </c>
      <c r="L217" s="35" t="s">
        <v>2361</v>
      </c>
      <c r="M217" s="35" t="s">
        <v>2926</v>
      </c>
      <c r="N217" s="35" t="s">
        <v>3583</v>
      </c>
      <c r="O217" s="35" t="s">
        <v>2812</v>
      </c>
      <c r="P217" s="35"/>
      <c r="Q217" s="35"/>
      <c r="R217" s="36"/>
      <c r="S217" s="35"/>
    </row>
    <row r="218" spans="1:19" ht="15.6">
      <c r="A218" s="34">
        <v>217</v>
      </c>
      <c r="B218" s="35">
        <v>2025</v>
      </c>
      <c r="C218" s="35">
        <v>2025</v>
      </c>
      <c r="D218" s="35" t="s">
        <v>3584</v>
      </c>
      <c r="E218" s="41" t="s">
        <v>3585</v>
      </c>
      <c r="F218" s="35" t="s">
        <v>2665</v>
      </c>
      <c r="G218" s="35" t="s">
        <v>2657</v>
      </c>
      <c r="H218" s="35" t="s">
        <v>2925</v>
      </c>
      <c r="I218" s="35" t="s">
        <v>3311</v>
      </c>
      <c r="J218" s="35" t="s">
        <v>3311</v>
      </c>
      <c r="K218" s="35" t="s">
        <v>1597</v>
      </c>
      <c r="L218" s="35" t="s">
        <v>2361</v>
      </c>
      <c r="M218" s="35" t="s">
        <v>2926</v>
      </c>
      <c r="N218" s="35" t="s">
        <v>3586</v>
      </c>
      <c r="O218" s="35" t="s">
        <v>2812</v>
      </c>
      <c r="P218" s="35"/>
      <c r="Q218" s="35"/>
      <c r="R218" s="36"/>
      <c r="S218" s="35"/>
    </row>
    <row r="219" spans="1:19" ht="15.6">
      <c r="A219" s="34">
        <v>218</v>
      </c>
      <c r="B219" s="35">
        <v>2025</v>
      </c>
      <c r="C219" s="35">
        <v>2025</v>
      </c>
      <c r="D219" s="35" t="s">
        <v>3587</v>
      </c>
      <c r="E219" s="41" t="s">
        <v>3588</v>
      </c>
      <c r="F219" s="35" t="s">
        <v>2665</v>
      </c>
      <c r="G219" s="35" t="s">
        <v>2657</v>
      </c>
      <c r="H219" s="35" t="s">
        <v>2925</v>
      </c>
      <c r="I219" s="35" t="s">
        <v>3311</v>
      </c>
      <c r="J219" s="35" t="s">
        <v>3311</v>
      </c>
      <c r="K219" s="35" t="s">
        <v>1599</v>
      </c>
      <c r="L219" s="35" t="s">
        <v>2361</v>
      </c>
      <c r="M219" s="35" t="s">
        <v>2926</v>
      </c>
      <c r="N219" s="35" t="s">
        <v>3589</v>
      </c>
      <c r="O219" s="35" t="s">
        <v>2812</v>
      </c>
      <c r="P219" s="35"/>
      <c r="Q219" s="35"/>
      <c r="R219" s="36"/>
      <c r="S219" s="35"/>
    </row>
    <row r="220" spans="1:19" ht="15.6">
      <c r="A220" s="34">
        <v>219</v>
      </c>
      <c r="B220" s="35">
        <v>2025</v>
      </c>
      <c r="C220" s="35">
        <v>2025</v>
      </c>
      <c r="D220" s="35" t="s">
        <v>3590</v>
      </c>
      <c r="E220" s="41" t="s">
        <v>3591</v>
      </c>
      <c r="F220" s="35" t="s">
        <v>2665</v>
      </c>
      <c r="G220" s="35" t="s">
        <v>2657</v>
      </c>
      <c r="H220" s="35" t="s">
        <v>2925</v>
      </c>
      <c r="I220" s="35" t="s">
        <v>3311</v>
      </c>
      <c r="J220" s="35" t="s">
        <v>3311</v>
      </c>
      <c r="K220" s="35" t="s">
        <v>1601</v>
      </c>
      <c r="L220" s="35" t="s">
        <v>2361</v>
      </c>
      <c r="M220" s="35" t="s">
        <v>2926</v>
      </c>
      <c r="N220" s="35" t="s">
        <v>3592</v>
      </c>
      <c r="O220" s="35" t="s">
        <v>2812</v>
      </c>
      <c r="P220" s="35"/>
      <c r="Q220" s="35"/>
      <c r="R220" s="36"/>
      <c r="S220" s="35"/>
    </row>
    <row r="221" spans="1:19" ht="15.6">
      <c r="A221" s="34">
        <v>220</v>
      </c>
      <c r="B221" s="35">
        <v>2025</v>
      </c>
      <c r="C221" s="35">
        <v>2025</v>
      </c>
      <c r="D221" s="35" t="s">
        <v>3593</v>
      </c>
      <c r="E221" s="41" t="s">
        <v>3594</v>
      </c>
      <c r="F221" s="35" t="s">
        <v>2665</v>
      </c>
      <c r="G221" s="35" t="s">
        <v>2657</v>
      </c>
      <c r="H221" s="35" t="s">
        <v>2925</v>
      </c>
      <c r="I221" s="35" t="s">
        <v>3311</v>
      </c>
      <c r="J221" s="35" t="s">
        <v>3311</v>
      </c>
      <c r="K221" s="35" t="s">
        <v>1603</v>
      </c>
      <c r="L221" s="35" t="s">
        <v>2361</v>
      </c>
      <c r="M221" s="35" t="s">
        <v>2926</v>
      </c>
      <c r="N221" s="35" t="s">
        <v>3595</v>
      </c>
      <c r="O221" s="35" t="s">
        <v>2812</v>
      </c>
      <c r="P221" s="35"/>
      <c r="Q221" s="35"/>
      <c r="R221" s="36"/>
      <c r="S221" s="35"/>
    </row>
    <row r="222" spans="1:19" ht="15.6">
      <c r="A222" s="34">
        <v>221</v>
      </c>
      <c r="B222" s="35">
        <v>2025</v>
      </c>
      <c r="C222" s="35">
        <v>2025</v>
      </c>
      <c r="D222" s="35" t="s">
        <v>3596</v>
      </c>
      <c r="E222" s="41" t="s">
        <v>3597</v>
      </c>
      <c r="F222" s="35" t="s">
        <v>2665</v>
      </c>
      <c r="G222" s="35" t="s">
        <v>2657</v>
      </c>
      <c r="H222" s="35" t="s">
        <v>2925</v>
      </c>
      <c r="I222" s="35" t="s">
        <v>3311</v>
      </c>
      <c r="J222" s="35" t="s">
        <v>3311</v>
      </c>
      <c r="K222" s="35" t="s">
        <v>1605</v>
      </c>
      <c r="L222" s="35" t="s">
        <v>2361</v>
      </c>
      <c r="M222" s="35" t="s">
        <v>3598</v>
      </c>
      <c r="N222" s="35" t="s">
        <v>3599</v>
      </c>
      <c r="O222" s="35" t="s">
        <v>2812</v>
      </c>
      <c r="P222" s="35"/>
      <c r="Q222" s="35"/>
      <c r="R222" s="36"/>
      <c r="S222" s="35" t="s">
        <v>3496</v>
      </c>
    </row>
    <row r="223" spans="1:19" ht="15.6">
      <c r="A223" s="34">
        <v>222</v>
      </c>
      <c r="B223" s="35">
        <v>2025</v>
      </c>
      <c r="C223" s="35">
        <v>2025</v>
      </c>
      <c r="D223" s="35" t="s">
        <v>3600</v>
      </c>
      <c r="E223" s="41" t="s">
        <v>3601</v>
      </c>
      <c r="F223" s="35" t="s">
        <v>2665</v>
      </c>
      <c r="G223" s="35" t="s">
        <v>2657</v>
      </c>
      <c r="H223" s="35" t="s">
        <v>2925</v>
      </c>
      <c r="I223" s="35" t="s">
        <v>3311</v>
      </c>
      <c r="J223" s="35" t="s">
        <v>3311</v>
      </c>
      <c r="K223" s="35" t="s">
        <v>1607</v>
      </c>
      <c r="L223" s="35" t="s">
        <v>2361</v>
      </c>
      <c r="M223" s="35" t="s">
        <v>3598</v>
      </c>
      <c r="N223" s="35" t="s">
        <v>3602</v>
      </c>
      <c r="O223" s="35" t="s">
        <v>2812</v>
      </c>
      <c r="P223" s="35"/>
      <c r="Q223" s="35"/>
      <c r="R223" s="36"/>
      <c r="S223" s="35"/>
    </row>
    <row r="224" spans="1:19" ht="15.6">
      <c r="A224" s="34">
        <v>223</v>
      </c>
      <c r="B224" s="35">
        <v>2025</v>
      </c>
      <c r="C224" s="35">
        <v>2025</v>
      </c>
      <c r="D224" s="35" t="s">
        <v>3603</v>
      </c>
      <c r="E224" s="41" t="s">
        <v>3604</v>
      </c>
      <c r="F224" s="35" t="s">
        <v>2656</v>
      </c>
      <c r="G224" s="35" t="s">
        <v>2657</v>
      </c>
      <c r="H224" s="35" t="s">
        <v>3605</v>
      </c>
      <c r="I224" s="35" t="s">
        <v>3487</v>
      </c>
      <c r="J224" s="35" t="s">
        <v>3311</v>
      </c>
      <c r="K224" s="35" t="s">
        <v>1609</v>
      </c>
      <c r="L224" s="35" t="s">
        <v>2361</v>
      </c>
      <c r="M224" s="35" t="s">
        <v>2926</v>
      </c>
      <c r="N224" s="35" t="s">
        <v>3606</v>
      </c>
      <c r="O224" s="35" t="s">
        <v>2812</v>
      </c>
      <c r="P224" s="35"/>
      <c r="Q224" s="35"/>
      <c r="R224" s="36"/>
      <c r="S224" s="35"/>
    </row>
    <row r="225" spans="1:19" ht="15.6">
      <c r="A225" s="34">
        <v>224</v>
      </c>
      <c r="B225" s="35">
        <v>2025</v>
      </c>
      <c r="C225" s="35">
        <v>2025</v>
      </c>
      <c r="D225" s="35" t="s">
        <v>3607</v>
      </c>
      <c r="E225" s="41" t="s">
        <v>3608</v>
      </c>
      <c r="F225" s="35" t="s">
        <v>2656</v>
      </c>
      <c r="G225" s="35" t="s">
        <v>2657</v>
      </c>
      <c r="H225" s="35" t="s">
        <v>3605</v>
      </c>
      <c r="I225" s="35" t="s">
        <v>3487</v>
      </c>
      <c r="J225" s="35" t="s">
        <v>3311</v>
      </c>
      <c r="K225" s="35" t="s">
        <v>1612</v>
      </c>
      <c r="L225" s="35" t="s">
        <v>2361</v>
      </c>
      <c r="M225" s="35" t="s">
        <v>2926</v>
      </c>
      <c r="N225" s="35" t="s">
        <v>3609</v>
      </c>
      <c r="O225" s="35" t="s">
        <v>2812</v>
      </c>
      <c r="P225" s="35"/>
      <c r="Q225" s="35"/>
      <c r="R225" s="36"/>
      <c r="S225" s="35"/>
    </row>
    <row r="226" spans="1:19" ht="15.6">
      <c r="A226" s="34">
        <v>225</v>
      </c>
      <c r="B226" s="35">
        <v>2025</v>
      </c>
      <c r="C226" s="35">
        <v>2025</v>
      </c>
      <c r="D226" s="35" t="s">
        <v>3610</v>
      </c>
      <c r="E226" s="41" t="s">
        <v>3611</v>
      </c>
      <c r="F226" s="35" t="s">
        <v>2656</v>
      </c>
      <c r="G226" s="35" t="s">
        <v>2657</v>
      </c>
      <c r="H226" s="35" t="s">
        <v>3605</v>
      </c>
      <c r="I226" s="35" t="s">
        <v>3487</v>
      </c>
      <c r="J226" s="35" t="s">
        <v>3311</v>
      </c>
      <c r="K226" s="35" t="s">
        <v>1614</v>
      </c>
      <c r="L226" s="35" t="s">
        <v>2361</v>
      </c>
      <c r="M226" s="35" t="s">
        <v>2926</v>
      </c>
      <c r="N226" s="35" t="s">
        <v>3612</v>
      </c>
      <c r="O226" s="35" t="s">
        <v>2812</v>
      </c>
      <c r="P226" s="35"/>
      <c r="Q226" s="35"/>
      <c r="R226" s="36"/>
      <c r="S226" s="35"/>
    </row>
    <row r="227" spans="1:19" ht="15.6">
      <c r="A227" s="34">
        <v>226</v>
      </c>
      <c r="B227" s="35">
        <v>2025</v>
      </c>
      <c r="C227" s="35">
        <v>2025</v>
      </c>
      <c r="D227" s="35" t="s">
        <v>3613</v>
      </c>
      <c r="E227" s="41" t="s">
        <v>3614</v>
      </c>
      <c r="F227" s="35" t="s">
        <v>2656</v>
      </c>
      <c r="G227" s="35" t="s">
        <v>2657</v>
      </c>
      <c r="H227" s="35" t="s">
        <v>3605</v>
      </c>
      <c r="I227" s="35" t="s">
        <v>3311</v>
      </c>
      <c r="J227" s="35" t="s">
        <v>3311</v>
      </c>
      <c r="K227" s="35" t="s">
        <v>1615</v>
      </c>
      <c r="L227" s="35" t="s">
        <v>2361</v>
      </c>
      <c r="M227" s="35" t="s">
        <v>2926</v>
      </c>
      <c r="N227" s="35" t="s">
        <v>3615</v>
      </c>
      <c r="O227" s="35" t="s">
        <v>2812</v>
      </c>
      <c r="P227" s="35"/>
      <c r="Q227" s="35"/>
      <c r="R227" s="36"/>
      <c r="S227" s="35"/>
    </row>
    <row r="228" spans="1:19" ht="15.6">
      <c r="A228" s="34">
        <v>227</v>
      </c>
      <c r="B228" s="35">
        <v>2025</v>
      </c>
      <c r="C228" s="35">
        <v>2025</v>
      </c>
      <c r="D228" s="35" t="s">
        <v>3616</v>
      </c>
      <c r="E228" s="41" t="s">
        <v>3617</v>
      </c>
      <c r="F228" s="35" t="s">
        <v>2656</v>
      </c>
      <c r="G228" s="35" t="s">
        <v>2657</v>
      </c>
      <c r="H228" s="35" t="s">
        <v>3605</v>
      </c>
      <c r="I228" s="35" t="s">
        <v>3311</v>
      </c>
      <c r="J228" s="35" t="s">
        <v>3311</v>
      </c>
      <c r="K228" s="35" t="s">
        <v>1617</v>
      </c>
      <c r="L228" s="35" t="s">
        <v>2361</v>
      </c>
      <c r="M228" s="35" t="s">
        <v>2926</v>
      </c>
      <c r="N228" s="35" t="s">
        <v>3618</v>
      </c>
      <c r="O228" s="35" t="s">
        <v>2812</v>
      </c>
      <c r="P228" s="35"/>
      <c r="Q228" s="35"/>
      <c r="R228" s="36"/>
      <c r="S228" s="35"/>
    </row>
    <row r="229" spans="1:19" ht="15.6">
      <c r="A229" s="34">
        <v>228</v>
      </c>
      <c r="B229" s="35">
        <v>2025</v>
      </c>
      <c r="C229" s="35">
        <v>2025</v>
      </c>
      <c r="D229" s="35" t="s">
        <v>3619</v>
      </c>
      <c r="E229" s="41" t="s">
        <v>3620</v>
      </c>
      <c r="F229" s="35" t="s">
        <v>2656</v>
      </c>
      <c r="G229" s="35" t="s">
        <v>2657</v>
      </c>
      <c r="H229" s="35" t="s">
        <v>3605</v>
      </c>
      <c r="I229" s="35" t="s">
        <v>3311</v>
      </c>
      <c r="J229" s="35" t="s">
        <v>3311</v>
      </c>
      <c r="K229" s="35" t="s">
        <v>1619</v>
      </c>
      <c r="L229" s="35" t="s">
        <v>2361</v>
      </c>
      <c r="M229" s="35" t="s">
        <v>2926</v>
      </c>
      <c r="N229" s="35" t="s">
        <v>3621</v>
      </c>
      <c r="O229" s="35" t="s">
        <v>2812</v>
      </c>
      <c r="P229" s="35"/>
      <c r="Q229" s="35"/>
      <c r="R229" s="36"/>
      <c r="S229" s="35"/>
    </row>
    <row r="230" spans="1:19" ht="15.6">
      <c r="A230" s="34">
        <v>229</v>
      </c>
      <c r="B230" s="35">
        <v>2025</v>
      </c>
      <c r="C230" s="35">
        <v>2025</v>
      </c>
      <c r="D230" s="35" t="s">
        <v>3622</v>
      </c>
      <c r="E230" s="41" t="s">
        <v>3332</v>
      </c>
      <c r="F230" s="35" t="s">
        <v>2656</v>
      </c>
      <c r="G230" s="35" t="s">
        <v>2657</v>
      </c>
      <c r="H230" s="35" t="s">
        <v>3605</v>
      </c>
      <c r="I230" s="35" t="s">
        <v>3311</v>
      </c>
      <c r="J230" s="35" t="s">
        <v>3311</v>
      </c>
      <c r="K230" s="35" t="s">
        <v>1623</v>
      </c>
      <c r="L230" s="35" t="s">
        <v>2361</v>
      </c>
      <c r="M230" s="35" t="s">
        <v>2926</v>
      </c>
      <c r="N230" s="35" t="s">
        <v>3623</v>
      </c>
      <c r="O230" s="35" t="s">
        <v>2812</v>
      </c>
      <c r="P230" s="35"/>
      <c r="Q230" s="35"/>
      <c r="R230" s="36"/>
      <c r="S230" s="35"/>
    </row>
    <row r="231" spans="1:19" ht="15.6">
      <c r="A231" s="34">
        <v>230</v>
      </c>
      <c r="B231" s="35">
        <v>2025</v>
      </c>
      <c r="C231" s="35">
        <v>2025</v>
      </c>
      <c r="D231" s="35" t="s">
        <v>3624</v>
      </c>
      <c r="E231" s="41" t="s">
        <v>3625</v>
      </c>
      <c r="F231" s="35" t="s">
        <v>2656</v>
      </c>
      <c r="G231" s="35" t="s">
        <v>2657</v>
      </c>
      <c r="H231" s="35" t="s">
        <v>3605</v>
      </c>
      <c r="I231" s="35" t="s">
        <v>3311</v>
      </c>
      <c r="J231" s="35" t="s">
        <v>3311</v>
      </c>
      <c r="K231" s="35" t="s">
        <v>1625</v>
      </c>
      <c r="L231" s="35" t="s">
        <v>2361</v>
      </c>
      <c r="M231" s="35" t="s">
        <v>2926</v>
      </c>
      <c r="N231" s="35" t="s">
        <v>3626</v>
      </c>
      <c r="O231" s="35" t="s">
        <v>2812</v>
      </c>
      <c r="P231" s="35"/>
      <c r="Q231" s="35"/>
      <c r="R231" s="36"/>
      <c r="S231" s="35"/>
    </row>
    <row r="232" spans="1:19" ht="15.6">
      <c r="A232" s="34">
        <v>231</v>
      </c>
      <c r="B232" s="35">
        <v>2025</v>
      </c>
      <c r="C232" s="35">
        <v>2025</v>
      </c>
      <c r="D232" s="35" t="s">
        <v>3627</v>
      </c>
      <c r="E232" s="41" t="s">
        <v>3628</v>
      </c>
      <c r="F232" s="35" t="s">
        <v>2656</v>
      </c>
      <c r="G232" s="35" t="s">
        <v>2657</v>
      </c>
      <c r="H232" s="35" t="s">
        <v>3605</v>
      </c>
      <c r="I232" s="35" t="s">
        <v>3311</v>
      </c>
      <c r="J232" s="35" t="s">
        <v>3311</v>
      </c>
      <c r="K232" s="35" t="s">
        <v>1627</v>
      </c>
      <c r="L232" s="35" t="s">
        <v>2361</v>
      </c>
      <c r="M232" s="35" t="s">
        <v>2926</v>
      </c>
      <c r="N232" s="35" t="s">
        <v>3629</v>
      </c>
      <c r="O232" s="35" t="s">
        <v>2812</v>
      </c>
      <c r="P232" s="35"/>
      <c r="Q232" s="35"/>
      <c r="R232" s="36"/>
      <c r="S232" s="35"/>
    </row>
    <row r="233" spans="1:19" ht="15.6">
      <c r="A233" s="34">
        <v>232</v>
      </c>
      <c r="B233" s="35">
        <v>2025</v>
      </c>
      <c r="C233" s="35">
        <v>2025</v>
      </c>
      <c r="D233" s="35" t="s">
        <v>3630</v>
      </c>
      <c r="E233" s="41" t="s">
        <v>3631</v>
      </c>
      <c r="F233" s="35" t="s">
        <v>2656</v>
      </c>
      <c r="G233" s="35" t="s">
        <v>2657</v>
      </c>
      <c r="H233" s="35" t="s">
        <v>3605</v>
      </c>
      <c r="I233" s="35" t="s">
        <v>3311</v>
      </c>
      <c r="J233" s="35" t="s">
        <v>3311</v>
      </c>
      <c r="K233" s="35" t="s">
        <v>1630</v>
      </c>
      <c r="L233" s="35" t="s">
        <v>2361</v>
      </c>
      <c r="M233" s="35" t="s">
        <v>2926</v>
      </c>
      <c r="N233" s="35" t="s">
        <v>3632</v>
      </c>
      <c r="O233" s="35" t="s">
        <v>2812</v>
      </c>
      <c r="P233" s="35"/>
      <c r="Q233" s="35"/>
      <c r="R233" s="36"/>
      <c r="S233" s="35"/>
    </row>
    <row r="234" spans="1:19" ht="15.6">
      <c r="A234" s="34">
        <v>233</v>
      </c>
      <c r="B234" s="35">
        <v>2025</v>
      </c>
      <c r="C234" s="35">
        <v>2025</v>
      </c>
      <c r="D234" s="35" t="s">
        <v>3633</v>
      </c>
      <c r="E234" s="41" t="s">
        <v>3634</v>
      </c>
      <c r="F234" s="35" t="s">
        <v>2656</v>
      </c>
      <c r="G234" s="35" t="s">
        <v>2657</v>
      </c>
      <c r="H234" s="35" t="s">
        <v>3605</v>
      </c>
      <c r="I234" s="35" t="s">
        <v>3311</v>
      </c>
      <c r="J234" s="35" t="s">
        <v>3311</v>
      </c>
      <c r="K234" s="35" t="s">
        <v>1632</v>
      </c>
      <c r="L234" s="35" t="s">
        <v>2361</v>
      </c>
      <c r="M234" s="35" t="s">
        <v>2926</v>
      </c>
      <c r="N234" s="35" t="s">
        <v>3635</v>
      </c>
      <c r="O234" s="35" t="s">
        <v>2812</v>
      </c>
      <c r="P234" s="35"/>
      <c r="Q234" s="35"/>
      <c r="R234" s="36"/>
      <c r="S234" s="35"/>
    </row>
    <row r="235" spans="1:19" ht="15.6">
      <c r="A235" s="34">
        <v>234</v>
      </c>
      <c r="B235" s="35">
        <v>2025</v>
      </c>
      <c r="C235" s="35">
        <v>2025</v>
      </c>
      <c r="D235" s="35" t="s">
        <v>3636</v>
      </c>
      <c r="E235" s="35">
        <v>38695</v>
      </c>
      <c r="F235" s="35" t="s">
        <v>2656</v>
      </c>
      <c r="G235" s="35" t="s">
        <v>2657</v>
      </c>
      <c r="H235" s="35" t="s">
        <v>3605</v>
      </c>
      <c r="I235" s="35" t="s">
        <v>3311</v>
      </c>
      <c r="J235" s="35" t="s">
        <v>3311</v>
      </c>
      <c r="K235" s="35" t="s">
        <v>1635</v>
      </c>
      <c r="L235" s="35" t="s">
        <v>2361</v>
      </c>
      <c r="M235" s="35" t="s">
        <v>2926</v>
      </c>
      <c r="N235" s="35" t="s">
        <v>3637</v>
      </c>
      <c r="O235" s="35" t="s">
        <v>2812</v>
      </c>
      <c r="P235" s="35"/>
      <c r="Q235" s="35"/>
      <c r="R235" s="36"/>
      <c r="S235" s="35"/>
    </row>
    <row r="236" spans="1:19" ht="15.6">
      <c r="A236" s="34">
        <v>235</v>
      </c>
      <c r="B236" s="35">
        <v>2025</v>
      </c>
      <c r="C236" s="35">
        <v>2025</v>
      </c>
      <c r="D236" s="35" t="s">
        <v>3638</v>
      </c>
      <c r="E236" s="41" t="s">
        <v>3639</v>
      </c>
      <c r="F236" s="35" t="s">
        <v>2656</v>
      </c>
      <c r="G236" s="35" t="s">
        <v>2657</v>
      </c>
      <c r="H236" s="35" t="s">
        <v>3605</v>
      </c>
      <c r="I236" s="35" t="s">
        <v>3640</v>
      </c>
      <c r="J236" s="35" t="s">
        <v>3311</v>
      </c>
      <c r="K236" s="35" t="s">
        <v>1638</v>
      </c>
      <c r="L236" s="35" t="s">
        <v>2361</v>
      </c>
      <c r="M236" s="35" t="s">
        <v>2669</v>
      </c>
      <c r="N236" s="35" t="s">
        <v>3641</v>
      </c>
      <c r="O236" s="35" t="s">
        <v>2812</v>
      </c>
      <c r="P236" s="35"/>
      <c r="Q236" s="35"/>
      <c r="R236" s="36"/>
      <c r="S236" s="35"/>
    </row>
    <row r="237" spans="1:19" ht="15.6">
      <c r="A237" s="34">
        <v>236</v>
      </c>
      <c r="B237" s="35">
        <v>2025</v>
      </c>
      <c r="C237" s="35">
        <v>2025</v>
      </c>
      <c r="D237" s="35" t="s">
        <v>3642</v>
      </c>
      <c r="E237" s="35">
        <v>39452</v>
      </c>
      <c r="F237" s="35" t="s">
        <v>2665</v>
      </c>
      <c r="G237" s="35" t="s">
        <v>2657</v>
      </c>
      <c r="H237" s="35" t="s">
        <v>3605</v>
      </c>
      <c r="I237" s="35" t="s">
        <v>3311</v>
      </c>
      <c r="J237" s="35" t="s">
        <v>3311</v>
      </c>
      <c r="K237" s="35" t="s">
        <v>1641</v>
      </c>
      <c r="L237" s="35" t="s">
        <v>2361</v>
      </c>
      <c r="M237" s="35" t="s">
        <v>2926</v>
      </c>
      <c r="N237" s="35" t="s">
        <v>3643</v>
      </c>
      <c r="O237" s="35" t="s">
        <v>2812</v>
      </c>
      <c r="P237" s="35"/>
      <c r="Q237" s="35"/>
      <c r="R237" s="36"/>
      <c r="S237" s="35"/>
    </row>
    <row r="238" spans="1:19" ht="15.6">
      <c r="A238" s="34">
        <v>237</v>
      </c>
      <c r="B238" s="35">
        <v>2025</v>
      </c>
      <c r="C238" s="35">
        <v>2025</v>
      </c>
      <c r="D238" s="35" t="s">
        <v>3644</v>
      </c>
      <c r="E238" s="35">
        <v>39264</v>
      </c>
      <c r="F238" s="35" t="s">
        <v>2665</v>
      </c>
      <c r="G238" s="35" t="s">
        <v>2657</v>
      </c>
      <c r="H238" s="35" t="s">
        <v>3605</v>
      </c>
      <c r="I238" s="35" t="s">
        <v>3311</v>
      </c>
      <c r="J238" s="35" t="s">
        <v>3311</v>
      </c>
      <c r="K238" s="35" t="s">
        <v>1642</v>
      </c>
      <c r="L238" s="35" t="s">
        <v>2361</v>
      </c>
      <c r="M238" s="35" t="s">
        <v>2926</v>
      </c>
      <c r="N238" s="35" t="s">
        <v>3645</v>
      </c>
      <c r="O238" s="35" t="s">
        <v>2812</v>
      </c>
      <c r="P238" s="35"/>
      <c r="Q238" s="35"/>
      <c r="R238" s="36"/>
      <c r="S238" s="35"/>
    </row>
    <row r="239" spans="1:19" ht="15.6">
      <c r="A239" s="34">
        <v>238</v>
      </c>
      <c r="B239" s="35">
        <v>2025</v>
      </c>
      <c r="C239" s="35">
        <v>2025</v>
      </c>
      <c r="D239" s="35" t="s">
        <v>3646</v>
      </c>
      <c r="E239" s="41" t="s">
        <v>3647</v>
      </c>
      <c r="F239" s="35" t="s">
        <v>2665</v>
      </c>
      <c r="G239" s="35" t="s">
        <v>2657</v>
      </c>
      <c r="H239" s="35" t="s">
        <v>3605</v>
      </c>
      <c r="I239" s="35" t="s">
        <v>3311</v>
      </c>
      <c r="J239" s="35" t="s">
        <v>3311</v>
      </c>
      <c r="K239" s="35" t="s">
        <v>1644</v>
      </c>
      <c r="L239" s="35" t="s">
        <v>2361</v>
      </c>
      <c r="M239" s="35" t="s">
        <v>2926</v>
      </c>
      <c r="N239" s="35" t="s">
        <v>3648</v>
      </c>
      <c r="O239" s="35" t="s">
        <v>2812</v>
      </c>
      <c r="P239" s="35"/>
      <c r="Q239" s="35"/>
      <c r="R239" s="36"/>
      <c r="S239" s="35"/>
    </row>
    <row r="240" spans="1:19" ht="15.6">
      <c r="A240" s="34">
        <v>239</v>
      </c>
      <c r="B240" s="35">
        <v>2025</v>
      </c>
      <c r="C240" s="35">
        <v>2025</v>
      </c>
      <c r="D240" s="35" t="s">
        <v>3649</v>
      </c>
      <c r="E240" s="41" t="s">
        <v>3650</v>
      </c>
      <c r="F240" s="35" t="s">
        <v>2665</v>
      </c>
      <c r="G240" s="35" t="s">
        <v>2657</v>
      </c>
      <c r="H240" s="35" t="s">
        <v>3605</v>
      </c>
      <c r="I240" s="35" t="s">
        <v>3487</v>
      </c>
      <c r="J240" s="35" t="s">
        <v>3311</v>
      </c>
      <c r="K240" s="35" t="s">
        <v>1646</v>
      </c>
      <c r="L240" s="35" t="s">
        <v>2361</v>
      </c>
      <c r="M240" s="35" t="s">
        <v>2926</v>
      </c>
      <c r="N240" s="35" t="s">
        <v>3651</v>
      </c>
      <c r="O240" s="35" t="s">
        <v>2812</v>
      </c>
      <c r="P240" s="35"/>
      <c r="Q240" s="35"/>
      <c r="R240" s="36"/>
      <c r="S240" s="35"/>
    </row>
    <row r="241" spans="1:19" ht="15.6">
      <c r="A241" s="34">
        <v>240</v>
      </c>
      <c r="B241" s="35">
        <v>2025</v>
      </c>
      <c r="C241" s="35">
        <v>2025</v>
      </c>
      <c r="D241" s="35" t="s">
        <v>3652</v>
      </c>
      <c r="E241" s="41" t="s">
        <v>3653</v>
      </c>
      <c r="F241" s="35" t="s">
        <v>2665</v>
      </c>
      <c r="G241" s="35" t="s">
        <v>2657</v>
      </c>
      <c r="H241" s="35" t="s">
        <v>3605</v>
      </c>
      <c r="I241" s="35" t="s">
        <v>3311</v>
      </c>
      <c r="J241" s="35" t="s">
        <v>3311</v>
      </c>
      <c r="K241" s="35" t="s">
        <v>1647</v>
      </c>
      <c r="L241" s="35" t="s">
        <v>2361</v>
      </c>
      <c r="M241" s="35" t="s">
        <v>2926</v>
      </c>
      <c r="N241" s="35" t="s">
        <v>3654</v>
      </c>
      <c r="O241" s="35" t="s">
        <v>2812</v>
      </c>
      <c r="P241" s="35"/>
      <c r="Q241" s="35"/>
      <c r="R241" s="36"/>
      <c r="S241" s="35"/>
    </row>
    <row r="242" spans="1:19" ht="15.6">
      <c r="A242" s="34">
        <v>241</v>
      </c>
      <c r="B242" s="35">
        <v>2025</v>
      </c>
      <c r="C242" s="35">
        <v>2025</v>
      </c>
      <c r="D242" s="35" t="s">
        <v>3655</v>
      </c>
      <c r="E242" s="41" t="s">
        <v>3656</v>
      </c>
      <c r="F242" s="35" t="s">
        <v>2665</v>
      </c>
      <c r="G242" s="35" t="s">
        <v>2657</v>
      </c>
      <c r="H242" s="35" t="s">
        <v>3605</v>
      </c>
      <c r="I242" s="35" t="s">
        <v>3311</v>
      </c>
      <c r="J242" s="35" t="s">
        <v>3311</v>
      </c>
      <c r="K242" s="35" t="s">
        <v>1648</v>
      </c>
      <c r="L242" s="35" t="s">
        <v>2361</v>
      </c>
      <c r="M242" s="35" t="s">
        <v>2926</v>
      </c>
      <c r="N242" s="35" t="s">
        <v>3657</v>
      </c>
      <c r="O242" s="35" t="s">
        <v>2812</v>
      </c>
      <c r="P242" s="35"/>
      <c r="Q242" s="35"/>
      <c r="R242" s="36"/>
      <c r="S242" s="35"/>
    </row>
    <row r="243" spans="1:19" ht="15.6">
      <c r="A243" s="34">
        <v>242</v>
      </c>
      <c r="B243" s="35">
        <v>2025</v>
      </c>
      <c r="C243" s="35">
        <v>2025</v>
      </c>
      <c r="D243" s="35" t="s">
        <v>3658</v>
      </c>
      <c r="E243" s="41" t="s">
        <v>3656</v>
      </c>
      <c r="F243" s="35" t="s">
        <v>2665</v>
      </c>
      <c r="G243" s="35" t="s">
        <v>2657</v>
      </c>
      <c r="H243" s="35" t="s">
        <v>3605</v>
      </c>
      <c r="I243" s="35" t="s">
        <v>3311</v>
      </c>
      <c r="J243" s="35" t="s">
        <v>3311</v>
      </c>
      <c r="K243" s="35" t="s">
        <v>1649</v>
      </c>
      <c r="L243" s="35" t="s">
        <v>2361</v>
      </c>
      <c r="M243" s="35" t="s">
        <v>2926</v>
      </c>
      <c r="N243" s="35" t="s">
        <v>3659</v>
      </c>
      <c r="O243" s="35" t="s">
        <v>2812</v>
      </c>
      <c r="P243" s="35"/>
      <c r="Q243" s="35"/>
      <c r="R243" s="36"/>
      <c r="S243" s="35"/>
    </row>
    <row r="244" spans="1:19" ht="15.6">
      <c r="A244" s="34">
        <v>243</v>
      </c>
      <c r="B244" s="35">
        <v>2025</v>
      </c>
      <c r="C244" s="35">
        <v>2025</v>
      </c>
      <c r="D244" s="35" t="s">
        <v>3660</v>
      </c>
      <c r="E244" s="35">
        <v>39027</v>
      </c>
      <c r="F244" s="35" t="s">
        <v>2665</v>
      </c>
      <c r="G244" s="35" t="s">
        <v>2657</v>
      </c>
      <c r="H244" s="35" t="s">
        <v>3605</v>
      </c>
      <c r="I244" s="35" t="s">
        <v>3311</v>
      </c>
      <c r="J244" s="35" t="s">
        <v>3311</v>
      </c>
      <c r="K244" s="35" t="s">
        <v>1650</v>
      </c>
      <c r="L244" s="35" t="s">
        <v>2361</v>
      </c>
      <c r="M244" s="35" t="s">
        <v>2926</v>
      </c>
      <c r="N244" s="35" t="s">
        <v>3661</v>
      </c>
      <c r="O244" s="35" t="s">
        <v>2812</v>
      </c>
      <c r="P244" s="35"/>
      <c r="Q244" s="35"/>
      <c r="R244" s="36"/>
      <c r="S244" s="35"/>
    </row>
    <row r="245" spans="1:19" ht="15.6">
      <c r="A245" s="34">
        <v>244</v>
      </c>
      <c r="B245" s="35">
        <v>2025</v>
      </c>
      <c r="C245" s="35">
        <v>2025</v>
      </c>
      <c r="D245" s="35" t="s">
        <v>3662</v>
      </c>
      <c r="E245" s="41" t="s">
        <v>3663</v>
      </c>
      <c r="F245" s="35" t="s">
        <v>2665</v>
      </c>
      <c r="G245" s="35" t="s">
        <v>2657</v>
      </c>
      <c r="H245" s="35" t="s">
        <v>3605</v>
      </c>
      <c r="I245" s="35" t="s">
        <v>3311</v>
      </c>
      <c r="J245" s="35" t="s">
        <v>3311</v>
      </c>
      <c r="K245" s="35" t="s">
        <v>1653</v>
      </c>
      <c r="L245" s="35" t="s">
        <v>2361</v>
      </c>
      <c r="M245" s="35" t="s">
        <v>2926</v>
      </c>
      <c r="N245" s="35" t="s">
        <v>3664</v>
      </c>
      <c r="O245" s="35" t="s">
        <v>2812</v>
      </c>
      <c r="P245" s="35"/>
      <c r="Q245" s="35"/>
      <c r="R245" s="36"/>
      <c r="S245" s="35"/>
    </row>
    <row r="246" spans="1:19" ht="15.6">
      <c r="A246" s="34">
        <v>245</v>
      </c>
      <c r="B246" s="35">
        <v>2025</v>
      </c>
      <c r="C246" s="35">
        <v>2025</v>
      </c>
      <c r="D246" s="35" t="s">
        <v>3665</v>
      </c>
      <c r="E246" s="41" t="s">
        <v>3666</v>
      </c>
      <c r="F246" s="35" t="s">
        <v>2665</v>
      </c>
      <c r="G246" s="35" t="s">
        <v>2657</v>
      </c>
      <c r="H246" s="35" t="s">
        <v>3605</v>
      </c>
      <c r="I246" s="35" t="s">
        <v>3311</v>
      </c>
      <c r="J246" s="35" t="s">
        <v>3311</v>
      </c>
      <c r="K246" s="35" t="s">
        <v>1654</v>
      </c>
      <c r="L246" s="35" t="s">
        <v>2361</v>
      </c>
      <c r="M246" s="35" t="s">
        <v>2926</v>
      </c>
      <c r="N246" s="35" t="s">
        <v>3667</v>
      </c>
      <c r="O246" s="35" t="s">
        <v>2812</v>
      </c>
      <c r="P246" s="35"/>
      <c r="Q246" s="35"/>
      <c r="R246" s="36"/>
      <c r="S246" s="35"/>
    </row>
    <row r="247" spans="1:19" ht="15.6">
      <c r="A247" s="34">
        <v>246</v>
      </c>
      <c r="B247" s="35">
        <v>2025</v>
      </c>
      <c r="C247" s="35">
        <v>2025</v>
      </c>
      <c r="D247" s="35" t="s">
        <v>3668</v>
      </c>
      <c r="E247" s="41" t="s">
        <v>3669</v>
      </c>
      <c r="F247" s="35" t="s">
        <v>2656</v>
      </c>
      <c r="G247" s="35" t="s">
        <v>2657</v>
      </c>
      <c r="H247" s="35" t="s">
        <v>3605</v>
      </c>
      <c r="I247" s="35" t="s">
        <v>3311</v>
      </c>
      <c r="J247" s="35" t="s">
        <v>3311</v>
      </c>
      <c r="K247" s="35" t="s">
        <v>1657</v>
      </c>
      <c r="L247" s="35" t="s">
        <v>2361</v>
      </c>
      <c r="M247" s="35" t="s">
        <v>3670</v>
      </c>
      <c r="N247" s="35" t="s">
        <v>3671</v>
      </c>
      <c r="O247" s="35" t="s">
        <v>2812</v>
      </c>
      <c r="P247" s="35"/>
      <c r="Q247" s="35"/>
      <c r="R247" s="36"/>
      <c r="S247" s="35"/>
    </row>
    <row r="248" spans="1:19" ht="15.6">
      <c r="A248" s="34">
        <v>247</v>
      </c>
      <c r="B248" s="35">
        <v>2025</v>
      </c>
      <c r="C248" s="35">
        <v>2025</v>
      </c>
      <c r="D248" s="35" t="s">
        <v>3672</v>
      </c>
      <c r="E248" s="41" t="s">
        <v>3673</v>
      </c>
      <c r="F248" s="35" t="s">
        <v>2656</v>
      </c>
      <c r="G248" s="35" t="s">
        <v>2657</v>
      </c>
      <c r="H248" s="35" t="s">
        <v>3605</v>
      </c>
      <c r="I248" s="35" t="s">
        <v>3311</v>
      </c>
      <c r="J248" s="35" t="s">
        <v>3311</v>
      </c>
      <c r="K248" s="35" t="s">
        <v>1659</v>
      </c>
      <c r="L248" s="35" t="s">
        <v>2361</v>
      </c>
      <c r="M248" s="35" t="s">
        <v>3670</v>
      </c>
      <c r="N248" s="35" t="s">
        <v>3674</v>
      </c>
      <c r="O248" s="35" t="s">
        <v>2812</v>
      </c>
      <c r="P248" s="35"/>
      <c r="Q248" s="35"/>
      <c r="R248" s="36"/>
      <c r="S248" s="35"/>
    </row>
    <row r="249" spans="1:19" ht="15.6">
      <c r="A249" s="34">
        <v>248</v>
      </c>
      <c r="B249" s="35">
        <v>2025</v>
      </c>
      <c r="C249" s="35">
        <v>2025</v>
      </c>
      <c r="D249" s="35" t="s">
        <v>3675</v>
      </c>
      <c r="E249" s="41" t="s">
        <v>3676</v>
      </c>
      <c r="F249" s="35" t="s">
        <v>2656</v>
      </c>
      <c r="G249" s="35" t="s">
        <v>2657</v>
      </c>
      <c r="H249" s="35" t="s">
        <v>3605</v>
      </c>
      <c r="I249" s="35" t="s">
        <v>3311</v>
      </c>
      <c r="J249" s="35" t="s">
        <v>3311</v>
      </c>
      <c r="K249" s="35" t="s">
        <v>1660</v>
      </c>
      <c r="L249" s="35" t="s">
        <v>2361</v>
      </c>
      <c r="M249" s="35" t="s">
        <v>3670</v>
      </c>
      <c r="N249" s="35" t="s">
        <v>3677</v>
      </c>
      <c r="O249" s="35" t="s">
        <v>2812</v>
      </c>
      <c r="P249" s="35"/>
      <c r="Q249" s="35"/>
      <c r="R249" s="36"/>
      <c r="S249" s="35"/>
    </row>
    <row r="250" spans="1:19" ht="15.6">
      <c r="A250" s="34">
        <v>249</v>
      </c>
      <c r="B250" s="35">
        <v>2025</v>
      </c>
      <c r="C250" s="35">
        <v>2025</v>
      </c>
      <c r="D250" s="35" t="s">
        <v>3678</v>
      </c>
      <c r="E250" s="41" t="s">
        <v>3679</v>
      </c>
      <c r="F250" s="35" t="s">
        <v>2656</v>
      </c>
      <c r="G250" s="35" t="s">
        <v>2657</v>
      </c>
      <c r="H250" s="35" t="s">
        <v>3605</v>
      </c>
      <c r="I250" s="35" t="s">
        <v>3311</v>
      </c>
      <c r="J250" s="35" t="s">
        <v>3311</v>
      </c>
      <c r="K250" s="35" t="s">
        <v>1661</v>
      </c>
      <c r="L250" s="35" t="s">
        <v>2361</v>
      </c>
      <c r="M250" s="35" t="s">
        <v>3670</v>
      </c>
      <c r="N250" s="35" t="s">
        <v>3680</v>
      </c>
      <c r="O250" s="35" t="s">
        <v>2812</v>
      </c>
      <c r="P250" s="35"/>
      <c r="Q250" s="35"/>
      <c r="R250" s="36"/>
      <c r="S250" s="35"/>
    </row>
    <row r="251" spans="1:19" ht="15.6">
      <c r="A251" s="34">
        <v>250</v>
      </c>
      <c r="B251" s="35">
        <v>2025</v>
      </c>
      <c r="C251" s="35">
        <v>2025</v>
      </c>
      <c r="D251" s="35" t="s">
        <v>3681</v>
      </c>
      <c r="E251" s="41" t="s">
        <v>3682</v>
      </c>
      <c r="F251" s="35" t="s">
        <v>2656</v>
      </c>
      <c r="G251" s="35" t="s">
        <v>2657</v>
      </c>
      <c r="H251" s="35" t="s">
        <v>3605</v>
      </c>
      <c r="I251" s="35" t="s">
        <v>3311</v>
      </c>
      <c r="J251" s="35" t="s">
        <v>3311</v>
      </c>
      <c r="K251" s="35" t="s">
        <v>1663</v>
      </c>
      <c r="L251" s="35" t="s">
        <v>2361</v>
      </c>
      <c r="M251" s="35" t="s">
        <v>3670</v>
      </c>
      <c r="N251" s="35" t="s">
        <v>3683</v>
      </c>
      <c r="O251" s="35" t="s">
        <v>2812</v>
      </c>
      <c r="P251" s="35"/>
      <c r="Q251" s="35"/>
      <c r="R251" s="36"/>
      <c r="S251" s="35"/>
    </row>
    <row r="252" spans="1:19" ht="15.6">
      <c r="A252" s="34">
        <v>251</v>
      </c>
      <c r="B252" s="35">
        <v>2025</v>
      </c>
      <c r="C252" s="35">
        <v>2025</v>
      </c>
      <c r="D252" s="35" t="s">
        <v>3684</v>
      </c>
      <c r="E252" s="41" t="s">
        <v>3685</v>
      </c>
      <c r="F252" s="35" t="s">
        <v>2656</v>
      </c>
      <c r="G252" s="35" t="s">
        <v>2657</v>
      </c>
      <c r="H252" s="35" t="s">
        <v>3605</v>
      </c>
      <c r="I252" s="35" t="s">
        <v>3311</v>
      </c>
      <c r="J252" s="35" t="s">
        <v>3311</v>
      </c>
      <c r="K252" s="35" t="s">
        <v>1666</v>
      </c>
      <c r="L252" s="35" t="s">
        <v>2361</v>
      </c>
      <c r="M252" s="35" t="s">
        <v>3670</v>
      </c>
      <c r="N252" s="35" t="s">
        <v>3686</v>
      </c>
      <c r="O252" s="35" t="s">
        <v>2812</v>
      </c>
      <c r="P252" s="35"/>
      <c r="Q252" s="35"/>
      <c r="R252" s="36"/>
      <c r="S252" s="35"/>
    </row>
    <row r="253" spans="1:19" ht="15.6">
      <c r="A253" s="34">
        <v>252</v>
      </c>
      <c r="B253" s="35">
        <v>2025</v>
      </c>
      <c r="C253" s="35">
        <v>2025</v>
      </c>
      <c r="D253" s="35" t="s">
        <v>3687</v>
      </c>
      <c r="E253" s="35">
        <v>39364</v>
      </c>
      <c r="F253" s="35" t="s">
        <v>2656</v>
      </c>
      <c r="G253" s="35" t="s">
        <v>2657</v>
      </c>
      <c r="H253" s="35" t="s">
        <v>3605</v>
      </c>
      <c r="I253" s="35" t="s">
        <v>3311</v>
      </c>
      <c r="J253" s="35" t="s">
        <v>3311</v>
      </c>
      <c r="K253" s="35" t="s">
        <v>1668</v>
      </c>
      <c r="L253" s="35" t="s">
        <v>2361</v>
      </c>
      <c r="M253" s="35" t="s">
        <v>3670</v>
      </c>
      <c r="N253" s="35" t="s">
        <v>3688</v>
      </c>
      <c r="O253" s="35" t="s">
        <v>2812</v>
      </c>
      <c r="P253" s="35"/>
      <c r="Q253" s="35"/>
      <c r="R253" s="36"/>
      <c r="S253" s="35"/>
    </row>
    <row r="254" spans="1:19" ht="15.6">
      <c r="A254" s="34">
        <v>253</v>
      </c>
      <c r="B254" s="35">
        <v>2025</v>
      </c>
      <c r="C254" s="35">
        <v>2025</v>
      </c>
      <c r="D254" s="35" t="s">
        <v>3689</v>
      </c>
      <c r="E254" s="35">
        <v>39296</v>
      </c>
      <c r="F254" s="35" t="s">
        <v>2656</v>
      </c>
      <c r="G254" s="35" t="s">
        <v>2657</v>
      </c>
      <c r="H254" s="35" t="s">
        <v>3605</v>
      </c>
      <c r="I254" s="35" t="s">
        <v>3311</v>
      </c>
      <c r="J254" s="35" t="s">
        <v>3311</v>
      </c>
      <c r="K254" s="35" t="s">
        <v>1670</v>
      </c>
      <c r="L254" s="35" t="s">
        <v>2361</v>
      </c>
      <c r="M254" s="35" t="s">
        <v>3670</v>
      </c>
      <c r="N254" s="35" t="s">
        <v>3690</v>
      </c>
      <c r="O254" s="35" t="s">
        <v>2812</v>
      </c>
      <c r="P254" s="35"/>
      <c r="Q254" s="35"/>
      <c r="R254" s="36"/>
      <c r="S254" s="35"/>
    </row>
    <row r="255" spans="1:19" ht="15.6">
      <c r="A255" s="34">
        <v>254</v>
      </c>
      <c r="B255" s="35">
        <v>2025</v>
      </c>
      <c r="C255" s="35">
        <v>2025</v>
      </c>
      <c r="D255" s="35" t="s">
        <v>3691</v>
      </c>
      <c r="E255" s="35">
        <v>38572</v>
      </c>
      <c r="F255" s="35" t="s">
        <v>2665</v>
      </c>
      <c r="G255" s="35" t="s">
        <v>2657</v>
      </c>
      <c r="H255" s="35" t="s">
        <v>3605</v>
      </c>
      <c r="I255" s="35" t="s">
        <v>3311</v>
      </c>
      <c r="J255" s="35" t="s">
        <v>3311</v>
      </c>
      <c r="K255" s="35" t="s">
        <v>1672</v>
      </c>
      <c r="L255" s="35" t="s">
        <v>2361</v>
      </c>
      <c r="M255" s="35" t="s">
        <v>3670</v>
      </c>
      <c r="N255" s="35" t="s">
        <v>3692</v>
      </c>
      <c r="O255" s="35" t="s">
        <v>2812</v>
      </c>
      <c r="P255" s="35"/>
      <c r="Q255" s="35"/>
      <c r="R255" s="36"/>
      <c r="S255" s="35"/>
    </row>
    <row r="256" spans="1:19" ht="15.6">
      <c r="A256" s="34">
        <v>255</v>
      </c>
      <c r="B256" s="35">
        <v>2025</v>
      </c>
      <c r="C256" s="35">
        <v>2025</v>
      </c>
      <c r="D256" s="35" t="s">
        <v>3693</v>
      </c>
      <c r="E256" s="35">
        <v>39090</v>
      </c>
      <c r="F256" s="35" t="s">
        <v>2665</v>
      </c>
      <c r="G256" s="35" t="s">
        <v>2657</v>
      </c>
      <c r="H256" s="35" t="s">
        <v>3605</v>
      </c>
      <c r="I256" s="35" t="s">
        <v>3311</v>
      </c>
      <c r="J256" s="35" t="s">
        <v>3311</v>
      </c>
      <c r="K256" s="35" t="s">
        <v>1674</v>
      </c>
      <c r="L256" s="35" t="s">
        <v>2361</v>
      </c>
      <c r="M256" s="35" t="s">
        <v>3670</v>
      </c>
      <c r="N256" s="35" t="s">
        <v>3694</v>
      </c>
      <c r="O256" s="35" t="s">
        <v>2812</v>
      </c>
      <c r="P256" s="35"/>
      <c r="Q256" s="35"/>
      <c r="R256" s="36"/>
      <c r="S256" s="35"/>
    </row>
    <row r="257" spans="1:19" ht="15.6">
      <c r="A257" s="34">
        <v>256</v>
      </c>
      <c r="B257" s="35">
        <v>2025</v>
      </c>
      <c r="C257" s="35">
        <v>2025</v>
      </c>
      <c r="D257" s="35" t="s">
        <v>3695</v>
      </c>
      <c r="E257" s="41" t="s">
        <v>3696</v>
      </c>
      <c r="F257" s="35" t="s">
        <v>2665</v>
      </c>
      <c r="G257" s="35" t="s">
        <v>2657</v>
      </c>
      <c r="H257" s="35" t="s">
        <v>3605</v>
      </c>
      <c r="I257" s="35" t="s">
        <v>3311</v>
      </c>
      <c r="J257" s="35" t="s">
        <v>3311</v>
      </c>
      <c r="K257" s="35" t="s">
        <v>1676</v>
      </c>
      <c r="L257" s="35" t="s">
        <v>2361</v>
      </c>
      <c r="M257" s="35" t="s">
        <v>3670</v>
      </c>
      <c r="N257" s="35" t="s">
        <v>3697</v>
      </c>
      <c r="O257" s="35" t="s">
        <v>2812</v>
      </c>
      <c r="P257" s="35"/>
      <c r="Q257" s="35"/>
      <c r="R257" s="36"/>
      <c r="S257" s="35"/>
    </row>
    <row r="258" spans="1:19" ht="15.6">
      <c r="A258" s="34">
        <v>257</v>
      </c>
      <c r="B258" s="35">
        <v>2025</v>
      </c>
      <c r="C258" s="35">
        <v>2025</v>
      </c>
      <c r="D258" s="35" t="s">
        <v>3698</v>
      </c>
      <c r="E258" s="41" t="s">
        <v>3699</v>
      </c>
      <c r="F258" s="35" t="s">
        <v>2665</v>
      </c>
      <c r="G258" s="35" t="s">
        <v>2657</v>
      </c>
      <c r="H258" s="35" t="s">
        <v>3605</v>
      </c>
      <c r="I258" s="35" t="s">
        <v>3311</v>
      </c>
      <c r="J258" s="35" t="s">
        <v>3311</v>
      </c>
      <c r="K258" s="35" t="s">
        <v>1677</v>
      </c>
      <c r="L258" s="35" t="s">
        <v>2361</v>
      </c>
      <c r="M258" s="35" t="s">
        <v>3670</v>
      </c>
      <c r="N258" s="35" t="s">
        <v>3700</v>
      </c>
      <c r="O258" s="35" t="s">
        <v>2812</v>
      </c>
      <c r="P258" s="35"/>
      <c r="Q258" s="35"/>
      <c r="R258" s="36"/>
      <c r="S258" s="35"/>
    </row>
    <row r="259" spans="1:19" ht="15.6">
      <c r="A259" s="34">
        <v>258</v>
      </c>
      <c r="B259" s="35">
        <v>2025</v>
      </c>
      <c r="C259" s="35">
        <v>2025</v>
      </c>
      <c r="D259" s="35" t="s">
        <v>3701</v>
      </c>
      <c r="E259" s="41" t="s">
        <v>3702</v>
      </c>
      <c r="F259" s="35" t="s">
        <v>2665</v>
      </c>
      <c r="G259" s="35" t="s">
        <v>2657</v>
      </c>
      <c r="H259" s="35" t="s">
        <v>3605</v>
      </c>
      <c r="I259" s="35" t="s">
        <v>3311</v>
      </c>
      <c r="J259" s="35" t="s">
        <v>3311</v>
      </c>
      <c r="K259" s="35" t="s">
        <v>1678</v>
      </c>
      <c r="L259" s="35" t="s">
        <v>2361</v>
      </c>
      <c r="M259" s="35" t="s">
        <v>3670</v>
      </c>
      <c r="N259" s="35" t="s">
        <v>3703</v>
      </c>
      <c r="O259" s="35" t="s">
        <v>2812</v>
      </c>
      <c r="P259" s="35"/>
      <c r="Q259" s="35"/>
      <c r="R259" s="36"/>
      <c r="S259" s="35"/>
    </row>
    <row r="260" spans="1:19" ht="15.6">
      <c r="A260" s="34">
        <v>259</v>
      </c>
      <c r="B260" s="35">
        <v>2025</v>
      </c>
      <c r="C260" s="35">
        <v>2025</v>
      </c>
      <c r="D260" s="35" t="s">
        <v>3704</v>
      </c>
      <c r="E260" s="41" t="s">
        <v>3705</v>
      </c>
      <c r="F260" s="35" t="s">
        <v>2665</v>
      </c>
      <c r="G260" s="35" t="s">
        <v>2657</v>
      </c>
      <c r="H260" s="35" t="s">
        <v>3605</v>
      </c>
      <c r="I260" s="35" t="s">
        <v>3311</v>
      </c>
      <c r="J260" s="35" t="s">
        <v>3311</v>
      </c>
      <c r="K260" s="35" t="s">
        <v>1680</v>
      </c>
      <c r="L260" s="35" t="s">
        <v>2361</v>
      </c>
      <c r="M260" s="35" t="s">
        <v>3670</v>
      </c>
      <c r="N260" s="35" t="s">
        <v>3706</v>
      </c>
      <c r="O260" s="35" t="s">
        <v>2812</v>
      </c>
      <c r="P260" s="35"/>
      <c r="Q260" s="35"/>
      <c r="R260" s="36"/>
      <c r="S260" s="35"/>
    </row>
    <row r="261" spans="1:19" ht="15.6">
      <c r="A261" s="34">
        <v>260</v>
      </c>
      <c r="B261" s="35">
        <v>2025</v>
      </c>
      <c r="C261" s="35">
        <v>2025</v>
      </c>
      <c r="D261" s="35" t="s">
        <v>3707</v>
      </c>
      <c r="E261" s="41" t="s">
        <v>3708</v>
      </c>
      <c r="F261" s="35" t="s">
        <v>2665</v>
      </c>
      <c r="G261" s="35" t="s">
        <v>2657</v>
      </c>
      <c r="H261" s="35" t="s">
        <v>3605</v>
      </c>
      <c r="I261" s="35" t="s">
        <v>3311</v>
      </c>
      <c r="J261" s="35" t="s">
        <v>3311</v>
      </c>
      <c r="K261" s="35" t="s">
        <v>1682</v>
      </c>
      <c r="L261" s="35" t="s">
        <v>2361</v>
      </c>
      <c r="M261" s="35" t="s">
        <v>3670</v>
      </c>
      <c r="N261" s="35" t="s">
        <v>3709</v>
      </c>
      <c r="O261" s="35" t="s">
        <v>2812</v>
      </c>
      <c r="P261" s="35"/>
      <c r="Q261" s="35"/>
      <c r="R261" s="36"/>
      <c r="S261" s="35"/>
    </row>
    <row r="262" spans="1:19" ht="15.6">
      <c r="A262" s="34">
        <v>261</v>
      </c>
      <c r="B262" s="35">
        <v>2025</v>
      </c>
      <c r="C262" s="35">
        <v>2025</v>
      </c>
      <c r="D262" s="35" t="s">
        <v>3710</v>
      </c>
      <c r="E262" s="41" t="s">
        <v>3711</v>
      </c>
      <c r="F262" s="35" t="s">
        <v>2665</v>
      </c>
      <c r="G262" s="35" t="s">
        <v>2657</v>
      </c>
      <c r="H262" s="35" t="s">
        <v>3605</v>
      </c>
      <c r="I262" s="35" t="s">
        <v>3311</v>
      </c>
      <c r="J262" s="35" t="s">
        <v>3311</v>
      </c>
      <c r="K262" s="35" t="s">
        <v>1683</v>
      </c>
      <c r="L262" s="35" t="s">
        <v>2361</v>
      </c>
      <c r="M262" s="35" t="s">
        <v>3670</v>
      </c>
      <c r="N262" s="35" t="s">
        <v>3712</v>
      </c>
      <c r="O262" s="35" t="s">
        <v>2812</v>
      </c>
      <c r="P262" s="35"/>
      <c r="Q262" s="35"/>
      <c r="R262" s="36"/>
      <c r="S262" s="35"/>
    </row>
    <row r="263" spans="1:19" ht="15.6">
      <c r="A263" s="34">
        <v>262</v>
      </c>
      <c r="B263" s="35">
        <v>2025</v>
      </c>
      <c r="C263" s="35">
        <v>2025</v>
      </c>
      <c r="D263" s="35" t="s">
        <v>3713</v>
      </c>
      <c r="E263" s="41" t="s">
        <v>3714</v>
      </c>
      <c r="F263" s="35" t="s">
        <v>2665</v>
      </c>
      <c r="G263" s="35" t="s">
        <v>2657</v>
      </c>
      <c r="H263" s="35" t="s">
        <v>3605</v>
      </c>
      <c r="I263" s="35" t="s">
        <v>3311</v>
      </c>
      <c r="J263" s="35" t="s">
        <v>3311</v>
      </c>
      <c r="K263" s="35" t="s">
        <v>1684</v>
      </c>
      <c r="L263" s="35" t="s">
        <v>2361</v>
      </c>
      <c r="M263" s="35" t="s">
        <v>3670</v>
      </c>
      <c r="N263" s="35" t="s">
        <v>3715</v>
      </c>
      <c r="O263" s="35" t="s">
        <v>2812</v>
      </c>
      <c r="P263" s="35"/>
      <c r="Q263" s="35"/>
      <c r="R263" s="36"/>
      <c r="S263" s="35"/>
    </row>
    <row r="264" spans="1:19" ht="15.6">
      <c r="A264" s="34">
        <v>263</v>
      </c>
      <c r="B264" s="35">
        <v>2025</v>
      </c>
      <c r="C264" s="35">
        <v>2025</v>
      </c>
      <c r="D264" s="35" t="s">
        <v>3716</v>
      </c>
      <c r="E264" s="41" t="s">
        <v>3717</v>
      </c>
      <c r="F264" s="35" t="s">
        <v>2665</v>
      </c>
      <c r="G264" s="35" t="s">
        <v>2657</v>
      </c>
      <c r="H264" s="35" t="s">
        <v>3605</v>
      </c>
      <c r="I264" s="35" t="s">
        <v>3311</v>
      </c>
      <c r="J264" s="35" t="s">
        <v>3311</v>
      </c>
      <c r="K264" s="35" t="s">
        <v>1685</v>
      </c>
      <c r="L264" s="35" t="s">
        <v>2361</v>
      </c>
      <c r="M264" s="35" t="s">
        <v>3670</v>
      </c>
      <c r="N264" s="35" t="s">
        <v>3718</v>
      </c>
      <c r="O264" s="35" t="s">
        <v>2812</v>
      </c>
      <c r="P264" s="35"/>
      <c r="Q264" s="35"/>
      <c r="R264" s="36"/>
      <c r="S264" s="35"/>
    </row>
    <row r="265" spans="1:19" ht="15.6">
      <c r="A265" s="34">
        <v>264</v>
      </c>
      <c r="B265" s="35">
        <v>2025</v>
      </c>
      <c r="C265" s="35">
        <v>2025</v>
      </c>
      <c r="D265" s="35" t="s">
        <v>3719</v>
      </c>
      <c r="E265" s="41" t="s">
        <v>3720</v>
      </c>
      <c r="F265" s="35" t="s">
        <v>2665</v>
      </c>
      <c r="G265" s="35" t="s">
        <v>2657</v>
      </c>
      <c r="H265" s="35" t="s">
        <v>3605</v>
      </c>
      <c r="I265" s="35" t="s">
        <v>3311</v>
      </c>
      <c r="J265" s="35" t="s">
        <v>3311</v>
      </c>
      <c r="K265" s="35" t="s">
        <v>1686</v>
      </c>
      <c r="L265" s="35" t="s">
        <v>2361</v>
      </c>
      <c r="M265" s="35" t="s">
        <v>3670</v>
      </c>
      <c r="N265" s="35" t="s">
        <v>3721</v>
      </c>
      <c r="O265" s="35" t="s">
        <v>2812</v>
      </c>
      <c r="P265" s="35"/>
      <c r="Q265" s="35"/>
      <c r="R265" s="36"/>
      <c r="S265" s="35"/>
    </row>
    <row r="266" spans="1:19" ht="15.6">
      <c r="A266" s="34">
        <v>265</v>
      </c>
      <c r="B266" s="35">
        <v>2025</v>
      </c>
      <c r="C266" s="35">
        <v>2025</v>
      </c>
      <c r="D266" s="35" t="s">
        <v>3722</v>
      </c>
      <c r="E266" s="41" t="s">
        <v>3723</v>
      </c>
      <c r="F266" s="35" t="s">
        <v>2665</v>
      </c>
      <c r="G266" s="35" t="s">
        <v>2657</v>
      </c>
      <c r="H266" s="35" t="s">
        <v>3605</v>
      </c>
      <c r="I266" s="35" t="s">
        <v>3311</v>
      </c>
      <c r="J266" s="35" t="s">
        <v>3311</v>
      </c>
      <c r="K266" s="35" t="s">
        <v>1688</v>
      </c>
      <c r="L266" s="35" t="s">
        <v>2361</v>
      </c>
      <c r="M266" s="35" t="s">
        <v>3670</v>
      </c>
      <c r="N266" s="35" t="s">
        <v>3724</v>
      </c>
      <c r="O266" s="35" t="s">
        <v>2812</v>
      </c>
      <c r="P266" s="35"/>
      <c r="Q266" s="35"/>
      <c r="R266" s="36"/>
      <c r="S266" s="35"/>
    </row>
    <row r="267" spans="1:19" ht="15.6">
      <c r="A267" s="34">
        <v>266</v>
      </c>
      <c r="B267" s="35">
        <v>2025</v>
      </c>
      <c r="C267" s="35">
        <v>2025</v>
      </c>
      <c r="D267" s="35" t="s">
        <v>3725</v>
      </c>
      <c r="E267" s="41" t="s">
        <v>3726</v>
      </c>
      <c r="F267" s="35" t="s">
        <v>2665</v>
      </c>
      <c r="G267" s="35" t="s">
        <v>2657</v>
      </c>
      <c r="H267" s="35" t="s">
        <v>3727</v>
      </c>
      <c r="I267" s="35" t="s">
        <v>3311</v>
      </c>
      <c r="J267" s="35" t="s">
        <v>3311</v>
      </c>
      <c r="K267" s="35" t="s">
        <v>1690</v>
      </c>
      <c r="L267" s="35" t="s">
        <v>2361</v>
      </c>
      <c r="M267" s="35" t="s">
        <v>2926</v>
      </c>
      <c r="N267" s="35" t="s">
        <v>3728</v>
      </c>
      <c r="O267" s="35" t="s">
        <v>2812</v>
      </c>
      <c r="P267" s="35"/>
      <c r="Q267" s="35"/>
      <c r="R267" s="36"/>
      <c r="S267" s="35"/>
    </row>
    <row r="268" spans="1:19" ht="15.6">
      <c r="A268" s="34">
        <v>267</v>
      </c>
      <c r="B268" s="35">
        <v>2025</v>
      </c>
      <c r="C268" s="35">
        <v>2025</v>
      </c>
      <c r="D268" s="35" t="s">
        <v>3729</v>
      </c>
      <c r="E268" s="41" t="s">
        <v>3730</v>
      </c>
      <c r="F268" s="35" t="s">
        <v>2665</v>
      </c>
      <c r="G268" s="35" t="s">
        <v>2657</v>
      </c>
      <c r="H268" s="35" t="s">
        <v>3727</v>
      </c>
      <c r="I268" s="35" t="s">
        <v>3311</v>
      </c>
      <c r="J268" s="35" t="s">
        <v>3311</v>
      </c>
      <c r="K268" s="35" t="s">
        <v>1691</v>
      </c>
      <c r="L268" s="35" t="s">
        <v>2361</v>
      </c>
      <c r="M268" s="35" t="s">
        <v>2926</v>
      </c>
      <c r="N268" s="35" t="s">
        <v>3731</v>
      </c>
      <c r="O268" s="35" t="s">
        <v>2812</v>
      </c>
      <c r="P268" s="35"/>
      <c r="Q268" s="35"/>
      <c r="R268" s="36"/>
      <c r="S268" s="35"/>
    </row>
    <row r="269" spans="1:19" ht="15.6">
      <c r="A269" s="34">
        <v>268</v>
      </c>
      <c r="B269" s="35">
        <v>2025</v>
      </c>
      <c r="C269" s="35">
        <v>2025</v>
      </c>
      <c r="D269" s="35" t="s">
        <v>3732</v>
      </c>
      <c r="E269" s="41" t="s">
        <v>3733</v>
      </c>
      <c r="F269" s="35" t="s">
        <v>2665</v>
      </c>
      <c r="G269" s="35" t="s">
        <v>2657</v>
      </c>
      <c r="H269" s="35" t="s">
        <v>3727</v>
      </c>
      <c r="I269" s="35" t="s">
        <v>3311</v>
      </c>
      <c r="J269" s="35" t="s">
        <v>3311</v>
      </c>
      <c r="K269" s="35" t="s">
        <v>1693</v>
      </c>
      <c r="L269" s="35" t="s">
        <v>2361</v>
      </c>
      <c r="M269" s="35" t="s">
        <v>2926</v>
      </c>
      <c r="N269" s="35" t="s">
        <v>3734</v>
      </c>
      <c r="O269" s="35" t="s">
        <v>2812</v>
      </c>
      <c r="P269" s="35"/>
      <c r="Q269" s="35"/>
      <c r="R269" s="36"/>
      <c r="S269" s="35"/>
    </row>
    <row r="270" spans="1:19" ht="15.6">
      <c r="A270" s="34">
        <v>269</v>
      </c>
      <c r="B270" s="35">
        <v>2025</v>
      </c>
      <c r="C270" s="35">
        <v>2025</v>
      </c>
      <c r="D270" s="35" t="s">
        <v>3735</v>
      </c>
      <c r="E270" s="41" t="s">
        <v>3567</v>
      </c>
      <c r="F270" s="35" t="s">
        <v>2665</v>
      </c>
      <c r="G270" s="35" t="s">
        <v>2657</v>
      </c>
      <c r="H270" s="35" t="s">
        <v>3727</v>
      </c>
      <c r="I270" s="35" t="s">
        <v>3311</v>
      </c>
      <c r="J270" s="35" t="s">
        <v>3311</v>
      </c>
      <c r="K270" s="35" t="s">
        <v>1695</v>
      </c>
      <c r="L270" s="35" t="s">
        <v>2361</v>
      </c>
      <c r="M270" s="35" t="s">
        <v>2926</v>
      </c>
      <c r="N270" s="35" t="s">
        <v>3736</v>
      </c>
      <c r="O270" s="35" t="s">
        <v>2812</v>
      </c>
      <c r="P270" s="35"/>
      <c r="Q270" s="35"/>
      <c r="R270" s="36"/>
      <c r="S270" s="35"/>
    </row>
    <row r="271" spans="1:19" ht="15.6">
      <c r="A271" s="34">
        <v>270</v>
      </c>
      <c r="B271" s="35">
        <v>2025</v>
      </c>
      <c r="C271" s="35">
        <v>2025</v>
      </c>
      <c r="D271" s="35" t="s">
        <v>3737</v>
      </c>
      <c r="E271" s="41" t="s">
        <v>3738</v>
      </c>
      <c r="F271" s="35" t="s">
        <v>2665</v>
      </c>
      <c r="G271" s="35" t="s">
        <v>2657</v>
      </c>
      <c r="H271" s="35" t="s">
        <v>3727</v>
      </c>
      <c r="I271" s="35" t="s">
        <v>3311</v>
      </c>
      <c r="J271" s="35" t="s">
        <v>3311</v>
      </c>
      <c r="K271" s="35" t="s">
        <v>1697</v>
      </c>
      <c r="L271" s="35" t="s">
        <v>2361</v>
      </c>
      <c r="M271" s="35" t="s">
        <v>2926</v>
      </c>
      <c r="N271" s="35" t="s">
        <v>3739</v>
      </c>
      <c r="O271" s="35" t="s">
        <v>2812</v>
      </c>
      <c r="P271" s="35"/>
      <c r="Q271" s="35"/>
      <c r="R271" s="36"/>
      <c r="S271" s="35"/>
    </row>
    <row r="272" spans="1:19" ht="15.6">
      <c r="A272" s="34">
        <v>271</v>
      </c>
      <c r="B272" s="35">
        <v>2025</v>
      </c>
      <c r="C272" s="35">
        <v>2025</v>
      </c>
      <c r="D272" s="35" t="s">
        <v>3740</v>
      </c>
      <c r="E272" s="41" t="s">
        <v>3741</v>
      </c>
      <c r="F272" s="35" t="s">
        <v>2665</v>
      </c>
      <c r="G272" s="35" t="s">
        <v>2657</v>
      </c>
      <c r="H272" s="35" t="s">
        <v>3727</v>
      </c>
      <c r="I272" s="35" t="s">
        <v>3311</v>
      </c>
      <c r="J272" s="35" t="s">
        <v>3311</v>
      </c>
      <c r="K272" s="35" t="s">
        <v>1699</v>
      </c>
      <c r="L272" s="35" t="s">
        <v>2361</v>
      </c>
      <c r="M272" s="35" t="s">
        <v>2926</v>
      </c>
      <c r="N272" s="35" t="s">
        <v>3742</v>
      </c>
      <c r="O272" s="35" t="s">
        <v>2812</v>
      </c>
      <c r="P272" s="35"/>
      <c r="Q272" s="35"/>
      <c r="R272" s="36"/>
      <c r="S272" s="35"/>
    </row>
    <row r="273" spans="1:19" ht="15.6">
      <c r="A273" s="34">
        <v>272</v>
      </c>
      <c r="B273" s="35">
        <v>2025</v>
      </c>
      <c r="C273" s="35">
        <v>2025</v>
      </c>
      <c r="D273" s="35" t="s">
        <v>3743</v>
      </c>
      <c r="E273" s="41" t="s">
        <v>3744</v>
      </c>
      <c r="F273" s="35" t="s">
        <v>2665</v>
      </c>
      <c r="G273" s="35" t="s">
        <v>2657</v>
      </c>
      <c r="H273" s="35" t="s">
        <v>3727</v>
      </c>
      <c r="I273" s="35" t="s">
        <v>3311</v>
      </c>
      <c r="J273" s="35" t="s">
        <v>3311</v>
      </c>
      <c r="K273" s="35" t="s">
        <v>1702</v>
      </c>
      <c r="L273" s="35" t="s">
        <v>2361</v>
      </c>
      <c r="M273" s="35" t="s">
        <v>2926</v>
      </c>
      <c r="N273" s="35" t="s">
        <v>3745</v>
      </c>
      <c r="O273" s="35" t="s">
        <v>2812</v>
      </c>
      <c r="P273" s="35"/>
      <c r="Q273" s="35"/>
      <c r="R273" s="36"/>
      <c r="S273" s="35"/>
    </row>
    <row r="274" spans="1:19" ht="15.6">
      <c r="A274" s="34">
        <v>273</v>
      </c>
      <c r="B274" s="35">
        <v>2025</v>
      </c>
      <c r="C274" s="35">
        <v>2025</v>
      </c>
      <c r="D274" s="35" t="s">
        <v>3746</v>
      </c>
      <c r="E274" s="41" t="s">
        <v>3747</v>
      </c>
      <c r="F274" s="35" t="s">
        <v>2665</v>
      </c>
      <c r="G274" s="35" t="s">
        <v>2657</v>
      </c>
      <c r="H274" s="35" t="s">
        <v>3727</v>
      </c>
      <c r="I274" s="35" t="s">
        <v>3311</v>
      </c>
      <c r="J274" s="35" t="s">
        <v>3311</v>
      </c>
      <c r="K274" s="35" t="s">
        <v>1704</v>
      </c>
      <c r="L274" s="35" t="s">
        <v>2361</v>
      </c>
      <c r="M274" s="35" t="s">
        <v>2926</v>
      </c>
      <c r="N274" s="35" t="s">
        <v>3748</v>
      </c>
      <c r="O274" s="35" t="s">
        <v>2812</v>
      </c>
      <c r="P274" s="35"/>
      <c r="Q274" s="35"/>
      <c r="R274" s="36"/>
      <c r="S274" s="35"/>
    </row>
    <row r="275" spans="1:19" ht="15.6">
      <c r="A275" s="34">
        <v>274</v>
      </c>
      <c r="B275" s="35">
        <v>2025</v>
      </c>
      <c r="C275" s="35">
        <v>2025</v>
      </c>
      <c r="D275" s="35" t="s">
        <v>3749</v>
      </c>
      <c r="E275" s="41" t="s">
        <v>3750</v>
      </c>
      <c r="F275" s="35" t="s">
        <v>2665</v>
      </c>
      <c r="G275" s="35" t="s">
        <v>2657</v>
      </c>
      <c r="H275" s="35" t="s">
        <v>3727</v>
      </c>
      <c r="I275" s="35" t="s">
        <v>3311</v>
      </c>
      <c r="J275" s="35" t="s">
        <v>3311</v>
      </c>
      <c r="K275" s="35" t="s">
        <v>1706</v>
      </c>
      <c r="L275" s="35" t="s">
        <v>2361</v>
      </c>
      <c r="M275" s="35" t="s">
        <v>2926</v>
      </c>
      <c r="N275" s="35" t="s">
        <v>3751</v>
      </c>
      <c r="O275" s="35" t="s">
        <v>2812</v>
      </c>
      <c r="P275" s="35"/>
      <c r="Q275" s="35"/>
      <c r="R275" s="36"/>
      <c r="S275" s="35"/>
    </row>
    <row r="276" spans="1:19" ht="15.6">
      <c r="A276" s="34">
        <v>275</v>
      </c>
      <c r="B276" s="35">
        <v>2025</v>
      </c>
      <c r="C276" s="35">
        <v>2025</v>
      </c>
      <c r="D276" s="35" t="s">
        <v>3752</v>
      </c>
      <c r="E276" s="39" t="s">
        <v>3753</v>
      </c>
      <c r="F276" s="35" t="s">
        <v>2665</v>
      </c>
      <c r="G276" s="35" t="s">
        <v>2657</v>
      </c>
      <c r="H276" s="35" t="s">
        <v>3727</v>
      </c>
      <c r="I276" s="35" t="s">
        <v>3311</v>
      </c>
      <c r="J276" s="35" t="s">
        <v>3311</v>
      </c>
      <c r="K276" s="35" t="s">
        <v>1708</v>
      </c>
      <c r="L276" s="35" t="s">
        <v>2361</v>
      </c>
      <c r="M276" s="35" t="s">
        <v>2926</v>
      </c>
      <c r="N276" s="35" t="s">
        <v>3754</v>
      </c>
      <c r="O276" s="35" t="s">
        <v>2812</v>
      </c>
      <c r="P276" s="35"/>
      <c r="Q276" s="35"/>
      <c r="R276" s="36"/>
      <c r="S276" s="35"/>
    </row>
    <row r="277" spans="1:19" ht="15.6">
      <c r="A277" s="34">
        <v>276</v>
      </c>
      <c r="B277" s="35">
        <v>2025</v>
      </c>
      <c r="C277" s="35">
        <v>2025</v>
      </c>
      <c r="D277" s="35" t="s">
        <v>3755</v>
      </c>
      <c r="E277" s="41" t="s">
        <v>3756</v>
      </c>
      <c r="F277" s="35" t="s">
        <v>2665</v>
      </c>
      <c r="G277" s="35" t="s">
        <v>2657</v>
      </c>
      <c r="H277" s="35" t="s">
        <v>3727</v>
      </c>
      <c r="I277" s="35" t="s">
        <v>3311</v>
      </c>
      <c r="J277" s="35" t="s">
        <v>3311</v>
      </c>
      <c r="K277" s="35" t="s">
        <v>1710</v>
      </c>
      <c r="L277" s="35" t="s">
        <v>2361</v>
      </c>
      <c r="M277" s="35" t="s">
        <v>2926</v>
      </c>
      <c r="N277" s="35" t="s">
        <v>3757</v>
      </c>
      <c r="O277" s="35" t="s">
        <v>2812</v>
      </c>
      <c r="P277" s="35"/>
      <c r="Q277" s="35"/>
      <c r="R277" s="36"/>
      <c r="S277" s="35"/>
    </row>
    <row r="278" spans="1:19" ht="15.6">
      <c r="A278" s="34">
        <v>277</v>
      </c>
      <c r="B278" s="35">
        <v>2025</v>
      </c>
      <c r="C278" s="35">
        <v>2025</v>
      </c>
      <c r="D278" s="35" t="s">
        <v>3758</v>
      </c>
      <c r="E278" s="39" t="s">
        <v>3759</v>
      </c>
      <c r="F278" s="35" t="s">
        <v>2665</v>
      </c>
      <c r="G278" s="35" t="s">
        <v>2657</v>
      </c>
      <c r="H278" s="35" t="s">
        <v>3727</v>
      </c>
      <c r="I278" s="35" t="s">
        <v>3311</v>
      </c>
      <c r="J278" s="35" t="s">
        <v>3311</v>
      </c>
      <c r="K278" s="35" t="s">
        <v>1713</v>
      </c>
      <c r="L278" s="35" t="s">
        <v>2361</v>
      </c>
      <c r="M278" s="35" t="s">
        <v>2926</v>
      </c>
      <c r="N278" s="35" t="s">
        <v>3760</v>
      </c>
      <c r="O278" s="35" t="s">
        <v>2812</v>
      </c>
      <c r="P278" s="35"/>
      <c r="Q278" s="35"/>
      <c r="R278" s="36"/>
      <c r="S278" s="35"/>
    </row>
    <row r="279" spans="1:19" ht="15.6">
      <c r="A279" s="34">
        <v>278</v>
      </c>
      <c r="B279" s="35">
        <v>2025</v>
      </c>
      <c r="C279" s="35">
        <v>2025</v>
      </c>
      <c r="D279" s="35" t="s">
        <v>3761</v>
      </c>
      <c r="E279" s="39" t="s">
        <v>3762</v>
      </c>
      <c r="F279" s="35" t="s">
        <v>2665</v>
      </c>
      <c r="G279" s="35" t="s">
        <v>2657</v>
      </c>
      <c r="H279" s="35" t="s">
        <v>3727</v>
      </c>
      <c r="I279" s="35" t="s">
        <v>3311</v>
      </c>
      <c r="J279" s="35" t="s">
        <v>3311</v>
      </c>
      <c r="K279" s="35" t="s">
        <v>1715</v>
      </c>
      <c r="L279" s="35" t="s">
        <v>2361</v>
      </c>
      <c r="M279" s="35" t="s">
        <v>2926</v>
      </c>
      <c r="N279" s="35" t="s">
        <v>3763</v>
      </c>
      <c r="O279" s="35" t="s">
        <v>2812</v>
      </c>
      <c r="P279" s="35"/>
      <c r="Q279" s="35"/>
      <c r="R279" s="36"/>
      <c r="S279" s="35"/>
    </row>
    <row r="280" spans="1:19" ht="15.6">
      <c r="A280" s="34">
        <v>279</v>
      </c>
      <c r="B280" s="35">
        <v>2025</v>
      </c>
      <c r="C280" s="35">
        <v>2025</v>
      </c>
      <c r="D280" s="35" t="s">
        <v>3764</v>
      </c>
      <c r="E280" s="38">
        <v>39392</v>
      </c>
      <c r="F280" s="35" t="s">
        <v>2665</v>
      </c>
      <c r="G280" s="35" t="s">
        <v>2657</v>
      </c>
      <c r="H280" s="35" t="s">
        <v>3727</v>
      </c>
      <c r="I280" s="35" t="s">
        <v>3311</v>
      </c>
      <c r="J280" s="35" t="s">
        <v>3311</v>
      </c>
      <c r="K280" s="35" t="s">
        <v>1717</v>
      </c>
      <c r="L280" s="35" t="s">
        <v>2361</v>
      </c>
      <c r="M280" s="35" t="s">
        <v>2926</v>
      </c>
      <c r="N280" s="35" t="s">
        <v>3765</v>
      </c>
      <c r="O280" s="35" t="s">
        <v>2812</v>
      </c>
      <c r="P280" s="35"/>
      <c r="Q280" s="35"/>
      <c r="R280" s="36"/>
      <c r="S280" s="35"/>
    </row>
    <row r="281" spans="1:19" ht="15.6">
      <c r="A281" s="34">
        <v>280</v>
      </c>
      <c r="B281" s="35">
        <v>2025</v>
      </c>
      <c r="C281" s="35">
        <v>2025</v>
      </c>
      <c r="D281" s="35" t="s">
        <v>3766</v>
      </c>
      <c r="E281" s="39" t="s">
        <v>3767</v>
      </c>
      <c r="F281" s="35" t="s">
        <v>2665</v>
      </c>
      <c r="G281" s="35" t="s">
        <v>2657</v>
      </c>
      <c r="H281" s="35" t="s">
        <v>3727</v>
      </c>
      <c r="I281" s="35" t="s">
        <v>3311</v>
      </c>
      <c r="J281" s="35" t="s">
        <v>3311</v>
      </c>
      <c r="K281" s="35" t="s">
        <v>1719</v>
      </c>
      <c r="L281" s="35" t="s">
        <v>2361</v>
      </c>
      <c r="M281" s="35" t="s">
        <v>2926</v>
      </c>
      <c r="N281" s="35" t="s">
        <v>3768</v>
      </c>
      <c r="O281" s="35" t="s">
        <v>2812</v>
      </c>
      <c r="P281" s="35"/>
      <c r="Q281" s="35"/>
      <c r="R281" s="36"/>
      <c r="S281" s="35"/>
    </row>
    <row r="282" spans="1:19" ht="15.6">
      <c r="A282" s="34">
        <v>281</v>
      </c>
      <c r="B282" s="35">
        <v>2025</v>
      </c>
      <c r="C282" s="35">
        <v>2025</v>
      </c>
      <c r="D282" s="35" t="s">
        <v>3769</v>
      </c>
      <c r="E282" s="41" t="s">
        <v>3770</v>
      </c>
      <c r="F282" s="35" t="s">
        <v>2656</v>
      </c>
      <c r="G282" s="35" t="s">
        <v>2657</v>
      </c>
      <c r="H282" s="35" t="s">
        <v>3727</v>
      </c>
      <c r="I282" s="35" t="s">
        <v>3311</v>
      </c>
      <c r="J282" s="35" t="s">
        <v>3311</v>
      </c>
      <c r="K282" s="35" t="s">
        <v>1721</v>
      </c>
      <c r="L282" s="35" t="s">
        <v>2361</v>
      </c>
      <c r="M282" s="35" t="s">
        <v>2926</v>
      </c>
      <c r="N282" s="35" t="s">
        <v>3771</v>
      </c>
      <c r="O282" s="35" t="s">
        <v>2812</v>
      </c>
      <c r="P282" s="35"/>
      <c r="Q282" s="35"/>
      <c r="R282" s="36"/>
      <c r="S282" s="35"/>
    </row>
    <row r="283" spans="1:19" ht="15.6">
      <c r="A283" s="34">
        <v>282</v>
      </c>
      <c r="B283" s="35">
        <v>2025</v>
      </c>
      <c r="C283" s="35">
        <v>2025</v>
      </c>
      <c r="D283" s="35" t="s">
        <v>3772</v>
      </c>
      <c r="E283" s="39" t="s">
        <v>3773</v>
      </c>
      <c r="F283" s="35" t="s">
        <v>2656</v>
      </c>
      <c r="G283" s="35" t="s">
        <v>2657</v>
      </c>
      <c r="H283" s="35" t="s">
        <v>3727</v>
      </c>
      <c r="I283" s="35" t="s">
        <v>3311</v>
      </c>
      <c r="J283" s="35" t="s">
        <v>3311</v>
      </c>
      <c r="K283" s="35" t="s">
        <v>1724</v>
      </c>
      <c r="L283" s="35" t="s">
        <v>2361</v>
      </c>
      <c r="M283" s="35" t="s">
        <v>2926</v>
      </c>
      <c r="N283" s="35" t="s">
        <v>3774</v>
      </c>
      <c r="O283" s="35" t="s">
        <v>2812</v>
      </c>
      <c r="P283" s="35"/>
      <c r="Q283" s="35"/>
      <c r="R283" s="36"/>
      <c r="S283" s="35"/>
    </row>
    <row r="284" spans="1:19" ht="15.6">
      <c r="A284" s="34">
        <v>283</v>
      </c>
      <c r="B284" s="35">
        <v>2025</v>
      </c>
      <c r="C284" s="35">
        <v>2025</v>
      </c>
      <c r="D284" s="35" t="s">
        <v>3775</v>
      </c>
      <c r="E284" s="41" t="s">
        <v>3776</v>
      </c>
      <c r="F284" s="35" t="s">
        <v>2656</v>
      </c>
      <c r="G284" s="35" t="s">
        <v>2657</v>
      </c>
      <c r="H284" s="35" t="s">
        <v>3727</v>
      </c>
      <c r="I284" s="35" t="s">
        <v>3311</v>
      </c>
      <c r="J284" s="35" t="s">
        <v>3311</v>
      </c>
      <c r="K284" s="35" t="s">
        <v>1726</v>
      </c>
      <c r="L284" s="35" t="s">
        <v>2361</v>
      </c>
      <c r="M284" s="35" t="s">
        <v>2926</v>
      </c>
      <c r="N284" s="35" t="s">
        <v>3777</v>
      </c>
      <c r="O284" s="35" t="s">
        <v>2812</v>
      </c>
      <c r="P284" s="35"/>
      <c r="Q284" s="35"/>
      <c r="R284" s="36"/>
      <c r="S284" s="35"/>
    </row>
    <row r="285" spans="1:19" ht="15.6">
      <c r="A285" s="34">
        <v>284</v>
      </c>
      <c r="B285" s="35">
        <v>2025</v>
      </c>
      <c r="C285" s="35">
        <v>2025</v>
      </c>
      <c r="D285" s="35" t="s">
        <v>3778</v>
      </c>
      <c r="E285" s="41" t="s">
        <v>3779</v>
      </c>
      <c r="F285" s="35" t="s">
        <v>2656</v>
      </c>
      <c r="G285" s="35" t="s">
        <v>2657</v>
      </c>
      <c r="H285" s="35" t="s">
        <v>3727</v>
      </c>
      <c r="I285" s="35" t="s">
        <v>3311</v>
      </c>
      <c r="J285" s="35" t="s">
        <v>3311</v>
      </c>
      <c r="K285" s="35" t="s">
        <v>1728</v>
      </c>
      <c r="L285" s="35" t="s">
        <v>2361</v>
      </c>
      <c r="M285" s="35" t="s">
        <v>2926</v>
      </c>
      <c r="N285" s="35" t="s">
        <v>3780</v>
      </c>
      <c r="O285" s="35" t="s">
        <v>2812</v>
      </c>
      <c r="P285" s="35"/>
      <c r="Q285" s="35"/>
      <c r="R285" s="36"/>
      <c r="S285" s="35"/>
    </row>
    <row r="286" spans="1:19" ht="15.6">
      <c r="A286" s="34">
        <v>285</v>
      </c>
      <c r="B286" s="35">
        <v>2025</v>
      </c>
      <c r="C286" s="35">
        <v>2025</v>
      </c>
      <c r="D286" s="35" t="s">
        <v>3781</v>
      </c>
      <c r="E286" s="41" t="s">
        <v>3782</v>
      </c>
      <c r="F286" s="35" t="s">
        <v>2656</v>
      </c>
      <c r="G286" s="35" t="s">
        <v>2657</v>
      </c>
      <c r="H286" s="35" t="s">
        <v>3727</v>
      </c>
      <c r="I286" s="35" t="s">
        <v>3311</v>
      </c>
      <c r="J286" s="35" t="s">
        <v>3311</v>
      </c>
      <c r="K286" s="35" t="s">
        <v>1730</v>
      </c>
      <c r="L286" s="35" t="s">
        <v>2361</v>
      </c>
      <c r="M286" s="35" t="s">
        <v>2926</v>
      </c>
      <c r="N286" s="35" t="s">
        <v>3783</v>
      </c>
      <c r="O286" s="35" t="s">
        <v>2812</v>
      </c>
      <c r="P286" s="35"/>
      <c r="Q286" s="35"/>
      <c r="R286" s="36"/>
      <c r="S286" s="35"/>
    </row>
    <row r="287" spans="1:19" ht="15.6">
      <c r="A287" s="34">
        <v>286</v>
      </c>
      <c r="B287" s="35">
        <v>2025</v>
      </c>
      <c r="C287" s="35">
        <v>2025</v>
      </c>
      <c r="D287" s="35" t="s">
        <v>3784</v>
      </c>
      <c r="E287" s="41" t="s">
        <v>3785</v>
      </c>
      <c r="F287" s="35" t="s">
        <v>2656</v>
      </c>
      <c r="G287" s="35" t="s">
        <v>2657</v>
      </c>
      <c r="H287" s="35" t="s">
        <v>3727</v>
      </c>
      <c r="I287" s="35" t="s">
        <v>3311</v>
      </c>
      <c r="J287" s="35" t="s">
        <v>3311</v>
      </c>
      <c r="K287" s="35" t="s">
        <v>1732</v>
      </c>
      <c r="L287" s="35" t="s">
        <v>2361</v>
      </c>
      <c r="M287" s="35" t="s">
        <v>2926</v>
      </c>
      <c r="N287" s="35" t="s">
        <v>3786</v>
      </c>
      <c r="O287" s="35" t="s">
        <v>2812</v>
      </c>
      <c r="P287" s="35"/>
      <c r="Q287" s="35"/>
      <c r="R287" s="36"/>
      <c r="S287" s="35"/>
    </row>
    <row r="288" spans="1:19" ht="15.6">
      <c r="A288" s="34">
        <v>287</v>
      </c>
      <c r="B288" s="35">
        <v>2025</v>
      </c>
      <c r="C288" s="35">
        <v>2025</v>
      </c>
      <c r="D288" s="35" t="s">
        <v>3787</v>
      </c>
      <c r="E288" s="35" t="s">
        <v>3788</v>
      </c>
      <c r="F288" s="35" t="s">
        <v>2656</v>
      </c>
      <c r="G288" s="35" t="s">
        <v>2657</v>
      </c>
      <c r="H288" s="35" t="s">
        <v>3789</v>
      </c>
      <c r="I288" s="35" t="s">
        <v>3311</v>
      </c>
      <c r="J288" s="35" t="s">
        <v>3311</v>
      </c>
      <c r="K288" s="35" t="s">
        <v>1733</v>
      </c>
      <c r="L288" s="35" t="s">
        <v>2361</v>
      </c>
      <c r="M288" s="35" t="s">
        <v>2926</v>
      </c>
      <c r="N288" s="35" t="s">
        <v>3790</v>
      </c>
      <c r="O288" s="35"/>
      <c r="P288" s="35"/>
      <c r="Q288" s="35"/>
      <c r="R288" s="36"/>
      <c r="S288" s="35"/>
    </row>
    <row r="289" spans="1:19" ht="15.6">
      <c r="A289" s="34">
        <v>288</v>
      </c>
      <c r="B289" s="35">
        <v>2025</v>
      </c>
      <c r="C289" s="35">
        <v>2025</v>
      </c>
      <c r="D289" s="35" t="s">
        <v>3791</v>
      </c>
      <c r="E289" s="35" t="s">
        <v>3792</v>
      </c>
      <c r="F289" s="35" t="s">
        <v>2656</v>
      </c>
      <c r="G289" s="35" t="s">
        <v>2657</v>
      </c>
      <c r="H289" s="35" t="s">
        <v>3789</v>
      </c>
      <c r="I289" s="35" t="s">
        <v>3311</v>
      </c>
      <c r="J289" s="35" t="s">
        <v>3311</v>
      </c>
      <c r="K289" s="35" t="s">
        <v>1735</v>
      </c>
      <c r="L289" s="35" t="s">
        <v>2361</v>
      </c>
      <c r="M289" s="35" t="s">
        <v>2926</v>
      </c>
      <c r="N289" s="35" t="s">
        <v>3793</v>
      </c>
      <c r="O289" s="35"/>
      <c r="P289" s="35"/>
      <c r="Q289" s="35"/>
      <c r="R289" s="36"/>
      <c r="S289" s="35"/>
    </row>
    <row r="290" spans="1:19" ht="15.6">
      <c r="A290" s="34">
        <v>289</v>
      </c>
      <c r="B290" s="35">
        <v>2025</v>
      </c>
      <c r="C290" s="35">
        <v>2025</v>
      </c>
      <c r="D290" s="35" t="s">
        <v>3794</v>
      </c>
      <c r="E290" s="35" t="s">
        <v>3795</v>
      </c>
      <c r="F290" s="35" t="s">
        <v>2656</v>
      </c>
      <c r="G290" s="35" t="s">
        <v>2657</v>
      </c>
      <c r="H290" s="35" t="s">
        <v>3789</v>
      </c>
      <c r="I290" s="35" t="s">
        <v>3311</v>
      </c>
      <c r="J290" s="35" t="s">
        <v>3311</v>
      </c>
      <c r="K290" s="35" t="s">
        <v>1737</v>
      </c>
      <c r="L290" s="35" t="s">
        <v>2361</v>
      </c>
      <c r="M290" s="35" t="s">
        <v>2926</v>
      </c>
      <c r="N290" s="35" t="s">
        <v>3796</v>
      </c>
      <c r="O290" s="35"/>
      <c r="P290" s="35"/>
      <c r="Q290" s="35"/>
      <c r="R290" s="36"/>
      <c r="S290" s="35"/>
    </row>
    <row r="291" spans="1:19" ht="15.6">
      <c r="A291" s="34">
        <v>290</v>
      </c>
      <c r="B291" s="35">
        <v>2025</v>
      </c>
      <c r="C291" s="35">
        <v>2025</v>
      </c>
      <c r="D291" s="35" t="s">
        <v>3797</v>
      </c>
      <c r="E291" s="35" t="s">
        <v>3798</v>
      </c>
      <c r="F291" s="35" t="s">
        <v>2656</v>
      </c>
      <c r="G291" s="35" t="s">
        <v>2657</v>
      </c>
      <c r="H291" s="35" t="s">
        <v>3789</v>
      </c>
      <c r="I291" s="35" t="s">
        <v>3311</v>
      </c>
      <c r="J291" s="35" t="s">
        <v>3311</v>
      </c>
      <c r="K291" s="35" t="s">
        <v>1739</v>
      </c>
      <c r="L291" s="35" t="s">
        <v>2361</v>
      </c>
      <c r="M291" s="35" t="s">
        <v>2926</v>
      </c>
      <c r="N291" s="35" t="s">
        <v>3799</v>
      </c>
      <c r="O291" s="35"/>
      <c r="P291" s="35"/>
      <c r="Q291" s="35"/>
      <c r="R291" s="36"/>
      <c r="S291" s="35"/>
    </row>
    <row r="292" spans="1:19" ht="15.6">
      <c r="A292" s="34">
        <v>291</v>
      </c>
      <c r="B292" s="35">
        <v>2025</v>
      </c>
      <c r="C292" s="35">
        <v>2025</v>
      </c>
      <c r="D292" s="35" t="s">
        <v>3800</v>
      </c>
      <c r="E292" s="38">
        <v>39084</v>
      </c>
      <c r="F292" s="35" t="s">
        <v>2656</v>
      </c>
      <c r="G292" s="35" t="s">
        <v>2657</v>
      </c>
      <c r="H292" s="35" t="s">
        <v>3789</v>
      </c>
      <c r="I292" s="35" t="s">
        <v>3311</v>
      </c>
      <c r="J292" s="35" t="s">
        <v>3311</v>
      </c>
      <c r="K292" s="35" t="s">
        <v>1741</v>
      </c>
      <c r="L292" s="35" t="s">
        <v>2361</v>
      </c>
      <c r="M292" s="35" t="s">
        <v>2926</v>
      </c>
      <c r="N292" s="35" t="s">
        <v>3801</v>
      </c>
      <c r="O292" s="35"/>
      <c r="P292" s="35"/>
      <c r="Q292" s="35"/>
      <c r="R292" s="36"/>
      <c r="S292" s="35"/>
    </row>
    <row r="293" spans="1:19" ht="15.6">
      <c r="A293" s="34">
        <v>292</v>
      </c>
      <c r="B293" s="35">
        <v>2025</v>
      </c>
      <c r="C293" s="35">
        <v>2025</v>
      </c>
      <c r="D293" s="35" t="s">
        <v>3802</v>
      </c>
      <c r="E293" s="35" t="s">
        <v>3803</v>
      </c>
      <c r="F293" s="35" t="s">
        <v>2656</v>
      </c>
      <c r="G293" s="35" t="s">
        <v>2657</v>
      </c>
      <c r="H293" s="35" t="s">
        <v>3789</v>
      </c>
      <c r="I293" s="35" t="s">
        <v>3311</v>
      </c>
      <c r="J293" s="35" t="s">
        <v>3311</v>
      </c>
      <c r="K293" s="35" t="s">
        <v>1742</v>
      </c>
      <c r="L293" s="35" t="s">
        <v>2361</v>
      </c>
      <c r="M293" s="35" t="s">
        <v>2926</v>
      </c>
      <c r="N293" s="35" t="s">
        <v>3804</v>
      </c>
      <c r="O293" s="35"/>
      <c r="P293" s="35"/>
      <c r="Q293" s="35"/>
      <c r="R293" s="36"/>
      <c r="S293" s="35"/>
    </row>
    <row r="294" spans="1:19" ht="15.6">
      <c r="A294" s="34">
        <v>293</v>
      </c>
      <c r="B294" s="35">
        <v>2025</v>
      </c>
      <c r="C294" s="35">
        <v>2025</v>
      </c>
      <c r="D294" s="35" t="s">
        <v>3805</v>
      </c>
      <c r="E294" s="35" t="s">
        <v>3806</v>
      </c>
      <c r="F294" s="35" t="s">
        <v>2656</v>
      </c>
      <c r="G294" s="35" t="s">
        <v>2657</v>
      </c>
      <c r="H294" s="35" t="s">
        <v>3789</v>
      </c>
      <c r="I294" s="35" t="s">
        <v>3311</v>
      </c>
      <c r="J294" s="35" t="s">
        <v>3311</v>
      </c>
      <c r="K294" s="35" t="s">
        <v>1743</v>
      </c>
      <c r="L294" s="35" t="s">
        <v>2361</v>
      </c>
      <c r="M294" s="35" t="s">
        <v>2926</v>
      </c>
      <c r="N294" s="35" t="s">
        <v>3807</v>
      </c>
      <c r="O294" s="35"/>
      <c r="P294" s="35"/>
      <c r="Q294" s="35"/>
      <c r="R294" s="36"/>
      <c r="S294" s="35"/>
    </row>
    <row r="295" spans="1:19" ht="15.6">
      <c r="A295" s="34">
        <v>294</v>
      </c>
      <c r="B295" s="35">
        <v>2025</v>
      </c>
      <c r="C295" s="35">
        <v>2025</v>
      </c>
      <c r="D295" s="35" t="s">
        <v>3808</v>
      </c>
      <c r="E295" s="38">
        <v>33216</v>
      </c>
      <c r="F295" s="35" t="s">
        <v>2656</v>
      </c>
      <c r="G295" s="35" t="s">
        <v>2657</v>
      </c>
      <c r="H295" s="35" t="s">
        <v>3789</v>
      </c>
      <c r="I295" s="35" t="s">
        <v>3311</v>
      </c>
      <c r="J295" s="35" t="s">
        <v>3311</v>
      </c>
      <c r="K295" s="35" t="s">
        <v>1745</v>
      </c>
      <c r="L295" s="35" t="s">
        <v>2361</v>
      </c>
      <c r="M295" s="35" t="s">
        <v>2926</v>
      </c>
      <c r="N295" s="35" t="s">
        <v>3809</v>
      </c>
      <c r="O295" s="35"/>
      <c r="P295" s="35"/>
      <c r="Q295" s="35"/>
      <c r="R295" s="36"/>
      <c r="S295" s="35"/>
    </row>
    <row r="296" spans="1:19" ht="15.6">
      <c r="A296" s="34">
        <v>295</v>
      </c>
      <c r="B296" s="35">
        <v>2025</v>
      </c>
      <c r="C296" s="35">
        <v>2025</v>
      </c>
      <c r="D296" s="35" t="s">
        <v>3810</v>
      </c>
      <c r="E296" s="35" t="s">
        <v>3811</v>
      </c>
      <c r="F296" s="35" t="s">
        <v>2656</v>
      </c>
      <c r="G296" s="35" t="s">
        <v>2657</v>
      </c>
      <c r="H296" s="35" t="s">
        <v>3789</v>
      </c>
      <c r="I296" s="35" t="s">
        <v>3311</v>
      </c>
      <c r="J296" s="35" t="s">
        <v>3311</v>
      </c>
      <c r="K296" s="35" t="s">
        <v>1747</v>
      </c>
      <c r="L296" s="35" t="s">
        <v>2361</v>
      </c>
      <c r="M296" s="35" t="s">
        <v>2926</v>
      </c>
      <c r="N296" s="35" t="s">
        <v>3812</v>
      </c>
      <c r="O296" s="35"/>
      <c r="P296" s="35"/>
      <c r="Q296" s="35"/>
      <c r="R296" s="36"/>
      <c r="S296" s="35"/>
    </row>
    <row r="297" spans="1:19" ht="15.6">
      <c r="A297" s="34">
        <v>296</v>
      </c>
      <c r="B297" s="35">
        <v>2025</v>
      </c>
      <c r="C297" s="35">
        <v>2025</v>
      </c>
      <c r="D297" s="35" t="s">
        <v>3813</v>
      </c>
      <c r="E297" s="38">
        <v>32599</v>
      </c>
      <c r="F297" s="35" t="s">
        <v>2656</v>
      </c>
      <c r="G297" s="35" t="s">
        <v>2657</v>
      </c>
      <c r="H297" s="35" t="s">
        <v>3789</v>
      </c>
      <c r="I297" s="35" t="s">
        <v>3311</v>
      </c>
      <c r="J297" s="35" t="s">
        <v>3311</v>
      </c>
      <c r="K297" s="35" t="s">
        <v>1748</v>
      </c>
      <c r="L297" s="35" t="s">
        <v>2361</v>
      </c>
      <c r="M297" s="35" t="s">
        <v>2926</v>
      </c>
      <c r="N297" s="35" t="s">
        <v>3814</v>
      </c>
      <c r="O297" s="35"/>
      <c r="P297" s="35"/>
      <c r="Q297" s="35"/>
      <c r="R297" s="36"/>
      <c r="S297" s="35"/>
    </row>
    <row r="298" spans="1:19" ht="15.6">
      <c r="A298" s="34">
        <v>297</v>
      </c>
      <c r="B298" s="35">
        <v>2025</v>
      </c>
      <c r="C298" s="35">
        <v>2025</v>
      </c>
      <c r="D298" s="35" t="s">
        <v>3815</v>
      </c>
      <c r="E298" s="35" t="s">
        <v>3816</v>
      </c>
      <c r="F298" s="35" t="s">
        <v>2656</v>
      </c>
      <c r="G298" s="35" t="s">
        <v>2657</v>
      </c>
      <c r="H298" s="35" t="s">
        <v>3789</v>
      </c>
      <c r="I298" s="35" t="s">
        <v>3311</v>
      </c>
      <c r="J298" s="35" t="s">
        <v>3311</v>
      </c>
      <c r="K298" s="35" t="s">
        <v>1749</v>
      </c>
      <c r="L298" s="35" t="s">
        <v>2361</v>
      </c>
      <c r="M298" s="35" t="s">
        <v>2926</v>
      </c>
      <c r="N298" s="35" t="s">
        <v>3817</v>
      </c>
      <c r="O298" s="35"/>
      <c r="P298" s="35"/>
      <c r="Q298" s="35"/>
      <c r="R298" s="36"/>
      <c r="S298" s="35"/>
    </row>
    <row r="299" spans="1:19" ht="15.6">
      <c r="A299" s="34">
        <v>298</v>
      </c>
      <c r="B299" s="35">
        <v>2025</v>
      </c>
      <c r="C299" s="35">
        <v>2025</v>
      </c>
      <c r="D299" s="35" t="s">
        <v>3818</v>
      </c>
      <c r="E299" s="38">
        <v>38904</v>
      </c>
      <c r="F299" s="35" t="s">
        <v>2665</v>
      </c>
      <c r="G299" s="35" t="s">
        <v>2657</v>
      </c>
      <c r="H299" s="35" t="s">
        <v>3789</v>
      </c>
      <c r="I299" s="35" t="s">
        <v>3311</v>
      </c>
      <c r="J299" s="35" t="s">
        <v>3311</v>
      </c>
      <c r="K299" s="35" t="s">
        <v>1750</v>
      </c>
      <c r="L299" s="35" t="s">
        <v>2361</v>
      </c>
      <c r="M299" s="35" t="s">
        <v>2926</v>
      </c>
      <c r="N299" s="35" t="s">
        <v>3819</v>
      </c>
      <c r="O299" s="35"/>
      <c r="P299" s="35"/>
      <c r="Q299" s="35"/>
      <c r="R299" s="36"/>
      <c r="S299" s="35"/>
    </row>
    <row r="300" spans="1:19" ht="15.6">
      <c r="A300" s="34">
        <v>299</v>
      </c>
      <c r="B300" s="35">
        <v>2025</v>
      </c>
      <c r="C300" s="35">
        <v>2025</v>
      </c>
      <c r="D300" s="35" t="s">
        <v>3820</v>
      </c>
      <c r="E300" s="38">
        <v>39208</v>
      </c>
      <c r="F300" s="35" t="s">
        <v>2665</v>
      </c>
      <c r="G300" s="35" t="s">
        <v>2657</v>
      </c>
      <c r="H300" s="35" t="s">
        <v>3789</v>
      </c>
      <c r="I300" s="35" t="s">
        <v>3311</v>
      </c>
      <c r="J300" s="35" t="s">
        <v>3311</v>
      </c>
      <c r="K300" s="35" t="s">
        <v>1753</v>
      </c>
      <c r="L300" s="35" t="s">
        <v>2361</v>
      </c>
      <c r="M300" s="35" t="s">
        <v>2926</v>
      </c>
      <c r="N300" s="35" t="s">
        <v>3821</v>
      </c>
      <c r="O300" s="35"/>
      <c r="P300" s="35"/>
      <c r="Q300" s="35"/>
      <c r="R300" s="36"/>
      <c r="S300" s="35"/>
    </row>
    <row r="301" spans="1:19" ht="15.6">
      <c r="A301" s="34">
        <v>300</v>
      </c>
      <c r="B301" s="35">
        <v>2025</v>
      </c>
      <c r="C301" s="35">
        <v>2025</v>
      </c>
      <c r="D301" s="35" t="s">
        <v>3822</v>
      </c>
      <c r="E301" s="35" t="s">
        <v>3823</v>
      </c>
      <c r="F301" s="35" t="s">
        <v>2665</v>
      </c>
      <c r="G301" s="35" t="s">
        <v>2657</v>
      </c>
      <c r="H301" s="35" t="s">
        <v>3789</v>
      </c>
      <c r="I301" s="35" t="s">
        <v>3311</v>
      </c>
      <c r="J301" s="35" t="s">
        <v>3311</v>
      </c>
      <c r="K301" s="35" t="s">
        <v>1755</v>
      </c>
      <c r="L301" s="35" t="s">
        <v>2361</v>
      </c>
      <c r="M301" s="35" t="s">
        <v>2926</v>
      </c>
      <c r="N301" s="35" t="s">
        <v>3824</v>
      </c>
      <c r="O301" s="35"/>
      <c r="P301" s="35"/>
      <c r="Q301" s="35"/>
      <c r="R301" s="36"/>
      <c r="S301" s="35"/>
    </row>
    <row r="302" spans="1:19" ht="15.6">
      <c r="A302" s="34">
        <v>301</v>
      </c>
      <c r="B302" s="35">
        <v>2025</v>
      </c>
      <c r="C302" s="35">
        <v>2025</v>
      </c>
      <c r="D302" s="35" t="s">
        <v>3825</v>
      </c>
      <c r="E302" s="38">
        <v>39662</v>
      </c>
      <c r="F302" s="35" t="s">
        <v>2665</v>
      </c>
      <c r="G302" s="35" t="s">
        <v>2657</v>
      </c>
      <c r="H302" s="35" t="s">
        <v>3789</v>
      </c>
      <c r="I302" s="35" t="s">
        <v>3311</v>
      </c>
      <c r="J302" s="35" t="s">
        <v>3311</v>
      </c>
      <c r="K302" s="35" t="s">
        <v>1757</v>
      </c>
      <c r="L302" s="35" t="s">
        <v>2361</v>
      </c>
      <c r="M302" s="35" t="s">
        <v>2926</v>
      </c>
      <c r="N302" s="35" t="s">
        <v>3826</v>
      </c>
      <c r="O302" s="35"/>
      <c r="P302" s="35"/>
      <c r="Q302" s="35"/>
      <c r="R302" s="36"/>
      <c r="S302" s="35"/>
    </row>
    <row r="303" spans="1:19" ht="15.6">
      <c r="A303" s="34">
        <v>302</v>
      </c>
      <c r="B303" s="35">
        <v>2025</v>
      </c>
      <c r="C303" s="35">
        <v>2025</v>
      </c>
      <c r="D303" s="35" t="s">
        <v>3827</v>
      </c>
      <c r="E303" s="35" t="s">
        <v>3828</v>
      </c>
      <c r="F303" s="35" t="s">
        <v>2665</v>
      </c>
      <c r="G303" s="35" t="s">
        <v>2657</v>
      </c>
      <c r="H303" s="35" t="s">
        <v>3789</v>
      </c>
      <c r="I303" s="35" t="s">
        <v>3311</v>
      </c>
      <c r="J303" s="35" t="s">
        <v>3311</v>
      </c>
      <c r="K303" s="35" t="s">
        <v>1759</v>
      </c>
      <c r="L303" s="35" t="s">
        <v>2361</v>
      </c>
      <c r="M303" s="35" t="s">
        <v>2926</v>
      </c>
      <c r="N303" s="35" t="s">
        <v>3829</v>
      </c>
      <c r="O303" s="35"/>
      <c r="P303" s="35"/>
      <c r="Q303" s="35"/>
      <c r="R303" s="36"/>
      <c r="S303" s="35"/>
    </row>
    <row r="304" spans="1:19" ht="15.6">
      <c r="A304" s="34">
        <v>303</v>
      </c>
      <c r="B304" s="35">
        <v>2025</v>
      </c>
      <c r="C304" s="35">
        <v>2025</v>
      </c>
      <c r="D304" s="35" t="s">
        <v>3830</v>
      </c>
      <c r="E304" s="38">
        <v>38849</v>
      </c>
      <c r="F304" s="35" t="s">
        <v>2665</v>
      </c>
      <c r="G304" s="35" t="s">
        <v>2657</v>
      </c>
      <c r="H304" s="35" t="s">
        <v>3789</v>
      </c>
      <c r="I304" s="35" t="s">
        <v>3311</v>
      </c>
      <c r="J304" s="35" t="s">
        <v>3311</v>
      </c>
      <c r="K304" s="35" t="s">
        <v>1761</v>
      </c>
      <c r="L304" s="35" t="s">
        <v>2361</v>
      </c>
      <c r="M304" s="35" t="s">
        <v>2926</v>
      </c>
      <c r="N304" s="35" t="s">
        <v>3831</v>
      </c>
      <c r="O304" s="35"/>
      <c r="P304" s="35"/>
      <c r="Q304" s="35"/>
      <c r="R304" s="36"/>
      <c r="S304" s="35"/>
    </row>
    <row r="305" spans="1:19" ht="15.6">
      <c r="A305" s="34">
        <v>304</v>
      </c>
      <c r="B305" s="35">
        <v>2025</v>
      </c>
      <c r="C305" s="35">
        <v>2025</v>
      </c>
      <c r="D305" s="35" t="s">
        <v>3832</v>
      </c>
      <c r="E305" s="35" t="s">
        <v>3833</v>
      </c>
      <c r="F305" s="35" t="s">
        <v>2665</v>
      </c>
      <c r="G305" s="35" t="s">
        <v>2657</v>
      </c>
      <c r="H305" s="35" t="s">
        <v>3789</v>
      </c>
      <c r="I305" s="35" t="s">
        <v>3311</v>
      </c>
      <c r="J305" s="35" t="s">
        <v>3311</v>
      </c>
      <c r="K305" s="35" t="s">
        <v>1764</v>
      </c>
      <c r="L305" s="35" t="s">
        <v>2361</v>
      </c>
      <c r="M305" s="35" t="s">
        <v>3670</v>
      </c>
      <c r="N305" s="35" t="s">
        <v>3834</v>
      </c>
      <c r="O305" s="35"/>
      <c r="P305" s="35"/>
      <c r="Q305" s="35"/>
      <c r="R305" s="36"/>
      <c r="S305" s="35"/>
    </row>
    <row r="306" spans="1:19" ht="15.6">
      <c r="A306" s="34">
        <v>305</v>
      </c>
      <c r="B306" s="35">
        <v>2025</v>
      </c>
      <c r="C306" s="35">
        <v>2025</v>
      </c>
      <c r="D306" s="35" t="s">
        <v>3835</v>
      </c>
      <c r="E306" s="35" t="s">
        <v>3836</v>
      </c>
      <c r="F306" s="35" t="s">
        <v>2665</v>
      </c>
      <c r="G306" s="35" t="s">
        <v>2657</v>
      </c>
      <c r="H306" s="35" t="s">
        <v>3789</v>
      </c>
      <c r="I306" s="35" t="s">
        <v>3311</v>
      </c>
      <c r="J306" s="35" t="s">
        <v>3311</v>
      </c>
      <c r="K306" s="35" t="s">
        <v>1766</v>
      </c>
      <c r="L306" s="35" t="s">
        <v>2361</v>
      </c>
      <c r="M306" s="35" t="s">
        <v>3670</v>
      </c>
      <c r="N306" s="35" t="s">
        <v>3837</v>
      </c>
      <c r="O306" s="35"/>
      <c r="P306" s="35"/>
      <c r="Q306" s="35"/>
      <c r="R306" s="36"/>
      <c r="S306" s="35"/>
    </row>
    <row r="307" spans="1:19" ht="15.6">
      <c r="A307" s="34">
        <v>306</v>
      </c>
      <c r="B307" s="35">
        <v>2025</v>
      </c>
      <c r="C307" s="35">
        <v>2025</v>
      </c>
      <c r="D307" s="35" t="s">
        <v>3838</v>
      </c>
      <c r="E307" s="35" t="s">
        <v>3839</v>
      </c>
      <c r="F307" s="35" t="s">
        <v>2665</v>
      </c>
      <c r="G307" s="35" t="s">
        <v>2657</v>
      </c>
      <c r="H307" s="35" t="s">
        <v>3789</v>
      </c>
      <c r="I307" s="35" t="s">
        <v>3311</v>
      </c>
      <c r="J307" s="35" t="s">
        <v>3311</v>
      </c>
      <c r="K307" s="35" t="s">
        <v>1768</v>
      </c>
      <c r="L307" s="35" t="s">
        <v>2361</v>
      </c>
      <c r="M307" s="35" t="s">
        <v>3670</v>
      </c>
      <c r="N307" s="35" t="s">
        <v>3840</v>
      </c>
      <c r="O307" s="35"/>
      <c r="P307" s="35"/>
      <c r="Q307" s="35"/>
      <c r="R307" s="36"/>
      <c r="S307" s="35"/>
    </row>
    <row r="308" spans="1:19" ht="15.6">
      <c r="A308" s="34">
        <v>307</v>
      </c>
      <c r="B308" s="35">
        <v>2025</v>
      </c>
      <c r="C308" s="35">
        <v>2025</v>
      </c>
      <c r="D308" s="35" t="s">
        <v>3841</v>
      </c>
      <c r="E308" s="35" t="s">
        <v>3842</v>
      </c>
      <c r="F308" s="35" t="s">
        <v>2665</v>
      </c>
      <c r="G308" s="35" t="s">
        <v>2657</v>
      </c>
      <c r="H308" s="35" t="s">
        <v>3789</v>
      </c>
      <c r="I308" s="35" t="s">
        <v>3311</v>
      </c>
      <c r="J308" s="35" t="s">
        <v>3311</v>
      </c>
      <c r="K308" s="35" t="s">
        <v>1770</v>
      </c>
      <c r="L308" s="35" t="s">
        <v>2361</v>
      </c>
      <c r="M308" s="35" t="s">
        <v>3670</v>
      </c>
      <c r="N308" s="35" t="s">
        <v>3843</v>
      </c>
      <c r="O308" s="35"/>
      <c r="P308" s="35"/>
      <c r="Q308" s="35"/>
      <c r="R308" s="36"/>
      <c r="S308" s="35"/>
    </row>
    <row r="309" spans="1:19" ht="15.6">
      <c r="A309" s="34">
        <v>308</v>
      </c>
      <c r="B309" s="35">
        <v>2025</v>
      </c>
      <c r="C309" s="35">
        <v>2025</v>
      </c>
      <c r="D309" s="35" t="s">
        <v>3844</v>
      </c>
      <c r="E309" s="35" t="s">
        <v>3845</v>
      </c>
      <c r="F309" s="35" t="s">
        <v>2665</v>
      </c>
      <c r="G309" s="35" t="s">
        <v>2657</v>
      </c>
      <c r="H309" s="35" t="s">
        <v>3789</v>
      </c>
      <c r="I309" s="35" t="s">
        <v>3311</v>
      </c>
      <c r="J309" s="35" t="s">
        <v>3311</v>
      </c>
      <c r="K309" s="35" t="s">
        <v>1773</v>
      </c>
      <c r="L309" s="35" t="s">
        <v>2361</v>
      </c>
      <c r="M309" s="35" t="s">
        <v>3670</v>
      </c>
      <c r="N309" s="35" t="s">
        <v>3846</v>
      </c>
      <c r="O309" s="35"/>
      <c r="P309" s="35"/>
      <c r="Q309" s="35"/>
      <c r="R309" s="36"/>
      <c r="S309" s="35"/>
    </row>
    <row r="310" spans="1:19" ht="15.6">
      <c r="A310" s="34">
        <v>309</v>
      </c>
      <c r="B310" s="35">
        <v>2025</v>
      </c>
      <c r="C310" s="35">
        <v>2025</v>
      </c>
      <c r="D310" s="35" t="s">
        <v>3847</v>
      </c>
      <c r="E310" s="35" t="s">
        <v>3848</v>
      </c>
      <c r="F310" s="35" t="s">
        <v>2665</v>
      </c>
      <c r="G310" s="35" t="s">
        <v>2657</v>
      </c>
      <c r="H310" s="35" t="s">
        <v>3789</v>
      </c>
      <c r="I310" s="35" t="s">
        <v>3311</v>
      </c>
      <c r="J310" s="35" t="s">
        <v>3311</v>
      </c>
      <c r="K310" s="35" t="s">
        <v>1775</v>
      </c>
      <c r="L310" s="35" t="s">
        <v>2361</v>
      </c>
      <c r="M310" s="35" t="s">
        <v>3670</v>
      </c>
      <c r="N310" s="35" t="s">
        <v>3849</v>
      </c>
      <c r="O310" s="35"/>
      <c r="P310" s="35"/>
      <c r="Q310" s="35"/>
      <c r="R310" s="36"/>
      <c r="S310" s="35"/>
    </row>
    <row r="311" spans="1:19" ht="15.6">
      <c r="A311" s="34">
        <v>310</v>
      </c>
      <c r="B311" s="35">
        <v>2025</v>
      </c>
      <c r="C311" s="35">
        <v>2025</v>
      </c>
      <c r="D311" s="35" t="s">
        <v>3850</v>
      </c>
      <c r="E311" s="38">
        <v>39448</v>
      </c>
      <c r="F311" s="35" t="s">
        <v>2665</v>
      </c>
      <c r="G311" s="35" t="s">
        <v>2657</v>
      </c>
      <c r="H311" s="35" t="s">
        <v>3789</v>
      </c>
      <c r="I311" s="35" t="s">
        <v>3311</v>
      </c>
      <c r="J311" s="35" t="s">
        <v>3311</v>
      </c>
      <c r="K311" s="35" t="s">
        <v>1777</v>
      </c>
      <c r="L311" s="35" t="s">
        <v>2361</v>
      </c>
      <c r="M311" s="35" t="s">
        <v>3670</v>
      </c>
      <c r="N311" s="35" t="s">
        <v>3851</v>
      </c>
      <c r="O311" s="35"/>
      <c r="P311" s="35"/>
      <c r="Q311" s="35"/>
      <c r="R311" s="36"/>
      <c r="S311" s="35"/>
    </row>
    <row r="312" spans="1:19" ht="15.6">
      <c r="A312" s="34">
        <v>311</v>
      </c>
      <c r="B312" s="35">
        <v>2025</v>
      </c>
      <c r="C312" s="35">
        <v>2025</v>
      </c>
      <c r="D312" s="35" t="s">
        <v>3852</v>
      </c>
      <c r="E312" s="38">
        <v>39486</v>
      </c>
      <c r="F312" s="35" t="s">
        <v>2665</v>
      </c>
      <c r="G312" s="35" t="s">
        <v>2657</v>
      </c>
      <c r="H312" s="35" t="s">
        <v>3789</v>
      </c>
      <c r="I312" s="35" t="s">
        <v>3311</v>
      </c>
      <c r="J312" s="35" t="s">
        <v>3311</v>
      </c>
      <c r="K312" s="35" t="s">
        <v>1779</v>
      </c>
      <c r="L312" s="35" t="s">
        <v>2361</v>
      </c>
      <c r="M312" s="35" t="s">
        <v>3670</v>
      </c>
      <c r="N312" s="35" t="s">
        <v>3853</v>
      </c>
      <c r="O312" s="35"/>
      <c r="P312" s="35"/>
      <c r="Q312" s="35"/>
      <c r="R312" s="36"/>
      <c r="S312" s="35"/>
    </row>
    <row r="313" spans="1:19" ht="15.6">
      <c r="A313" s="34">
        <v>312</v>
      </c>
      <c r="B313" s="35">
        <v>2025</v>
      </c>
      <c r="C313" s="35">
        <v>2025</v>
      </c>
      <c r="D313" s="35" t="s">
        <v>3854</v>
      </c>
      <c r="E313" s="38">
        <v>39485</v>
      </c>
      <c r="F313" s="35" t="s">
        <v>2665</v>
      </c>
      <c r="G313" s="35" t="s">
        <v>2657</v>
      </c>
      <c r="H313" s="35" t="s">
        <v>3789</v>
      </c>
      <c r="I313" s="35" t="s">
        <v>3311</v>
      </c>
      <c r="J313" s="35" t="s">
        <v>3311</v>
      </c>
      <c r="K313" s="35" t="s">
        <v>1781</v>
      </c>
      <c r="L313" s="35" t="s">
        <v>2361</v>
      </c>
      <c r="M313" s="35" t="s">
        <v>3670</v>
      </c>
      <c r="N313" s="35" t="s">
        <v>3855</v>
      </c>
      <c r="O313" s="35"/>
      <c r="P313" s="35"/>
      <c r="Q313" s="35"/>
      <c r="R313" s="36"/>
      <c r="S313" s="35"/>
    </row>
    <row r="314" spans="1:19" ht="15.6">
      <c r="A314" s="34">
        <v>313</v>
      </c>
      <c r="B314" s="35">
        <v>2025</v>
      </c>
      <c r="C314" s="35">
        <v>2025</v>
      </c>
      <c r="D314" s="35" t="s">
        <v>3856</v>
      </c>
      <c r="E314" s="35" t="s">
        <v>3857</v>
      </c>
      <c r="F314" s="35" t="s">
        <v>2665</v>
      </c>
      <c r="G314" s="35" t="s">
        <v>2657</v>
      </c>
      <c r="H314" s="35" t="s">
        <v>3789</v>
      </c>
      <c r="I314" s="35" t="s">
        <v>3311</v>
      </c>
      <c r="J314" s="35" t="s">
        <v>3311</v>
      </c>
      <c r="K314" s="35" t="s">
        <v>1783</v>
      </c>
      <c r="L314" s="35" t="s">
        <v>2361</v>
      </c>
      <c r="M314" s="35" t="s">
        <v>3670</v>
      </c>
      <c r="N314" s="35" t="s">
        <v>3858</v>
      </c>
      <c r="O314" s="35"/>
      <c r="P314" s="35"/>
      <c r="Q314" s="35"/>
      <c r="R314" s="36"/>
      <c r="S314" s="35"/>
    </row>
    <row r="315" spans="1:19" ht="15.6">
      <c r="A315" s="34">
        <v>314</v>
      </c>
      <c r="B315" s="35">
        <v>2025</v>
      </c>
      <c r="C315" s="35">
        <v>2025</v>
      </c>
      <c r="D315" s="35" t="s">
        <v>3859</v>
      </c>
      <c r="E315" s="35" t="s">
        <v>3860</v>
      </c>
      <c r="F315" s="35" t="s">
        <v>2665</v>
      </c>
      <c r="G315" s="35" t="s">
        <v>2657</v>
      </c>
      <c r="H315" s="35" t="s">
        <v>3789</v>
      </c>
      <c r="I315" s="35" t="s">
        <v>3311</v>
      </c>
      <c r="J315" s="35" t="s">
        <v>3311</v>
      </c>
      <c r="K315" s="35" t="s">
        <v>1785</v>
      </c>
      <c r="L315" s="35" t="s">
        <v>2361</v>
      </c>
      <c r="M315" s="35" t="s">
        <v>3670</v>
      </c>
      <c r="N315" s="35" t="s">
        <v>3861</v>
      </c>
      <c r="O315" s="35"/>
      <c r="P315" s="35"/>
      <c r="Q315" s="35"/>
      <c r="R315" s="36"/>
      <c r="S315" s="35"/>
    </row>
    <row r="316" spans="1:19" ht="15.6">
      <c r="A316" s="34">
        <v>315</v>
      </c>
      <c r="B316" s="35">
        <v>2025</v>
      </c>
      <c r="C316" s="35">
        <v>2025</v>
      </c>
      <c r="D316" s="35" t="s">
        <v>3862</v>
      </c>
      <c r="E316" s="35" t="s">
        <v>3863</v>
      </c>
      <c r="F316" s="35" t="s">
        <v>2665</v>
      </c>
      <c r="G316" s="35" t="s">
        <v>2657</v>
      </c>
      <c r="H316" s="35" t="s">
        <v>3789</v>
      </c>
      <c r="I316" s="35" t="s">
        <v>3311</v>
      </c>
      <c r="J316" s="35" t="s">
        <v>3311</v>
      </c>
      <c r="K316" s="35" t="s">
        <v>1786</v>
      </c>
      <c r="L316" s="35" t="s">
        <v>2361</v>
      </c>
      <c r="M316" s="35" t="s">
        <v>3670</v>
      </c>
      <c r="N316" s="35" t="s">
        <v>3864</v>
      </c>
      <c r="O316" s="35"/>
      <c r="P316" s="35"/>
      <c r="Q316" s="35"/>
      <c r="R316" s="36"/>
      <c r="S316" s="35"/>
    </row>
    <row r="317" spans="1:19" ht="15.6">
      <c r="A317" s="34">
        <v>316</v>
      </c>
      <c r="B317" s="35">
        <v>2025</v>
      </c>
      <c r="C317" s="35">
        <v>2025</v>
      </c>
      <c r="D317" s="35" t="s">
        <v>3865</v>
      </c>
      <c r="E317" s="35" t="s">
        <v>3866</v>
      </c>
      <c r="F317" s="35" t="s">
        <v>2665</v>
      </c>
      <c r="G317" s="35" t="s">
        <v>2657</v>
      </c>
      <c r="H317" s="35" t="s">
        <v>3789</v>
      </c>
      <c r="I317" s="35" t="s">
        <v>3311</v>
      </c>
      <c r="J317" s="35" t="s">
        <v>3311</v>
      </c>
      <c r="K317" s="35" t="s">
        <v>1787</v>
      </c>
      <c r="L317" s="35" t="s">
        <v>2361</v>
      </c>
      <c r="M317" s="35" t="s">
        <v>3670</v>
      </c>
      <c r="N317" s="35" t="s">
        <v>3867</v>
      </c>
      <c r="O317" s="35"/>
      <c r="P317" s="35"/>
      <c r="Q317" s="35"/>
      <c r="R317" s="36"/>
      <c r="S317" s="35"/>
    </row>
    <row r="318" spans="1:19" ht="15.6">
      <c r="A318" s="34">
        <v>317</v>
      </c>
      <c r="B318" s="35">
        <v>2025</v>
      </c>
      <c r="C318" s="35">
        <v>2025</v>
      </c>
      <c r="D318" s="35" t="s">
        <v>3868</v>
      </c>
      <c r="E318" s="38">
        <v>40124</v>
      </c>
      <c r="F318" s="35" t="s">
        <v>2665</v>
      </c>
      <c r="G318" s="35" t="s">
        <v>2657</v>
      </c>
      <c r="H318" s="35" t="s">
        <v>3789</v>
      </c>
      <c r="I318" s="35" t="s">
        <v>3311</v>
      </c>
      <c r="J318" s="35" t="s">
        <v>3311</v>
      </c>
      <c r="K318" s="35" t="s">
        <v>1788</v>
      </c>
      <c r="L318" s="35" t="s">
        <v>2361</v>
      </c>
      <c r="M318" s="35" t="s">
        <v>3670</v>
      </c>
      <c r="N318" s="35" t="s">
        <v>3869</v>
      </c>
      <c r="O318" s="35"/>
      <c r="P318" s="35"/>
      <c r="Q318" s="35"/>
      <c r="R318" s="36"/>
      <c r="S318" s="35"/>
    </row>
    <row r="319" spans="1:19" ht="15.6">
      <c r="A319" s="34">
        <v>318</v>
      </c>
      <c r="B319" s="35">
        <v>2025</v>
      </c>
      <c r="C319" s="35">
        <v>2025</v>
      </c>
      <c r="D319" s="35" t="s">
        <v>3870</v>
      </c>
      <c r="E319" s="38">
        <v>38422</v>
      </c>
      <c r="F319" s="35" t="s">
        <v>2656</v>
      </c>
      <c r="G319" s="35" t="s">
        <v>2657</v>
      </c>
      <c r="H319" s="35" t="s">
        <v>3789</v>
      </c>
      <c r="I319" s="35" t="s">
        <v>3311</v>
      </c>
      <c r="J319" s="35" t="s">
        <v>3311</v>
      </c>
      <c r="K319" s="35" t="s">
        <v>1791</v>
      </c>
      <c r="L319" s="35" t="s">
        <v>2361</v>
      </c>
      <c r="M319" s="35" t="s">
        <v>3670</v>
      </c>
      <c r="N319" s="35" t="s">
        <v>3871</v>
      </c>
      <c r="O319" s="35"/>
      <c r="P319" s="35"/>
      <c r="Q319" s="35"/>
      <c r="R319" s="36"/>
      <c r="S319" s="35"/>
    </row>
    <row r="320" spans="1:19" ht="15.6">
      <c r="A320" s="34">
        <v>319</v>
      </c>
      <c r="B320" s="35">
        <v>2025</v>
      </c>
      <c r="C320" s="35">
        <v>2025</v>
      </c>
      <c r="D320" s="35" t="s">
        <v>3872</v>
      </c>
      <c r="E320" s="35" t="s">
        <v>3873</v>
      </c>
      <c r="F320" s="35" t="s">
        <v>2656</v>
      </c>
      <c r="G320" s="35" t="s">
        <v>2657</v>
      </c>
      <c r="H320" s="35" t="s">
        <v>3789</v>
      </c>
      <c r="I320" s="35" t="s">
        <v>3311</v>
      </c>
      <c r="J320" s="35" t="s">
        <v>3311</v>
      </c>
      <c r="K320" s="35" t="s">
        <v>1793</v>
      </c>
      <c r="L320" s="35" t="s">
        <v>2361</v>
      </c>
      <c r="M320" s="35" t="s">
        <v>3670</v>
      </c>
      <c r="N320" s="35" t="s">
        <v>3874</v>
      </c>
      <c r="O320" s="35"/>
      <c r="P320" s="35"/>
      <c r="Q320" s="35"/>
      <c r="R320" s="36"/>
      <c r="S320" s="35"/>
    </row>
    <row r="321" spans="1:19" ht="15.6">
      <c r="A321" s="34">
        <v>320</v>
      </c>
      <c r="B321" s="35">
        <v>2025</v>
      </c>
      <c r="C321" s="35">
        <v>2025</v>
      </c>
      <c r="D321" s="35" t="s">
        <v>3875</v>
      </c>
      <c r="E321" s="38">
        <v>39125</v>
      </c>
      <c r="F321" s="35" t="s">
        <v>2656</v>
      </c>
      <c r="G321" s="35" t="s">
        <v>2657</v>
      </c>
      <c r="H321" s="35" t="s">
        <v>3789</v>
      </c>
      <c r="I321" s="35" t="s">
        <v>3311</v>
      </c>
      <c r="J321" s="35" t="s">
        <v>3311</v>
      </c>
      <c r="K321" s="35" t="s">
        <v>1795</v>
      </c>
      <c r="L321" s="35" t="s">
        <v>2361</v>
      </c>
      <c r="M321" s="35" t="s">
        <v>3670</v>
      </c>
      <c r="N321" s="35" t="s">
        <v>3876</v>
      </c>
      <c r="O321" s="35"/>
      <c r="P321" s="35"/>
      <c r="Q321" s="35"/>
      <c r="R321" s="36"/>
      <c r="S321" s="35"/>
    </row>
    <row r="322" spans="1:19" ht="15.6">
      <c r="A322" s="34">
        <v>321</v>
      </c>
      <c r="B322" s="35">
        <v>2025</v>
      </c>
      <c r="C322" s="35">
        <v>2025</v>
      </c>
      <c r="D322" s="35" t="s">
        <v>3877</v>
      </c>
      <c r="E322" s="38">
        <v>38718</v>
      </c>
      <c r="F322" s="35" t="s">
        <v>2656</v>
      </c>
      <c r="G322" s="35" t="s">
        <v>2657</v>
      </c>
      <c r="H322" s="35" t="s">
        <v>3789</v>
      </c>
      <c r="I322" s="35" t="s">
        <v>3311</v>
      </c>
      <c r="J322" s="35" t="s">
        <v>3311</v>
      </c>
      <c r="K322" s="35" t="s">
        <v>1797</v>
      </c>
      <c r="L322" s="35" t="s">
        <v>2361</v>
      </c>
      <c r="M322" s="35" t="s">
        <v>3670</v>
      </c>
      <c r="N322" s="35" t="s">
        <v>3878</v>
      </c>
      <c r="O322" s="35"/>
      <c r="P322" s="35"/>
      <c r="Q322" s="35"/>
      <c r="R322" s="36"/>
      <c r="S322" s="35"/>
    </row>
    <row r="323" spans="1:19" ht="15.6">
      <c r="A323" s="34">
        <v>322</v>
      </c>
      <c r="B323" s="35">
        <v>2025</v>
      </c>
      <c r="C323" s="35">
        <v>2025</v>
      </c>
      <c r="D323" s="35" t="s">
        <v>3879</v>
      </c>
      <c r="E323" s="38">
        <v>38812</v>
      </c>
      <c r="F323" s="35" t="s">
        <v>2656</v>
      </c>
      <c r="G323" s="35" t="s">
        <v>2657</v>
      </c>
      <c r="H323" s="35" t="s">
        <v>3789</v>
      </c>
      <c r="I323" s="35" t="s">
        <v>3311</v>
      </c>
      <c r="J323" s="35" t="s">
        <v>3311</v>
      </c>
      <c r="K323" s="35" t="s">
        <v>1799</v>
      </c>
      <c r="L323" s="35" t="s">
        <v>2361</v>
      </c>
      <c r="M323" s="35" t="s">
        <v>3670</v>
      </c>
      <c r="N323" s="35" t="s">
        <v>3880</v>
      </c>
      <c r="O323" s="35"/>
      <c r="P323" s="35"/>
      <c r="Q323" s="35"/>
      <c r="R323" s="36"/>
      <c r="S323" s="35"/>
    </row>
    <row r="324" spans="1:19" ht="15.6">
      <c r="A324" s="34">
        <v>323</v>
      </c>
      <c r="B324" s="35">
        <v>2025</v>
      </c>
      <c r="C324" s="35">
        <v>2025</v>
      </c>
      <c r="D324" s="35" t="s">
        <v>3881</v>
      </c>
      <c r="E324" s="38">
        <v>39428</v>
      </c>
      <c r="F324" s="35" t="s">
        <v>2656</v>
      </c>
      <c r="G324" s="35" t="s">
        <v>2657</v>
      </c>
      <c r="H324" s="35" t="s">
        <v>3789</v>
      </c>
      <c r="I324" s="35" t="s">
        <v>3311</v>
      </c>
      <c r="J324" s="35" t="s">
        <v>3311</v>
      </c>
      <c r="K324" s="35" t="s">
        <v>1802</v>
      </c>
      <c r="L324" s="35" t="s">
        <v>2361</v>
      </c>
      <c r="M324" s="35" t="s">
        <v>3670</v>
      </c>
      <c r="N324" s="35" t="s">
        <v>3882</v>
      </c>
      <c r="O324" s="35"/>
      <c r="P324" s="35"/>
      <c r="Q324" s="35"/>
      <c r="R324" s="36"/>
      <c r="S324" s="35"/>
    </row>
    <row r="325" spans="1:19" ht="15.6">
      <c r="A325" s="34">
        <v>324</v>
      </c>
      <c r="B325" s="35">
        <v>2025</v>
      </c>
      <c r="C325" s="35">
        <v>2025</v>
      </c>
      <c r="D325" s="35" t="s">
        <v>3883</v>
      </c>
      <c r="E325" s="38">
        <v>39540</v>
      </c>
      <c r="F325" s="35" t="s">
        <v>2656</v>
      </c>
      <c r="G325" s="35" t="s">
        <v>2657</v>
      </c>
      <c r="H325" s="35" t="s">
        <v>3789</v>
      </c>
      <c r="I325" s="35" t="s">
        <v>3311</v>
      </c>
      <c r="J325" s="35" t="s">
        <v>3311</v>
      </c>
      <c r="K325" s="35" t="s">
        <v>1804</v>
      </c>
      <c r="L325" s="35" t="s">
        <v>2361</v>
      </c>
      <c r="M325" s="35" t="s">
        <v>3670</v>
      </c>
      <c r="N325" s="35" t="s">
        <v>3884</v>
      </c>
      <c r="O325" s="35"/>
      <c r="P325" s="35"/>
      <c r="Q325" s="35"/>
      <c r="R325" s="36"/>
      <c r="S325" s="35"/>
    </row>
    <row r="326" spans="1:19" ht="15.6">
      <c r="A326" s="34">
        <v>325</v>
      </c>
      <c r="B326" s="35">
        <v>2025</v>
      </c>
      <c r="C326" s="35">
        <v>2025</v>
      </c>
      <c r="D326" s="35" t="s">
        <v>3885</v>
      </c>
      <c r="E326" s="38">
        <v>38940</v>
      </c>
      <c r="F326" s="35" t="s">
        <v>2656</v>
      </c>
      <c r="G326" s="35" t="s">
        <v>2657</v>
      </c>
      <c r="H326" s="35" t="s">
        <v>3789</v>
      </c>
      <c r="I326" s="35" t="s">
        <v>3311</v>
      </c>
      <c r="J326" s="35" t="s">
        <v>3311</v>
      </c>
      <c r="K326" s="35" t="s">
        <v>1806</v>
      </c>
      <c r="L326" s="35" t="s">
        <v>2361</v>
      </c>
      <c r="M326" s="35" t="s">
        <v>3670</v>
      </c>
      <c r="N326" s="35" t="s">
        <v>3886</v>
      </c>
      <c r="O326" s="35"/>
      <c r="P326" s="35"/>
      <c r="Q326" s="35"/>
      <c r="R326" s="36"/>
      <c r="S326" s="35"/>
    </row>
    <row r="327" spans="1:19" ht="15.6">
      <c r="A327" s="34">
        <v>326</v>
      </c>
      <c r="B327" s="35">
        <v>2025</v>
      </c>
      <c r="C327" s="35">
        <v>2025</v>
      </c>
      <c r="D327" s="35" t="s">
        <v>3887</v>
      </c>
      <c r="E327" s="35" t="s">
        <v>3888</v>
      </c>
      <c r="F327" s="35" t="s">
        <v>2656</v>
      </c>
      <c r="G327" s="35" t="s">
        <v>2657</v>
      </c>
      <c r="H327" s="35" t="s">
        <v>3789</v>
      </c>
      <c r="I327" s="35" t="s">
        <v>3311</v>
      </c>
      <c r="J327" s="35" t="s">
        <v>3311</v>
      </c>
      <c r="K327" s="35" t="s">
        <v>1809</v>
      </c>
      <c r="L327" s="35" t="s">
        <v>2361</v>
      </c>
      <c r="M327" s="35" t="s">
        <v>3670</v>
      </c>
      <c r="N327" s="35" t="s">
        <v>3889</v>
      </c>
      <c r="O327" s="35"/>
      <c r="P327" s="35"/>
      <c r="Q327" s="35"/>
      <c r="R327" s="36"/>
      <c r="S327" s="35"/>
    </row>
    <row r="328" spans="1:19" ht="15.6">
      <c r="A328" s="34">
        <v>327</v>
      </c>
      <c r="B328" s="35">
        <v>2025</v>
      </c>
      <c r="C328" s="35">
        <v>2025</v>
      </c>
      <c r="D328" s="35" t="s">
        <v>3890</v>
      </c>
      <c r="E328" s="38">
        <v>39364</v>
      </c>
      <c r="F328" s="35" t="s">
        <v>2656</v>
      </c>
      <c r="G328" s="35" t="s">
        <v>2657</v>
      </c>
      <c r="H328" s="35" t="s">
        <v>3789</v>
      </c>
      <c r="I328" s="35" t="s">
        <v>3311</v>
      </c>
      <c r="J328" s="35" t="s">
        <v>3311</v>
      </c>
      <c r="K328" s="35" t="s">
        <v>1811</v>
      </c>
      <c r="L328" s="35" t="s">
        <v>2361</v>
      </c>
      <c r="M328" s="35" t="s">
        <v>3670</v>
      </c>
      <c r="N328" s="35" t="s">
        <v>3891</v>
      </c>
      <c r="O328" s="35"/>
      <c r="P328" s="35"/>
      <c r="Q328" s="35"/>
      <c r="R328" s="36"/>
      <c r="S328" s="35"/>
    </row>
    <row r="329" spans="1:19" ht="15.6">
      <c r="A329" s="34">
        <v>328</v>
      </c>
      <c r="B329" s="35">
        <v>2025</v>
      </c>
      <c r="C329" s="35">
        <v>2025</v>
      </c>
      <c r="D329" s="35" t="s">
        <v>3892</v>
      </c>
      <c r="E329" s="35" t="s">
        <v>3893</v>
      </c>
      <c r="F329" s="35" t="s">
        <v>2656</v>
      </c>
      <c r="G329" s="35" t="s">
        <v>2657</v>
      </c>
      <c r="H329" s="35" t="s">
        <v>3789</v>
      </c>
      <c r="I329" s="35" t="s">
        <v>3311</v>
      </c>
      <c r="J329" s="35" t="s">
        <v>3311</v>
      </c>
      <c r="K329" s="35" t="s">
        <v>1813</v>
      </c>
      <c r="L329" s="35" t="s">
        <v>2361</v>
      </c>
      <c r="M329" s="35" t="s">
        <v>3670</v>
      </c>
      <c r="N329" s="35" t="s">
        <v>3894</v>
      </c>
      <c r="O329" s="35"/>
      <c r="P329" s="35"/>
      <c r="Q329" s="35"/>
      <c r="R329" s="36"/>
      <c r="S329" s="35"/>
    </row>
    <row r="330" spans="1:19" ht="15.6">
      <c r="A330" s="34">
        <v>329</v>
      </c>
      <c r="B330" s="35">
        <v>2025</v>
      </c>
      <c r="C330" s="35">
        <v>2025</v>
      </c>
      <c r="D330" s="35" t="s">
        <v>3895</v>
      </c>
      <c r="E330" s="35" t="s">
        <v>3896</v>
      </c>
      <c r="F330" s="35" t="s">
        <v>2656</v>
      </c>
      <c r="G330" s="35" t="s">
        <v>2657</v>
      </c>
      <c r="H330" s="35" t="s">
        <v>3789</v>
      </c>
      <c r="I330" s="35" t="s">
        <v>3311</v>
      </c>
      <c r="J330" s="35" t="s">
        <v>3311</v>
      </c>
      <c r="K330" s="35" t="s">
        <v>1815</v>
      </c>
      <c r="L330" s="35" t="s">
        <v>2361</v>
      </c>
      <c r="M330" s="35" t="s">
        <v>3670</v>
      </c>
      <c r="N330" s="35" t="s">
        <v>3897</v>
      </c>
      <c r="O330" s="35"/>
      <c r="P330" s="35"/>
      <c r="Q330" s="35"/>
      <c r="R330" s="36"/>
      <c r="S330" s="35"/>
    </row>
    <row r="331" spans="1:19" ht="15.6">
      <c r="A331" s="34">
        <v>330</v>
      </c>
      <c r="B331" s="35">
        <v>2025</v>
      </c>
      <c r="C331" s="35">
        <v>2025</v>
      </c>
      <c r="D331" s="35" t="s">
        <v>3898</v>
      </c>
      <c r="E331" s="35" t="s">
        <v>3899</v>
      </c>
      <c r="F331" s="35" t="s">
        <v>2656</v>
      </c>
      <c r="G331" s="35" t="s">
        <v>2657</v>
      </c>
      <c r="H331" s="35" t="s">
        <v>3789</v>
      </c>
      <c r="I331" s="35" t="s">
        <v>3311</v>
      </c>
      <c r="J331" s="35" t="s">
        <v>3311</v>
      </c>
      <c r="K331" s="35" t="s">
        <v>1817</v>
      </c>
      <c r="L331" s="35" t="s">
        <v>2361</v>
      </c>
      <c r="M331" s="35" t="s">
        <v>3670</v>
      </c>
      <c r="N331" s="35" t="s">
        <v>3900</v>
      </c>
      <c r="O331" s="35"/>
      <c r="P331" s="35"/>
      <c r="Q331" s="35"/>
      <c r="R331" s="36"/>
      <c r="S331" s="35"/>
    </row>
    <row r="332" spans="1:19" ht="15.6">
      <c r="A332" s="34">
        <v>331</v>
      </c>
      <c r="B332" s="35">
        <v>2025</v>
      </c>
      <c r="C332" s="35">
        <v>2025</v>
      </c>
      <c r="D332" s="35" t="s">
        <v>3901</v>
      </c>
      <c r="E332" s="38">
        <v>39122</v>
      </c>
      <c r="F332" s="35" t="s">
        <v>2656</v>
      </c>
      <c r="G332" s="35" t="s">
        <v>2657</v>
      </c>
      <c r="H332" s="35" t="s">
        <v>3789</v>
      </c>
      <c r="I332" s="35" t="s">
        <v>3311</v>
      </c>
      <c r="J332" s="35" t="s">
        <v>3311</v>
      </c>
      <c r="K332" s="35" t="s">
        <v>2130</v>
      </c>
      <c r="L332" s="35" t="s">
        <v>2361</v>
      </c>
      <c r="M332" s="35" t="s">
        <v>3670</v>
      </c>
      <c r="N332" s="35" t="s">
        <v>3902</v>
      </c>
      <c r="O332" s="35"/>
      <c r="P332" s="35"/>
      <c r="Q332" s="35"/>
      <c r="R332" s="36"/>
      <c r="S332" s="35"/>
    </row>
    <row r="333" spans="1:19" ht="15.6">
      <c r="A333" s="34">
        <v>332</v>
      </c>
      <c r="B333" s="35">
        <v>2025</v>
      </c>
      <c r="C333" s="35">
        <v>2025</v>
      </c>
      <c r="D333" s="35" t="s">
        <v>3903</v>
      </c>
      <c r="E333" s="38">
        <v>39548</v>
      </c>
      <c r="F333" s="35" t="s">
        <v>2656</v>
      </c>
      <c r="G333" s="35" t="s">
        <v>2657</v>
      </c>
      <c r="H333" s="35" t="s">
        <v>3789</v>
      </c>
      <c r="I333" s="35" t="s">
        <v>3311</v>
      </c>
      <c r="J333" s="35" t="s">
        <v>3311</v>
      </c>
      <c r="K333" s="35" t="s">
        <v>2132</v>
      </c>
      <c r="L333" s="35" t="s">
        <v>2361</v>
      </c>
      <c r="M333" s="35" t="s">
        <v>3670</v>
      </c>
      <c r="N333" s="35" t="s">
        <v>3904</v>
      </c>
      <c r="O333" s="35"/>
      <c r="P333" s="35"/>
      <c r="Q333" s="35"/>
      <c r="R333" s="36"/>
      <c r="S333" s="35"/>
    </row>
    <row r="334" spans="1:19" ht="15.6">
      <c r="A334" s="34">
        <v>333</v>
      </c>
      <c r="B334" s="35">
        <v>2025</v>
      </c>
      <c r="C334" s="35">
        <v>2025</v>
      </c>
      <c r="D334" s="35" t="s">
        <v>3905</v>
      </c>
      <c r="E334" s="38">
        <v>39337</v>
      </c>
      <c r="F334" s="35" t="s">
        <v>2656</v>
      </c>
      <c r="G334" s="35" t="s">
        <v>2657</v>
      </c>
      <c r="H334" s="35" t="s">
        <v>3789</v>
      </c>
      <c r="I334" s="35" t="s">
        <v>3311</v>
      </c>
      <c r="J334" s="35" t="s">
        <v>3311</v>
      </c>
      <c r="K334" s="35" t="s">
        <v>2135</v>
      </c>
      <c r="L334" s="35" t="s">
        <v>2361</v>
      </c>
      <c r="M334" s="35" t="s">
        <v>3670</v>
      </c>
      <c r="N334" s="35" t="s">
        <v>3906</v>
      </c>
      <c r="O334" s="35"/>
      <c r="P334" s="35"/>
      <c r="Q334" s="35"/>
      <c r="R334" s="36"/>
      <c r="S334" s="35"/>
    </row>
    <row r="335" spans="1:19" ht="15.6">
      <c r="A335" s="34">
        <v>334</v>
      </c>
      <c r="B335" s="35">
        <v>2025</v>
      </c>
      <c r="C335" s="35">
        <v>2025</v>
      </c>
      <c r="D335" s="35" t="s">
        <v>3907</v>
      </c>
      <c r="E335" s="35" t="s">
        <v>3908</v>
      </c>
      <c r="F335" s="35" t="s">
        <v>2656</v>
      </c>
      <c r="G335" s="35" t="s">
        <v>2657</v>
      </c>
      <c r="H335" s="35" t="s">
        <v>3605</v>
      </c>
      <c r="I335" s="35" t="s">
        <v>3311</v>
      </c>
      <c r="J335" s="35" t="s">
        <v>3311</v>
      </c>
      <c r="K335" s="35" t="s">
        <v>2138</v>
      </c>
      <c r="L335" s="35" t="s">
        <v>2361</v>
      </c>
      <c r="M335" s="35" t="s">
        <v>3909</v>
      </c>
      <c r="N335" s="35" t="s">
        <v>3910</v>
      </c>
      <c r="O335" s="35"/>
      <c r="P335" s="35"/>
      <c r="Q335" s="35"/>
      <c r="R335" s="36"/>
      <c r="S335" s="35"/>
    </row>
    <row r="336" spans="1:19" ht="15.6">
      <c r="A336" s="34">
        <v>335</v>
      </c>
      <c r="B336" s="35">
        <v>2025</v>
      </c>
      <c r="C336" s="35">
        <v>2025</v>
      </c>
      <c r="D336" s="35" t="s">
        <v>3911</v>
      </c>
      <c r="E336" s="38">
        <v>39337</v>
      </c>
      <c r="F336" s="35" t="s">
        <v>2665</v>
      </c>
      <c r="G336" s="35" t="s">
        <v>2657</v>
      </c>
      <c r="H336" s="35" t="s">
        <v>3605</v>
      </c>
      <c r="I336" s="35" t="s">
        <v>3311</v>
      </c>
      <c r="J336" s="35" t="s">
        <v>3311</v>
      </c>
      <c r="K336" s="35" t="s">
        <v>2140</v>
      </c>
      <c r="L336" s="35" t="s">
        <v>2361</v>
      </c>
      <c r="M336" s="35" t="s">
        <v>3909</v>
      </c>
      <c r="N336" s="35" t="s">
        <v>3912</v>
      </c>
      <c r="O336" s="35"/>
      <c r="P336" s="35"/>
      <c r="Q336" s="35"/>
      <c r="R336" s="36"/>
      <c r="S336" s="35"/>
    </row>
    <row r="337" spans="1:19" ht="15.6">
      <c r="A337" s="34">
        <v>336</v>
      </c>
      <c r="B337" s="35">
        <v>2025</v>
      </c>
      <c r="C337" s="35">
        <v>2025</v>
      </c>
      <c r="D337" s="35" t="s">
        <v>3913</v>
      </c>
      <c r="E337" s="35" t="s">
        <v>3914</v>
      </c>
      <c r="F337" s="35" t="s">
        <v>2656</v>
      </c>
      <c r="G337" s="35" t="s">
        <v>2657</v>
      </c>
      <c r="H337" s="35" t="s">
        <v>3605</v>
      </c>
      <c r="I337" s="35" t="s">
        <v>3311</v>
      </c>
      <c r="J337" s="35" t="s">
        <v>3311</v>
      </c>
      <c r="K337" s="35" t="s">
        <v>2142</v>
      </c>
      <c r="L337" s="35" t="s">
        <v>2361</v>
      </c>
      <c r="M337" s="35" t="s">
        <v>3909</v>
      </c>
      <c r="N337" s="35" t="s">
        <v>3915</v>
      </c>
      <c r="O337" s="35"/>
      <c r="P337" s="35"/>
      <c r="Q337" s="35"/>
      <c r="R337" s="36"/>
      <c r="S337" s="35"/>
    </row>
    <row r="338" spans="1:19" ht="15.6">
      <c r="A338" s="34">
        <v>337</v>
      </c>
      <c r="B338" s="35">
        <v>2025</v>
      </c>
      <c r="C338" s="35">
        <v>2025</v>
      </c>
      <c r="D338" s="35" t="s">
        <v>3916</v>
      </c>
      <c r="E338" s="38">
        <v>38963</v>
      </c>
      <c r="F338" s="35" t="s">
        <v>2656</v>
      </c>
      <c r="G338" s="35" t="s">
        <v>2657</v>
      </c>
      <c r="H338" s="35" t="s">
        <v>3605</v>
      </c>
      <c r="I338" s="35" t="s">
        <v>3311</v>
      </c>
      <c r="J338" s="35" t="s">
        <v>3311</v>
      </c>
      <c r="K338" s="35" t="s">
        <v>2144</v>
      </c>
      <c r="L338" s="35" t="s">
        <v>2361</v>
      </c>
      <c r="M338" s="35" t="s">
        <v>3909</v>
      </c>
      <c r="N338" s="35" t="s">
        <v>3917</v>
      </c>
      <c r="O338" s="35"/>
      <c r="P338" s="35"/>
      <c r="Q338" s="35"/>
      <c r="R338" s="36"/>
      <c r="S338" s="35"/>
    </row>
    <row r="339" spans="1:19" ht="15.6">
      <c r="A339" s="34">
        <v>338</v>
      </c>
      <c r="B339" s="35">
        <v>2025</v>
      </c>
      <c r="C339" s="35">
        <v>2025</v>
      </c>
      <c r="D339" s="35" t="s">
        <v>3918</v>
      </c>
      <c r="E339" s="35" t="s">
        <v>3919</v>
      </c>
      <c r="F339" s="35" t="s">
        <v>2656</v>
      </c>
      <c r="G339" s="35" t="s">
        <v>2657</v>
      </c>
      <c r="H339" s="35" t="s">
        <v>3605</v>
      </c>
      <c r="I339" s="35" t="s">
        <v>3311</v>
      </c>
      <c r="J339" s="35" t="s">
        <v>3311</v>
      </c>
      <c r="K339" s="35" t="s">
        <v>2146</v>
      </c>
      <c r="L339" s="35" t="s">
        <v>2361</v>
      </c>
      <c r="M339" s="35" t="s">
        <v>3909</v>
      </c>
      <c r="N339" s="35" t="s">
        <v>3920</v>
      </c>
      <c r="O339" s="35"/>
      <c r="P339" s="35"/>
      <c r="Q339" s="35"/>
      <c r="R339" s="36"/>
      <c r="S339" s="35"/>
    </row>
    <row r="340" spans="1:19" ht="15.6">
      <c r="A340" s="34">
        <v>339</v>
      </c>
      <c r="B340" s="35">
        <v>2025</v>
      </c>
      <c r="C340" s="35">
        <v>2025</v>
      </c>
      <c r="D340" s="35" t="s">
        <v>3921</v>
      </c>
      <c r="E340" s="35" t="s">
        <v>3922</v>
      </c>
      <c r="F340" s="35" t="s">
        <v>2665</v>
      </c>
      <c r="G340" s="35" t="s">
        <v>2657</v>
      </c>
      <c r="H340" s="35"/>
      <c r="I340" s="35" t="s">
        <v>3311</v>
      </c>
      <c r="J340" s="35" t="s">
        <v>3311</v>
      </c>
      <c r="K340" s="35" t="s">
        <v>2148</v>
      </c>
      <c r="L340" s="35" t="s">
        <v>2361</v>
      </c>
      <c r="M340" s="35" t="s">
        <v>3909</v>
      </c>
      <c r="N340" s="35" t="s">
        <v>3923</v>
      </c>
      <c r="O340" s="35"/>
      <c r="P340" s="35"/>
      <c r="Q340" s="35"/>
      <c r="R340" s="36"/>
      <c r="S340" s="35"/>
    </row>
    <row r="341" spans="1:19" ht="15.6">
      <c r="A341" s="34">
        <v>340</v>
      </c>
      <c r="B341" s="35">
        <v>2025</v>
      </c>
      <c r="C341" s="35">
        <v>2025</v>
      </c>
      <c r="D341" s="35" t="s">
        <v>3924</v>
      </c>
      <c r="E341" s="38">
        <v>39061</v>
      </c>
      <c r="F341" s="35" t="s">
        <v>2656</v>
      </c>
      <c r="G341" s="35" t="s">
        <v>2657</v>
      </c>
      <c r="H341" s="35"/>
      <c r="I341" s="35" t="s">
        <v>3311</v>
      </c>
      <c r="J341" s="35" t="s">
        <v>3311</v>
      </c>
      <c r="K341" s="35" t="s">
        <v>2149</v>
      </c>
      <c r="L341" s="35" t="s">
        <v>2361</v>
      </c>
      <c r="M341" s="35" t="s">
        <v>3909</v>
      </c>
      <c r="N341" s="35" t="s">
        <v>3925</v>
      </c>
      <c r="O341" s="35"/>
      <c r="P341" s="35"/>
      <c r="Q341" s="35"/>
      <c r="R341" s="36"/>
      <c r="S341" s="35"/>
    </row>
    <row r="342" spans="1:19" ht="15.6">
      <c r="A342" s="34">
        <v>341</v>
      </c>
      <c r="B342" s="35">
        <v>2025</v>
      </c>
      <c r="C342" s="35">
        <v>2025</v>
      </c>
      <c r="D342" s="35" t="s">
        <v>3926</v>
      </c>
      <c r="E342" s="36">
        <v>31660</v>
      </c>
      <c r="F342" s="35" t="s">
        <v>2656</v>
      </c>
      <c r="G342" s="35" t="s">
        <v>3927</v>
      </c>
      <c r="H342" s="35"/>
      <c r="I342" s="35" t="s">
        <v>3928</v>
      </c>
      <c r="J342" s="35" t="s">
        <v>3928</v>
      </c>
      <c r="K342" s="35" t="s">
        <v>2151</v>
      </c>
      <c r="L342" s="35" t="s">
        <v>2361</v>
      </c>
      <c r="M342" s="35" t="s">
        <v>2669</v>
      </c>
      <c r="N342" s="35" t="s">
        <v>3929</v>
      </c>
      <c r="O342" s="35" t="s">
        <v>3930</v>
      </c>
      <c r="P342" s="35" t="s">
        <v>3931</v>
      </c>
      <c r="Q342" s="35"/>
      <c r="R342" s="36"/>
      <c r="S342" s="35"/>
    </row>
    <row r="343" spans="1:19" ht="15.6">
      <c r="A343" s="34">
        <v>342</v>
      </c>
      <c r="B343" s="35">
        <v>2025</v>
      </c>
      <c r="C343" s="35">
        <v>2025</v>
      </c>
      <c r="D343" s="35" t="s">
        <v>3932</v>
      </c>
      <c r="E343" s="36">
        <v>33560</v>
      </c>
      <c r="F343" s="35" t="s">
        <v>2665</v>
      </c>
      <c r="G343" s="35" t="s">
        <v>2674</v>
      </c>
      <c r="H343" s="35"/>
      <c r="I343" s="35" t="s">
        <v>3928</v>
      </c>
      <c r="J343" s="35" t="s">
        <v>3928</v>
      </c>
      <c r="K343" s="35" t="s">
        <v>2153</v>
      </c>
      <c r="L343" s="35" t="s">
        <v>2361</v>
      </c>
      <c r="M343" s="35" t="s">
        <v>2669</v>
      </c>
      <c r="N343" s="35" t="s">
        <v>3933</v>
      </c>
      <c r="O343" s="35" t="s">
        <v>3934</v>
      </c>
      <c r="P343" s="35" t="s">
        <v>3935</v>
      </c>
      <c r="Q343" s="35"/>
      <c r="R343" s="36"/>
      <c r="S343" s="35"/>
    </row>
    <row r="344" spans="1:19" ht="15.6">
      <c r="A344" s="34">
        <v>343</v>
      </c>
      <c r="B344" s="35">
        <v>2025</v>
      </c>
      <c r="C344" s="35">
        <v>2025</v>
      </c>
      <c r="D344" s="35" t="s">
        <v>3936</v>
      </c>
      <c r="E344" s="38">
        <v>36783</v>
      </c>
      <c r="F344" s="35" t="s">
        <v>2665</v>
      </c>
      <c r="G344" s="35" t="s">
        <v>3937</v>
      </c>
      <c r="H344" s="35"/>
      <c r="I344" s="35" t="s">
        <v>3928</v>
      </c>
      <c r="J344" s="35" t="s">
        <v>3928</v>
      </c>
      <c r="K344" s="35" t="s">
        <v>2154</v>
      </c>
      <c r="L344" s="35" t="s">
        <v>2361</v>
      </c>
      <c r="M344" s="35" t="s">
        <v>2669</v>
      </c>
      <c r="N344" s="35" t="s">
        <v>3938</v>
      </c>
      <c r="O344" s="35" t="s">
        <v>3939</v>
      </c>
      <c r="P344" s="35" t="s">
        <v>3940</v>
      </c>
      <c r="Q344" s="35"/>
      <c r="R344" s="36"/>
      <c r="S344" s="35"/>
    </row>
    <row r="345" spans="1:19" ht="15.6">
      <c r="A345" s="34">
        <v>344</v>
      </c>
      <c r="B345" s="35">
        <v>2025</v>
      </c>
      <c r="C345" s="35">
        <v>2025</v>
      </c>
      <c r="D345" s="35" t="s">
        <v>3941</v>
      </c>
      <c r="E345" s="38">
        <v>36084</v>
      </c>
      <c r="F345" s="35" t="s">
        <v>2656</v>
      </c>
      <c r="G345" s="35" t="s">
        <v>3937</v>
      </c>
      <c r="H345" s="35"/>
      <c r="I345" s="35" t="s">
        <v>3928</v>
      </c>
      <c r="J345" s="35" t="s">
        <v>3928</v>
      </c>
      <c r="K345" s="35" t="s">
        <v>3942</v>
      </c>
      <c r="L345" s="35" t="s">
        <v>2361</v>
      </c>
      <c r="M345" s="35" t="s">
        <v>2669</v>
      </c>
      <c r="N345" s="35" t="s">
        <v>3943</v>
      </c>
      <c r="O345" s="35" t="s">
        <v>3939</v>
      </c>
      <c r="P345" s="35" t="s">
        <v>3940</v>
      </c>
      <c r="Q345" s="35"/>
      <c r="R345" s="36"/>
      <c r="S345" s="35"/>
    </row>
    <row r="346" spans="1:19" ht="15.6">
      <c r="A346" s="34">
        <v>345</v>
      </c>
      <c r="B346" s="35">
        <v>2025</v>
      </c>
      <c r="C346" s="35">
        <v>2025</v>
      </c>
      <c r="D346" s="35" t="s">
        <v>3944</v>
      </c>
      <c r="E346" s="38">
        <v>32358</v>
      </c>
      <c r="F346" s="35" t="s">
        <v>2656</v>
      </c>
      <c r="G346" s="35" t="s">
        <v>3945</v>
      </c>
      <c r="H346" s="35"/>
      <c r="I346" s="35" t="s">
        <v>3928</v>
      </c>
      <c r="J346" s="35" t="s">
        <v>3928</v>
      </c>
      <c r="K346" s="35" t="s">
        <v>3946</v>
      </c>
      <c r="L346" s="35" t="s">
        <v>2361</v>
      </c>
      <c r="M346" s="35" t="s">
        <v>2669</v>
      </c>
      <c r="N346" s="35" t="s">
        <v>3947</v>
      </c>
      <c r="O346" s="35" t="s">
        <v>3948</v>
      </c>
      <c r="P346" s="35" t="s">
        <v>3940</v>
      </c>
      <c r="Q346" s="35"/>
      <c r="R346" s="36"/>
      <c r="S346" s="35"/>
    </row>
    <row r="347" spans="1:19" ht="15.6">
      <c r="A347" s="34">
        <v>346</v>
      </c>
      <c r="B347" s="35">
        <v>2025</v>
      </c>
      <c r="C347" s="35">
        <v>2025</v>
      </c>
      <c r="D347" s="35" t="s">
        <v>3949</v>
      </c>
      <c r="E347" s="38">
        <v>36899</v>
      </c>
      <c r="F347" s="35" t="s">
        <v>2656</v>
      </c>
      <c r="G347" s="35" t="s">
        <v>3937</v>
      </c>
      <c r="H347" s="35"/>
      <c r="I347" s="35" t="s">
        <v>3928</v>
      </c>
      <c r="J347" s="35" t="s">
        <v>3928</v>
      </c>
      <c r="K347" s="35" t="s">
        <v>3950</v>
      </c>
      <c r="L347" s="35" t="s">
        <v>2361</v>
      </c>
      <c r="M347" s="35" t="s">
        <v>2669</v>
      </c>
      <c r="N347" s="35" t="s">
        <v>3951</v>
      </c>
      <c r="O347" s="35" t="s">
        <v>3952</v>
      </c>
      <c r="P347" s="35" t="s">
        <v>3940</v>
      </c>
      <c r="Q347" s="35"/>
      <c r="R347" s="36"/>
      <c r="S347" s="35"/>
    </row>
    <row r="348" spans="1:19" ht="15.6">
      <c r="A348" s="34">
        <v>347</v>
      </c>
      <c r="B348" s="35">
        <v>2025</v>
      </c>
      <c r="C348" s="35">
        <v>2025</v>
      </c>
      <c r="D348" s="35" t="s">
        <v>3953</v>
      </c>
      <c r="E348" s="38">
        <v>35587</v>
      </c>
      <c r="F348" s="35" t="s">
        <v>2656</v>
      </c>
      <c r="G348" s="35" t="s">
        <v>3937</v>
      </c>
      <c r="H348" s="35"/>
      <c r="I348" s="35" t="s">
        <v>3928</v>
      </c>
      <c r="J348" s="35" t="s">
        <v>3928</v>
      </c>
      <c r="K348" s="35" t="s">
        <v>3954</v>
      </c>
      <c r="L348" s="35" t="s">
        <v>2361</v>
      </c>
      <c r="M348" s="35" t="s">
        <v>2669</v>
      </c>
      <c r="N348" s="35" t="s">
        <v>3955</v>
      </c>
      <c r="O348" s="35" t="s">
        <v>2812</v>
      </c>
      <c r="P348" s="35" t="s">
        <v>3956</v>
      </c>
      <c r="Q348" s="35"/>
      <c r="R348" s="36"/>
      <c r="S348" s="35"/>
    </row>
    <row r="349" spans="1:19" ht="15.6">
      <c r="A349" s="34">
        <v>348</v>
      </c>
      <c r="B349" s="35">
        <v>2025</v>
      </c>
      <c r="C349" s="35">
        <v>2025</v>
      </c>
      <c r="D349" s="35" t="s">
        <v>3957</v>
      </c>
      <c r="E349" s="38">
        <v>36013</v>
      </c>
      <c r="F349" s="35" t="s">
        <v>2656</v>
      </c>
      <c r="G349" s="35" t="s">
        <v>3937</v>
      </c>
      <c r="H349" s="35"/>
      <c r="I349" s="35" t="s">
        <v>3928</v>
      </c>
      <c r="J349" s="35" t="s">
        <v>3928</v>
      </c>
      <c r="K349" s="35" t="s">
        <v>3958</v>
      </c>
      <c r="L349" s="35" t="s">
        <v>2361</v>
      </c>
      <c r="M349" s="35" t="s">
        <v>2669</v>
      </c>
      <c r="N349" s="35" t="s">
        <v>3959</v>
      </c>
      <c r="O349" s="35" t="s">
        <v>2812</v>
      </c>
      <c r="P349" s="35" t="s">
        <v>3956</v>
      </c>
      <c r="Q349" s="35"/>
      <c r="R349" s="36"/>
      <c r="S349" s="35"/>
    </row>
    <row r="350" spans="1:19" ht="15.6">
      <c r="A350" s="34">
        <v>349</v>
      </c>
      <c r="B350" s="35">
        <v>2025</v>
      </c>
      <c r="C350" s="35">
        <v>2025</v>
      </c>
      <c r="D350" s="35" t="s">
        <v>3960</v>
      </c>
      <c r="E350" s="38">
        <v>33933</v>
      </c>
      <c r="F350" s="35" t="s">
        <v>2656</v>
      </c>
      <c r="G350" s="35" t="s">
        <v>3937</v>
      </c>
      <c r="H350" s="35"/>
      <c r="I350" s="35" t="s">
        <v>3928</v>
      </c>
      <c r="J350" s="35" t="s">
        <v>3928</v>
      </c>
      <c r="K350" s="35" t="s">
        <v>3961</v>
      </c>
      <c r="L350" s="35" t="s">
        <v>2361</v>
      </c>
      <c r="M350" s="35" t="s">
        <v>2669</v>
      </c>
      <c r="N350" s="35" t="s">
        <v>3962</v>
      </c>
      <c r="O350" s="35" t="s">
        <v>2812</v>
      </c>
      <c r="P350" s="35" t="s">
        <v>3956</v>
      </c>
      <c r="Q350" s="35"/>
      <c r="R350" s="36"/>
      <c r="S350" s="35"/>
    </row>
    <row r="351" spans="1:19" ht="15.6">
      <c r="A351" s="34">
        <v>350</v>
      </c>
      <c r="B351" s="35">
        <v>2025</v>
      </c>
      <c r="C351" s="35">
        <v>2025</v>
      </c>
      <c r="D351" s="35" t="s">
        <v>3963</v>
      </c>
      <c r="E351" s="38">
        <v>37160</v>
      </c>
      <c r="F351" s="35" t="s">
        <v>2656</v>
      </c>
      <c r="G351" s="35" t="s">
        <v>3937</v>
      </c>
      <c r="H351" s="35"/>
      <c r="I351" s="35" t="s">
        <v>3928</v>
      </c>
      <c r="J351" s="35" t="s">
        <v>3928</v>
      </c>
      <c r="K351" s="35" t="s">
        <v>3964</v>
      </c>
      <c r="L351" s="35" t="s">
        <v>2361</v>
      </c>
      <c r="M351" s="35" t="s">
        <v>2669</v>
      </c>
      <c r="N351" s="35" t="s">
        <v>3965</v>
      </c>
      <c r="O351" s="35" t="s">
        <v>3966</v>
      </c>
      <c r="P351" s="35" t="s">
        <v>3967</v>
      </c>
      <c r="Q351" s="35"/>
      <c r="R351" s="36"/>
      <c r="S351" s="35"/>
    </row>
    <row r="352" spans="1:19" ht="15.6">
      <c r="A352" s="34">
        <v>351</v>
      </c>
      <c r="B352" s="35">
        <v>2025</v>
      </c>
      <c r="C352" s="35">
        <v>2025</v>
      </c>
      <c r="D352" s="35" t="s">
        <v>3968</v>
      </c>
      <c r="E352" s="38">
        <v>36800</v>
      </c>
      <c r="F352" s="35" t="s">
        <v>2656</v>
      </c>
      <c r="G352" s="35" t="s">
        <v>3937</v>
      </c>
      <c r="H352" s="35"/>
      <c r="I352" s="35" t="s">
        <v>3928</v>
      </c>
      <c r="J352" s="35" t="s">
        <v>3928</v>
      </c>
      <c r="K352" s="35" t="s">
        <v>3969</v>
      </c>
      <c r="L352" s="35" t="s">
        <v>2361</v>
      </c>
      <c r="M352" s="35" t="s">
        <v>2669</v>
      </c>
      <c r="N352" s="35" t="s">
        <v>3970</v>
      </c>
      <c r="O352" s="35" t="s">
        <v>3971</v>
      </c>
      <c r="P352" s="35" t="s">
        <v>3967</v>
      </c>
      <c r="Q352" s="35"/>
      <c r="R352" s="36"/>
      <c r="S352" s="35"/>
    </row>
    <row r="353" spans="1:19" ht="15.6">
      <c r="A353" s="34">
        <v>352</v>
      </c>
      <c r="B353" s="35">
        <v>2025</v>
      </c>
      <c r="C353" s="35">
        <v>2025</v>
      </c>
      <c r="D353" s="35" t="s">
        <v>3972</v>
      </c>
      <c r="E353" s="38">
        <v>33932</v>
      </c>
      <c r="F353" s="35" t="s">
        <v>2656</v>
      </c>
      <c r="G353" s="35" t="s">
        <v>3937</v>
      </c>
      <c r="H353" s="35"/>
      <c r="I353" s="35" t="s">
        <v>3928</v>
      </c>
      <c r="J353" s="35" t="s">
        <v>3928</v>
      </c>
      <c r="K353" s="35" t="s">
        <v>3973</v>
      </c>
      <c r="L353" s="35" t="s">
        <v>2361</v>
      </c>
      <c r="M353" s="35" t="s">
        <v>2669</v>
      </c>
      <c r="N353" s="35" t="s">
        <v>3974</v>
      </c>
      <c r="O353" s="35" t="s">
        <v>2812</v>
      </c>
      <c r="P353" s="35" t="s">
        <v>3975</v>
      </c>
      <c r="Q353" s="35"/>
      <c r="R353" s="36"/>
      <c r="S353" s="35"/>
    </row>
    <row r="354" spans="1:19" ht="15.6">
      <c r="A354" s="34">
        <v>353</v>
      </c>
      <c r="B354" s="35">
        <v>2025</v>
      </c>
      <c r="C354" s="35">
        <v>2025</v>
      </c>
      <c r="D354" s="35" t="s">
        <v>3976</v>
      </c>
      <c r="E354" s="38">
        <v>33764</v>
      </c>
      <c r="F354" s="35" t="s">
        <v>2656</v>
      </c>
      <c r="G354" s="35" t="s">
        <v>3937</v>
      </c>
      <c r="H354" s="35"/>
      <c r="I354" s="35" t="s">
        <v>3928</v>
      </c>
      <c r="J354" s="35" t="s">
        <v>3928</v>
      </c>
      <c r="K354" s="35" t="s">
        <v>3977</v>
      </c>
      <c r="L354" s="35" t="s">
        <v>2361</v>
      </c>
      <c r="M354" s="35" t="s">
        <v>2669</v>
      </c>
      <c r="N354" s="35" t="s">
        <v>3978</v>
      </c>
      <c r="O354" s="35" t="s">
        <v>3971</v>
      </c>
      <c r="P354" s="35" t="s">
        <v>3975</v>
      </c>
      <c r="Q354" s="35"/>
      <c r="R354" s="36"/>
      <c r="S354" s="35"/>
    </row>
    <row r="355" spans="1:19" ht="15.6">
      <c r="A355" s="34">
        <v>354</v>
      </c>
      <c r="B355" s="35">
        <v>2025</v>
      </c>
      <c r="C355" s="35">
        <v>2025</v>
      </c>
      <c r="D355" s="35" t="s">
        <v>3979</v>
      </c>
      <c r="E355" s="38">
        <v>33126</v>
      </c>
      <c r="F355" s="35" t="s">
        <v>2656</v>
      </c>
      <c r="G355" s="35" t="s">
        <v>3937</v>
      </c>
      <c r="H355" s="35"/>
      <c r="I355" s="35" t="s">
        <v>3928</v>
      </c>
      <c r="J355" s="35" t="s">
        <v>3928</v>
      </c>
      <c r="K355" s="35" t="s">
        <v>3980</v>
      </c>
      <c r="L355" s="35" t="s">
        <v>2361</v>
      </c>
      <c r="M355" s="35" t="s">
        <v>2669</v>
      </c>
      <c r="N355" s="35" t="s">
        <v>3981</v>
      </c>
      <c r="O355" s="35" t="s">
        <v>3982</v>
      </c>
      <c r="P355" s="35" t="s">
        <v>3975</v>
      </c>
      <c r="Q355" s="35"/>
      <c r="R355" s="36"/>
      <c r="S355" s="35"/>
    </row>
    <row r="356" spans="1:19" ht="15.6">
      <c r="A356" s="34">
        <v>355</v>
      </c>
      <c r="B356" s="35">
        <v>2025</v>
      </c>
      <c r="C356" s="35">
        <v>2025</v>
      </c>
      <c r="D356" s="35" t="s">
        <v>3983</v>
      </c>
      <c r="E356" s="38">
        <v>37814</v>
      </c>
      <c r="F356" s="35" t="s">
        <v>2656</v>
      </c>
      <c r="G356" s="35" t="s">
        <v>3937</v>
      </c>
      <c r="H356" s="35"/>
      <c r="I356" s="35" t="s">
        <v>3928</v>
      </c>
      <c r="J356" s="35" t="s">
        <v>3928</v>
      </c>
      <c r="K356" s="35" t="s">
        <v>3984</v>
      </c>
      <c r="L356" s="35" t="s">
        <v>2361</v>
      </c>
      <c r="M356" s="35" t="s">
        <v>2669</v>
      </c>
      <c r="N356" s="35" t="s">
        <v>3985</v>
      </c>
      <c r="O356" s="35" t="s">
        <v>3986</v>
      </c>
      <c r="P356" s="35" t="s">
        <v>3987</v>
      </c>
      <c r="Q356" s="35"/>
      <c r="R356" s="36"/>
      <c r="S356" s="35"/>
    </row>
    <row r="357" spans="1:19" ht="15.6">
      <c r="A357" s="34">
        <v>356</v>
      </c>
      <c r="B357" s="35">
        <v>2025</v>
      </c>
      <c r="C357" s="35">
        <v>2025</v>
      </c>
      <c r="D357" s="35" t="s">
        <v>3988</v>
      </c>
      <c r="E357" s="38">
        <v>34106</v>
      </c>
      <c r="F357" s="35" t="s">
        <v>2656</v>
      </c>
      <c r="G357" s="35" t="s">
        <v>3937</v>
      </c>
      <c r="H357" s="35"/>
      <c r="I357" s="35" t="s">
        <v>3928</v>
      </c>
      <c r="J357" s="35" t="s">
        <v>3928</v>
      </c>
      <c r="K357" s="35" t="s">
        <v>3989</v>
      </c>
      <c r="L357" s="35" t="s">
        <v>2361</v>
      </c>
      <c r="M357" s="35" t="s">
        <v>2669</v>
      </c>
      <c r="N357" s="35" t="s">
        <v>3990</v>
      </c>
      <c r="O357" s="35" t="s">
        <v>3971</v>
      </c>
      <c r="P357" s="35" t="s">
        <v>3987</v>
      </c>
      <c r="Q357" s="35"/>
      <c r="R357" s="36"/>
      <c r="S357" s="35"/>
    </row>
    <row r="358" spans="1:19" ht="15.6">
      <c r="A358" s="34">
        <v>357</v>
      </c>
      <c r="B358" s="35">
        <v>2025</v>
      </c>
      <c r="C358" s="35">
        <v>2025</v>
      </c>
      <c r="D358" s="35" t="s">
        <v>3991</v>
      </c>
      <c r="E358" s="38">
        <v>33847</v>
      </c>
      <c r="F358" s="35" t="s">
        <v>2656</v>
      </c>
      <c r="G358" s="35" t="s">
        <v>3937</v>
      </c>
      <c r="H358" s="35"/>
      <c r="I358" s="35" t="s">
        <v>3928</v>
      </c>
      <c r="J358" s="35" t="s">
        <v>3928</v>
      </c>
      <c r="K358" s="35" t="s">
        <v>3992</v>
      </c>
      <c r="L358" s="35" t="s">
        <v>2361</v>
      </c>
      <c r="M358" s="35" t="s">
        <v>2669</v>
      </c>
      <c r="N358" s="35" t="s">
        <v>3993</v>
      </c>
      <c r="O358" s="35" t="s">
        <v>3994</v>
      </c>
      <c r="P358" s="35" t="s">
        <v>3987</v>
      </c>
      <c r="Q358" s="35"/>
      <c r="R358" s="36"/>
      <c r="S358" s="35"/>
    </row>
    <row r="359" spans="1:19" ht="15.6">
      <c r="A359" s="34">
        <v>358</v>
      </c>
      <c r="B359" s="35">
        <v>2025</v>
      </c>
      <c r="C359" s="35">
        <v>2025</v>
      </c>
      <c r="D359" s="35" t="s">
        <v>3995</v>
      </c>
      <c r="E359" s="38">
        <v>31591</v>
      </c>
      <c r="F359" s="35" t="s">
        <v>2656</v>
      </c>
      <c r="G359" s="35" t="s">
        <v>3996</v>
      </c>
      <c r="H359" s="35"/>
      <c r="I359" s="35" t="s">
        <v>3928</v>
      </c>
      <c r="J359" s="35" t="s">
        <v>3928</v>
      </c>
      <c r="K359" s="35" t="s">
        <v>3997</v>
      </c>
      <c r="L359" s="35" t="s">
        <v>2361</v>
      </c>
      <c r="M359" s="35" t="s">
        <v>2669</v>
      </c>
      <c r="N359" s="35" t="s">
        <v>3998</v>
      </c>
      <c r="O359" s="35" t="s">
        <v>3999</v>
      </c>
      <c r="P359" s="35" t="s">
        <v>4000</v>
      </c>
      <c r="Q359" s="35"/>
      <c r="R359" s="36"/>
      <c r="S359" s="35"/>
    </row>
    <row r="360" spans="1:19" ht="15.6">
      <c r="A360" s="34">
        <v>359</v>
      </c>
      <c r="B360" s="35">
        <v>2025</v>
      </c>
      <c r="C360" s="35">
        <v>2025</v>
      </c>
      <c r="D360" s="35" t="s">
        <v>4001</v>
      </c>
      <c r="E360" s="38">
        <v>36175</v>
      </c>
      <c r="F360" s="35" t="s">
        <v>2656</v>
      </c>
      <c r="G360" s="35" t="s">
        <v>3937</v>
      </c>
      <c r="H360" s="35"/>
      <c r="I360" s="35" t="s">
        <v>3928</v>
      </c>
      <c r="J360" s="35" t="s">
        <v>3928</v>
      </c>
      <c r="K360" s="35" t="s">
        <v>4002</v>
      </c>
      <c r="L360" s="35" t="s">
        <v>2361</v>
      </c>
      <c r="M360" s="35" t="s">
        <v>2669</v>
      </c>
      <c r="N360" s="35" t="s">
        <v>4003</v>
      </c>
      <c r="O360" s="35" t="s">
        <v>2812</v>
      </c>
      <c r="P360" s="35" t="s">
        <v>4000</v>
      </c>
      <c r="Q360" s="35"/>
      <c r="R360" s="36"/>
      <c r="S360" s="35"/>
    </row>
    <row r="361" spans="1:19" ht="15.6">
      <c r="A361" s="34">
        <v>360</v>
      </c>
      <c r="B361" s="35">
        <v>2025</v>
      </c>
      <c r="C361" s="35">
        <v>2025</v>
      </c>
      <c r="D361" s="35" t="s">
        <v>4004</v>
      </c>
      <c r="E361" s="38">
        <v>26479</v>
      </c>
      <c r="F361" s="35" t="s">
        <v>2656</v>
      </c>
      <c r="G361" s="35" t="s">
        <v>2915</v>
      </c>
      <c r="H361" s="35"/>
      <c r="I361" s="35" t="s">
        <v>3928</v>
      </c>
      <c r="J361" s="35" t="s">
        <v>3928</v>
      </c>
      <c r="K361" s="35" t="s">
        <v>4005</v>
      </c>
      <c r="L361" s="35" t="s">
        <v>2361</v>
      </c>
      <c r="M361" s="35" t="s">
        <v>2669</v>
      </c>
      <c r="N361" s="35" t="s">
        <v>4006</v>
      </c>
      <c r="O361" s="35" t="s">
        <v>4007</v>
      </c>
      <c r="P361" s="35" t="s">
        <v>4008</v>
      </c>
      <c r="Q361" s="35"/>
      <c r="R361" s="36"/>
      <c r="S361" s="35"/>
    </row>
    <row r="362" spans="1:19" ht="15.6">
      <c r="A362" s="34">
        <v>361</v>
      </c>
      <c r="B362" s="35">
        <v>2025</v>
      </c>
      <c r="C362" s="35">
        <v>2025</v>
      </c>
      <c r="D362" s="35" t="s">
        <v>4009</v>
      </c>
      <c r="E362" s="38">
        <v>32226</v>
      </c>
      <c r="F362" s="35" t="s">
        <v>2656</v>
      </c>
      <c r="G362" s="35" t="s">
        <v>3927</v>
      </c>
      <c r="H362" s="35"/>
      <c r="I362" s="35" t="s">
        <v>3928</v>
      </c>
      <c r="J362" s="35" t="s">
        <v>3928</v>
      </c>
      <c r="K362" s="35" t="s">
        <v>4010</v>
      </c>
      <c r="L362" s="35" t="s">
        <v>2361</v>
      </c>
      <c r="M362" s="35" t="s">
        <v>2669</v>
      </c>
      <c r="N362" s="35" t="s">
        <v>4011</v>
      </c>
      <c r="O362" s="35" t="s">
        <v>4012</v>
      </c>
      <c r="P362" s="35" t="s">
        <v>4008</v>
      </c>
      <c r="Q362" s="35"/>
      <c r="R362" s="36"/>
      <c r="S362" s="35"/>
    </row>
    <row r="363" spans="1:19" ht="15.6">
      <c r="A363" s="34">
        <v>362</v>
      </c>
      <c r="B363" s="35">
        <v>2025</v>
      </c>
      <c r="C363" s="35">
        <v>2025</v>
      </c>
      <c r="D363" s="35" t="s">
        <v>4013</v>
      </c>
      <c r="E363" s="38">
        <v>31094</v>
      </c>
      <c r="F363" s="35" t="s">
        <v>2656</v>
      </c>
      <c r="G363" s="35" t="s">
        <v>2674</v>
      </c>
      <c r="H363" s="35"/>
      <c r="I363" s="35" t="s">
        <v>3928</v>
      </c>
      <c r="J363" s="35" t="s">
        <v>3928</v>
      </c>
      <c r="K363" s="35" t="s">
        <v>4014</v>
      </c>
      <c r="L363" s="35" t="s">
        <v>2361</v>
      </c>
      <c r="M363" s="35" t="s">
        <v>2669</v>
      </c>
      <c r="N363" s="35" t="s">
        <v>4015</v>
      </c>
      <c r="O363" s="35" t="s">
        <v>2812</v>
      </c>
      <c r="P363" s="35" t="s">
        <v>3956</v>
      </c>
      <c r="Q363" s="35"/>
      <c r="R363" s="36"/>
      <c r="S363" s="35"/>
    </row>
    <row r="364" spans="1:19" ht="15.6">
      <c r="A364" s="34">
        <v>363</v>
      </c>
      <c r="B364" s="35">
        <v>2024</v>
      </c>
      <c r="C364" s="36">
        <v>45544</v>
      </c>
      <c r="D364" s="35" t="s">
        <v>4016</v>
      </c>
      <c r="E364" s="38">
        <v>25662</v>
      </c>
      <c r="F364" s="35" t="s">
        <v>2665</v>
      </c>
      <c r="G364" s="35" t="s">
        <v>4017</v>
      </c>
      <c r="H364" s="35"/>
      <c r="I364" s="35" t="s">
        <v>3928</v>
      </c>
      <c r="J364" s="35" t="s">
        <v>3928</v>
      </c>
      <c r="K364" s="35" t="e">
        <v>#N/A</v>
      </c>
      <c r="L364" s="35" t="e">
        <v>#N/A</v>
      </c>
      <c r="M364" s="35" t="s">
        <v>2669</v>
      </c>
      <c r="N364" s="35" t="s">
        <v>4018</v>
      </c>
      <c r="O364" s="35" t="s">
        <v>4019</v>
      </c>
      <c r="P364" s="35" t="s">
        <v>4020</v>
      </c>
      <c r="Q364" s="35"/>
      <c r="R364" s="36"/>
      <c r="S364" s="35"/>
    </row>
    <row r="365" spans="1:19" ht="15.6">
      <c r="A365" s="34">
        <v>364</v>
      </c>
      <c r="B365" s="35">
        <v>2024</v>
      </c>
      <c r="C365" s="36">
        <v>45544</v>
      </c>
      <c r="D365" s="35" t="s">
        <v>4021</v>
      </c>
      <c r="E365" s="38">
        <v>32714</v>
      </c>
      <c r="F365" s="35" t="s">
        <v>2656</v>
      </c>
      <c r="G365" s="35" t="s">
        <v>4022</v>
      </c>
      <c r="H365" s="35"/>
      <c r="I365" s="35" t="s">
        <v>3928</v>
      </c>
      <c r="J365" s="35" t="s">
        <v>3928</v>
      </c>
      <c r="K365" s="35" t="e">
        <v>#N/A</v>
      </c>
      <c r="L365" s="35" t="e">
        <v>#N/A</v>
      </c>
      <c r="M365" s="35" t="s">
        <v>2669</v>
      </c>
      <c r="N365" s="35">
        <v>389776883</v>
      </c>
      <c r="O365" s="35" t="s">
        <v>4023</v>
      </c>
      <c r="P365" s="35" t="s">
        <v>4020</v>
      </c>
      <c r="Q365" s="35"/>
      <c r="R365" s="36"/>
      <c r="S365" s="35"/>
    </row>
    <row r="366" spans="1:19" ht="15.6">
      <c r="A366" s="34">
        <v>365</v>
      </c>
      <c r="B366" s="35">
        <v>2024</v>
      </c>
      <c r="C366" s="36">
        <v>45544</v>
      </c>
      <c r="D366" s="35" t="s">
        <v>4024</v>
      </c>
      <c r="E366" s="38">
        <v>36364</v>
      </c>
      <c r="F366" s="35" t="s">
        <v>2656</v>
      </c>
      <c r="G366" s="35" t="s">
        <v>4025</v>
      </c>
      <c r="H366" s="35"/>
      <c r="I366" s="35" t="s">
        <v>3928</v>
      </c>
      <c r="J366" s="35" t="s">
        <v>3928</v>
      </c>
      <c r="K366" s="35" t="e">
        <v>#N/A</v>
      </c>
      <c r="L366" s="35" t="e">
        <v>#N/A</v>
      </c>
      <c r="M366" s="35" t="s">
        <v>2669</v>
      </c>
      <c r="N366" s="35">
        <v>45737704</v>
      </c>
      <c r="O366" s="35" t="s">
        <v>3218</v>
      </c>
      <c r="P366" s="35" t="s">
        <v>4026</v>
      </c>
      <c r="Q366" s="35"/>
      <c r="R366" s="36"/>
      <c r="S366" s="35"/>
    </row>
    <row r="367" spans="1:19" ht="15.6">
      <c r="A367" s="34">
        <v>366</v>
      </c>
      <c r="B367" s="35">
        <v>2024</v>
      </c>
      <c r="C367" s="36">
        <v>45544</v>
      </c>
      <c r="D367" s="35" t="s">
        <v>4027</v>
      </c>
      <c r="E367" s="38">
        <v>26634</v>
      </c>
      <c r="F367" s="35" t="s">
        <v>2656</v>
      </c>
      <c r="G367" s="35" t="s">
        <v>4017</v>
      </c>
      <c r="H367" s="35"/>
      <c r="I367" s="35" t="s">
        <v>3928</v>
      </c>
      <c r="J367" s="35" t="s">
        <v>3928</v>
      </c>
      <c r="K367" s="35" t="e">
        <v>#N/A</v>
      </c>
      <c r="L367" s="35" t="e">
        <v>#N/A</v>
      </c>
      <c r="M367" s="35" t="s">
        <v>2669</v>
      </c>
      <c r="N367" s="35" t="s">
        <v>4028</v>
      </c>
      <c r="O367" s="35" t="s">
        <v>4029</v>
      </c>
      <c r="P367" s="35" t="s">
        <v>4030</v>
      </c>
      <c r="Q367" s="35"/>
      <c r="R367" s="36"/>
      <c r="S367" s="35"/>
    </row>
    <row r="368" spans="1:19" ht="15.6">
      <c r="A368" s="34">
        <v>367</v>
      </c>
      <c r="B368" s="35">
        <v>2024</v>
      </c>
      <c r="C368" s="36">
        <v>45544</v>
      </c>
      <c r="D368" s="35" t="s">
        <v>4031</v>
      </c>
      <c r="E368" s="36">
        <v>29532</v>
      </c>
      <c r="F368" s="35" t="s">
        <v>2656</v>
      </c>
      <c r="G368" s="35" t="s">
        <v>3200</v>
      </c>
      <c r="H368" s="35"/>
      <c r="I368" s="35" t="s">
        <v>3928</v>
      </c>
      <c r="J368" s="35" t="s">
        <v>3928</v>
      </c>
      <c r="K368" s="35" t="e">
        <v>#N/A</v>
      </c>
      <c r="L368" s="35" t="e">
        <v>#N/A</v>
      </c>
      <c r="M368" s="35" t="s">
        <v>2669</v>
      </c>
      <c r="N368" s="35">
        <v>567912141</v>
      </c>
      <c r="O368" s="35" t="s">
        <v>4032</v>
      </c>
      <c r="P368" s="35" t="s">
        <v>4033</v>
      </c>
      <c r="Q368" s="35"/>
      <c r="R368" s="36"/>
      <c r="S368" s="35"/>
    </row>
    <row r="369" spans="1:19" ht="15.6">
      <c r="A369" s="34">
        <v>368</v>
      </c>
      <c r="B369" s="35">
        <v>2024</v>
      </c>
      <c r="C369" s="35" t="s">
        <v>4034</v>
      </c>
      <c r="D369" s="35" t="s">
        <v>4035</v>
      </c>
      <c r="E369" s="38">
        <v>25129</v>
      </c>
      <c r="F369" s="35" t="s">
        <v>2656</v>
      </c>
      <c r="G369" s="35" t="s">
        <v>2915</v>
      </c>
      <c r="H369" s="35"/>
      <c r="I369" s="35" t="s">
        <v>3928</v>
      </c>
      <c r="J369" s="35" t="s">
        <v>3928</v>
      </c>
      <c r="K369" s="35" t="e">
        <v>#N/A</v>
      </c>
      <c r="L369" s="35" t="e">
        <v>#N/A</v>
      </c>
      <c r="M369" s="35" t="s">
        <v>2669</v>
      </c>
      <c r="N369" s="35" t="s">
        <v>4036</v>
      </c>
      <c r="O369" s="35" t="s">
        <v>4037</v>
      </c>
      <c r="P369" s="35" t="s">
        <v>4026</v>
      </c>
      <c r="Q369" s="35"/>
      <c r="R369" s="36"/>
      <c r="S369" s="35"/>
    </row>
    <row r="370" spans="1:19" ht="15.6">
      <c r="A370" s="34">
        <v>369</v>
      </c>
      <c r="B370" s="35">
        <v>2024</v>
      </c>
      <c r="C370" s="35" t="s">
        <v>4034</v>
      </c>
      <c r="D370" s="35" t="s">
        <v>4038</v>
      </c>
      <c r="E370" s="38">
        <v>29854</v>
      </c>
      <c r="F370" s="35" t="s">
        <v>2665</v>
      </c>
      <c r="G370" s="35" t="s">
        <v>2915</v>
      </c>
      <c r="H370" s="35"/>
      <c r="I370" s="35" t="s">
        <v>3928</v>
      </c>
      <c r="J370" s="35" t="s">
        <v>3928</v>
      </c>
      <c r="K370" s="35" t="e">
        <v>#N/A</v>
      </c>
      <c r="L370" s="35" t="e">
        <v>#N/A</v>
      </c>
      <c r="M370" s="35" t="s">
        <v>2669</v>
      </c>
      <c r="N370" s="35" t="s">
        <v>4039</v>
      </c>
      <c r="O370" s="35" t="s">
        <v>4040</v>
      </c>
      <c r="P370" s="35" t="s">
        <v>4026</v>
      </c>
      <c r="Q370" s="35"/>
      <c r="R370" s="36"/>
      <c r="S370" s="35"/>
    </row>
    <row r="371" spans="1:19" ht="15.6">
      <c r="A371" s="34">
        <v>370</v>
      </c>
      <c r="B371" s="35">
        <v>2024</v>
      </c>
      <c r="C371" s="35" t="s">
        <v>4034</v>
      </c>
      <c r="D371" s="35" t="s">
        <v>4041</v>
      </c>
      <c r="E371" s="38">
        <v>26226</v>
      </c>
      <c r="F371" s="35" t="s">
        <v>2656</v>
      </c>
      <c r="G371" s="35" t="s">
        <v>2915</v>
      </c>
      <c r="H371" s="35"/>
      <c r="I371" s="35" t="s">
        <v>3928</v>
      </c>
      <c r="J371" s="35" t="s">
        <v>3928</v>
      </c>
      <c r="K371" s="35" t="e">
        <v>#N/A</v>
      </c>
      <c r="L371" s="35" t="e">
        <v>#N/A</v>
      </c>
      <c r="M371" s="35" t="s">
        <v>2669</v>
      </c>
      <c r="N371" s="35" t="s">
        <v>4042</v>
      </c>
      <c r="O371" s="35" t="s">
        <v>4040</v>
      </c>
      <c r="P371" s="35" t="s">
        <v>4026</v>
      </c>
      <c r="Q371" s="35"/>
      <c r="R371" s="36"/>
      <c r="S371" s="35"/>
    </row>
    <row r="372" spans="1:19" ht="15.6">
      <c r="A372" s="34">
        <v>371</v>
      </c>
      <c r="B372" s="35">
        <v>2024</v>
      </c>
      <c r="C372" s="35" t="s">
        <v>4034</v>
      </c>
      <c r="D372" s="35" t="s">
        <v>4043</v>
      </c>
      <c r="E372" s="38">
        <v>35046</v>
      </c>
      <c r="F372" s="35" t="s">
        <v>2656</v>
      </c>
      <c r="G372" s="35" t="s">
        <v>4044</v>
      </c>
      <c r="H372" s="35"/>
      <c r="I372" s="35" t="s">
        <v>3928</v>
      </c>
      <c r="J372" s="35" t="s">
        <v>3928</v>
      </c>
      <c r="K372" s="35" t="e">
        <v>#N/A</v>
      </c>
      <c r="L372" s="35" t="e">
        <v>#N/A</v>
      </c>
      <c r="M372" s="35" t="s">
        <v>2669</v>
      </c>
      <c r="N372" s="35" t="s">
        <v>4045</v>
      </c>
      <c r="O372" s="35" t="s">
        <v>4046</v>
      </c>
      <c r="P372" s="35" t="s">
        <v>4047</v>
      </c>
      <c r="Q372" s="35"/>
      <c r="R372" s="36"/>
      <c r="S372" s="35"/>
    </row>
    <row r="373" spans="1:19" ht="15.6">
      <c r="A373" s="34">
        <v>372</v>
      </c>
      <c r="B373" s="35">
        <v>2024</v>
      </c>
      <c r="C373" s="35" t="s">
        <v>4034</v>
      </c>
      <c r="D373" s="35" t="s">
        <v>4048</v>
      </c>
      <c r="E373" s="38">
        <v>31747</v>
      </c>
      <c r="F373" s="35" t="s">
        <v>2665</v>
      </c>
      <c r="G373" s="35" t="s">
        <v>4049</v>
      </c>
      <c r="H373" s="35"/>
      <c r="I373" s="35" t="s">
        <v>3928</v>
      </c>
      <c r="J373" s="35" t="s">
        <v>3928</v>
      </c>
      <c r="K373" s="35" t="e">
        <v>#N/A</v>
      </c>
      <c r="L373" s="35" t="e">
        <v>#N/A</v>
      </c>
      <c r="M373" s="35" t="s">
        <v>2669</v>
      </c>
      <c r="N373" s="35" t="s">
        <v>4050</v>
      </c>
      <c r="O373" s="35" t="s">
        <v>4051</v>
      </c>
      <c r="P373" s="35" t="s">
        <v>4047</v>
      </c>
      <c r="Q373" s="35"/>
      <c r="R373" s="36"/>
      <c r="S373" s="35"/>
    </row>
    <row r="374" spans="1:19" ht="15.6">
      <c r="A374" s="34">
        <v>373</v>
      </c>
      <c r="B374" s="35">
        <v>2024</v>
      </c>
      <c r="C374" s="35" t="s">
        <v>4034</v>
      </c>
      <c r="D374" s="35" t="s">
        <v>4052</v>
      </c>
      <c r="E374" s="38">
        <v>33349</v>
      </c>
      <c r="F374" s="35" t="s">
        <v>2665</v>
      </c>
      <c r="G374" s="35" t="s">
        <v>4053</v>
      </c>
      <c r="H374" s="35"/>
      <c r="I374" s="35" t="s">
        <v>3928</v>
      </c>
      <c r="J374" s="35" t="s">
        <v>3928</v>
      </c>
      <c r="K374" s="35" t="e">
        <v>#N/A</v>
      </c>
      <c r="L374" s="35" t="e">
        <v>#N/A</v>
      </c>
      <c r="M374" s="35" t="s">
        <v>2669</v>
      </c>
      <c r="N374" s="35">
        <v>25369126</v>
      </c>
      <c r="O374" s="35" t="s">
        <v>4054</v>
      </c>
      <c r="P374" s="35" t="s">
        <v>4026</v>
      </c>
      <c r="Q374" s="35"/>
      <c r="R374" s="36"/>
      <c r="S374" s="35"/>
    </row>
    <row r="375" spans="1:19" ht="15.6">
      <c r="A375" s="34">
        <v>374</v>
      </c>
      <c r="B375" s="35">
        <v>2024</v>
      </c>
      <c r="C375" s="35" t="s">
        <v>4034</v>
      </c>
      <c r="D375" s="35" t="s">
        <v>4055</v>
      </c>
      <c r="E375" s="38">
        <v>31531</v>
      </c>
      <c r="F375" s="35" t="s">
        <v>2656</v>
      </c>
      <c r="G375" s="35" t="s">
        <v>3200</v>
      </c>
      <c r="H375" s="35"/>
      <c r="I375" s="35" t="s">
        <v>3928</v>
      </c>
      <c r="J375" s="35" t="s">
        <v>3928</v>
      </c>
      <c r="K375" s="35" t="e">
        <v>#N/A</v>
      </c>
      <c r="L375" s="35" t="e">
        <v>#N/A</v>
      </c>
      <c r="M375" s="35" t="s">
        <v>2669</v>
      </c>
      <c r="N375" s="35">
        <v>642957381</v>
      </c>
      <c r="O375" s="35" t="s">
        <v>4056</v>
      </c>
      <c r="P375" s="35" t="s">
        <v>4026</v>
      </c>
      <c r="Q375" s="35"/>
      <c r="R375" s="36"/>
      <c r="S375" s="35"/>
    </row>
    <row r="376" spans="1:19" ht="15.6">
      <c r="A376" s="34">
        <v>375</v>
      </c>
      <c r="B376" s="35">
        <v>2025</v>
      </c>
      <c r="C376" s="35">
        <v>2025</v>
      </c>
      <c r="D376" s="35" t="s">
        <v>4057</v>
      </c>
      <c r="E376" s="35" t="s">
        <v>4058</v>
      </c>
      <c r="F376" s="35" t="s">
        <v>2656</v>
      </c>
      <c r="G376" s="35" t="s">
        <v>2915</v>
      </c>
      <c r="H376" s="35"/>
      <c r="I376" s="35" t="s">
        <v>3928</v>
      </c>
      <c r="J376" s="35" t="s">
        <v>3928</v>
      </c>
      <c r="K376" s="35" t="s">
        <v>4059</v>
      </c>
      <c r="L376" s="35" t="s">
        <v>2361</v>
      </c>
      <c r="M376" s="35" t="s">
        <v>2669</v>
      </c>
      <c r="N376" s="35" t="s">
        <v>4060</v>
      </c>
      <c r="O376" s="35" t="s">
        <v>4061</v>
      </c>
      <c r="P376" s="35" t="s">
        <v>4062</v>
      </c>
      <c r="Q376" s="35"/>
      <c r="R376" s="36"/>
      <c r="S376" s="35"/>
    </row>
    <row r="377" spans="1:19" ht="15.6">
      <c r="A377" s="34">
        <v>376</v>
      </c>
      <c r="B377" s="35">
        <v>2025</v>
      </c>
      <c r="C377" s="35">
        <v>2025</v>
      </c>
      <c r="D377" s="35" t="s">
        <v>4063</v>
      </c>
      <c r="E377" s="35" t="s">
        <v>4064</v>
      </c>
      <c r="F377" s="35" t="s">
        <v>2656</v>
      </c>
      <c r="G377" s="35" t="s">
        <v>4065</v>
      </c>
      <c r="H377" s="35"/>
      <c r="I377" s="35" t="s">
        <v>3928</v>
      </c>
      <c r="J377" s="35" t="s">
        <v>3928</v>
      </c>
      <c r="K377" s="35" t="s">
        <v>4066</v>
      </c>
      <c r="L377" s="35" t="s">
        <v>2361</v>
      </c>
      <c r="M377" s="35" t="s">
        <v>2669</v>
      </c>
      <c r="N377" s="35" t="s">
        <v>4067</v>
      </c>
      <c r="O377" s="35" t="s">
        <v>2812</v>
      </c>
      <c r="P377" s="35" t="s">
        <v>4068</v>
      </c>
      <c r="Q377" s="35"/>
      <c r="R377" s="36"/>
      <c r="S377" s="35"/>
    </row>
    <row r="378" spans="1:19" ht="15.6">
      <c r="A378" s="34">
        <v>377</v>
      </c>
      <c r="B378" s="35">
        <v>2025</v>
      </c>
      <c r="C378" s="35">
        <v>2025</v>
      </c>
      <c r="D378" s="35" t="s">
        <v>4069</v>
      </c>
      <c r="E378" s="38">
        <v>30227</v>
      </c>
      <c r="F378" s="35" t="s">
        <v>2665</v>
      </c>
      <c r="G378" s="35" t="s">
        <v>2915</v>
      </c>
      <c r="H378" s="35"/>
      <c r="I378" s="35" t="s">
        <v>3928</v>
      </c>
      <c r="J378" s="35" t="s">
        <v>3928</v>
      </c>
      <c r="K378" s="35" t="s">
        <v>4070</v>
      </c>
      <c r="L378" s="35" t="s">
        <v>2361</v>
      </c>
      <c r="M378" s="35" t="s">
        <v>2669</v>
      </c>
      <c r="N378" s="35" t="s">
        <v>4071</v>
      </c>
      <c r="O378" s="35" t="s">
        <v>4072</v>
      </c>
      <c r="P378" s="35" t="s">
        <v>4073</v>
      </c>
      <c r="Q378" s="35"/>
      <c r="R378" s="36"/>
      <c r="S378" s="35"/>
    </row>
    <row r="379" spans="1:19" ht="15.6">
      <c r="A379" s="34">
        <v>378</v>
      </c>
      <c r="B379" s="35">
        <v>2024</v>
      </c>
      <c r="C379" s="35">
        <v>2024</v>
      </c>
      <c r="D379" s="35" t="s">
        <v>4074</v>
      </c>
      <c r="E379" s="38">
        <v>26421</v>
      </c>
      <c r="F379" s="35" t="s">
        <v>2656</v>
      </c>
      <c r="G379" s="35" t="s">
        <v>4075</v>
      </c>
      <c r="H379" s="35"/>
      <c r="I379" s="35" t="s">
        <v>3928</v>
      </c>
      <c r="J379" s="35" t="s">
        <v>3928</v>
      </c>
      <c r="K379" s="35" t="e">
        <v>#N/A</v>
      </c>
      <c r="L379" s="35" t="e">
        <v>#N/A</v>
      </c>
      <c r="M379" s="35" t="s">
        <v>2669</v>
      </c>
      <c r="N379" s="35" t="s">
        <v>4076</v>
      </c>
      <c r="O379" s="35" t="s">
        <v>4077</v>
      </c>
      <c r="P379" s="35" t="s">
        <v>4078</v>
      </c>
      <c r="Q379" s="35"/>
      <c r="R379" s="36"/>
      <c r="S379" s="35"/>
    </row>
    <row r="380" spans="1:19" ht="15.6">
      <c r="A380" s="34">
        <v>379</v>
      </c>
      <c r="B380" s="35">
        <v>2025</v>
      </c>
      <c r="C380" s="35">
        <v>2025</v>
      </c>
      <c r="D380" s="35" t="s">
        <v>4079</v>
      </c>
      <c r="E380" s="38">
        <v>27580</v>
      </c>
      <c r="F380" s="35" t="s">
        <v>2656</v>
      </c>
      <c r="G380" s="35" t="s">
        <v>4080</v>
      </c>
      <c r="H380" s="35"/>
      <c r="I380" s="35" t="s">
        <v>3928</v>
      </c>
      <c r="J380" s="35" t="s">
        <v>3928</v>
      </c>
      <c r="K380" s="35" t="s">
        <v>4081</v>
      </c>
      <c r="L380" s="35" t="s">
        <v>2361</v>
      </c>
      <c r="M380" s="35" t="s">
        <v>2669</v>
      </c>
      <c r="N380" s="35">
        <v>144162903</v>
      </c>
      <c r="O380" s="35" t="s">
        <v>4082</v>
      </c>
      <c r="P380" s="35" t="s">
        <v>4083</v>
      </c>
      <c r="Q380" s="35"/>
      <c r="R380" s="36"/>
      <c r="S380" s="35"/>
    </row>
    <row r="381" spans="1:19" ht="15.6">
      <c r="A381" s="34">
        <v>380</v>
      </c>
      <c r="B381" s="35">
        <v>2025</v>
      </c>
      <c r="C381" s="35">
        <v>2025</v>
      </c>
      <c r="D381" s="35" t="s">
        <v>4084</v>
      </c>
      <c r="E381" s="35" t="s">
        <v>4085</v>
      </c>
      <c r="F381" s="35" t="s">
        <v>2656</v>
      </c>
      <c r="G381" s="35" t="s">
        <v>2915</v>
      </c>
      <c r="H381" s="35"/>
      <c r="I381" s="35" t="s">
        <v>3928</v>
      </c>
      <c r="J381" s="35" t="s">
        <v>3928</v>
      </c>
      <c r="K381" s="35" t="s">
        <v>4086</v>
      </c>
      <c r="L381" s="35" t="s">
        <v>2361</v>
      </c>
      <c r="M381" s="35" t="s">
        <v>2669</v>
      </c>
      <c r="N381" s="35" t="s">
        <v>4087</v>
      </c>
      <c r="O381" s="35" t="s">
        <v>4088</v>
      </c>
      <c r="P381" s="35" t="s">
        <v>4089</v>
      </c>
      <c r="Q381" s="35"/>
      <c r="R381" s="36"/>
      <c r="S381" s="35"/>
    </row>
    <row r="382" spans="1:19" ht="15.6">
      <c r="A382" s="34">
        <v>381</v>
      </c>
      <c r="B382" s="35">
        <v>2025</v>
      </c>
      <c r="C382" s="35">
        <v>2025</v>
      </c>
      <c r="D382" s="35" t="s">
        <v>4090</v>
      </c>
      <c r="E382" s="38">
        <v>29839</v>
      </c>
      <c r="F382" s="35" t="s">
        <v>2656</v>
      </c>
      <c r="G382" s="35" t="s">
        <v>2674</v>
      </c>
      <c r="H382" s="35"/>
      <c r="I382" s="35" t="s">
        <v>3928</v>
      </c>
      <c r="J382" s="35" t="s">
        <v>3928</v>
      </c>
      <c r="K382" s="35" t="s">
        <v>4091</v>
      </c>
      <c r="L382" s="35" t="s">
        <v>2361</v>
      </c>
      <c r="M382" s="35" t="s">
        <v>2669</v>
      </c>
      <c r="N382" s="35" t="s">
        <v>4092</v>
      </c>
      <c r="O382" s="35" t="s">
        <v>4093</v>
      </c>
      <c r="P382" s="35" t="s">
        <v>4094</v>
      </c>
      <c r="Q382" s="35"/>
      <c r="R382" s="36"/>
      <c r="S382" s="35"/>
    </row>
    <row r="383" spans="1:19" ht="15.6">
      <c r="A383" s="34">
        <v>382</v>
      </c>
      <c r="B383" s="35">
        <v>2025</v>
      </c>
      <c r="C383" s="35">
        <v>2025</v>
      </c>
      <c r="D383" s="35" t="s">
        <v>4095</v>
      </c>
      <c r="E383" s="36" t="s">
        <v>4096</v>
      </c>
      <c r="F383" s="35" t="s">
        <v>2656</v>
      </c>
      <c r="G383" s="35" t="s">
        <v>4080</v>
      </c>
      <c r="H383" s="35"/>
      <c r="I383" s="35" t="s">
        <v>3928</v>
      </c>
      <c r="J383" s="35" t="s">
        <v>3928</v>
      </c>
      <c r="K383" s="35" t="s">
        <v>4097</v>
      </c>
      <c r="L383" s="35" t="s">
        <v>2361</v>
      </c>
      <c r="M383" s="35" t="s">
        <v>2669</v>
      </c>
      <c r="N383" s="35">
        <v>564065887</v>
      </c>
      <c r="O383" s="35" t="s">
        <v>4098</v>
      </c>
      <c r="P383" s="35" t="s">
        <v>4099</v>
      </c>
      <c r="Q383" s="35"/>
      <c r="R383" s="36"/>
      <c r="S383" s="35"/>
    </row>
    <row r="384" spans="1:19" ht="15.6">
      <c r="A384" s="34">
        <v>383</v>
      </c>
      <c r="B384" s="35">
        <v>2025</v>
      </c>
      <c r="C384" s="35">
        <v>2025</v>
      </c>
      <c r="D384" s="35" t="s">
        <v>4100</v>
      </c>
      <c r="E384" s="35" t="s">
        <v>4101</v>
      </c>
      <c r="F384" s="35" t="s">
        <v>2656</v>
      </c>
      <c r="G384" s="35" t="s">
        <v>2915</v>
      </c>
      <c r="H384" s="35"/>
      <c r="I384" s="35" t="s">
        <v>3928</v>
      </c>
      <c r="J384" s="35" t="s">
        <v>3928</v>
      </c>
      <c r="K384" s="35" t="s">
        <v>4102</v>
      </c>
      <c r="L384" s="35" t="s">
        <v>2361</v>
      </c>
      <c r="M384" s="35" t="s">
        <v>2669</v>
      </c>
      <c r="N384" s="35" t="s">
        <v>4103</v>
      </c>
      <c r="O384" s="35" t="s">
        <v>4104</v>
      </c>
      <c r="P384" s="35" t="s">
        <v>4105</v>
      </c>
      <c r="Q384" s="35"/>
      <c r="R384" s="36"/>
      <c r="S384" s="35"/>
    </row>
    <row r="385" spans="1:19" ht="15.6">
      <c r="A385" s="34">
        <v>384</v>
      </c>
      <c r="B385" s="35">
        <v>2025</v>
      </c>
      <c r="C385" s="35">
        <v>2025</v>
      </c>
      <c r="D385" s="35" t="s">
        <v>4106</v>
      </c>
      <c r="E385" s="35" t="s">
        <v>4107</v>
      </c>
      <c r="F385" s="35" t="s">
        <v>2665</v>
      </c>
      <c r="G385" s="35" t="s">
        <v>2915</v>
      </c>
      <c r="H385" s="35"/>
      <c r="I385" s="35" t="s">
        <v>3928</v>
      </c>
      <c r="J385" s="35" t="s">
        <v>3928</v>
      </c>
      <c r="K385" s="35" t="s">
        <v>4108</v>
      </c>
      <c r="L385" s="35" t="s">
        <v>2361</v>
      </c>
      <c r="M385" s="35" t="s">
        <v>2669</v>
      </c>
      <c r="N385" s="35" t="s">
        <v>4109</v>
      </c>
      <c r="O385" s="35" t="s">
        <v>4110</v>
      </c>
      <c r="P385" s="35" t="s">
        <v>4111</v>
      </c>
      <c r="Q385" s="35"/>
      <c r="R385" s="36"/>
      <c r="S385" s="35"/>
    </row>
    <row r="386" spans="1:19" ht="15.6">
      <c r="A386" s="34">
        <v>385</v>
      </c>
      <c r="B386" s="35">
        <v>2025</v>
      </c>
      <c r="C386" s="35">
        <v>2025</v>
      </c>
      <c r="D386" s="35" t="s">
        <v>4112</v>
      </c>
      <c r="E386" s="38">
        <v>37655</v>
      </c>
      <c r="F386" s="35" t="s">
        <v>2665</v>
      </c>
      <c r="G386" s="35" t="s">
        <v>4113</v>
      </c>
      <c r="H386" s="35"/>
      <c r="I386" s="35" t="s">
        <v>3928</v>
      </c>
      <c r="J386" s="35" t="s">
        <v>3928</v>
      </c>
      <c r="K386" s="35" t="s">
        <v>4114</v>
      </c>
      <c r="L386" s="35" t="s">
        <v>2361</v>
      </c>
      <c r="M386" s="35" t="s">
        <v>2669</v>
      </c>
      <c r="N386" s="35">
        <v>12656191</v>
      </c>
      <c r="O386" s="35" t="s">
        <v>4115</v>
      </c>
      <c r="P386" s="35" t="s">
        <v>4116</v>
      </c>
      <c r="Q386" s="35"/>
      <c r="R386" s="36"/>
      <c r="S386" s="35"/>
    </row>
    <row r="387" spans="1:19" ht="15.6">
      <c r="A387" s="34">
        <v>386</v>
      </c>
      <c r="B387" s="35">
        <v>2025</v>
      </c>
      <c r="C387" s="35">
        <v>2025</v>
      </c>
      <c r="D387" s="35" t="s">
        <v>4117</v>
      </c>
      <c r="E387" s="35" t="s">
        <v>4118</v>
      </c>
      <c r="F387" s="35" t="s">
        <v>2656</v>
      </c>
      <c r="G387" s="35" t="s">
        <v>2657</v>
      </c>
      <c r="H387" s="35"/>
      <c r="I387" s="35" t="s">
        <v>3928</v>
      </c>
      <c r="J387" s="35" t="s">
        <v>3928</v>
      </c>
      <c r="K387" s="35" t="s">
        <v>4119</v>
      </c>
      <c r="L387" s="35" t="s">
        <v>2361</v>
      </c>
      <c r="M387" s="35" t="s">
        <v>2669</v>
      </c>
      <c r="N387" s="35" t="s">
        <v>4120</v>
      </c>
      <c r="O387" s="35" t="s">
        <v>2812</v>
      </c>
      <c r="P387" s="35" t="s">
        <v>4121</v>
      </c>
      <c r="Q387" s="35"/>
      <c r="R387" s="36"/>
      <c r="S387" s="35"/>
    </row>
    <row r="388" spans="1:19" ht="15.6">
      <c r="A388" s="34">
        <v>387</v>
      </c>
      <c r="B388" s="35">
        <v>2025</v>
      </c>
      <c r="C388" s="35">
        <v>2025</v>
      </c>
      <c r="D388" s="35" t="s">
        <v>4122</v>
      </c>
      <c r="E388" s="38">
        <v>37326</v>
      </c>
      <c r="F388" s="35" t="s">
        <v>2656</v>
      </c>
      <c r="G388" s="35" t="s">
        <v>2931</v>
      </c>
      <c r="H388" s="35"/>
      <c r="I388" s="35" t="s">
        <v>3928</v>
      </c>
      <c r="J388" s="35" t="s">
        <v>3928</v>
      </c>
      <c r="K388" s="35" t="s">
        <v>4123</v>
      </c>
      <c r="L388" s="35" t="s">
        <v>2361</v>
      </c>
      <c r="M388" s="35" t="s">
        <v>2669</v>
      </c>
      <c r="N388" s="35" t="s">
        <v>4124</v>
      </c>
      <c r="O388" s="35"/>
      <c r="P388" s="35" t="s">
        <v>4125</v>
      </c>
      <c r="Q388" s="35"/>
      <c r="R388" s="36"/>
      <c r="S388" s="35"/>
    </row>
    <row r="389" spans="1:19" ht="15.6">
      <c r="A389" s="34">
        <v>388</v>
      </c>
      <c r="B389" s="35">
        <v>2025</v>
      </c>
      <c r="C389" s="35">
        <v>2025</v>
      </c>
      <c r="D389" s="35" t="s">
        <v>4126</v>
      </c>
      <c r="E389" s="38">
        <v>39418</v>
      </c>
      <c r="F389" s="35" t="s">
        <v>2665</v>
      </c>
      <c r="G389" s="35" t="s">
        <v>2674</v>
      </c>
      <c r="H389" s="35"/>
      <c r="I389" s="35" t="s">
        <v>3928</v>
      </c>
      <c r="J389" s="35" t="s">
        <v>3928</v>
      </c>
      <c r="K389" s="35" t="s">
        <v>4127</v>
      </c>
      <c r="L389" s="35" t="s">
        <v>2361</v>
      </c>
      <c r="M389" s="35" t="s">
        <v>2669</v>
      </c>
      <c r="N389" s="35" t="s">
        <v>4128</v>
      </c>
      <c r="O389" s="35" t="s">
        <v>2812</v>
      </c>
      <c r="P389" s="35" t="s">
        <v>4129</v>
      </c>
      <c r="Q389" s="35"/>
      <c r="R389" s="36"/>
      <c r="S389" s="35"/>
    </row>
    <row r="390" spans="1:19" ht="15.6">
      <c r="A390" s="34">
        <v>389</v>
      </c>
      <c r="B390" s="35">
        <v>2025</v>
      </c>
      <c r="C390" s="35">
        <v>2025</v>
      </c>
      <c r="D390" s="35" t="s">
        <v>4130</v>
      </c>
      <c r="E390" s="38">
        <v>39209</v>
      </c>
      <c r="F390" s="35" t="s">
        <v>2665</v>
      </c>
      <c r="G390" s="35" t="s">
        <v>4131</v>
      </c>
      <c r="H390" s="35"/>
      <c r="I390" s="35" t="s">
        <v>3928</v>
      </c>
      <c r="J390" s="35" t="s">
        <v>3928</v>
      </c>
      <c r="K390" s="35" t="s">
        <v>4132</v>
      </c>
      <c r="L390" s="35" t="s">
        <v>2361</v>
      </c>
      <c r="M390" s="35" t="s">
        <v>4133</v>
      </c>
      <c r="N390" s="35" t="s">
        <v>4134</v>
      </c>
      <c r="O390" s="35" t="s">
        <v>2812</v>
      </c>
      <c r="P390" s="35" t="s">
        <v>4135</v>
      </c>
      <c r="Q390" s="35"/>
      <c r="R390" s="36"/>
      <c r="S390" s="35"/>
    </row>
    <row r="391" spans="1:19" ht="15.6">
      <c r="A391" s="34">
        <v>390</v>
      </c>
      <c r="B391" s="35">
        <v>2025</v>
      </c>
      <c r="C391" s="35">
        <v>2025</v>
      </c>
      <c r="D391" s="35" t="s">
        <v>4136</v>
      </c>
      <c r="E391" s="35" t="s">
        <v>4137</v>
      </c>
      <c r="F391" s="35" t="s">
        <v>2665</v>
      </c>
      <c r="G391" s="35" t="s">
        <v>2915</v>
      </c>
      <c r="H391" s="35"/>
      <c r="I391" s="35" t="s">
        <v>3928</v>
      </c>
      <c r="J391" s="35" t="s">
        <v>3928</v>
      </c>
      <c r="K391" s="35" t="s">
        <v>4138</v>
      </c>
      <c r="L391" s="35" t="s">
        <v>2361</v>
      </c>
      <c r="M391" s="35" t="s">
        <v>2669</v>
      </c>
      <c r="N391" s="35" t="s">
        <v>4139</v>
      </c>
      <c r="O391" s="35" t="s">
        <v>4140</v>
      </c>
      <c r="P391" s="35" t="s">
        <v>4141</v>
      </c>
      <c r="Q391" s="35"/>
      <c r="R391" s="36"/>
      <c r="S391" s="35"/>
    </row>
    <row r="392" spans="1:19" ht="15.6">
      <c r="A392" s="34">
        <v>391</v>
      </c>
      <c r="B392" s="35">
        <v>2025</v>
      </c>
      <c r="C392" s="35">
        <v>2025</v>
      </c>
      <c r="D392" s="35" t="s">
        <v>4142</v>
      </c>
      <c r="E392" s="35" t="s">
        <v>4143</v>
      </c>
      <c r="F392" s="35" t="s">
        <v>2656</v>
      </c>
      <c r="G392" s="35" t="s">
        <v>3209</v>
      </c>
      <c r="H392" s="35"/>
      <c r="I392" s="35" t="s">
        <v>3928</v>
      </c>
      <c r="J392" s="35" t="s">
        <v>3928</v>
      </c>
      <c r="K392" s="35" t="s">
        <v>4144</v>
      </c>
      <c r="L392" s="35" t="s">
        <v>2361</v>
      </c>
      <c r="M392" s="35" t="s">
        <v>2669</v>
      </c>
      <c r="N392" s="35" t="s">
        <v>4145</v>
      </c>
      <c r="O392" s="35" t="s">
        <v>4146</v>
      </c>
      <c r="P392" s="35" t="s">
        <v>4147</v>
      </c>
      <c r="Q392" s="35"/>
      <c r="R392" s="36"/>
      <c r="S392" s="35"/>
    </row>
    <row r="393" spans="1:19" ht="15.6">
      <c r="A393" s="34">
        <v>392</v>
      </c>
      <c r="B393" s="35">
        <v>2025</v>
      </c>
      <c r="C393" s="35">
        <v>2025</v>
      </c>
      <c r="D393" s="35" t="s">
        <v>4148</v>
      </c>
      <c r="E393" s="38">
        <v>24899</v>
      </c>
      <c r="F393" s="35" t="s">
        <v>2656</v>
      </c>
      <c r="G393" s="35" t="s">
        <v>4017</v>
      </c>
      <c r="H393" s="35"/>
      <c r="I393" s="35" t="s">
        <v>3928</v>
      </c>
      <c r="J393" s="35" t="s">
        <v>3928</v>
      </c>
      <c r="K393" s="35" t="s">
        <v>4149</v>
      </c>
      <c r="L393" s="35" t="s">
        <v>2361</v>
      </c>
      <c r="M393" s="35" t="s">
        <v>2669</v>
      </c>
      <c r="N393" s="35" t="s">
        <v>4150</v>
      </c>
      <c r="O393" s="35" t="s">
        <v>4151</v>
      </c>
      <c r="P393" s="35" t="s">
        <v>4152</v>
      </c>
      <c r="Q393" s="35"/>
      <c r="R393" s="36"/>
      <c r="S393" s="35"/>
    </row>
    <row r="394" spans="1:19" ht="15.6">
      <c r="A394" s="34">
        <v>393</v>
      </c>
      <c r="B394" s="35">
        <v>2025</v>
      </c>
      <c r="C394" s="35">
        <v>2025</v>
      </c>
      <c r="D394" s="35" t="s">
        <v>4153</v>
      </c>
      <c r="E394" s="38">
        <v>33883</v>
      </c>
      <c r="F394" s="35" t="s">
        <v>2656</v>
      </c>
      <c r="G394" s="35" t="s">
        <v>2674</v>
      </c>
      <c r="H394" s="35"/>
      <c r="I394" s="35" t="s">
        <v>3928</v>
      </c>
      <c r="J394" s="35" t="s">
        <v>3928</v>
      </c>
      <c r="K394" s="35" t="s">
        <v>4154</v>
      </c>
      <c r="L394" s="35" t="s">
        <v>2361</v>
      </c>
      <c r="M394" s="35" t="s">
        <v>2669</v>
      </c>
      <c r="N394" s="35" t="s">
        <v>4155</v>
      </c>
      <c r="O394" s="35" t="s">
        <v>2812</v>
      </c>
      <c r="P394" s="35" t="s">
        <v>4156</v>
      </c>
      <c r="Q394" s="35"/>
      <c r="R394" s="36"/>
      <c r="S394" s="35"/>
    </row>
    <row r="395" spans="1:19" ht="15.6">
      <c r="A395" s="34">
        <v>394</v>
      </c>
      <c r="B395" s="35">
        <v>2025</v>
      </c>
      <c r="C395" s="35">
        <v>2025</v>
      </c>
      <c r="D395" s="35" t="s">
        <v>3388</v>
      </c>
      <c r="E395" s="35" t="s">
        <v>3389</v>
      </c>
      <c r="F395" s="35" t="s">
        <v>2656</v>
      </c>
      <c r="G395" s="35" t="s">
        <v>2657</v>
      </c>
      <c r="H395" s="35"/>
      <c r="I395" s="35" t="s">
        <v>3928</v>
      </c>
      <c r="J395" s="35" t="s">
        <v>3928</v>
      </c>
      <c r="K395" s="35" t="s">
        <v>4157</v>
      </c>
      <c r="L395" s="35" t="s">
        <v>2361</v>
      </c>
      <c r="M395" s="35" t="s">
        <v>2669</v>
      </c>
      <c r="N395" s="35" t="s">
        <v>3391</v>
      </c>
      <c r="O395" s="35" t="s">
        <v>2812</v>
      </c>
      <c r="P395" s="35" t="s">
        <v>3392</v>
      </c>
      <c r="Q395" s="35"/>
      <c r="R395" s="36"/>
      <c r="S395" s="35"/>
    </row>
    <row r="396" spans="1:19" ht="15.6">
      <c r="A396" s="34">
        <v>395</v>
      </c>
      <c r="B396" s="35">
        <v>2025</v>
      </c>
      <c r="C396" s="35">
        <v>2025</v>
      </c>
      <c r="D396" s="35" t="s">
        <v>4158</v>
      </c>
      <c r="E396" s="35" t="s">
        <v>4159</v>
      </c>
      <c r="F396" s="35" t="s">
        <v>2665</v>
      </c>
      <c r="G396" s="35" t="s">
        <v>3200</v>
      </c>
      <c r="H396" s="35"/>
      <c r="I396" s="35" t="s">
        <v>3928</v>
      </c>
      <c r="J396" s="35" t="s">
        <v>3928</v>
      </c>
      <c r="K396" s="35" t="s">
        <v>4160</v>
      </c>
      <c r="L396" s="35" t="s">
        <v>2361</v>
      </c>
      <c r="M396" s="35" t="s">
        <v>2669</v>
      </c>
      <c r="N396" s="35" t="s">
        <v>4161</v>
      </c>
      <c r="O396" s="35" t="s">
        <v>4162</v>
      </c>
      <c r="P396" s="35" t="s">
        <v>4163</v>
      </c>
      <c r="Q396" s="35"/>
      <c r="R396" s="36"/>
      <c r="S396" s="35"/>
    </row>
    <row r="397" spans="1:19" ht="15.6">
      <c r="A397" s="34">
        <v>396</v>
      </c>
      <c r="B397" s="35">
        <v>2025</v>
      </c>
      <c r="C397" s="35">
        <v>2025</v>
      </c>
      <c r="D397" s="35" t="s">
        <v>4164</v>
      </c>
      <c r="E397" s="35" t="s">
        <v>4165</v>
      </c>
      <c r="F397" s="35" t="s">
        <v>2665</v>
      </c>
      <c r="G397" s="35" t="s">
        <v>3209</v>
      </c>
      <c r="H397" s="35"/>
      <c r="I397" s="35" t="s">
        <v>3928</v>
      </c>
      <c r="J397" s="35" t="s">
        <v>3928</v>
      </c>
      <c r="K397" s="35" t="s">
        <v>4166</v>
      </c>
      <c r="L397" s="35" t="s">
        <v>2361</v>
      </c>
      <c r="M397" s="35" t="s">
        <v>2669</v>
      </c>
      <c r="N397" s="35">
        <v>762465024</v>
      </c>
      <c r="O397" s="35"/>
      <c r="P397" s="35" t="s">
        <v>4167</v>
      </c>
      <c r="Q397" s="35"/>
      <c r="R397" s="36"/>
      <c r="S397" s="35"/>
    </row>
    <row r="398" spans="1:19" ht="15.6">
      <c r="A398" s="34">
        <v>397</v>
      </c>
      <c r="B398" s="35">
        <v>2025</v>
      </c>
      <c r="C398" s="35">
        <v>2025</v>
      </c>
      <c r="D398" s="35" t="s">
        <v>4168</v>
      </c>
      <c r="E398" s="38">
        <v>35283</v>
      </c>
      <c r="F398" s="35" t="s">
        <v>2656</v>
      </c>
      <c r="G398" s="35" t="s">
        <v>3209</v>
      </c>
      <c r="H398" s="35"/>
      <c r="I398" s="35" t="s">
        <v>3928</v>
      </c>
      <c r="J398" s="35" t="s">
        <v>3928</v>
      </c>
      <c r="K398" s="35" t="s">
        <v>4169</v>
      </c>
      <c r="L398" s="35" t="s">
        <v>2361</v>
      </c>
      <c r="M398" s="35" t="s">
        <v>2669</v>
      </c>
      <c r="N398" s="35">
        <v>774854547</v>
      </c>
      <c r="O398" s="35"/>
      <c r="P398" s="35" t="s">
        <v>4170</v>
      </c>
      <c r="Q398" s="35"/>
      <c r="R398" s="36"/>
      <c r="S398" s="35"/>
    </row>
    <row r="399" spans="1:19" ht="15.6">
      <c r="A399" s="34">
        <v>398</v>
      </c>
      <c r="B399" s="35">
        <v>2025</v>
      </c>
      <c r="C399" s="35">
        <v>2025</v>
      </c>
      <c r="D399" s="35" t="s">
        <v>4171</v>
      </c>
      <c r="E399" s="35" t="s">
        <v>4172</v>
      </c>
      <c r="F399" s="35" t="s">
        <v>2656</v>
      </c>
      <c r="G399" s="35" t="s">
        <v>3945</v>
      </c>
      <c r="H399" s="35"/>
      <c r="I399" s="35" t="s">
        <v>3928</v>
      </c>
      <c r="J399" s="35" t="s">
        <v>3928</v>
      </c>
      <c r="K399" s="35" t="s">
        <v>4173</v>
      </c>
      <c r="L399" s="35" t="s">
        <v>2361</v>
      </c>
      <c r="M399" s="35" t="s">
        <v>2669</v>
      </c>
      <c r="N399" s="35" t="s">
        <v>4174</v>
      </c>
      <c r="O399" s="35" t="s">
        <v>4175</v>
      </c>
      <c r="P399" s="35" t="s">
        <v>4176</v>
      </c>
      <c r="Q399" s="35"/>
      <c r="R399" s="36"/>
      <c r="S399" s="35"/>
    </row>
    <row r="400" spans="1:19" ht="15.6">
      <c r="A400" s="34">
        <v>399</v>
      </c>
      <c r="B400" s="35">
        <v>2025</v>
      </c>
      <c r="C400" s="35">
        <v>2025</v>
      </c>
      <c r="D400" s="35" t="s">
        <v>4177</v>
      </c>
      <c r="E400" s="38">
        <v>33330</v>
      </c>
      <c r="F400" s="35" t="s">
        <v>2656</v>
      </c>
      <c r="G400" s="35" t="s">
        <v>2674</v>
      </c>
      <c r="H400" s="35"/>
      <c r="I400" s="35" t="s">
        <v>3928</v>
      </c>
      <c r="J400" s="35" t="s">
        <v>3928</v>
      </c>
      <c r="K400" s="35" t="s">
        <v>4178</v>
      </c>
      <c r="L400" s="35" t="s">
        <v>2361</v>
      </c>
      <c r="M400" s="35" t="s">
        <v>2669</v>
      </c>
      <c r="N400" s="35" t="s">
        <v>4179</v>
      </c>
      <c r="O400" s="35" t="s">
        <v>4180</v>
      </c>
      <c r="P400" s="35" t="s">
        <v>4181</v>
      </c>
      <c r="Q400" s="35"/>
      <c r="R400" s="36"/>
      <c r="S400" s="35"/>
    </row>
    <row r="401" spans="1:19" ht="15.6">
      <c r="A401" s="34">
        <v>400</v>
      </c>
      <c r="B401" s="35">
        <v>2025</v>
      </c>
      <c r="C401" s="35">
        <v>2025</v>
      </c>
      <c r="D401" s="35" t="s">
        <v>4182</v>
      </c>
      <c r="E401" s="36" t="s">
        <v>4183</v>
      </c>
      <c r="F401" s="35" t="s">
        <v>2656</v>
      </c>
      <c r="G401" s="35" t="s">
        <v>2674</v>
      </c>
      <c r="H401" s="35"/>
      <c r="I401" s="35" t="s">
        <v>3928</v>
      </c>
      <c r="J401" s="35" t="s">
        <v>3928</v>
      </c>
      <c r="K401" s="35" t="s">
        <v>4184</v>
      </c>
      <c r="L401" s="35" t="s">
        <v>2361</v>
      </c>
      <c r="M401" s="35" t="s">
        <v>2669</v>
      </c>
      <c r="N401" s="35" t="s">
        <v>4185</v>
      </c>
      <c r="O401" s="35" t="s">
        <v>4186</v>
      </c>
      <c r="P401" s="35" t="s">
        <v>4187</v>
      </c>
      <c r="Q401" s="35"/>
      <c r="R401" s="36"/>
      <c r="S401" s="35"/>
    </row>
    <row r="402" spans="1:19" ht="15.6">
      <c r="A402" s="34">
        <v>401</v>
      </c>
      <c r="B402" s="35">
        <v>2025</v>
      </c>
      <c r="C402" s="35">
        <v>2025</v>
      </c>
      <c r="D402" s="35" t="s">
        <v>4188</v>
      </c>
      <c r="E402" s="35" t="s">
        <v>4189</v>
      </c>
      <c r="F402" s="35" t="s">
        <v>2665</v>
      </c>
      <c r="G402" s="35" t="s">
        <v>4190</v>
      </c>
      <c r="H402" s="35"/>
      <c r="I402" s="35" t="s">
        <v>3928</v>
      </c>
      <c r="J402" s="35" t="s">
        <v>3928</v>
      </c>
      <c r="K402" s="35" t="s">
        <v>4191</v>
      </c>
      <c r="L402" s="35" t="s">
        <v>2361</v>
      </c>
      <c r="M402" s="35" t="s">
        <v>2669</v>
      </c>
      <c r="N402" s="35" t="s">
        <v>4192</v>
      </c>
      <c r="O402" s="35" t="s">
        <v>4193</v>
      </c>
      <c r="P402" s="35" t="s">
        <v>4194</v>
      </c>
      <c r="Q402" s="35"/>
      <c r="R402" s="36"/>
      <c r="S402" s="35"/>
    </row>
    <row r="403" spans="1:19" ht="15.6">
      <c r="A403" s="34">
        <v>402</v>
      </c>
      <c r="B403" s="35">
        <v>2025</v>
      </c>
      <c r="C403" s="35">
        <v>2025</v>
      </c>
      <c r="D403" s="35" t="s">
        <v>4195</v>
      </c>
      <c r="E403" s="35" t="s">
        <v>4196</v>
      </c>
      <c r="F403" s="35" t="s">
        <v>2656</v>
      </c>
      <c r="G403" s="35" t="s">
        <v>4197</v>
      </c>
      <c r="H403" s="35"/>
      <c r="I403" s="35" t="s">
        <v>3928</v>
      </c>
      <c r="J403" s="35" t="s">
        <v>3928</v>
      </c>
      <c r="K403" s="35" t="s">
        <v>4198</v>
      </c>
      <c r="L403" s="35" t="s">
        <v>2361</v>
      </c>
      <c r="M403" s="35" t="s">
        <v>2669</v>
      </c>
      <c r="N403" s="35">
        <v>309215263</v>
      </c>
      <c r="O403" s="35" t="s">
        <v>4180</v>
      </c>
      <c r="P403" s="35" t="s">
        <v>4199</v>
      </c>
      <c r="Q403" s="35"/>
      <c r="R403" s="36"/>
      <c r="S403" s="35"/>
    </row>
    <row r="404" spans="1:19" ht="15.6">
      <c r="A404" s="34">
        <v>403</v>
      </c>
      <c r="B404" s="35">
        <v>2025</v>
      </c>
      <c r="C404" s="35">
        <v>2025</v>
      </c>
      <c r="D404" s="35" t="s">
        <v>4200</v>
      </c>
      <c r="E404" s="35" t="s">
        <v>4201</v>
      </c>
      <c r="F404" s="35" t="s">
        <v>2656</v>
      </c>
      <c r="G404" s="35" t="s">
        <v>3200</v>
      </c>
      <c r="H404" s="35"/>
      <c r="I404" s="35" t="s">
        <v>3928</v>
      </c>
      <c r="J404" s="35" t="s">
        <v>3928</v>
      </c>
      <c r="K404" s="35" t="s">
        <v>4202</v>
      </c>
      <c r="L404" s="35" t="s">
        <v>2361</v>
      </c>
      <c r="M404" s="35" t="s">
        <v>2669</v>
      </c>
      <c r="N404" s="35" t="s">
        <v>4203</v>
      </c>
      <c r="O404" s="35"/>
      <c r="P404" s="35" t="s">
        <v>4204</v>
      </c>
      <c r="Q404" s="35"/>
      <c r="R404" s="36"/>
      <c r="S404" s="35"/>
    </row>
    <row r="405" spans="1:19" ht="15.6">
      <c r="A405" s="34">
        <v>404</v>
      </c>
      <c r="B405" s="35">
        <v>2025</v>
      </c>
      <c r="C405" s="35">
        <v>2025</v>
      </c>
      <c r="D405" s="35" t="s">
        <v>4205</v>
      </c>
      <c r="E405" s="35" t="s">
        <v>4206</v>
      </c>
      <c r="F405" s="35" t="s">
        <v>2665</v>
      </c>
      <c r="G405" s="35" t="s">
        <v>4207</v>
      </c>
      <c r="H405" s="35"/>
      <c r="I405" s="35" t="s">
        <v>3928</v>
      </c>
      <c r="J405" s="35" t="s">
        <v>3928</v>
      </c>
      <c r="K405" s="35" t="s">
        <v>4208</v>
      </c>
      <c r="L405" s="35" t="s">
        <v>2361</v>
      </c>
      <c r="M405" s="35" t="s">
        <v>2669</v>
      </c>
      <c r="N405" s="35" t="s">
        <v>4209</v>
      </c>
      <c r="O405" s="35" t="s">
        <v>4210</v>
      </c>
      <c r="P405" s="35" t="s">
        <v>4211</v>
      </c>
      <c r="Q405" s="35"/>
      <c r="R405" s="36"/>
      <c r="S405" s="35"/>
    </row>
    <row r="406" spans="1:19" ht="15.6">
      <c r="A406" s="34">
        <v>405</v>
      </c>
      <c r="B406" s="35">
        <v>2025</v>
      </c>
      <c r="C406" s="35">
        <v>2025</v>
      </c>
      <c r="D406" s="35" t="s">
        <v>4212</v>
      </c>
      <c r="E406" s="35" t="s">
        <v>4213</v>
      </c>
      <c r="F406" s="35" t="s">
        <v>2656</v>
      </c>
      <c r="G406" s="35" t="s">
        <v>2915</v>
      </c>
      <c r="H406" s="35"/>
      <c r="I406" s="35" t="s">
        <v>3928</v>
      </c>
      <c r="J406" s="35" t="s">
        <v>3928</v>
      </c>
      <c r="K406" s="35" t="s">
        <v>4214</v>
      </c>
      <c r="L406" s="35" t="s">
        <v>2361</v>
      </c>
      <c r="M406" s="35" t="s">
        <v>2669</v>
      </c>
      <c r="N406" s="35" t="s">
        <v>4215</v>
      </c>
      <c r="O406" s="35" t="s">
        <v>4216</v>
      </c>
      <c r="P406" s="35" t="s">
        <v>4217</v>
      </c>
      <c r="Q406" s="35"/>
      <c r="R406" s="36"/>
      <c r="S406" s="35"/>
    </row>
    <row r="407" spans="1:19" ht="15.6">
      <c r="A407" s="34">
        <v>406</v>
      </c>
      <c r="B407" s="35">
        <v>2025</v>
      </c>
      <c r="C407" s="35">
        <v>2025</v>
      </c>
      <c r="D407" s="35" t="s">
        <v>4218</v>
      </c>
      <c r="E407" s="35" t="s">
        <v>4219</v>
      </c>
      <c r="F407" s="35" t="s">
        <v>2665</v>
      </c>
      <c r="G407" s="35" t="s">
        <v>4065</v>
      </c>
      <c r="H407" s="35"/>
      <c r="I407" s="35" t="s">
        <v>3928</v>
      </c>
      <c r="J407" s="35" t="s">
        <v>3928</v>
      </c>
      <c r="K407" s="35" t="s">
        <v>4220</v>
      </c>
      <c r="L407" s="35" t="s">
        <v>2361</v>
      </c>
      <c r="M407" s="35" t="s">
        <v>2669</v>
      </c>
      <c r="N407" s="35" t="s">
        <v>4221</v>
      </c>
      <c r="O407" s="35" t="s">
        <v>4222</v>
      </c>
      <c r="P407" s="35" t="s">
        <v>4223</v>
      </c>
      <c r="Q407" s="35"/>
      <c r="R407" s="36"/>
      <c r="S407" s="35"/>
    </row>
    <row r="408" spans="1:19" ht="15.6">
      <c r="A408" s="34">
        <v>407</v>
      </c>
      <c r="B408" s="35">
        <v>2025</v>
      </c>
      <c r="C408" s="35">
        <v>2025</v>
      </c>
      <c r="D408" s="35" t="s">
        <v>4224</v>
      </c>
      <c r="E408" s="35" t="s">
        <v>4225</v>
      </c>
      <c r="F408" s="35" t="s">
        <v>2656</v>
      </c>
      <c r="G408" s="35" t="s">
        <v>4207</v>
      </c>
      <c r="H408" s="35"/>
      <c r="I408" s="35" t="s">
        <v>3928</v>
      </c>
      <c r="J408" s="35" t="s">
        <v>3928</v>
      </c>
      <c r="K408" s="35" t="s">
        <v>4226</v>
      </c>
      <c r="L408" s="35" t="s">
        <v>2361</v>
      </c>
      <c r="M408" s="35" t="s">
        <v>2669</v>
      </c>
      <c r="N408" s="35" t="s">
        <v>4227</v>
      </c>
      <c r="O408" s="35"/>
      <c r="P408" s="35" t="s">
        <v>4228</v>
      </c>
      <c r="Q408" s="35"/>
      <c r="R408" s="36"/>
      <c r="S408" s="35"/>
    </row>
    <row r="409" spans="1:19" ht="15.6">
      <c r="A409" s="34">
        <v>408</v>
      </c>
      <c r="B409" s="35">
        <v>2025</v>
      </c>
      <c r="C409" s="35">
        <v>2025</v>
      </c>
      <c r="D409" s="35" t="s">
        <v>4229</v>
      </c>
      <c r="E409" s="38">
        <v>25546</v>
      </c>
      <c r="F409" s="35" t="s">
        <v>2656</v>
      </c>
      <c r="G409" s="35" t="s">
        <v>2915</v>
      </c>
      <c r="H409" s="35"/>
      <c r="I409" s="35" t="s">
        <v>3928</v>
      </c>
      <c r="J409" s="35" t="s">
        <v>3928</v>
      </c>
      <c r="K409" s="35" t="s">
        <v>4230</v>
      </c>
      <c r="L409" s="35" t="s">
        <v>2361</v>
      </c>
      <c r="M409" s="35" t="s">
        <v>2669</v>
      </c>
      <c r="N409" s="35" t="s">
        <v>4231</v>
      </c>
      <c r="O409" s="35"/>
      <c r="P409" s="35" t="s">
        <v>4232</v>
      </c>
      <c r="Q409" s="35"/>
      <c r="R409" s="36"/>
      <c r="S409" s="35"/>
    </row>
    <row r="410" spans="1:19" ht="15.75" customHeight="1">
      <c r="A410" s="34">
        <v>409</v>
      </c>
      <c r="B410" s="35">
        <v>2025</v>
      </c>
      <c r="C410" s="35">
        <v>2025</v>
      </c>
      <c r="D410" s="43" t="s">
        <v>4233</v>
      </c>
      <c r="E410" s="43" t="s">
        <v>4234</v>
      </c>
      <c r="F410" s="44"/>
      <c r="G410" s="45" t="s">
        <v>4235</v>
      </c>
      <c r="H410" s="46"/>
      <c r="I410" s="47" t="s">
        <v>4236</v>
      </c>
      <c r="J410" s="46"/>
      <c r="K410" s="35" t="s">
        <v>1512</v>
      </c>
      <c r="L410" s="35" t="s">
        <v>1939</v>
      </c>
      <c r="M410" s="46"/>
      <c r="N410" s="43" t="s">
        <v>4237</v>
      </c>
      <c r="O410" s="46"/>
      <c r="P410" s="46"/>
      <c r="Q410" s="43" t="s">
        <v>4238</v>
      </c>
      <c r="R410" s="46"/>
      <c r="S410" s="45" t="s">
        <v>4239</v>
      </c>
    </row>
    <row r="411" spans="1:19" ht="15.75" customHeight="1">
      <c r="A411" s="34">
        <v>410</v>
      </c>
      <c r="B411" s="35">
        <v>2025</v>
      </c>
      <c r="C411" s="35">
        <v>2025</v>
      </c>
      <c r="D411" s="43" t="s">
        <v>4240</v>
      </c>
      <c r="E411" s="43" t="s">
        <v>4241</v>
      </c>
      <c r="F411" s="44"/>
      <c r="G411" s="45" t="s">
        <v>4235</v>
      </c>
      <c r="H411" s="46"/>
      <c r="I411" s="47" t="s">
        <v>4236</v>
      </c>
      <c r="J411" s="46"/>
      <c r="K411" s="35" t="s">
        <v>1512</v>
      </c>
      <c r="L411" s="35" t="s">
        <v>1939</v>
      </c>
      <c r="M411" s="46"/>
      <c r="N411" s="43" t="s">
        <v>4242</v>
      </c>
      <c r="O411" s="46"/>
      <c r="P411" s="46"/>
      <c r="Q411" s="43" t="s">
        <v>4238</v>
      </c>
      <c r="R411" s="46"/>
      <c r="S411" s="45" t="s">
        <v>4239</v>
      </c>
    </row>
    <row r="412" spans="1:19" ht="15.75" customHeight="1">
      <c r="A412" s="34">
        <v>411</v>
      </c>
      <c r="B412" s="35">
        <v>2025</v>
      </c>
      <c r="C412" s="35">
        <v>2025</v>
      </c>
      <c r="D412" s="43" t="s">
        <v>4243</v>
      </c>
      <c r="E412" s="43" t="s">
        <v>4244</v>
      </c>
      <c r="F412" s="44"/>
      <c r="G412" s="45" t="s">
        <v>4235</v>
      </c>
      <c r="H412" s="46"/>
      <c r="I412" s="47" t="s">
        <v>4236</v>
      </c>
      <c r="J412" s="46"/>
      <c r="K412" s="35" t="s">
        <v>1512</v>
      </c>
      <c r="L412" s="35" t="s">
        <v>1939</v>
      </c>
      <c r="M412" s="46"/>
      <c r="N412" s="43" t="s">
        <v>4245</v>
      </c>
      <c r="O412" s="46"/>
      <c r="P412" s="46"/>
      <c r="Q412" s="43" t="s">
        <v>4238</v>
      </c>
      <c r="R412" s="46"/>
      <c r="S412" s="45" t="s">
        <v>4239</v>
      </c>
    </row>
    <row r="413" spans="1:19" ht="15.75" customHeight="1">
      <c r="A413" s="34">
        <v>412</v>
      </c>
      <c r="B413" s="35">
        <v>2025</v>
      </c>
      <c r="C413" s="35">
        <v>2025</v>
      </c>
      <c r="D413" s="43" t="s">
        <v>4246</v>
      </c>
      <c r="E413" s="48">
        <v>37387</v>
      </c>
      <c r="F413" s="44"/>
      <c r="G413" s="45" t="s">
        <v>4235</v>
      </c>
      <c r="H413" s="46"/>
      <c r="I413" s="47" t="s">
        <v>4236</v>
      </c>
      <c r="J413" s="46"/>
      <c r="K413" s="35" t="s">
        <v>1512</v>
      </c>
      <c r="L413" s="35" t="s">
        <v>1939</v>
      </c>
      <c r="M413" s="46"/>
      <c r="N413" s="43" t="s">
        <v>4247</v>
      </c>
      <c r="O413" s="46"/>
      <c r="P413" s="46"/>
      <c r="Q413" s="43" t="s">
        <v>4238</v>
      </c>
      <c r="R413" s="46"/>
      <c r="S413" s="45" t="s">
        <v>4239</v>
      </c>
    </row>
    <row r="414" spans="1:19" ht="15.75" customHeight="1">
      <c r="A414" s="34">
        <v>413</v>
      </c>
      <c r="B414" s="35">
        <v>2025</v>
      </c>
      <c r="C414" s="35">
        <v>2025</v>
      </c>
      <c r="D414" s="43" t="s">
        <v>4248</v>
      </c>
      <c r="E414" s="48">
        <v>37686</v>
      </c>
      <c r="F414" s="44"/>
      <c r="G414" s="45" t="s">
        <v>4235</v>
      </c>
      <c r="H414" s="46"/>
      <c r="I414" s="47" t="s">
        <v>4236</v>
      </c>
      <c r="J414" s="46"/>
      <c r="K414" s="35" t="s">
        <v>1512</v>
      </c>
      <c r="L414" s="35" t="s">
        <v>1939</v>
      </c>
      <c r="M414" s="46"/>
      <c r="N414" s="43" t="s">
        <v>4249</v>
      </c>
      <c r="O414" s="46"/>
      <c r="P414" s="46"/>
      <c r="Q414" s="43" t="s">
        <v>4238</v>
      </c>
      <c r="R414" s="46"/>
      <c r="S414" s="45" t="s">
        <v>4239</v>
      </c>
    </row>
    <row r="415" spans="1:19" ht="15.75" customHeight="1">
      <c r="A415" s="34">
        <v>414</v>
      </c>
      <c r="B415" s="35">
        <v>2025</v>
      </c>
      <c r="C415" s="35">
        <v>2025</v>
      </c>
      <c r="D415" s="43" t="s">
        <v>4250</v>
      </c>
      <c r="E415" s="43" t="s">
        <v>4251</v>
      </c>
      <c r="F415" s="44"/>
      <c r="G415" s="45" t="s">
        <v>2931</v>
      </c>
      <c r="H415" s="46"/>
      <c r="I415" s="47" t="s">
        <v>4252</v>
      </c>
      <c r="J415" s="46"/>
      <c r="K415" s="35" t="s">
        <v>1512</v>
      </c>
      <c r="L415" s="35" t="s">
        <v>1939</v>
      </c>
      <c r="M415" s="46"/>
      <c r="N415" s="43" t="s">
        <v>4253</v>
      </c>
      <c r="O415" s="46"/>
      <c r="P415" s="46"/>
      <c r="Q415" s="43" t="s">
        <v>4254</v>
      </c>
      <c r="R415" s="46"/>
      <c r="S415" s="45" t="s">
        <v>4255</v>
      </c>
    </row>
    <row r="416" spans="1:19" ht="15.75" customHeight="1">
      <c r="A416" s="34">
        <v>415</v>
      </c>
      <c r="B416" s="35">
        <v>2025</v>
      </c>
      <c r="C416" s="35">
        <v>2025</v>
      </c>
      <c r="D416" s="43" t="s">
        <v>4256</v>
      </c>
      <c r="E416" s="48">
        <v>38148</v>
      </c>
      <c r="F416" s="44"/>
      <c r="G416" s="45" t="s">
        <v>2931</v>
      </c>
      <c r="H416" s="46"/>
      <c r="I416" s="47" t="s">
        <v>4252</v>
      </c>
      <c r="J416" s="46"/>
      <c r="K416" s="35" t="s">
        <v>1512</v>
      </c>
      <c r="L416" s="35" t="s">
        <v>1939</v>
      </c>
      <c r="M416" s="46"/>
      <c r="N416" s="43" t="s">
        <v>4257</v>
      </c>
      <c r="O416" s="46"/>
      <c r="P416" s="46"/>
      <c r="Q416" s="43" t="s">
        <v>4254</v>
      </c>
      <c r="R416" s="46"/>
      <c r="S416" s="45" t="s">
        <v>4255</v>
      </c>
    </row>
    <row r="417" spans="1:19" ht="15.75" customHeight="1">
      <c r="A417" s="34">
        <v>416</v>
      </c>
      <c r="B417" s="35">
        <v>2025</v>
      </c>
      <c r="C417" s="35">
        <v>2025</v>
      </c>
      <c r="D417" s="43" t="s">
        <v>4258</v>
      </c>
      <c r="E417" s="43" t="s">
        <v>4259</v>
      </c>
      <c r="F417" s="44"/>
      <c r="G417" s="45" t="s">
        <v>2931</v>
      </c>
      <c r="H417" s="46"/>
      <c r="I417" s="47" t="s">
        <v>4252</v>
      </c>
      <c r="J417" s="46"/>
      <c r="K417" s="35" t="s">
        <v>1512</v>
      </c>
      <c r="L417" s="35" t="s">
        <v>1939</v>
      </c>
      <c r="M417" s="46"/>
      <c r="N417" s="43" t="s">
        <v>4260</v>
      </c>
      <c r="O417" s="46"/>
      <c r="P417" s="46"/>
      <c r="Q417" s="43" t="s">
        <v>4254</v>
      </c>
      <c r="R417" s="46"/>
      <c r="S417" s="45" t="s">
        <v>4255</v>
      </c>
    </row>
    <row r="418" spans="1:19" ht="15.75" customHeight="1">
      <c r="A418" s="34">
        <v>417</v>
      </c>
      <c r="B418" s="35">
        <v>2025</v>
      </c>
      <c r="C418" s="35">
        <v>2025</v>
      </c>
      <c r="D418" s="43" t="s">
        <v>4261</v>
      </c>
      <c r="E418" s="43" t="s">
        <v>4262</v>
      </c>
      <c r="F418" s="44"/>
      <c r="G418" s="45" t="s">
        <v>2931</v>
      </c>
      <c r="H418" s="46"/>
      <c r="I418" s="47" t="s">
        <v>4252</v>
      </c>
      <c r="J418" s="46"/>
      <c r="K418" s="35" t="s">
        <v>1512</v>
      </c>
      <c r="L418" s="35" t="s">
        <v>1939</v>
      </c>
      <c r="M418" s="46"/>
      <c r="N418" s="49"/>
      <c r="O418" s="46"/>
      <c r="P418" s="46"/>
      <c r="Q418" s="43" t="s">
        <v>4254</v>
      </c>
      <c r="R418" s="46"/>
      <c r="S418" s="45" t="s">
        <v>4255</v>
      </c>
    </row>
    <row r="419" spans="1:19" ht="15.75" customHeight="1">
      <c r="A419" s="34">
        <v>418</v>
      </c>
      <c r="B419" s="35">
        <v>2025</v>
      </c>
      <c r="C419" s="35">
        <v>2025</v>
      </c>
      <c r="D419" s="43" t="s">
        <v>4263</v>
      </c>
      <c r="E419" s="43" t="s">
        <v>4264</v>
      </c>
      <c r="F419" s="44"/>
      <c r="G419" s="45" t="s">
        <v>2931</v>
      </c>
      <c r="H419" s="46"/>
      <c r="I419" s="47" t="s">
        <v>4252</v>
      </c>
      <c r="J419" s="46"/>
      <c r="K419" s="35" t="s">
        <v>1512</v>
      </c>
      <c r="L419" s="35" t="s">
        <v>1939</v>
      </c>
      <c r="M419" s="46"/>
      <c r="N419" s="43" t="s">
        <v>4265</v>
      </c>
      <c r="O419" s="46"/>
      <c r="P419" s="46"/>
      <c r="Q419" s="43" t="s">
        <v>4254</v>
      </c>
      <c r="R419" s="46"/>
      <c r="S419" s="45" t="s">
        <v>4255</v>
      </c>
    </row>
    <row r="420" spans="1:19" ht="15.75" customHeight="1">
      <c r="A420" s="34">
        <v>419</v>
      </c>
      <c r="B420" s="35">
        <v>2025</v>
      </c>
      <c r="C420" s="35">
        <v>2025</v>
      </c>
      <c r="D420" s="43" t="s">
        <v>4266</v>
      </c>
      <c r="E420" s="48">
        <v>37805</v>
      </c>
      <c r="F420" s="44"/>
      <c r="G420" s="45" t="s">
        <v>2931</v>
      </c>
      <c r="H420" s="46"/>
      <c r="I420" s="47" t="s">
        <v>4252</v>
      </c>
      <c r="J420" s="46"/>
      <c r="K420" s="35" t="s">
        <v>1512</v>
      </c>
      <c r="L420" s="35" t="s">
        <v>1939</v>
      </c>
      <c r="M420" s="46"/>
      <c r="N420" s="43" t="s">
        <v>4267</v>
      </c>
      <c r="O420" s="46"/>
      <c r="P420" s="46"/>
      <c r="Q420" s="43" t="s">
        <v>4254</v>
      </c>
      <c r="R420" s="46"/>
      <c r="S420" s="45" t="s">
        <v>4255</v>
      </c>
    </row>
    <row r="421" spans="1:19" ht="15.75" customHeight="1">
      <c r="A421" s="34">
        <v>420</v>
      </c>
      <c r="B421" s="35">
        <v>2025</v>
      </c>
      <c r="C421" s="35">
        <v>2025</v>
      </c>
      <c r="D421" s="43" t="s">
        <v>4268</v>
      </c>
      <c r="E421" s="50" t="s">
        <v>4269</v>
      </c>
      <c r="F421" s="48" t="s">
        <v>2665</v>
      </c>
      <c r="G421" s="45" t="s">
        <v>3927</v>
      </c>
      <c r="H421" s="46"/>
      <c r="I421" s="47" t="s">
        <v>4270</v>
      </c>
      <c r="J421" s="46"/>
      <c r="K421" s="35" t="s">
        <v>1512</v>
      </c>
      <c r="L421" s="35" t="s">
        <v>1939</v>
      </c>
      <c r="M421" s="46"/>
      <c r="N421" s="43" t="s">
        <v>4271</v>
      </c>
      <c r="O421" s="46"/>
      <c r="P421" s="46"/>
      <c r="Q421" s="43" t="s">
        <v>4272</v>
      </c>
      <c r="R421" s="46"/>
      <c r="S421" s="45" t="s">
        <v>4273</v>
      </c>
    </row>
    <row r="422" spans="1:19" ht="15.75" customHeight="1">
      <c r="A422" s="34">
        <v>421</v>
      </c>
      <c r="B422" s="35">
        <v>2025</v>
      </c>
      <c r="C422" s="35">
        <v>2025</v>
      </c>
      <c r="D422" s="45" t="s">
        <v>4274</v>
      </c>
      <c r="E422" s="51" t="s">
        <v>4275</v>
      </c>
      <c r="F422" s="48" t="s">
        <v>2665</v>
      </c>
      <c r="G422" s="45" t="s">
        <v>3927</v>
      </c>
      <c r="H422" s="46"/>
      <c r="I422" s="47" t="s">
        <v>4270</v>
      </c>
      <c r="J422" s="46"/>
      <c r="K422" s="35" t="s">
        <v>1512</v>
      </c>
      <c r="L422" s="35" t="s">
        <v>1939</v>
      </c>
      <c r="M422" s="46"/>
      <c r="N422" s="43" t="s">
        <v>4276</v>
      </c>
      <c r="O422" s="46"/>
      <c r="P422" s="46"/>
      <c r="Q422" s="43" t="s">
        <v>4272</v>
      </c>
      <c r="R422" s="46"/>
      <c r="S422" s="45" t="s">
        <v>4273</v>
      </c>
    </row>
    <row r="423" spans="1:19" ht="15.75" customHeight="1">
      <c r="A423" s="34">
        <v>422</v>
      </c>
      <c r="B423" s="35">
        <v>2025</v>
      </c>
      <c r="C423" s="35">
        <v>2025</v>
      </c>
      <c r="D423" s="43" t="s">
        <v>4277</v>
      </c>
      <c r="E423" s="51" t="s">
        <v>4278</v>
      </c>
      <c r="F423" s="48" t="s">
        <v>2656</v>
      </c>
      <c r="G423" s="45" t="s">
        <v>3927</v>
      </c>
      <c r="H423" s="46"/>
      <c r="I423" s="47" t="s">
        <v>4270</v>
      </c>
      <c r="J423" s="46"/>
      <c r="K423" s="35" t="s">
        <v>1512</v>
      </c>
      <c r="L423" s="35" t="s">
        <v>1939</v>
      </c>
      <c r="M423" s="46"/>
      <c r="N423" s="43" t="s">
        <v>4279</v>
      </c>
      <c r="O423" s="46"/>
      <c r="P423" s="46"/>
      <c r="Q423" s="43" t="s">
        <v>4272</v>
      </c>
      <c r="R423" s="46"/>
      <c r="S423" s="45" t="s">
        <v>4273</v>
      </c>
    </row>
    <row r="424" spans="1:19" ht="15.75" customHeight="1">
      <c r="A424" s="34">
        <v>423</v>
      </c>
      <c r="B424" s="35">
        <v>2025</v>
      </c>
      <c r="C424" s="35">
        <v>2025</v>
      </c>
      <c r="D424" s="43" t="s">
        <v>4280</v>
      </c>
      <c r="E424" s="48" t="s">
        <v>4281</v>
      </c>
      <c r="F424" s="44"/>
      <c r="G424" s="45" t="s">
        <v>2931</v>
      </c>
      <c r="H424" s="46"/>
      <c r="I424" s="47" t="s">
        <v>4282</v>
      </c>
      <c r="J424" s="46"/>
      <c r="K424" s="35" t="s">
        <v>1512</v>
      </c>
      <c r="L424" s="35" t="s">
        <v>1939</v>
      </c>
      <c r="M424" s="46"/>
      <c r="N424" s="43" t="s">
        <v>4283</v>
      </c>
      <c r="O424" s="46"/>
      <c r="P424" s="46"/>
      <c r="Q424" s="43" t="s">
        <v>4284</v>
      </c>
      <c r="R424" s="46"/>
      <c r="S424" s="45" t="s">
        <v>4285</v>
      </c>
    </row>
    <row r="425" spans="1:19" ht="15.75" customHeight="1">
      <c r="A425" s="34">
        <v>424</v>
      </c>
      <c r="B425" s="35">
        <v>2025</v>
      </c>
      <c r="C425" s="35">
        <v>2025</v>
      </c>
      <c r="D425" s="43" t="s">
        <v>4286</v>
      </c>
      <c r="E425" s="48">
        <v>37742</v>
      </c>
      <c r="F425" s="44"/>
      <c r="G425" s="45" t="s">
        <v>2931</v>
      </c>
      <c r="H425" s="46"/>
      <c r="I425" s="47" t="s">
        <v>4282</v>
      </c>
      <c r="J425" s="46"/>
      <c r="K425" s="35" t="s">
        <v>1512</v>
      </c>
      <c r="L425" s="35" t="s">
        <v>1939</v>
      </c>
      <c r="M425" s="46"/>
      <c r="N425" s="43" t="s">
        <v>4287</v>
      </c>
      <c r="O425" s="46"/>
      <c r="P425" s="46"/>
      <c r="Q425" s="43" t="s">
        <v>4284</v>
      </c>
      <c r="R425" s="46"/>
      <c r="S425" s="45" t="s">
        <v>4285</v>
      </c>
    </row>
    <row r="426" spans="1:19" ht="15.75" customHeight="1">
      <c r="A426" s="34">
        <v>425</v>
      </c>
      <c r="B426" s="35">
        <v>2025</v>
      </c>
      <c r="C426" s="35">
        <v>2025</v>
      </c>
      <c r="D426" s="43" t="s">
        <v>4288</v>
      </c>
      <c r="E426" s="48">
        <v>37445</v>
      </c>
      <c r="F426" s="44"/>
      <c r="G426" s="45" t="s">
        <v>2931</v>
      </c>
      <c r="H426" s="46"/>
      <c r="I426" s="47" t="s">
        <v>4282</v>
      </c>
      <c r="J426" s="46"/>
      <c r="K426" s="35" t="s">
        <v>1512</v>
      </c>
      <c r="L426" s="35" t="s">
        <v>1939</v>
      </c>
      <c r="M426" s="46"/>
      <c r="N426" s="43" t="s">
        <v>4289</v>
      </c>
      <c r="O426" s="46"/>
      <c r="P426" s="46"/>
      <c r="Q426" s="43" t="s">
        <v>4284</v>
      </c>
      <c r="R426" s="46"/>
      <c r="S426" s="45" t="s">
        <v>4285</v>
      </c>
    </row>
    <row r="427" spans="1:19" ht="15.75" customHeight="1">
      <c r="A427" s="34">
        <v>426</v>
      </c>
      <c r="B427" s="35">
        <v>2025</v>
      </c>
      <c r="C427" s="35">
        <v>2025</v>
      </c>
      <c r="D427" s="43" t="s">
        <v>4290</v>
      </c>
      <c r="E427" s="48">
        <v>37745</v>
      </c>
      <c r="F427" s="44"/>
      <c r="G427" s="45" t="s">
        <v>2931</v>
      </c>
      <c r="H427" s="46"/>
      <c r="I427" s="47" t="s">
        <v>4282</v>
      </c>
      <c r="J427" s="46"/>
      <c r="K427" s="35" t="s">
        <v>1512</v>
      </c>
      <c r="L427" s="35" t="s">
        <v>1939</v>
      </c>
      <c r="M427" s="46"/>
      <c r="N427" s="43" t="s">
        <v>4291</v>
      </c>
      <c r="O427" s="46"/>
      <c r="P427" s="46"/>
      <c r="Q427" s="43" t="s">
        <v>4284</v>
      </c>
      <c r="R427" s="46"/>
      <c r="S427" s="45" t="s">
        <v>4285</v>
      </c>
    </row>
    <row r="428" spans="1:19" ht="15.75" customHeight="1">
      <c r="A428" s="34">
        <v>427</v>
      </c>
      <c r="B428" s="35">
        <v>2025</v>
      </c>
      <c r="C428" s="35">
        <v>2025</v>
      </c>
      <c r="D428" s="43" t="s">
        <v>4292</v>
      </c>
      <c r="E428" s="43" t="s">
        <v>4293</v>
      </c>
      <c r="F428" s="49"/>
      <c r="G428" s="45" t="s">
        <v>2699</v>
      </c>
      <c r="H428" s="46"/>
      <c r="I428" s="47" t="s">
        <v>4294</v>
      </c>
      <c r="J428" s="46"/>
      <c r="K428" s="35" t="s">
        <v>1512</v>
      </c>
      <c r="L428" s="35" t="s">
        <v>1939</v>
      </c>
      <c r="M428" s="46"/>
      <c r="N428" s="43" t="s">
        <v>4295</v>
      </c>
      <c r="O428" s="46"/>
      <c r="P428" s="46"/>
      <c r="Q428" s="43" t="s">
        <v>4296</v>
      </c>
      <c r="R428" s="46"/>
      <c r="S428" s="45" t="s">
        <v>4297</v>
      </c>
    </row>
    <row r="429" spans="1:19" ht="15.75" customHeight="1">
      <c r="A429" s="34">
        <v>428</v>
      </c>
      <c r="B429" s="35">
        <v>2025</v>
      </c>
      <c r="C429" s="35">
        <v>2025</v>
      </c>
      <c r="D429" s="43" t="s">
        <v>4298</v>
      </c>
      <c r="E429" s="48">
        <v>39123</v>
      </c>
      <c r="F429" s="44"/>
      <c r="G429" s="45" t="s">
        <v>2699</v>
      </c>
      <c r="H429" s="46"/>
      <c r="I429" s="47" t="s">
        <v>4294</v>
      </c>
      <c r="J429" s="46"/>
      <c r="K429" s="35" t="s">
        <v>1512</v>
      </c>
      <c r="L429" s="35" t="s">
        <v>1939</v>
      </c>
      <c r="M429" s="46"/>
      <c r="N429" s="43" t="s">
        <v>4299</v>
      </c>
      <c r="O429" s="46"/>
      <c r="P429" s="46"/>
      <c r="Q429" s="43" t="s">
        <v>4296</v>
      </c>
      <c r="R429" s="46"/>
      <c r="S429" s="45" t="s">
        <v>4297</v>
      </c>
    </row>
    <row r="430" spans="1:19" ht="15.75" customHeight="1">
      <c r="A430" s="34">
        <v>429</v>
      </c>
      <c r="B430" s="35">
        <v>2025</v>
      </c>
      <c r="C430" s="35">
        <v>2025</v>
      </c>
      <c r="D430" s="43" t="s">
        <v>4300</v>
      </c>
      <c r="E430" s="48">
        <v>39270</v>
      </c>
      <c r="F430" s="44"/>
      <c r="G430" s="45" t="s">
        <v>2699</v>
      </c>
      <c r="H430" s="46"/>
      <c r="I430" s="47" t="s">
        <v>4294</v>
      </c>
      <c r="J430" s="46"/>
      <c r="K430" s="35" t="s">
        <v>1512</v>
      </c>
      <c r="L430" s="35" t="s">
        <v>1939</v>
      </c>
      <c r="M430" s="46"/>
      <c r="N430" s="43" t="s">
        <v>4301</v>
      </c>
      <c r="O430" s="46"/>
      <c r="P430" s="46"/>
      <c r="Q430" s="43" t="s">
        <v>4296</v>
      </c>
      <c r="R430" s="46"/>
      <c r="S430" s="45" t="s">
        <v>4297</v>
      </c>
    </row>
    <row r="431" spans="1:19" ht="15.75" customHeight="1">
      <c r="A431" s="34">
        <v>430</v>
      </c>
      <c r="B431" s="35">
        <v>2025</v>
      </c>
      <c r="C431" s="35">
        <v>2025</v>
      </c>
      <c r="D431" s="43" t="s">
        <v>4302</v>
      </c>
      <c r="E431" s="48">
        <v>39334</v>
      </c>
      <c r="F431" s="44"/>
      <c r="G431" s="45" t="s">
        <v>2699</v>
      </c>
      <c r="H431" s="46"/>
      <c r="I431" s="47" t="s">
        <v>4294</v>
      </c>
      <c r="J431" s="46"/>
      <c r="K431" s="35" t="s">
        <v>1512</v>
      </c>
      <c r="L431" s="35" t="s">
        <v>1939</v>
      </c>
      <c r="M431" s="46"/>
      <c r="N431" s="43" t="s">
        <v>4303</v>
      </c>
      <c r="O431" s="46"/>
      <c r="P431" s="46"/>
      <c r="Q431" s="43" t="s">
        <v>4296</v>
      </c>
      <c r="R431" s="46"/>
      <c r="S431" s="45" t="s">
        <v>4297</v>
      </c>
    </row>
    <row r="432" spans="1:19" ht="15.75" customHeight="1">
      <c r="A432" s="34">
        <v>431</v>
      </c>
      <c r="B432" s="35">
        <v>2025</v>
      </c>
      <c r="C432" s="35">
        <v>2025</v>
      </c>
      <c r="D432" s="43" t="s">
        <v>4304</v>
      </c>
      <c r="E432" s="48">
        <v>38049</v>
      </c>
      <c r="F432" s="48" t="s">
        <v>2665</v>
      </c>
      <c r="G432" s="45" t="s">
        <v>4305</v>
      </c>
      <c r="H432" s="46"/>
      <c r="I432" s="45" t="s">
        <v>4306</v>
      </c>
      <c r="J432" s="46"/>
      <c r="K432" s="35" t="s">
        <v>1512</v>
      </c>
      <c r="L432" s="35" t="s">
        <v>1939</v>
      </c>
      <c r="M432" s="46"/>
      <c r="N432" s="43">
        <v>49801245</v>
      </c>
      <c r="O432" s="46"/>
      <c r="P432" s="46"/>
      <c r="Q432" s="43" t="s">
        <v>4307</v>
      </c>
      <c r="R432" s="46"/>
      <c r="S432" s="45" t="s">
        <v>4308</v>
      </c>
    </row>
    <row r="433" spans="1:19" ht="15.75" customHeight="1">
      <c r="A433" s="34">
        <v>432</v>
      </c>
      <c r="B433" s="35">
        <v>2025</v>
      </c>
      <c r="C433" s="35">
        <v>2025</v>
      </c>
      <c r="D433" s="43" t="s">
        <v>4309</v>
      </c>
      <c r="E433" s="48">
        <v>37660</v>
      </c>
      <c r="F433" s="48" t="s">
        <v>2665</v>
      </c>
      <c r="G433" s="45" t="s">
        <v>4305</v>
      </c>
      <c r="H433" s="46"/>
      <c r="I433" s="45" t="s">
        <v>4306</v>
      </c>
      <c r="J433" s="46"/>
      <c r="K433" s="35" t="s">
        <v>1512</v>
      </c>
      <c r="L433" s="35" t="s">
        <v>1939</v>
      </c>
      <c r="M433" s="46"/>
      <c r="N433" s="43">
        <v>48732491</v>
      </c>
      <c r="O433" s="46"/>
      <c r="P433" s="46"/>
      <c r="Q433" s="43" t="s">
        <v>4307</v>
      </c>
      <c r="R433" s="46"/>
      <c r="S433" s="45" t="s">
        <v>4308</v>
      </c>
    </row>
    <row r="434" spans="1:19" ht="15.75" customHeight="1">
      <c r="A434" s="34">
        <v>433</v>
      </c>
      <c r="B434" s="35">
        <v>2025</v>
      </c>
      <c r="C434" s="35">
        <v>2025</v>
      </c>
      <c r="D434" s="43" t="s">
        <v>4310</v>
      </c>
      <c r="E434" s="48">
        <v>36958</v>
      </c>
      <c r="F434" s="48" t="s">
        <v>2665</v>
      </c>
      <c r="G434" s="45" t="s">
        <v>4305</v>
      </c>
      <c r="H434" s="46"/>
      <c r="I434" s="45" t="s">
        <v>4306</v>
      </c>
      <c r="J434" s="46"/>
      <c r="K434" s="35" t="s">
        <v>1512</v>
      </c>
      <c r="L434" s="35" t="s">
        <v>1939</v>
      </c>
      <c r="M434" s="46"/>
      <c r="N434" s="43" t="s">
        <v>4311</v>
      </c>
      <c r="O434" s="46"/>
      <c r="P434" s="46"/>
      <c r="Q434" s="43" t="s">
        <v>4307</v>
      </c>
      <c r="R434" s="46"/>
      <c r="S434" s="45" t="s">
        <v>4308</v>
      </c>
    </row>
    <row r="435" spans="1:19" ht="15.75" customHeight="1">
      <c r="A435" s="34">
        <v>434</v>
      </c>
      <c r="B435" s="35">
        <v>2025</v>
      </c>
      <c r="C435" s="35">
        <v>2025</v>
      </c>
      <c r="D435" s="43" t="s">
        <v>4312</v>
      </c>
      <c r="E435" s="43" t="s">
        <v>4313</v>
      </c>
      <c r="F435" s="48" t="s">
        <v>2665</v>
      </c>
      <c r="G435" s="45" t="s">
        <v>4305</v>
      </c>
      <c r="H435" s="46"/>
      <c r="I435" s="45" t="s">
        <v>4306</v>
      </c>
      <c r="J435" s="46"/>
      <c r="K435" s="35" t="s">
        <v>1512</v>
      </c>
      <c r="L435" s="35" t="s">
        <v>1939</v>
      </c>
      <c r="M435" s="46"/>
      <c r="N435" s="43">
        <v>43990152</v>
      </c>
      <c r="O435" s="46"/>
      <c r="P435" s="46"/>
      <c r="Q435" s="43" t="s">
        <v>4307</v>
      </c>
      <c r="R435" s="46"/>
      <c r="S435" s="45" t="s">
        <v>4308</v>
      </c>
    </row>
    <row r="436" spans="1:19" ht="15.75" customHeight="1">
      <c r="A436" s="34">
        <v>435</v>
      </c>
      <c r="B436" s="35">
        <v>2025</v>
      </c>
      <c r="C436" s="35">
        <v>2025</v>
      </c>
      <c r="D436" s="43" t="s">
        <v>4314</v>
      </c>
      <c r="E436" s="43" t="s">
        <v>4315</v>
      </c>
      <c r="F436" s="48" t="s">
        <v>2665</v>
      </c>
      <c r="G436" s="45" t="s">
        <v>4305</v>
      </c>
      <c r="H436" s="46"/>
      <c r="I436" s="45" t="s">
        <v>4306</v>
      </c>
      <c r="J436" s="46"/>
      <c r="K436" s="35" t="s">
        <v>1512</v>
      </c>
      <c r="L436" s="35" t="s">
        <v>1939</v>
      </c>
      <c r="M436" s="46"/>
      <c r="N436" s="43">
        <v>46398614</v>
      </c>
      <c r="O436" s="46"/>
      <c r="P436" s="46"/>
      <c r="Q436" s="43" t="s">
        <v>4307</v>
      </c>
      <c r="R436" s="46"/>
      <c r="S436" s="45" t="s">
        <v>4308</v>
      </c>
    </row>
    <row r="437" spans="1:19" ht="15.75" customHeight="1">
      <c r="A437" s="34">
        <v>436</v>
      </c>
      <c r="B437" s="35">
        <v>2025</v>
      </c>
      <c r="C437" s="35">
        <v>2025</v>
      </c>
      <c r="D437" s="43" t="s">
        <v>4316</v>
      </c>
      <c r="E437" s="48">
        <v>37508</v>
      </c>
      <c r="F437" s="48" t="s">
        <v>2665</v>
      </c>
      <c r="G437" s="45" t="s">
        <v>4305</v>
      </c>
      <c r="H437" s="46"/>
      <c r="I437" s="45" t="s">
        <v>4306</v>
      </c>
      <c r="J437" s="46"/>
      <c r="K437" s="35" t="s">
        <v>1512</v>
      </c>
      <c r="L437" s="35" t="s">
        <v>1939</v>
      </c>
      <c r="M437" s="46"/>
      <c r="N437" s="43">
        <v>46142612</v>
      </c>
      <c r="O437" s="46"/>
      <c r="P437" s="46"/>
      <c r="Q437" s="43" t="s">
        <v>4307</v>
      </c>
      <c r="R437" s="46"/>
      <c r="S437" s="45" t="s">
        <v>4308</v>
      </c>
    </row>
    <row r="438" spans="1:19" ht="15.75" customHeight="1">
      <c r="A438" s="34">
        <v>437</v>
      </c>
      <c r="B438" s="35">
        <v>2025</v>
      </c>
      <c r="C438" s="35">
        <v>2025</v>
      </c>
      <c r="D438" s="43" t="s">
        <v>4317</v>
      </c>
      <c r="E438" s="43" t="s">
        <v>4318</v>
      </c>
      <c r="F438" s="48" t="s">
        <v>2665</v>
      </c>
      <c r="G438" s="45" t="s">
        <v>4305</v>
      </c>
      <c r="H438" s="46"/>
      <c r="I438" s="47" t="s">
        <v>4306</v>
      </c>
      <c r="J438" s="46"/>
      <c r="K438" s="35" t="s">
        <v>1512</v>
      </c>
      <c r="L438" s="35" t="s">
        <v>1939</v>
      </c>
      <c r="M438" s="46"/>
      <c r="N438" s="43">
        <v>46465773</v>
      </c>
      <c r="O438" s="46"/>
      <c r="P438" s="46"/>
      <c r="Q438" s="43" t="s">
        <v>4307</v>
      </c>
      <c r="R438" s="46"/>
      <c r="S438" s="45" t="s">
        <v>4308</v>
      </c>
    </row>
    <row r="439" spans="1:19" ht="15.75" customHeight="1">
      <c r="A439" s="34">
        <v>438</v>
      </c>
      <c r="B439" s="35">
        <v>2025</v>
      </c>
      <c r="C439" s="35">
        <v>2025</v>
      </c>
      <c r="D439" s="43" t="s">
        <v>4319</v>
      </c>
      <c r="E439" s="43" t="s">
        <v>4320</v>
      </c>
      <c r="F439" s="48" t="s">
        <v>2665</v>
      </c>
      <c r="G439" s="45" t="s">
        <v>2674</v>
      </c>
      <c r="H439" s="46"/>
      <c r="I439" s="47" t="s">
        <v>4321</v>
      </c>
      <c r="J439" s="46"/>
      <c r="K439" s="35" t="s">
        <v>1512</v>
      </c>
      <c r="L439" s="35" t="s">
        <v>1939</v>
      </c>
      <c r="M439" s="46"/>
      <c r="N439" s="43" t="s">
        <v>4322</v>
      </c>
      <c r="O439" s="46"/>
      <c r="P439" s="46"/>
      <c r="Q439" s="43" t="s">
        <v>4323</v>
      </c>
      <c r="R439" s="46"/>
      <c r="S439" s="45" t="s">
        <v>4324</v>
      </c>
    </row>
    <row r="440" spans="1:19" ht="15.75" customHeight="1">
      <c r="A440" s="34">
        <v>439</v>
      </c>
      <c r="B440" s="35">
        <v>2025</v>
      </c>
      <c r="C440" s="35">
        <v>2025</v>
      </c>
      <c r="D440" s="43" t="s">
        <v>4325</v>
      </c>
      <c r="E440" s="43" t="s">
        <v>4326</v>
      </c>
      <c r="F440" s="48" t="s">
        <v>2656</v>
      </c>
      <c r="G440" s="45" t="s">
        <v>2674</v>
      </c>
      <c r="H440" s="46"/>
      <c r="I440" s="47" t="s">
        <v>4321</v>
      </c>
      <c r="J440" s="46"/>
      <c r="K440" s="35" t="s">
        <v>1512</v>
      </c>
      <c r="L440" s="35" t="s">
        <v>1939</v>
      </c>
      <c r="M440" s="46"/>
      <c r="N440" s="43" t="s">
        <v>4327</v>
      </c>
      <c r="O440" s="46"/>
      <c r="P440" s="46"/>
      <c r="Q440" s="43" t="s">
        <v>4323</v>
      </c>
      <c r="R440" s="46"/>
      <c r="S440" s="45" t="s">
        <v>4324</v>
      </c>
    </row>
    <row r="441" spans="1:19" ht="15.75" customHeight="1">
      <c r="A441" s="34">
        <v>440</v>
      </c>
      <c r="B441" s="35">
        <v>2025</v>
      </c>
      <c r="C441" s="35">
        <v>2025</v>
      </c>
      <c r="D441" s="43" t="s">
        <v>4328</v>
      </c>
      <c r="E441" s="43">
        <v>37865</v>
      </c>
      <c r="F441" s="48" t="s">
        <v>2656</v>
      </c>
      <c r="G441" s="45" t="s">
        <v>2674</v>
      </c>
      <c r="H441" s="46"/>
      <c r="I441" s="47" t="s">
        <v>4321</v>
      </c>
      <c r="J441" s="46"/>
      <c r="K441" s="35" t="s">
        <v>1512</v>
      </c>
      <c r="L441" s="35" t="s">
        <v>1939</v>
      </c>
      <c r="M441" s="46"/>
      <c r="N441" s="43" t="s">
        <v>4329</v>
      </c>
      <c r="O441" s="46"/>
      <c r="P441" s="46"/>
      <c r="Q441" s="43" t="s">
        <v>4323</v>
      </c>
      <c r="R441" s="46"/>
      <c r="S441" s="45" t="s">
        <v>4324</v>
      </c>
    </row>
    <row r="442" spans="1:19" ht="15.75" customHeight="1">
      <c r="A442" s="34">
        <v>441</v>
      </c>
      <c r="B442" s="35">
        <v>2025</v>
      </c>
      <c r="C442" s="35">
        <v>2025</v>
      </c>
      <c r="D442" s="43" t="s">
        <v>4330</v>
      </c>
      <c r="E442" s="43" t="s">
        <v>4331</v>
      </c>
      <c r="F442" s="48" t="s">
        <v>2665</v>
      </c>
      <c r="G442" s="45" t="s">
        <v>2674</v>
      </c>
      <c r="H442" s="46"/>
      <c r="I442" s="47" t="s">
        <v>4321</v>
      </c>
      <c r="J442" s="46"/>
      <c r="K442" s="35" t="s">
        <v>1512</v>
      </c>
      <c r="L442" s="35" t="s">
        <v>1939</v>
      </c>
      <c r="M442" s="46"/>
      <c r="N442" s="43" t="s">
        <v>4332</v>
      </c>
      <c r="O442" s="46"/>
      <c r="P442" s="46"/>
      <c r="Q442" s="43" t="s">
        <v>4323</v>
      </c>
      <c r="R442" s="46"/>
      <c r="S442" s="45" t="s">
        <v>4324</v>
      </c>
    </row>
    <row r="443" spans="1:19" ht="15.75" customHeight="1">
      <c r="A443" s="34">
        <v>442</v>
      </c>
      <c r="B443" s="35">
        <v>2025</v>
      </c>
      <c r="C443" s="35">
        <v>2025</v>
      </c>
      <c r="D443" s="43" t="s">
        <v>4333</v>
      </c>
      <c r="E443" s="43" t="s">
        <v>4334</v>
      </c>
      <c r="F443" s="48" t="s">
        <v>2665</v>
      </c>
      <c r="G443" s="45" t="s">
        <v>2674</v>
      </c>
      <c r="H443" s="46"/>
      <c r="I443" s="47" t="s">
        <v>4321</v>
      </c>
      <c r="J443" s="46"/>
      <c r="K443" s="35" t="s">
        <v>1512</v>
      </c>
      <c r="L443" s="35" t="s">
        <v>1939</v>
      </c>
      <c r="M443" s="46"/>
      <c r="N443" s="43" t="s">
        <v>4335</v>
      </c>
      <c r="O443" s="46"/>
      <c r="P443" s="46"/>
      <c r="Q443" s="43" t="s">
        <v>4323</v>
      </c>
      <c r="R443" s="46"/>
      <c r="S443" s="45" t="s">
        <v>4324</v>
      </c>
    </row>
    <row r="444" spans="1:19" ht="15.75" customHeight="1">
      <c r="A444" s="34">
        <v>443</v>
      </c>
      <c r="B444" s="35">
        <v>2025</v>
      </c>
      <c r="C444" s="35">
        <v>2025</v>
      </c>
      <c r="D444" s="43" t="s">
        <v>4336</v>
      </c>
      <c r="E444" s="43">
        <v>37470</v>
      </c>
      <c r="F444" s="48" t="s">
        <v>2656</v>
      </c>
      <c r="G444" s="45" t="s">
        <v>2674</v>
      </c>
      <c r="H444" s="46"/>
      <c r="I444" s="47" t="s">
        <v>4321</v>
      </c>
      <c r="J444" s="46"/>
      <c r="K444" s="35" t="s">
        <v>1512</v>
      </c>
      <c r="L444" s="35" t="s">
        <v>1939</v>
      </c>
      <c r="M444" s="46"/>
      <c r="N444" s="43" t="s">
        <v>4337</v>
      </c>
      <c r="O444" s="46"/>
      <c r="P444" s="46"/>
      <c r="Q444" s="43" t="s">
        <v>4323</v>
      </c>
      <c r="R444" s="46"/>
      <c r="S444" s="45" t="s">
        <v>4324</v>
      </c>
    </row>
    <row r="445" spans="1:19" ht="15.75" customHeight="1">
      <c r="A445" s="34">
        <v>444</v>
      </c>
      <c r="B445" s="35">
        <v>2025</v>
      </c>
      <c r="C445" s="35">
        <v>2025</v>
      </c>
      <c r="D445" s="43" t="s">
        <v>4338</v>
      </c>
      <c r="E445" s="43" t="s">
        <v>4339</v>
      </c>
      <c r="F445" s="48" t="s">
        <v>2656</v>
      </c>
      <c r="G445" s="45" t="s">
        <v>2674</v>
      </c>
      <c r="H445" s="46"/>
      <c r="I445" s="47" t="s">
        <v>4321</v>
      </c>
      <c r="J445" s="46"/>
      <c r="K445" s="35" t="s">
        <v>1512</v>
      </c>
      <c r="L445" s="35" t="s">
        <v>1939</v>
      </c>
      <c r="M445" s="46"/>
      <c r="N445" s="43" t="s">
        <v>4340</v>
      </c>
      <c r="O445" s="46"/>
      <c r="P445" s="46"/>
      <c r="Q445" s="43" t="s">
        <v>4323</v>
      </c>
      <c r="R445" s="46"/>
      <c r="S445" s="45" t="s">
        <v>4324</v>
      </c>
    </row>
    <row r="446" spans="1:19" ht="15.75" customHeight="1">
      <c r="A446" s="34">
        <v>445</v>
      </c>
      <c r="B446" s="35">
        <v>2025</v>
      </c>
      <c r="C446" s="35">
        <v>2025</v>
      </c>
      <c r="D446" s="43" t="s">
        <v>4341</v>
      </c>
      <c r="E446" s="43" t="s">
        <v>4342</v>
      </c>
      <c r="F446" s="48" t="s">
        <v>2665</v>
      </c>
      <c r="G446" s="45" t="s">
        <v>2674</v>
      </c>
      <c r="H446" s="46"/>
      <c r="I446" s="47" t="s">
        <v>4321</v>
      </c>
      <c r="J446" s="46"/>
      <c r="K446" s="35" t="s">
        <v>1512</v>
      </c>
      <c r="L446" s="35" t="s">
        <v>1939</v>
      </c>
      <c r="M446" s="46"/>
      <c r="N446" s="43" t="s">
        <v>4343</v>
      </c>
      <c r="O446" s="46"/>
      <c r="P446" s="46"/>
      <c r="Q446" s="43" t="s">
        <v>4323</v>
      </c>
      <c r="R446" s="46"/>
      <c r="S446" s="45" t="s">
        <v>4324</v>
      </c>
    </row>
    <row r="447" spans="1:19" ht="15.75" customHeight="1">
      <c r="A447" s="34">
        <v>446</v>
      </c>
      <c r="B447" s="35">
        <v>2025</v>
      </c>
      <c r="C447" s="35">
        <v>2025</v>
      </c>
      <c r="D447" s="43" t="s">
        <v>4344</v>
      </c>
      <c r="E447" s="43" t="s">
        <v>4345</v>
      </c>
      <c r="F447" s="48" t="s">
        <v>2665</v>
      </c>
      <c r="G447" s="45" t="s">
        <v>2674</v>
      </c>
      <c r="H447" s="46"/>
      <c r="I447" s="47" t="s">
        <v>4321</v>
      </c>
      <c r="J447" s="46"/>
      <c r="K447" s="35" t="s">
        <v>1512</v>
      </c>
      <c r="L447" s="35" t="s">
        <v>1939</v>
      </c>
      <c r="M447" s="46"/>
      <c r="N447" s="43" t="s">
        <v>4346</v>
      </c>
      <c r="O447" s="46"/>
      <c r="P447" s="46"/>
      <c r="Q447" s="43" t="s">
        <v>4323</v>
      </c>
      <c r="R447" s="46"/>
      <c r="S447" s="45" t="s">
        <v>4324</v>
      </c>
    </row>
    <row r="448" spans="1:19" ht="15.75" customHeight="1">
      <c r="A448" s="34">
        <v>447</v>
      </c>
      <c r="B448" s="35">
        <v>2025</v>
      </c>
      <c r="C448" s="35">
        <v>2025</v>
      </c>
      <c r="D448" s="43" t="s">
        <v>4347</v>
      </c>
      <c r="E448" s="43" t="s">
        <v>4348</v>
      </c>
      <c r="F448" s="48" t="s">
        <v>2656</v>
      </c>
      <c r="G448" s="45" t="s">
        <v>2674</v>
      </c>
      <c r="H448" s="46"/>
      <c r="I448" s="47" t="s">
        <v>4321</v>
      </c>
      <c r="J448" s="46"/>
      <c r="K448" s="35" t="s">
        <v>1512</v>
      </c>
      <c r="L448" s="35" t="s">
        <v>1939</v>
      </c>
      <c r="M448" s="46"/>
      <c r="N448" s="43" t="s">
        <v>4349</v>
      </c>
      <c r="O448" s="46"/>
      <c r="P448" s="46"/>
      <c r="Q448" s="43" t="s">
        <v>4323</v>
      </c>
      <c r="R448" s="46"/>
      <c r="S448" s="45" t="s">
        <v>4324</v>
      </c>
    </row>
    <row r="449" spans="1:19" ht="15.75" customHeight="1">
      <c r="A449" s="34">
        <v>448</v>
      </c>
      <c r="B449" s="35">
        <v>2025</v>
      </c>
      <c r="C449" s="35">
        <v>2025</v>
      </c>
      <c r="D449" s="43" t="s">
        <v>4350</v>
      </c>
      <c r="E449" s="43">
        <v>38209</v>
      </c>
      <c r="F449" s="48" t="s">
        <v>2665</v>
      </c>
      <c r="G449" s="45" t="s">
        <v>2674</v>
      </c>
      <c r="H449" s="46"/>
      <c r="I449" s="47" t="s">
        <v>4321</v>
      </c>
      <c r="J449" s="46"/>
      <c r="K449" s="35" t="s">
        <v>1512</v>
      </c>
      <c r="L449" s="35" t="s">
        <v>1939</v>
      </c>
      <c r="M449" s="46"/>
      <c r="N449" s="43" t="s">
        <v>4351</v>
      </c>
      <c r="O449" s="46"/>
      <c r="P449" s="46"/>
      <c r="Q449" s="43" t="s">
        <v>4323</v>
      </c>
      <c r="R449" s="46"/>
      <c r="S449" s="45" t="s">
        <v>4324</v>
      </c>
    </row>
    <row r="450" spans="1:19" ht="15.75" customHeight="1">
      <c r="A450" s="34">
        <v>449</v>
      </c>
      <c r="B450" s="35">
        <v>2025</v>
      </c>
      <c r="C450" s="35">
        <v>2025</v>
      </c>
      <c r="D450" s="43" t="s">
        <v>4352</v>
      </c>
      <c r="E450" s="43" t="s">
        <v>4353</v>
      </c>
      <c r="F450" s="48" t="s">
        <v>2665</v>
      </c>
      <c r="G450" s="45" t="s">
        <v>2674</v>
      </c>
      <c r="H450" s="46"/>
      <c r="I450" s="47" t="s">
        <v>4321</v>
      </c>
      <c r="J450" s="46"/>
      <c r="K450" s="35" t="s">
        <v>1512</v>
      </c>
      <c r="L450" s="35" t="s">
        <v>1939</v>
      </c>
      <c r="M450" s="46"/>
      <c r="N450" s="43" t="s">
        <v>4354</v>
      </c>
      <c r="O450" s="46"/>
      <c r="P450" s="46"/>
      <c r="Q450" s="43" t="s">
        <v>4323</v>
      </c>
      <c r="R450" s="46"/>
      <c r="S450" s="45" t="s">
        <v>4324</v>
      </c>
    </row>
    <row r="451" spans="1:19" ht="15.75" customHeight="1">
      <c r="A451" s="34">
        <v>450</v>
      </c>
      <c r="B451" s="35">
        <v>2025</v>
      </c>
      <c r="C451" s="35">
        <v>2025</v>
      </c>
      <c r="D451" s="43" t="s">
        <v>4355</v>
      </c>
      <c r="E451" s="43" t="s">
        <v>4356</v>
      </c>
      <c r="F451" s="48" t="s">
        <v>2665</v>
      </c>
      <c r="G451" s="45" t="s">
        <v>2674</v>
      </c>
      <c r="H451" s="46"/>
      <c r="I451" s="47" t="s">
        <v>4321</v>
      </c>
      <c r="J451" s="46"/>
      <c r="K451" s="35" t="s">
        <v>1512</v>
      </c>
      <c r="L451" s="35" t="s">
        <v>1939</v>
      </c>
      <c r="M451" s="46"/>
      <c r="N451" s="43" t="s">
        <v>4357</v>
      </c>
      <c r="O451" s="46"/>
      <c r="P451" s="46"/>
      <c r="Q451" s="43" t="s">
        <v>4323</v>
      </c>
      <c r="R451" s="46"/>
      <c r="S451" s="45" t="s">
        <v>4324</v>
      </c>
    </row>
    <row r="452" spans="1:19" ht="15.75" customHeight="1">
      <c r="A452" s="34">
        <v>451</v>
      </c>
      <c r="B452" s="35">
        <v>2025</v>
      </c>
      <c r="C452" s="35">
        <v>2025</v>
      </c>
      <c r="D452" s="43" t="s">
        <v>4358</v>
      </c>
      <c r="E452" s="43">
        <v>38329</v>
      </c>
      <c r="F452" s="48" t="s">
        <v>2656</v>
      </c>
      <c r="G452" s="45" t="s">
        <v>2674</v>
      </c>
      <c r="H452" s="46"/>
      <c r="I452" s="47" t="s">
        <v>4321</v>
      </c>
      <c r="J452" s="46"/>
      <c r="K452" s="35" t="s">
        <v>1512</v>
      </c>
      <c r="L452" s="35" t="s">
        <v>1939</v>
      </c>
      <c r="M452" s="46"/>
      <c r="N452" s="43" t="s">
        <v>4359</v>
      </c>
      <c r="O452" s="46"/>
      <c r="P452" s="46"/>
      <c r="Q452" s="43" t="s">
        <v>4323</v>
      </c>
      <c r="R452" s="46"/>
      <c r="S452" s="45" t="s">
        <v>4324</v>
      </c>
    </row>
    <row r="453" spans="1:19" ht="15.75" customHeight="1">
      <c r="A453" s="34">
        <v>452</v>
      </c>
      <c r="B453" s="35">
        <v>2025</v>
      </c>
      <c r="C453" s="35">
        <v>2025</v>
      </c>
      <c r="D453" s="43" t="s">
        <v>4360</v>
      </c>
      <c r="E453" s="43">
        <v>37843</v>
      </c>
      <c r="F453" s="48" t="s">
        <v>2665</v>
      </c>
      <c r="G453" s="45" t="s">
        <v>2674</v>
      </c>
      <c r="H453" s="46"/>
      <c r="I453" s="47" t="s">
        <v>4321</v>
      </c>
      <c r="J453" s="46"/>
      <c r="K453" s="35" t="s">
        <v>1512</v>
      </c>
      <c r="L453" s="35" t="s">
        <v>1939</v>
      </c>
      <c r="M453" s="46"/>
      <c r="N453" s="43" t="s">
        <v>4361</v>
      </c>
      <c r="O453" s="46"/>
      <c r="P453" s="46"/>
      <c r="Q453" s="43" t="s">
        <v>4323</v>
      </c>
      <c r="R453" s="46"/>
      <c r="S453" s="45" t="s">
        <v>4324</v>
      </c>
    </row>
    <row r="454" spans="1:19" ht="15.75" customHeight="1">
      <c r="A454" s="34">
        <v>453</v>
      </c>
      <c r="B454" s="35">
        <v>2025</v>
      </c>
      <c r="C454" s="35">
        <v>2025</v>
      </c>
      <c r="D454" s="43" t="s">
        <v>4362</v>
      </c>
      <c r="E454" s="43" t="s">
        <v>4363</v>
      </c>
      <c r="F454" s="48" t="s">
        <v>2656</v>
      </c>
      <c r="G454" s="45" t="s">
        <v>2674</v>
      </c>
      <c r="H454" s="46"/>
      <c r="I454" s="47" t="s">
        <v>4321</v>
      </c>
      <c r="J454" s="46"/>
      <c r="K454" s="35" t="s">
        <v>1512</v>
      </c>
      <c r="L454" s="35" t="s">
        <v>1939</v>
      </c>
      <c r="M454" s="46"/>
      <c r="N454" s="43" t="s">
        <v>4364</v>
      </c>
      <c r="O454" s="46"/>
      <c r="P454" s="46"/>
      <c r="Q454" s="43" t="s">
        <v>4323</v>
      </c>
      <c r="R454" s="46"/>
      <c r="S454" s="45" t="s">
        <v>4324</v>
      </c>
    </row>
    <row r="455" spans="1:19" ht="15.75" customHeight="1">
      <c r="A455" s="34">
        <v>454</v>
      </c>
      <c r="B455" s="35">
        <v>2025</v>
      </c>
      <c r="C455" s="35">
        <v>2025</v>
      </c>
      <c r="D455" s="43" t="s">
        <v>4365</v>
      </c>
      <c r="E455" s="43" t="s">
        <v>4366</v>
      </c>
      <c r="F455" s="48" t="s">
        <v>2656</v>
      </c>
      <c r="G455" s="45" t="s">
        <v>2674</v>
      </c>
      <c r="H455" s="46"/>
      <c r="I455" s="47" t="s">
        <v>4321</v>
      </c>
      <c r="J455" s="46"/>
      <c r="K455" s="35" t="s">
        <v>1512</v>
      </c>
      <c r="L455" s="35" t="s">
        <v>1939</v>
      </c>
      <c r="M455" s="46"/>
      <c r="N455" s="43" t="s">
        <v>4367</v>
      </c>
      <c r="O455" s="46"/>
      <c r="P455" s="46"/>
      <c r="Q455" s="43" t="s">
        <v>4323</v>
      </c>
      <c r="R455" s="46"/>
      <c r="S455" s="45" t="s">
        <v>4324</v>
      </c>
    </row>
    <row r="456" spans="1:19" ht="15.75" customHeight="1">
      <c r="A456" s="34">
        <v>455</v>
      </c>
      <c r="B456" s="35">
        <v>2025</v>
      </c>
      <c r="C456" s="35">
        <v>2025</v>
      </c>
      <c r="D456" s="43" t="s">
        <v>4368</v>
      </c>
      <c r="E456" s="43" t="s">
        <v>4369</v>
      </c>
      <c r="F456" s="48" t="s">
        <v>2665</v>
      </c>
      <c r="G456" s="45" t="s">
        <v>2674</v>
      </c>
      <c r="H456" s="46"/>
      <c r="I456" s="47" t="s">
        <v>4321</v>
      </c>
      <c r="J456" s="46"/>
      <c r="K456" s="35" t="s">
        <v>1512</v>
      </c>
      <c r="L456" s="35" t="s">
        <v>1939</v>
      </c>
      <c r="M456" s="46"/>
      <c r="N456" s="43" t="s">
        <v>4370</v>
      </c>
      <c r="O456" s="46"/>
      <c r="P456" s="46"/>
      <c r="Q456" s="43" t="s">
        <v>4323</v>
      </c>
      <c r="R456" s="46"/>
      <c r="S456" s="45" t="s">
        <v>4324</v>
      </c>
    </row>
    <row r="457" spans="1:19" ht="15.75" customHeight="1">
      <c r="A457" s="34">
        <v>456</v>
      </c>
      <c r="B457" s="35">
        <v>2025</v>
      </c>
      <c r="C457" s="35">
        <v>2025</v>
      </c>
      <c r="D457" s="43" t="s">
        <v>4371</v>
      </c>
      <c r="E457" s="43">
        <v>38303</v>
      </c>
      <c r="F457" s="48" t="s">
        <v>2665</v>
      </c>
      <c r="G457" s="45" t="s">
        <v>2674</v>
      </c>
      <c r="H457" s="46"/>
      <c r="I457" s="47" t="s">
        <v>4321</v>
      </c>
      <c r="J457" s="46"/>
      <c r="K457" s="35" t="s">
        <v>1512</v>
      </c>
      <c r="L457" s="35" t="s">
        <v>1939</v>
      </c>
      <c r="M457" s="46"/>
      <c r="N457" s="43" t="s">
        <v>4372</v>
      </c>
      <c r="O457" s="46"/>
      <c r="P457" s="46"/>
      <c r="Q457" s="43" t="s">
        <v>4323</v>
      </c>
      <c r="R457" s="46"/>
      <c r="S457" s="45" t="s">
        <v>4324</v>
      </c>
    </row>
    <row r="458" spans="1:19" ht="15.75" customHeight="1">
      <c r="A458" s="34">
        <v>457</v>
      </c>
      <c r="B458" s="35">
        <v>2025</v>
      </c>
      <c r="C458" s="35">
        <v>2025</v>
      </c>
      <c r="D458" s="43" t="s">
        <v>4373</v>
      </c>
      <c r="E458" s="43" t="s">
        <v>4374</v>
      </c>
      <c r="F458" s="48" t="s">
        <v>2656</v>
      </c>
      <c r="G458" s="45" t="s">
        <v>2674</v>
      </c>
      <c r="H458" s="46"/>
      <c r="I458" s="47" t="s">
        <v>4321</v>
      </c>
      <c r="J458" s="46"/>
      <c r="K458" s="35" t="s">
        <v>1512</v>
      </c>
      <c r="L458" s="35" t="s">
        <v>1939</v>
      </c>
      <c r="M458" s="46"/>
      <c r="N458" s="43" t="s">
        <v>4375</v>
      </c>
      <c r="O458" s="46"/>
      <c r="P458" s="46"/>
      <c r="Q458" s="43" t="s">
        <v>4323</v>
      </c>
      <c r="R458" s="46"/>
      <c r="S458" s="45" t="s">
        <v>4324</v>
      </c>
    </row>
    <row r="459" spans="1:19" ht="15.75" customHeight="1">
      <c r="A459" s="34">
        <v>458</v>
      </c>
      <c r="B459" s="35">
        <v>2025</v>
      </c>
      <c r="C459" s="35">
        <v>2025</v>
      </c>
      <c r="D459" s="43" t="s">
        <v>4376</v>
      </c>
      <c r="E459" s="43">
        <v>38206</v>
      </c>
      <c r="F459" s="48" t="s">
        <v>2665</v>
      </c>
      <c r="G459" s="45" t="s">
        <v>2674</v>
      </c>
      <c r="H459" s="46"/>
      <c r="I459" s="47" t="s">
        <v>4321</v>
      </c>
      <c r="J459" s="46"/>
      <c r="K459" s="35" t="s">
        <v>1512</v>
      </c>
      <c r="L459" s="35" t="s">
        <v>1939</v>
      </c>
      <c r="M459" s="46"/>
      <c r="N459" s="43" t="s">
        <v>4377</v>
      </c>
      <c r="O459" s="46"/>
      <c r="P459" s="46"/>
      <c r="Q459" s="43" t="s">
        <v>4323</v>
      </c>
      <c r="R459" s="46"/>
      <c r="S459" s="45" t="s">
        <v>4324</v>
      </c>
    </row>
    <row r="460" spans="1:19" ht="15.75" customHeight="1">
      <c r="A460" s="34">
        <v>459</v>
      </c>
      <c r="B460" s="35">
        <v>2025</v>
      </c>
      <c r="C460" s="35">
        <v>2025</v>
      </c>
      <c r="D460" s="43" t="s">
        <v>4378</v>
      </c>
      <c r="E460" s="43" t="s">
        <v>4379</v>
      </c>
      <c r="F460" s="48" t="s">
        <v>2665</v>
      </c>
      <c r="G460" s="45" t="s">
        <v>2674</v>
      </c>
      <c r="H460" s="46"/>
      <c r="I460" s="47" t="s">
        <v>4321</v>
      </c>
      <c r="J460" s="46"/>
      <c r="K460" s="35" t="s">
        <v>1512</v>
      </c>
      <c r="L460" s="35" t="s">
        <v>1939</v>
      </c>
      <c r="M460" s="46"/>
      <c r="N460" s="43" t="s">
        <v>4380</v>
      </c>
      <c r="O460" s="46"/>
      <c r="P460" s="46"/>
      <c r="Q460" s="43" t="s">
        <v>4323</v>
      </c>
      <c r="R460" s="46"/>
      <c r="S460" s="45" t="s">
        <v>4324</v>
      </c>
    </row>
    <row r="461" spans="1:19" ht="15.75" customHeight="1">
      <c r="A461" s="34">
        <v>460</v>
      </c>
      <c r="B461" s="35">
        <v>2025</v>
      </c>
      <c r="C461" s="35">
        <v>2025</v>
      </c>
      <c r="D461" s="43" t="s">
        <v>4381</v>
      </c>
      <c r="E461" s="43">
        <v>38870</v>
      </c>
      <c r="F461" s="48" t="s">
        <v>2656</v>
      </c>
      <c r="G461" s="45" t="s">
        <v>2699</v>
      </c>
      <c r="H461" s="46"/>
      <c r="I461" s="47" t="s">
        <v>4282</v>
      </c>
      <c r="J461" s="46"/>
      <c r="K461" s="35" t="s">
        <v>1512</v>
      </c>
      <c r="L461" s="35" t="s">
        <v>1939</v>
      </c>
      <c r="M461" s="46"/>
      <c r="N461" s="43" t="s">
        <v>4382</v>
      </c>
      <c r="O461" s="46"/>
      <c r="P461" s="46"/>
      <c r="Q461" s="43" t="s">
        <v>4383</v>
      </c>
      <c r="R461" s="46"/>
      <c r="S461" s="45" t="s">
        <v>4384</v>
      </c>
    </row>
    <row r="462" spans="1:19" ht="15.75" customHeight="1">
      <c r="A462" s="34">
        <v>461</v>
      </c>
      <c r="B462" s="35">
        <v>2025</v>
      </c>
      <c r="C462" s="35">
        <v>2025</v>
      </c>
      <c r="D462" s="43" t="s">
        <v>4385</v>
      </c>
      <c r="E462" s="43">
        <v>38025</v>
      </c>
      <c r="F462" s="48" t="s">
        <v>2656</v>
      </c>
      <c r="G462" s="45" t="s">
        <v>2699</v>
      </c>
      <c r="H462" s="46"/>
      <c r="I462" s="47" t="s">
        <v>4282</v>
      </c>
      <c r="J462" s="46"/>
      <c r="K462" s="35" t="s">
        <v>1512</v>
      </c>
      <c r="L462" s="35" t="s">
        <v>1939</v>
      </c>
      <c r="M462" s="46"/>
      <c r="N462" s="43" t="s">
        <v>4386</v>
      </c>
      <c r="O462" s="46"/>
      <c r="P462" s="46"/>
      <c r="Q462" s="43" t="s">
        <v>4383</v>
      </c>
      <c r="R462" s="46"/>
      <c r="S462" s="45" t="s">
        <v>4384</v>
      </c>
    </row>
    <row r="463" spans="1:19" ht="15.75" customHeight="1">
      <c r="A463" s="34">
        <v>462</v>
      </c>
      <c r="B463" s="35">
        <v>2025</v>
      </c>
      <c r="C463" s="35">
        <v>2025</v>
      </c>
      <c r="D463" s="43" t="s">
        <v>4387</v>
      </c>
      <c r="E463" s="43" t="s">
        <v>4388</v>
      </c>
      <c r="F463" s="48" t="s">
        <v>2665</v>
      </c>
      <c r="G463" s="45" t="s">
        <v>2699</v>
      </c>
      <c r="H463" s="46"/>
      <c r="I463" s="47" t="s">
        <v>4282</v>
      </c>
      <c r="J463" s="46"/>
      <c r="K463" s="35" t="s">
        <v>1512</v>
      </c>
      <c r="L463" s="35" t="s">
        <v>1939</v>
      </c>
      <c r="M463" s="46"/>
      <c r="N463" s="43" t="s">
        <v>4389</v>
      </c>
      <c r="O463" s="46"/>
      <c r="P463" s="46"/>
      <c r="Q463" s="43" t="s">
        <v>4383</v>
      </c>
      <c r="R463" s="46"/>
      <c r="S463" s="45" t="s">
        <v>4384</v>
      </c>
    </row>
    <row r="464" spans="1:19" ht="15.75" customHeight="1">
      <c r="A464" s="34">
        <v>463</v>
      </c>
      <c r="B464" s="35">
        <v>2025</v>
      </c>
      <c r="C464" s="35">
        <v>2025</v>
      </c>
      <c r="D464" s="43" t="s">
        <v>4390</v>
      </c>
      <c r="E464" s="43" t="s">
        <v>4391</v>
      </c>
      <c r="F464" s="48" t="s">
        <v>2656</v>
      </c>
      <c r="G464" s="45" t="s">
        <v>2699</v>
      </c>
      <c r="H464" s="46"/>
      <c r="I464" s="47" t="s">
        <v>4392</v>
      </c>
      <c r="J464" s="46"/>
      <c r="K464" s="35" t="s">
        <v>1512</v>
      </c>
      <c r="L464" s="35" t="s">
        <v>1939</v>
      </c>
      <c r="M464" s="46"/>
      <c r="N464" s="43" t="s">
        <v>4393</v>
      </c>
      <c r="O464" s="46"/>
      <c r="P464" s="46"/>
      <c r="Q464" s="43" t="s">
        <v>4394</v>
      </c>
      <c r="R464" s="46"/>
      <c r="S464" s="45" t="s">
        <v>4395</v>
      </c>
    </row>
    <row r="465" spans="1:19" ht="15.75" customHeight="1">
      <c r="A465" s="34">
        <v>464</v>
      </c>
      <c r="B465" s="35">
        <v>2025</v>
      </c>
      <c r="C465" s="35">
        <v>2025</v>
      </c>
      <c r="D465" s="43" t="s">
        <v>4396</v>
      </c>
      <c r="E465" s="43">
        <v>24442</v>
      </c>
      <c r="F465" s="48" t="s">
        <v>2665</v>
      </c>
      <c r="G465" s="45" t="s">
        <v>2699</v>
      </c>
      <c r="H465" s="46"/>
      <c r="I465" s="47" t="s">
        <v>4392</v>
      </c>
      <c r="J465" s="46"/>
      <c r="K465" s="35" t="s">
        <v>1512</v>
      </c>
      <c r="L465" s="35" t="s">
        <v>1939</v>
      </c>
      <c r="M465" s="46"/>
      <c r="N465" s="43" t="s">
        <v>4397</v>
      </c>
      <c r="O465" s="46"/>
      <c r="P465" s="46"/>
      <c r="Q465" s="43" t="s">
        <v>4394</v>
      </c>
      <c r="R465" s="46"/>
      <c r="S465" s="45" t="s">
        <v>4395</v>
      </c>
    </row>
    <row r="466" spans="1:19" ht="15.75" customHeight="1">
      <c r="A466" s="34">
        <v>465</v>
      </c>
      <c r="B466" s="35">
        <v>2025</v>
      </c>
      <c r="C466" s="35">
        <v>2025</v>
      </c>
      <c r="D466" s="43" t="s">
        <v>4398</v>
      </c>
      <c r="E466" s="43" t="s">
        <v>4399</v>
      </c>
      <c r="F466" s="48" t="s">
        <v>2665</v>
      </c>
      <c r="G466" s="45" t="s">
        <v>2699</v>
      </c>
      <c r="H466" s="46"/>
      <c r="I466" s="47" t="s">
        <v>4392</v>
      </c>
      <c r="J466" s="46"/>
      <c r="K466" s="35" t="s">
        <v>1512</v>
      </c>
      <c r="L466" s="35" t="s">
        <v>1939</v>
      </c>
      <c r="M466" s="46"/>
      <c r="N466" s="43" t="s">
        <v>4400</v>
      </c>
      <c r="O466" s="46"/>
      <c r="P466" s="46"/>
      <c r="Q466" s="43" t="s">
        <v>4394</v>
      </c>
      <c r="R466" s="46"/>
      <c r="S466" s="45" t="s">
        <v>4395</v>
      </c>
    </row>
    <row r="467" spans="1:19" ht="15.75" customHeight="1">
      <c r="A467" s="34">
        <v>466</v>
      </c>
      <c r="B467" s="35">
        <v>2025</v>
      </c>
      <c r="C467" s="35">
        <v>2025</v>
      </c>
      <c r="D467" s="43" t="s">
        <v>4401</v>
      </c>
      <c r="E467" s="43" t="s">
        <v>4402</v>
      </c>
      <c r="F467" s="48" t="s">
        <v>2665</v>
      </c>
      <c r="G467" s="45" t="s">
        <v>2699</v>
      </c>
      <c r="H467" s="46"/>
      <c r="I467" s="47" t="s">
        <v>4392</v>
      </c>
      <c r="J467" s="46"/>
      <c r="K467" s="35" t="s">
        <v>1512</v>
      </c>
      <c r="L467" s="35" t="s">
        <v>1939</v>
      </c>
      <c r="M467" s="46"/>
      <c r="N467" s="43" t="s">
        <v>4403</v>
      </c>
      <c r="O467" s="46"/>
      <c r="P467" s="46"/>
      <c r="Q467" s="43" t="s">
        <v>4394</v>
      </c>
      <c r="R467" s="46"/>
      <c r="S467" s="45" t="s">
        <v>4395</v>
      </c>
    </row>
    <row r="468" spans="1:19" ht="15.75" customHeight="1">
      <c r="A468" s="34">
        <v>467</v>
      </c>
      <c r="B468" s="35">
        <v>2025</v>
      </c>
      <c r="C468" s="35">
        <v>2025</v>
      </c>
      <c r="D468" s="43" t="s">
        <v>4404</v>
      </c>
      <c r="E468" s="43" t="s">
        <v>4405</v>
      </c>
      <c r="F468" s="48" t="s">
        <v>2665</v>
      </c>
      <c r="G468" s="45" t="s">
        <v>2699</v>
      </c>
      <c r="H468" s="46"/>
      <c r="I468" s="47" t="s">
        <v>4392</v>
      </c>
      <c r="J468" s="46"/>
      <c r="K468" s="35" t="s">
        <v>1512</v>
      </c>
      <c r="L468" s="35" t="s">
        <v>1939</v>
      </c>
      <c r="M468" s="46"/>
      <c r="N468" s="43" t="s">
        <v>4406</v>
      </c>
      <c r="O468" s="46"/>
      <c r="P468" s="46"/>
      <c r="Q468" s="43" t="s">
        <v>4394</v>
      </c>
      <c r="R468" s="46"/>
      <c r="S468" s="45" t="s">
        <v>4395</v>
      </c>
    </row>
    <row r="469" spans="1:19" ht="15.75" customHeight="1">
      <c r="A469" s="34">
        <v>468</v>
      </c>
      <c r="B469" s="35">
        <v>2025</v>
      </c>
      <c r="C469" s="35">
        <v>2025</v>
      </c>
      <c r="D469" s="43" t="s">
        <v>4407</v>
      </c>
      <c r="E469" s="43">
        <v>39668</v>
      </c>
      <c r="F469" s="48" t="s">
        <v>2665</v>
      </c>
      <c r="G469" s="45" t="s">
        <v>2699</v>
      </c>
      <c r="H469" s="46"/>
      <c r="I469" s="47" t="s">
        <v>4392</v>
      </c>
      <c r="J469" s="46"/>
      <c r="K469" s="35" t="s">
        <v>1512</v>
      </c>
      <c r="L469" s="35" t="s">
        <v>1939</v>
      </c>
      <c r="M469" s="46"/>
      <c r="N469" s="43" t="s">
        <v>4408</v>
      </c>
      <c r="O469" s="46"/>
      <c r="P469" s="46"/>
      <c r="Q469" s="43" t="s">
        <v>4394</v>
      </c>
      <c r="R469" s="46"/>
      <c r="S469" s="45" t="s">
        <v>4395</v>
      </c>
    </row>
    <row r="470" spans="1:19" ht="15.75" customHeight="1">
      <c r="A470" s="34">
        <v>469</v>
      </c>
      <c r="B470" s="35">
        <v>2025</v>
      </c>
      <c r="C470" s="35">
        <v>2025</v>
      </c>
      <c r="D470" s="43" t="s">
        <v>4409</v>
      </c>
      <c r="E470" s="43" t="s">
        <v>4410</v>
      </c>
      <c r="F470" s="48" t="s">
        <v>2665</v>
      </c>
      <c r="G470" s="45" t="s">
        <v>2699</v>
      </c>
      <c r="H470" s="46"/>
      <c r="I470" s="47" t="s">
        <v>4392</v>
      </c>
      <c r="J470" s="46"/>
      <c r="K470" s="35" t="s">
        <v>1512</v>
      </c>
      <c r="L470" s="35" t="s">
        <v>1939</v>
      </c>
      <c r="M470" s="46"/>
      <c r="N470" s="43" t="s">
        <v>4411</v>
      </c>
      <c r="O470" s="46"/>
      <c r="P470" s="46"/>
      <c r="Q470" s="43" t="s">
        <v>4394</v>
      </c>
      <c r="R470" s="46"/>
      <c r="S470" s="45" t="s">
        <v>4395</v>
      </c>
    </row>
    <row r="471" spans="1:19" ht="15.75" customHeight="1">
      <c r="A471" s="34">
        <v>470</v>
      </c>
      <c r="B471" s="35">
        <v>2025</v>
      </c>
      <c r="C471" s="35">
        <v>2025</v>
      </c>
      <c r="D471" s="43" t="s">
        <v>4412</v>
      </c>
      <c r="E471" s="43" t="s">
        <v>4413</v>
      </c>
      <c r="F471" s="48" t="s">
        <v>2665</v>
      </c>
      <c r="G471" s="45" t="s">
        <v>2699</v>
      </c>
      <c r="H471" s="46"/>
      <c r="I471" s="47" t="s">
        <v>4392</v>
      </c>
      <c r="J471" s="46"/>
      <c r="K471" s="35" t="s">
        <v>1512</v>
      </c>
      <c r="L471" s="35" t="s">
        <v>1939</v>
      </c>
      <c r="M471" s="46"/>
      <c r="N471" s="43" t="s">
        <v>4414</v>
      </c>
      <c r="O471" s="46"/>
      <c r="P471" s="46"/>
      <c r="Q471" s="43" t="s">
        <v>4394</v>
      </c>
      <c r="R471" s="46"/>
      <c r="S471" s="45" t="s">
        <v>4395</v>
      </c>
    </row>
    <row r="472" spans="1:19" ht="15.75" customHeight="1">
      <c r="A472" s="34">
        <v>471</v>
      </c>
      <c r="B472" s="35">
        <v>2025</v>
      </c>
      <c r="C472" s="35">
        <v>2025</v>
      </c>
      <c r="D472" s="43" t="s">
        <v>4415</v>
      </c>
      <c r="E472" s="43">
        <v>40150</v>
      </c>
      <c r="F472" s="48" t="s">
        <v>2665</v>
      </c>
      <c r="G472" s="45" t="s">
        <v>2699</v>
      </c>
      <c r="H472" s="46"/>
      <c r="I472" s="47" t="s">
        <v>4392</v>
      </c>
      <c r="J472" s="46"/>
      <c r="K472" s="35" t="s">
        <v>1512</v>
      </c>
      <c r="L472" s="35" t="s">
        <v>1939</v>
      </c>
      <c r="M472" s="46"/>
      <c r="N472" s="43" t="s">
        <v>4416</v>
      </c>
      <c r="O472" s="46"/>
      <c r="P472" s="46"/>
      <c r="Q472" s="43" t="s">
        <v>4394</v>
      </c>
      <c r="R472" s="46"/>
      <c r="S472" s="45" t="s">
        <v>4395</v>
      </c>
    </row>
    <row r="473" spans="1:19" ht="15.75" customHeight="1">
      <c r="A473" s="34">
        <v>472</v>
      </c>
      <c r="B473" s="35">
        <v>2025</v>
      </c>
      <c r="C473" s="35">
        <v>2025</v>
      </c>
      <c r="D473" s="43" t="s">
        <v>4417</v>
      </c>
      <c r="E473" s="43" t="s">
        <v>4418</v>
      </c>
      <c r="F473" s="48" t="s">
        <v>2665</v>
      </c>
      <c r="G473" s="45" t="s">
        <v>2699</v>
      </c>
      <c r="H473" s="46"/>
      <c r="I473" s="47" t="s">
        <v>4392</v>
      </c>
      <c r="J473" s="46"/>
      <c r="K473" s="35" t="s">
        <v>1512</v>
      </c>
      <c r="L473" s="35" t="s">
        <v>1939</v>
      </c>
      <c r="M473" s="46"/>
      <c r="N473" s="43" t="s">
        <v>4419</v>
      </c>
      <c r="O473" s="46"/>
      <c r="P473" s="46"/>
      <c r="Q473" s="43" t="s">
        <v>4394</v>
      </c>
      <c r="R473" s="46"/>
      <c r="S473" s="45" t="s">
        <v>4395</v>
      </c>
    </row>
    <row r="474" spans="1:19" ht="15.75" customHeight="1">
      <c r="A474" s="34">
        <v>473</v>
      </c>
      <c r="B474" s="35">
        <v>2025</v>
      </c>
      <c r="C474" s="35">
        <v>2025</v>
      </c>
      <c r="D474" s="43" t="s">
        <v>4420</v>
      </c>
      <c r="E474" s="43" t="s">
        <v>4421</v>
      </c>
      <c r="F474" s="48" t="s">
        <v>2665</v>
      </c>
      <c r="G474" s="45" t="s">
        <v>2699</v>
      </c>
      <c r="H474" s="46"/>
      <c r="I474" s="47" t="s">
        <v>4392</v>
      </c>
      <c r="J474" s="46"/>
      <c r="K474" s="35" t="s">
        <v>1512</v>
      </c>
      <c r="L474" s="35" t="s">
        <v>1939</v>
      </c>
      <c r="M474" s="46"/>
      <c r="N474" s="43" t="s">
        <v>4422</v>
      </c>
      <c r="O474" s="46"/>
      <c r="P474" s="46"/>
      <c r="Q474" s="43" t="s">
        <v>4394</v>
      </c>
      <c r="R474" s="46"/>
      <c r="S474" s="45" t="s">
        <v>4395</v>
      </c>
    </row>
    <row r="475" spans="1:19" ht="15.75" customHeight="1">
      <c r="A475" s="34">
        <v>474</v>
      </c>
      <c r="B475" s="35">
        <v>2025</v>
      </c>
      <c r="C475" s="35">
        <v>2025</v>
      </c>
      <c r="D475" s="43" t="s">
        <v>4423</v>
      </c>
      <c r="E475" s="43">
        <v>39609</v>
      </c>
      <c r="F475" s="48" t="s">
        <v>2665</v>
      </c>
      <c r="G475" s="45" t="s">
        <v>2699</v>
      </c>
      <c r="H475" s="46"/>
      <c r="I475" s="47" t="s">
        <v>4392</v>
      </c>
      <c r="J475" s="46"/>
      <c r="K475" s="35" t="s">
        <v>1512</v>
      </c>
      <c r="L475" s="35" t="s">
        <v>1939</v>
      </c>
      <c r="M475" s="46"/>
      <c r="N475" s="43" t="s">
        <v>4424</v>
      </c>
      <c r="O475" s="46"/>
      <c r="P475" s="46"/>
      <c r="Q475" s="43" t="s">
        <v>4394</v>
      </c>
      <c r="R475" s="46"/>
      <c r="S475" s="45" t="s">
        <v>4395</v>
      </c>
    </row>
    <row r="476" spans="1:19" ht="15.75" customHeight="1">
      <c r="A476" s="34">
        <v>475</v>
      </c>
      <c r="B476" s="35">
        <v>2025</v>
      </c>
      <c r="C476" s="35">
        <v>2025</v>
      </c>
      <c r="D476" s="43" t="s">
        <v>4425</v>
      </c>
      <c r="E476" s="43" t="s">
        <v>4426</v>
      </c>
      <c r="F476" s="48" t="s">
        <v>2665</v>
      </c>
      <c r="G476" s="45" t="s">
        <v>2699</v>
      </c>
      <c r="H476" s="46"/>
      <c r="I476" s="47" t="s">
        <v>4392</v>
      </c>
      <c r="J476" s="46"/>
      <c r="K476" s="35" t="s">
        <v>1512</v>
      </c>
      <c r="L476" s="35" t="s">
        <v>1939</v>
      </c>
      <c r="M476" s="46"/>
      <c r="N476" s="43" t="s">
        <v>4427</v>
      </c>
      <c r="O476" s="46"/>
      <c r="P476" s="46"/>
      <c r="Q476" s="43" t="s">
        <v>4394</v>
      </c>
      <c r="R476" s="46"/>
      <c r="S476" s="45" t="s">
        <v>4395</v>
      </c>
    </row>
    <row r="477" spans="1:19" ht="15.75" customHeight="1">
      <c r="A477" s="34">
        <v>476</v>
      </c>
      <c r="B477" s="35">
        <v>2025</v>
      </c>
      <c r="C477" s="35">
        <v>2025</v>
      </c>
      <c r="D477" s="43" t="s">
        <v>4428</v>
      </c>
      <c r="E477" s="43">
        <v>39456</v>
      </c>
      <c r="F477" s="48" t="s">
        <v>2665</v>
      </c>
      <c r="G477" s="45" t="s">
        <v>2699</v>
      </c>
      <c r="H477" s="46"/>
      <c r="I477" s="47" t="s">
        <v>4392</v>
      </c>
      <c r="J477" s="46"/>
      <c r="K477" s="35" t="s">
        <v>1512</v>
      </c>
      <c r="L477" s="35" t="s">
        <v>1939</v>
      </c>
      <c r="M477" s="46"/>
      <c r="N477" s="43" t="s">
        <v>4429</v>
      </c>
      <c r="O477" s="46"/>
      <c r="P477" s="46"/>
      <c r="Q477" s="43" t="s">
        <v>4394</v>
      </c>
      <c r="R477" s="46"/>
      <c r="S477" s="45" t="s">
        <v>4395</v>
      </c>
    </row>
    <row r="478" spans="1:19" ht="15.75" customHeight="1">
      <c r="A478" s="34">
        <v>477</v>
      </c>
      <c r="B478" s="35">
        <v>2025</v>
      </c>
      <c r="C478" s="35">
        <v>2025</v>
      </c>
      <c r="D478" s="43" t="s">
        <v>4430</v>
      </c>
      <c r="E478" s="43" t="s">
        <v>4431</v>
      </c>
      <c r="F478" s="48" t="s">
        <v>2665</v>
      </c>
      <c r="G478" s="45" t="s">
        <v>2699</v>
      </c>
      <c r="H478" s="46"/>
      <c r="I478" s="47" t="s">
        <v>4392</v>
      </c>
      <c r="J478" s="46"/>
      <c r="K478" s="35" t="s">
        <v>1512</v>
      </c>
      <c r="L478" s="35" t="s">
        <v>1939</v>
      </c>
      <c r="M478" s="46"/>
      <c r="N478" s="43" t="s">
        <v>4432</v>
      </c>
      <c r="O478" s="46"/>
      <c r="P478" s="46"/>
      <c r="Q478" s="43" t="s">
        <v>4394</v>
      </c>
      <c r="R478" s="46"/>
      <c r="S478" s="45" t="s">
        <v>4395</v>
      </c>
    </row>
    <row r="479" spans="1:19" ht="15.75" customHeight="1">
      <c r="A479" s="34">
        <v>478</v>
      </c>
      <c r="B479" s="35">
        <v>2025</v>
      </c>
      <c r="C479" s="35">
        <v>2025</v>
      </c>
      <c r="D479" s="43" t="s">
        <v>4433</v>
      </c>
      <c r="E479" s="43" t="s">
        <v>4434</v>
      </c>
      <c r="F479" s="48" t="s">
        <v>2665</v>
      </c>
      <c r="G479" s="45" t="s">
        <v>2699</v>
      </c>
      <c r="H479" s="46"/>
      <c r="I479" s="47" t="s">
        <v>4392</v>
      </c>
      <c r="J479" s="46"/>
      <c r="K479" s="35" t="s">
        <v>1512</v>
      </c>
      <c r="L479" s="35" t="s">
        <v>1939</v>
      </c>
      <c r="M479" s="46"/>
      <c r="N479" s="43" t="s">
        <v>4435</v>
      </c>
      <c r="O479" s="46"/>
      <c r="P479" s="46"/>
      <c r="Q479" s="43" t="s">
        <v>4394</v>
      </c>
      <c r="R479" s="46"/>
      <c r="S479" s="45" t="s">
        <v>4395</v>
      </c>
    </row>
    <row r="480" spans="1:19" ht="15.75" customHeight="1">
      <c r="A480" s="34">
        <v>479</v>
      </c>
      <c r="B480" s="35">
        <v>2025</v>
      </c>
      <c r="C480" s="35">
        <v>2025</v>
      </c>
      <c r="D480" s="43" t="s">
        <v>4436</v>
      </c>
      <c r="E480" s="43" t="s">
        <v>4437</v>
      </c>
      <c r="F480" s="48" t="s">
        <v>2665</v>
      </c>
      <c r="G480" s="45" t="s">
        <v>2699</v>
      </c>
      <c r="H480" s="46"/>
      <c r="I480" s="47" t="s">
        <v>4392</v>
      </c>
      <c r="J480" s="46"/>
      <c r="K480" s="35" t="s">
        <v>1512</v>
      </c>
      <c r="L480" s="35" t="s">
        <v>1939</v>
      </c>
      <c r="M480" s="46"/>
      <c r="N480" s="43" t="s">
        <v>4438</v>
      </c>
      <c r="O480" s="46"/>
      <c r="P480" s="46"/>
      <c r="Q480" s="43" t="s">
        <v>4394</v>
      </c>
      <c r="R480" s="46"/>
      <c r="S480" s="45" t="s">
        <v>4395</v>
      </c>
    </row>
    <row r="481" spans="1:19" ht="15.75" customHeight="1">
      <c r="A481" s="34">
        <v>480</v>
      </c>
      <c r="B481" s="35">
        <v>2025</v>
      </c>
      <c r="C481" s="35">
        <v>2025</v>
      </c>
      <c r="D481" s="43" t="s">
        <v>4439</v>
      </c>
      <c r="E481" s="43">
        <v>39938</v>
      </c>
      <c r="F481" s="48" t="s">
        <v>2665</v>
      </c>
      <c r="G481" s="45" t="s">
        <v>2699</v>
      </c>
      <c r="H481" s="46"/>
      <c r="I481" s="47" t="s">
        <v>4392</v>
      </c>
      <c r="J481" s="46"/>
      <c r="K481" s="35" t="s">
        <v>1512</v>
      </c>
      <c r="L481" s="35" t="s">
        <v>1939</v>
      </c>
      <c r="M481" s="46"/>
      <c r="N481" s="43" t="s">
        <v>4440</v>
      </c>
      <c r="O481" s="46"/>
      <c r="P481" s="46"/>
      <c r="Q481" s="43" t="s">
        <v>4394</v>
      </c>
      <c r="R481" s="46"/>
      <c r="S481" s="45" t="s">
        <v>4395</v>
      </c>
    </row>
    <row r="482" spans="1:19" ht="15.75" customHeight="1">
      <c r="A482" s="34">
        <v>481</v>
      </c>
      <c r="B482" s="35">
        <v>2025</v>
      </c>
      <c r="C482" s="35">
        <v>2025</v>
      </c>
      <c r="D482" s="43" t="s">
        <v>4441</v>
      </c>
      <c r="E482" s="43">
        <v>39730</v>
      </c>
      <c r="F482" s="48" t="s">
        <v>2665</v>
      </c>
      <c r="G482" s="45" t="s">
        <v>2699</v>
      </c>
      <c r="H482" s="46"/>
      <c r="I482" s="47" t="s">
        <v>4392</v>
      </c>
      <c r="J482" s="46"/>
      <c r="K482" s="35" t="s">
        <v>1512</v>
      </c>
      <c r="L482" s="35" t="s">
        <v>1939</v>
      </c>
      <c r="M482" s="46"/>
      <c r="N482" s="43" t="s">
        <v>4442</v>
      </c>
      <c r="O482" s="46"/>
      <c r="P482" s="46"/>
      <c r="Q482" s="43" t="s">
        <v>4394</v>
      </c>
      <c r="R482" s="46"/>
      <c r="S482" s="45" t="s">
        <v>4395</v>
      </c>
    </row>
    <row r="483" spans="1:19" ht="15.75" customHeight="1">
      <c r="A483" s="34">
        <v>482</v>
      </c>
      <c r="B483" s="35">
        <v>2025</v>
      </c>
      <c r="C483" s="35">
        <v>2025</v>
      </c>
      <c r="D483" s="43" t="s">
        <v>4443</v>
      </c>
      <c r="E483" s="43" t="s">
        <v>4444</v>
      </c>
      <c r="F483" s="48" t="s">
        <v>2665</v>
      </c>
      <c r="G483" s="45" t="s">
        <v>2699</v>
      </c>
      <c r="H483" s="46"/>
      <c r="I483" s="47" t="s">
        <v>4392</v>
      </c>
      <c r="J483" s="46"/>
      <c r="K483" s="35" t="s">
        <v>1512</v>
      </c>
      <c r="L483" s="35" t="s">
        <v>1939</v>
      </c>
      <c r="M483" s="46"/>
      <c r="N483" s="43" t="s">
        <v>4445</v>
      </c>
      <c r="O483" s="46"/>
      <c r="P483" s="46"/>
      <c r="Q483" s="43" t="s">
        <v>4394</v>
      </c>
      <c r="R483" s="46"/>
      <c r="S483" s="45" t="s">
        <v>4395</v>
      </c>
    </row>
    <row r="484" spans="1:19" ht="15.75" customHeight="1">
      <c r="A484" s="34">
        <v>483</v>
      </c>
      <c r="B484" s="35">
        <v>2025</v>
      </c>
      <c r="C484" s="35">
        <v>2025</v>
      </c>
      <c r="D484" s="43" t="s">
        <v>4446</v>
      </c>
      <c r="E484" s="43" t="s">
        <v>4447</v>
      </c>
      <c r="F484" s="48" t="s">
        <v>2665</v>
      </c>
      <c r="G484" s="45" t="s">
        <v>2699</v>
      </c>
      <c r="H484" s="46"/>
      <c r="I484" s="47" t="s">
        <v>4392</v>
      </c>
      <c r="J484" s="46"/>
      <c r="K484" s="35" t="s">
        <v>1512</v>
      </c>
      <c r="L484" s="35" t="s">
        <v>1939</v>
      </c>
      <c r="M484" s="46"/>
      <c r="N484" s="43" t="s">
        <v>4448</v>
      </c>
      <c r="O484" s="46"/>
      <c r="P484" s="46"/>
      <c r="Q484" s="43" t="s">
        <v>4394</v>
      </c>
      <c r="R484" s="46"/>
      <c r="S484" s="45" t="s">
        <v>4395</v>
      </c>
    </row>
    <row r="485" spans="1:19" ht="15.75" customHeight="1">
      <c r="A485" s="34">
        <v>484</v>
      </c>
      <c r="B485" s="35">
        <v>2025</v>
      </c>
      <c r="C485" s="35">
        <v>2025</v>
      </c>
      <c r="D485" s="43" t="s">
        <v>4449</v>
      </c>
      <c r="E485" s="43">
        <v>39637</v>
      </c>
      <c r="F485" s="48" t="s">
        <v>2665</v>
      </c>
      <c r="G485" s="45" t="s">
        <v>2699</v>
      </c>
      <c r="H485" s="46"/>
      <c r="I485" s="47" t="s">
        <v>4392</v>
      </c>
      <c r="J485" s="46"/>
      <c r="K485" s="35" t="s">
        <v>1512</v>
      </c>
      <c r="L485" s="35" t="s">
        <v>1939</v>
      </c>
      <c r="M485" s="46"/>
      <c r="N485" s="43" t="s">
        <v>4450</v>
      </c>
      <c r="O485" s="46"/>
      <c r="P485" s="46"/>
      <c r="Q485" s="43" t="s">
        <v>4394</v>
      </c>
      <c r="R485" s="46"/>
      <c r="S485" s="45" t="s">
        <v>4395</v>
      </c>
    </row>
    <row r="486" spans="1:19" ht="15.75" customHeight="1">
      <c r="A486" s="34">
        <v>485</v>
      </c>
      <c r="B486" s="35">
        <v>2025</v>
      </c>
      <c r="C486" s="35">
        <v>2025</v>
      </c>
      <c r="D486" s="43" t="s">
        <v>4451</v>
      </c>
      <c r="E486" s="43" t="s">
        <v>4452</v>
      </c>
      <c r="F486" s="48" t="s">
        <v>2665</v>
      </c>
      <c r="G486" s="45" t="s">
        <v>2699</v>
      </c>
      <c r="H486" s="46"/>
      <c r="I486" s="47" t="s">
        <v>4392</v>
      </c>
      <c r="J486" s="46"/>
      <c r="K486" s="35" t="s">
        <v>1512</v>
      </c>
      <c r="L486" s="35" t="s">
        <v>1939</v>
      </c>
      <c r="M486" s="46"/>
      <c r="N486" s="43" t="s">
        <v>4453</v>
      </c>
      <c r="O486" s="46"/>
      <c r="P486" s="46"/>
      <c r="Q486" s="43" t="s">
        <v>4394</v>
      </c>
      <c r="R486" s="46"/>
      <c r="S486" s="45" t="s">
        <v>4395</v>
      </c>
    </row>
    <row r="487" spans="1:19" ht="15.75" customHeight="1">
      <c r="A487" s="34">
        <v>486</v>
      </c>
      <c r="B487" s="35">
        <v>2025</v>
      </c>
      <c r="C487" s="35">
        <v>2025</v>
      </c>
      <c r="D487" s="43" t="s">
        <v>4454</v>
      </c>
      <c r="E487" s="43" t="s">
        <v>4455</v>
      </c>
      <c r="F487" s="48" t="s">
        <v>2656</v>
      </c>
      <c r="G487" s="45" t="s">
        <v>2699</v>
      </c>
      <c r="H487" s="46"/>
      <c r="I487" s="47" t="s">
        <v>4392</v>
      </c>
      <c r="J487" s="46"/>
      <c r="K487" s="35" t="s">
        <v>1512</v>
      </c>
      <c r="L487" s="35" t="s">
        <v>1939</v>
      </c>
      <c r="M487" s="46"/>
      <c r="N487" s="43" t="s">
        <v>4456</v>
      </c>
      <c r="O487" s="46"/>
      <c r="P487" s="46"/>
      <c r="Q487" s="43" t="s">
        <v>4394</v>
      </c>
      <c r="R487" s="46"/>
      <c r="S487" s="45" t="s">
        <v>4395</v>
      </c>
    </row>
    <row r="488" spans="1:19" ht="15.75" customHeight="1">
      <c r="A488" s="34">
        <v>487</v>
      </c>
      <c r="B488" s="35">
        <v>2025</v>
      </c>
      <c r="C488" s="35">
        <v>2025</v>
      </c>
      <c r="D488" s="43" t="s">
        <v>4457</v>
      </c>
      <c r="E488" s="43" t="s">
        <v>4458</v>
      </c>
      <c r="F488" s="48" t="s">
        <v>2656</v>
      </c>
      <c r="G488" s="45" t="s">
        <v>2699</v>
      </c>
      <c r="H488" s="46"/>
      <c r="I488" s="47" t="s">
        <v>4392</v>
      </c>
      <c r="J488" s="46"/>
      <c r="K488" s="35" t="s">
        <v>1512</v>
      </c>
      <c r="L488" s="35" t="s">
        <v>1939</v>
      </c>
      <c r="M488" s="46"/>
      <c r="N488" s="43" t="s">
        <v>4459</v>
      </c>
      <c r="O488" s="46"/>
      <c r="P488" s="46"/>
      <c r="Q488" s="43" t="s">
        <v>4394</v>
      </c>
      <c r="R488" s="46"/>
      <c r="S488" s="45" t="s">
        <v>4395</v>
      </c>
    </row>
    <row r="489" spans="1:19" ht="15.75" customHeight="1">
      <c r="A489" s="34">
        <v>488</v>
      </c>
      <c r="B489" s="35">
        <v>2025</v>
      </c>
      <c r="C489" s="35">
        <v>2025</v>
      </c>
      <c r="D489" s="43" t="s">
        <v>4460</v>
      </c>
      <c r="E489" s="43" t="s">
        <v>4461</v>
      </c>
      <c r="F489" s="48" t="s">
        <v>2656</v>
      </c>
      <c r="G489" s="45" t="s">
        <v>2699</v>
      </c>
      <c r="H489" s="46"/>
      <c r="I489" s="47" t="s">
        <v>4392</v>
      </c>
      <c r="J489" s="46"/>
      <c r="K489" s="35" t="s">
        <v>1512</v>
      </c>
      <c r="L489" s="35" t="s">
        <v>1939</v>
      </c>
      <c r="M489" s="46"/>
      <c r="N489" s="43" t="s">
        <v>4462</v>
      </c>
      <c r="O489" s="46"/>
      <c r="P489" s="46"/>
      <c r="Q489" s="43" t="s">
        <v>4394</v>
      </c>
      <c r="R489" s="46"/>
      <c r="S489" s="45" t="s">
        <v>4395</v>
      </c>
    </row>
    <row r="490" spans="1:19" ht="15.75" customHeight="1">
      <c r="A490" s="34">
        <v>489</v>
      </c>
      <c r="B490" s="35">
        <v>2025</v>
      </c>
      <c r="C490" s="35">
        <v>2025</v>
      </c>
      <c r="D490" s="43" t="s">
        <v>4463</v>
      </c>
      <c r="E490" s="43">
        <v>39518</v>
      </c>
      <c r="F490" s="48" t="s">
        <v>2656</v>
      </c>
      <c r="G490" s="45" t="s">
        <v>2699</v>
      </c>
      <c r="H490" s="46"/>
      <c r="I490" s="47" t="s">
        <v>4392</v>
      </c>
      <c r="J490" s="46"/>
      <c r="K490" s="35" t="s">
        <v>1512</v>
      </c>
      <c r="L490" s="35" t="s">
        <v>1939</v>
      </c>
      <c r="M490" s="46"/>
      <c r="N490" s="43" t="s">
        <v>4464</v>
      </c>
      <c r="O490" s="46"/>
      <c r="P490" s="46"/>
      <c r="Q490" s="43" t="s">
        <v>4394</v>
      </c>
      <c r="R490" s="46"/>
      <c r="S490" s="45" t="s">
        <v>4395</v>
      </c>
    </row>
    <row r="491" spans="1:19" ht="15.75" customHeight="1">
      <c r="A491" s="34">
        <v>490</v>
      </c>
      <c r="B491" s="35">
        <v>2025</v>
      </c>
      <c r="C491" s="35">
        <v>2025</v>
      </c>
      <c r="D491" s="43" t="s">
        <v>4465</v>
      </c>
      <c r="E491" s="43" t="s">
        <v>4466</v>
      </c>
      <c r="F491" s="48" t="s">
        <v>2656</v>
      </c>
      <c r="G491" s="45" t="s">
        <v>2699</v>
      </c>
      <c r="H491" s="46"/>
      <c r="I491" s="47" t="s">
        <v>4392</v>
      </c>
      <c r="J491" s="46"/>
      <c r="K491" s="35" t="s">
        <v>1512</v>
      </c>
      <c r="L491" s="35" t="s">
        <v>1939</v>
      </c>
      <c r="M491" s="46"/>
      <c r="N491" s="43" t="s">
        <v>4467</v>
      </c>
      <c r="O491" s="46"/>
      <c r="P491" s="46"/>
      <c r="Q491" s="43" t="s">
        <v>4394</v>
      </c>
      <c r="R491" s="46"/>
      <c r="S491" s="45" t="s">
        <v>4395</v>
      </c>
    </row>
    <row r="492" spans="1:19" ht="15.75" customHeight="1">
      <c r="A492" s="34">
        <v>491</v>
      </c>
      <c r="B492" s="35">
        <v>2025</v>
      </c>
      <c r="C492" s="35">
        <v>2025</v>
      </c>
      <c r="D492" s="43" t="s">
        <v>4468</v>
      </c>
      <c r="E492" s="43">
        <v>39846</v>
      </c>
      <c r="F492" s="48" t="s">
        <v>2656</v>
      </c>
      <c r="G492" s="45" t="s">
        <v>2699</v>
      </c>
      <c r="H492" s="46"/>
      <c r="I492" s="47" t="s">
        <v>4392</v>
      </c>
      <c r="J492" s="46"/>
      <c r="K492" s="35" t="s">
        <v>1512</v>
      </c>
      <c r="L492" s="35" t="s">
        <v>1939</v>
      </c>
      <c r="M492" s="46"/>
      <c r="N492" s="43" t="s">
        <v>4469</v>
      </c>
      <c r="O492" s="46"/>
      <c r="P492" s="46"/>
      <c r="Q492" s="43" t="s">
        <v>4394</v>
      </c>
      <c r="R492" s="46"/>
      <c r="S492" s="45" t="s">
        <v>4395</v>
      </c>
    </row>
    <row r="493" spans="1:19" ht="15.75" customHeight="1">
      <c r="A493" s="34">
        <v>492</v>
      </c>
      <c r="B493" s="35">
        <v>2025</v>
      </c>
      <c r="C493" s="35">
        <v>2025</v>
      </c>
      <c r="D493" s="43" t="s">
        <v>4470</v>
      </c>
      <c r="E493" s="43" t="s">
        <v>4471</v>
      </c>
      <c r="F493" s="48" t="s">
        <v>2656</v>
      </c>
      <c r="G493" s="45" t="s">
        <v>2699</v>
      </c>
      <c r="H493" s="46"/>
      <c r="I493" s="47" t="s">
        <v>4392</v>
      </c>
      <c r="J493" s="46"/>
      <c r="K493" s="35" t="s">
        <v>1512</v>
      </c>
      <c r="L493" s="35" t="s">
        <v>1939</v>
      </c>
      <c r="M493" s="46"/>
      <c r="N493" s="43" t="s">
        <v>4472</v>
      </c>
      <c r="O493" s="46"/>
      <c r="P493" s="46"/>
      <c r="Q493" s="43" t="s">
        <v>4394</v>
      </c>
      <c r="R493" s="46"/>
      <c r="S493" s="45" t="s">
        <v>4395</v>
      </c>
    </row>
    <row r="494" spans="1:19" ht="15.75" customHeight="1">
      <c r="A494" s="34">
        <v>493</v>
      </c>
      <c r="B494" s="35">
        <v>2025</v>
      </c>
      <c r="C494" s="35">
        <v>2025</v>
      </c>
      <c r="D494" s="43" t="s">
        <v>4473</v>
      </c>
      <c r="E494" s="43" t="s">
        <v>4474</v>
      </c>
      <c r="F494" s="48" t="s">
        <v>2665</v>
      </c>
      <c r="G494" s="45" t="s">
        <v>4475</v>
      </c>
      <c r="H494" s="46"/>
      <c r="I494" s="47" t="s">
        <v>4476</v>
      </c>
      <c r="J494" s="46"/>
      <c r="K494" s="35" t="s">
        <v>1512</v>
      </c>
      <c r="L494" s="35" t="s">
        <v>1939</v>
      </c>
      <c r="M494" s="46"/>
      <c r="N494" s="43">
        <v>216178807</v>
      </c>
      <c r="O494" s="46"/>
      <c r="P494" s="46"/>
      <c r="Q494" s="43" t="s">
        <v>4477</v>
      </c>
      <c r="R494" s="46"/>
      <c r="S494" s="45" t="s">
        <v>4478</v>
      </c>
    </row>
    <row r="495" spans="1:19" ht="15.75" customHeight="1">
      <c r="A495" s="34">
        <v>494</v>
      </c>
      <c r="B495" s="35">
        <v>2025</v>
      </c>
      <c r="C495" s="35">
        <v>2025</v>
      </c>
      <c r="D495" s="43" t="s">
        <v>4479</v>
      </c>
      <c r="E495" s="43" t="s">
        <v>4480</v>
      </c>
      <c r="F495" s="48" t="s">
        <v>2656</v>
      </c>
      <c r="G495" s="45" t="s">
        <v>2699</v>
      </c>
      <c r="H495" s="46"/>
      <c r="I495" s="47" t="s">
        <v>4481</v>
      </c>
      <c r="J495" s="46"/>
      <c r="K495" s="35" t="s">
        <v>1512</v>
      </c>
      <c r="L495" s="35" t="s">
        <v>1939</v>
      </c>
      <c r="M495" s="46"/>
      <c r="N495" s="43" t="s">
        <v>4482</v>
      </c>
      <c r="O495" s="46"/>
      <c r="P495" s="46"/>
      <c r="Q495" s="43" t="s">
        <v>4483</v>
      </c>
      <c r="R495" s="46"/>
      <c r="S495" s="45" t="s">
        <v>4484</v>
      </c>
    </row>
    <row r="496" spans="1:19" ht="15.75" customHeight="1">
      <c r="A496" s="34">
        <v>495</v>
      </c>
      <c r="B496" s="35">
        <v>2025</v>
      </c>
      <c r="C496" s="35">
        <v>2025</v>
      </c>
      <c r="D496" s="43" t="s">
        <v>4485</v>
      </c>
      <c r="E496" s="43" t="s">
        <v>4486</v>
      </c>
      <c r="F496" s="48" t="s">
        <v>2656</v>
      </c>
      <c r="G496" s="45" t="s">
        <v>2699</v>
      </c>
      <c r="H496" s="46"/>
      <c r="I496" s="47" t="s">
        <v>4481</v>
      </c>
      <c r="J496" s="46"/>
      <c r="K496" s="35" t="s">
        <v>1512</v>
      </c>
      <c r="L496" s="35" t="s">
        <v>1939</v>
      </c>
      <c r="M496" s="46"/>
      <c r="N496" s="43" t="s">
        <v>4487</v>
      </c>
      <c r="O496" s="46"/>
      <c r="P496" s="46"/>
      <c r="Q496" s="43" t="s">
        <v>4483</v>
      </c>
      <c r="R496" s="46"/>
      <c r="S496" s="45" t="s">
        <v>4484</v>
      </c>
    </row>
    <row r="497" spans="1:19" ht="15.75" customHeight="1">
      <c r="A497" s="34">
        <v>496</v>
      </c>
      <c r="B497" s="35">
        <v>2025</v>
      </c>
      <c r="C497" s="35">
        <v>2025</v>
      </c>
      <c r="D497" s="43" t="s">
        <v>4488</v>
      </c>
      <c r="E497" s="43" t="s">
        <v>4489</v>
      </c>
      <c r="F497" s="48" t="s">
        <v>2665</v>
      </c>
      <c r="G497" s="45" t="s">
        <v>2699</v>
      </c>
      <c r="H497" s="46"/>
      <c r="I497" s="47" t="s">
        <v>4481</v>
      </c>
      <c r="J497" s="46"/>
      <c r="K497" s="35" t="s">
        <v>1512</v>
      </c>
      <c r="L497" s="35" t="s">
        <v>1939</v>
      </c>
      <c r="M497" s="46"/>
      <c r="N497" s="43" t="s">
        <v>4490</v>
      </c>
      <c r="O497" s="46"/>
      <c r="P497" s="46"/>
      <c r="Q497" s="43" t="s">
        <v>4483</v>
      </c>
      <c r="R497" s="46"/>
      <c r="S497" s="45" t="s">
        <v>4484</v>
      </c>
    </row>
    <row r="498" spans="1:19" ht="15.75" customHeight="1">
      <c r="A498" s="34">
        <v>497</v>
      </c>
      <c r="B498" s="35">
        <v>2025</v>
      </c>
      <c r="C498" s="35">
        <v>2025</v>
      </c>
      <c r="D498" s="43" t="s">
        <v>4491</v>
      </c>
      <c r="E498" s="43">
        <v>38239</v>
      </c>
      <c r="F498" s="48" t="s">
        <v>2665</v>
      </c>
      <c r="G498" s="45" t="s">
        <v>2699</v>
      </c>
      <c r="H498" s="46"/>
      <c r="I498" s="47" t="s">
        <v>4481</v>
      </c>
      <c r="J498" s="46"/>
      <c r="K498" s="35" t="s">
        <v>1512</v>
      </c>
      <c r="L498" s="35" t="s">
        <v>1939</v>
      </c>
      <c r="M498" s="46"/>
      <c r="N498" s="43" t="s">
        <v>4492</v>
      </c>
      <c r="O498" s="46"/>
      <c r="P498" s="46"/>
      <c r="Q498" s="43" t="s">
        <v>4483</v>
      </c>
      <c r="R498" s="46"/>
      <c r="S498" s="45" t="s">
        <v>4484</v>
      </c>
    </row>
    <row r="499" spans="1:19" ht="15.75" customHeight="1">
      <c r="A499" s="34">
        <v>498</v>
      </c>
      <c r="B499" s="35">
        <v>2025</v>
      </c>
      <c r="C499" s="35">
        <v>2025</v>
      </c>
      <c r="D499" s="43" t="s">
        <v>4493</v>
      </c>
      <c r="E499" s="43">
        <v>38483</v>
      </c>
      <c r="F499" s="48" t="s">
        <v>2665</v>
      </c>
      <c r="G499" s="45" t="s">
        <v>2699</v>
      </c>
      <c r="H499" s="46"/>
      <c r="I499" s="47" t="s">
        <v>4481</v>
      </c>
      <c r="J499" s="46"/>
      <c r="K499" s="35" t="s">
        <v>1512</v>
      </c>
      <c r="L499" s="35" t="s">
        <v>1939</v>
      </c>
      <c r="M499" s="46"/>
      <c r="N499" s="43" t="s">
        <v>4494</v>
      </c>
      <c r="O499" s="46"/>
      <c r="P499" s="46"/>
      <c r="Q499" s="43" t="s">
        <v>4483</v>
      </c>
      <c r="R499" s="46"/>
      <c r="S499" s="45" t="s">
        <v>4484</v>
      </c>
    </row>
    <row r="500" spans="1:19" ht="15.75" customHeight="1">
      <c r="A500" s="34">
        <v>499</v>
      </c>
      <c r="B500" s="35">
        <v>2025</v>
      </c>
      <c r="C500" s="35">
        <v>2025</v>
      </c>
      <c r="D500" s="43" t="s">
        <v>4495</v>
      </c>
      <c r="E500" s="43" t="s">
        <v>4496</v>
      </c>
      <c r="F500" s="48" t="s">
        <v>2665</v>
      </c>
      <c r="G500" s="45" t="s">
        <v>2699</v>
      </c>
      <c r="H500" s="46"/>
      <c r="I500" s="47" t="s">
        <v>4481</v>
      </c>
      <c r="J500" s="46"/>
      <c r="K500" s="35" t="s">
        <v>1512</v>
      </c>
      <c r="L500" s="35" t="s">
        <v>1939</v>
      </c>
      <c r="M500" s="46"/>
      <c r="N500" s="43" t="s">
        <v>4497</v>
      </c>
      <c r="O500" s="46"/>
      <c r="P500" s="46"/>
      <c r="Q500" s="43" t="s">
        <v>4483</v>
      </c>
      <c r="R500" s="46"/>
      <c r="S500" s="45" t="s">
        <v>4484</v>
      </c>
    </row>
    <row r="501" spans="1:19" ht="15.75" customHeight="1">
      <c r="A501" s="34">
        <v>500</v>
      </c>
      <c r="B501" s="35">
        <v>2025</v>
      </c>
      <c r="C501" s="35">
        <v>2025</v>
      </c>
      <c r="D501" s="43" t="s">
        <v>4498</v>
      </c>
      <c r="E501" s="43" t="s">
        <v>4499</v>
      </c>
      <c r="F501" s="48" t="s">
        <v>2665</v>
      </c>
      <c r="G501" s="45" t="s">
        <v>2699</v>
      </c>
      <c r="H501" s="46"/>
      <c r="I501" s="47" t="s">
        <v>4481</v>
      </c>
      <c r="J501" s="46"/>
      <c r="K501" s="35" t="s">
        <v>1512</v>
      </c>
      <c r="L501" s="35" t="s">
        <v>1939</v>
      </c>
      <c r="M501" s="46"/>
      <c r="N501" s="43" t="s">
        <v>4500</v>
      </c>
      <c r="O501" s="46"/>
      <c r="P501" s="46"/>
      <c r="Q501" s="43" t="s">
        <v>4483</v>
      </c>
      <c r="R501" s="46"/>
      <c r="S501" s="45" t="s">
        <v>4484</v>
      </c>
    </row>
    <row r="502" spans="1:19" ht="15.75" customHeight="1">
      <c r="A502" s="34">
        <v>501</v>
      </c>
      <c r="B502" s="35">
        <v>2025</v>
      </c>
      <c r="C502" s="35">
        <v>2025</v>
      </c>
      <c r="D502" s="43" t="s">
        <v>4501</v>
      </c>
      <c r="E502" s="43" t="s">
        <v>4502</v>
      </c>
      <c r="F502" s="48" t="s">
        <v>2665</v>
      </c>
      <c r="G502" s="45" t="s">
        <v>2699</v>
      </c>
      <c r="H502" s="46"/>
      <c r="I502" s="47" t="s">
        <v>4481</v>
      </c>
      <c r="J502" s="46"/>
      <c r="K502" s="35" t="s">
        <v>1512</v>
      </c>
      <c r="L502" s="35" t="s">
        <v>1939</v>
      </c>
      <c r="M502" s="46"/>
      <c r="N502" s="43" t="s">
        <v>4503</v>
      </c>
      <c r="O502" s="46"/>
      <c r="P502" s="46"/>
      <c r="Q502" s="43" t="s">
        <v>4483</v>
      </c>
      <c r="R502" s="46"/>
      <c r="S502" s="45" t="s">
        <v>4484</v>
      </c>
    </row>
    <row r="503" spans="1:19" ht="15.75" customHeight="1">
      <c r="A503" s="34">
        <v>502</v>
      </c>
      <c r="B503" s="35">
        <v>2025</v>
      </c>
      <c r="C503" s="35">
        <v>2025</v>
      </c>
      <c r="D503" s="43" t="s">
        <v>4504</v>
      </c>
      <c r="E503" s="43" t="s">
        <v>4505</v>
      </c>
      <c r="F503" s="48" t="s">
        <v>2665</v>
      </c>
      <c r="G503" s="45" t="s">
        <v>2699</v>
      </c>
      <c r="H503" s="46"/>
      <c r="I503" s="47" t="s">
        <v>4481</v>
      </c>
      <c r="J503" s="46"/>
      <c r="K503" s="35" t="s">
        <v>1512</v>
      </c>
      <c r="L503" s="35" t="s">
        <v>1939</v>
      </c>
      <c r="M503" s="46"/>
      <c r="N503" s="43" t="s">
        <v>4506</v>
      </c>
      <c r="O503" s="46"/>
      <c r="P503" s="46"/>
      <c r="Q503" s="43" t="s">
        <v>4483</v>
      </c>
      <c r="R503" s="46"/>
      <c r="S503" s="45" t="s">
        <v>4484</v>
      </c>
    </row>
    <row r="504" spans="1:19" ht="15.75" customHeight="1">
      <c r="A504" s="34">
        <v>503</v>
      </c>
      <c r="B504" s="35">
        <v>2025</v>
      </c>
      <c r="C504" s="35">
        <v>2025</v>
      </c>
      <c r="D504" s="43" t="s">
        <v>4507</v>
      </c>
      <c r="E504" s="43">
        <v>38241</v>
      </c>
      <c r="F504" s="48" t="s">
        <v>2656</v>
      </c>
      <c r="G504" s="45" t="s">
        <v>2699</v>
      </c>
      <c r="H504" s="46"/>
      <c r="I504" s="47" t="s">
        <v>4481</v>
      </c>
      <c r="J504" s="46"/>
      <c r="K504" s="35" t="s">
        <v>1512</v>
      </c>
      <c r="L504" s="35" t="s">
        <v>1939</v>
      </c>
      <c r="M504" s="46"/>
      <c r="N504" s="43" t="s">
        <v>4508</v>
      </c>
      <c r="O504" s="46"/>
      <c r="P504" s="46"/>
      <c r="Q504" s="43" t="s">
        <v>4483</v>
      </c>
      <c r="R504" s="46"/>
      <c r="S504" s="45" t="s">
        <v>4484</v>
      </c>
    </row>
    <row r="505" spans="1:19" ht="15.75" customHeight="1">
      <c r="A505" s="34">
        <v>504</v>
      </c>
      <c r="B505" s="35">
        <v>2025</v>
      </c>
      <c r="C505" s="35">
        <v>2025</v>
      </c>
      <c r="D505" s="43" t="s">
        <v>4509</v>
      </c>
      <c r="E505" s="43">
        <v>38695</v>
      </c>
      <c r="F505" s="48" t="s">
        <v>2665</v>
      </c>
      <c r="G505" s="45" t="s">
        <v>2699</v>
      </c>
      <c r="H505" s="46"/>
      <c r="I505" s="47" t="s">
        <v>4481</v>
      </c>
      <c r="J505" s="46"/>
      <c r="K505" s="35" t="s">
        <v>1512</v>
      </c>
      <c r="L505" s="35" t="s">
        <v>1939</v>
      </c>
      <c r="M505" s="46"/>
      <c r="N505" s="43" t="s">
        <v>4510</v>
      </c>
      <c r="O505" s="46"/>
      <c r="P505" s="46"/>
      <c r="Q505" s="43" t="s">
        <v>4483</v>
      </c>
      <c r="R505" s="46"/>
      <c r="S505" s="45" t="s">
        <v>4484</v>
      </c>
    </row>
    <row r="506" spans="1:19" ht="15.75" customHeight="1">
      <c r="A506" s="34">
        <v>505</v>
      </c>
      <c r="B506" s="35">
        <v>2025</v>
      </c>
      <c r="C506" s="35">
        <v>2025</v>
      </c>
      <c r="D506" s="43" t="s">
        <v>4511</v>
      </c>
      <c r="E506" s="43">
        <v>38203</v>
      </c>
      <c r="F506" s="48" t="s">
        <v>2665</v>
      </c>
      <c r="G506" s="45" t="s">
        <v>2699</v>
      </c>
      <c r="H506" s="46"/>
      <c r="I506" s="47" t="s">
        <v>4481</v>
      </c>
      <c r="J506" s="46"/>
      <c r="K506" s="35" t="s">
        <v>1512</v>
      </c>
      <c r="L506" s="35" t="s">
        <v>1939</v>
      </c>
      <c r="M506" s="46"/>
      <c r="N506" s="43" t="s">
        <v>4512</v>
      </c>
      <c r="O506" s="46"/>
      <c r="P506" s="46"/>
      <c r="Q506" s="43" t="s">
        <v>4483</v>
      </c>
      <c r="R506" s="46"/>
      <c r="S506" s="45" t="s">
        <v>4484</v>
      </c>
    </row>
    <row r="507" spans="1:19" ht="15.75" customHeight="1">
      <c r="A507" s="34">
        <v>506</v>
      </c>
      <c r="B507" s="35">
        <v>2025</v>
      </c>
      <c r="C507" s="35">
        <v>2025</v>
      </c>
      <c r="D507" s="43" t="s">
        <v>4513</v>
      </c>
      <c r="E507" s="43" t="s">
        <v>4514</v>
      </c>
      <c r="F507" s="48" t="s">
        <v>2665</v>
      </c>
      <c r="G507" s="45" t="s">
        <v>2699</v>
      </c>
      <c r="H507" s="46"/>
      <c r="I507" s="47" t="s">
        <v>4481</v>
      </c>
      <c r="J507" s="46"/>
      <c r="K507" s="35" t="s">
        <v>1512</v>
      </c>
      <c r="L507" s="35" t="s">
        <v>1939</v>
      </c>
      <c r="M507" s="46"/>
      <c r="N507" s="49"/>
      <c r="O507" s="46"/>
      <c r="P507" s="46"/>
      <c r="Q507" s="43" t="s">
        <v>4483</v>
      </c>
      <c r="R507" s="46"/>
      <c r="S507" s="45" t="s">
        <v>4484</v>
      </c>
    </row>
    <row r="508" spans="1:19" ht="15.75" customHeight="1">
      <c r="A508" s="34">
        <v>507</v>
      </c>
      <c r="B508" s="35">
        <v>2025</v>
      </c>
      <c r="C508" s="35">
        <v>2025</v>
      </c>
      <c r="D508" s="43" t="s">
        <v>4515</v>
      </c>
      <c r="E508" s="43" t="s">
        <v>4516</v>
      </c>
      <c r="F508" s="48" t="s">
        <v>2665</v>
      </c>
      <c r="G508" s="45" t="s">
        <v>2699</v>
      </c>
      <c r="H508" s="46"/>
      <c r="I508" s="47" t="s">
        <v>4481</v>
      </c>
      <c r="J508" s="46"/>
      <c r="K508" s="35" t="s">
        <v>1512</v>
      </c>
      <c r="L508" s="35" t="s">
        <v>1939</v>
      </c>
      <c r="M508" s="46"/>
      <c r="N508" s="43" t="s">
        <v>4517</v>
      </c>
      <c r="O508" s="46"/>
      <c r="P508" s="46"/>
      <c r="Q508" s="43" t="s">
        <v>4483</v>
      </c>
      <c r="R508" s="46"/>
      <c r="S508" s="45" t="s">
        <v>4484</v>
      </c>
    </row>
    <row r="509" spans="1:19" ht="15.75" customHeight="1">
      <c r="A509" s="34">
        <v>508</v>
      </c>
      <c r="B509" s="35">
        <v>2025</v>
      </c>
      <c r="C509" s="35">
        <v>2025</v>
      </c>
      <c r="D509" s="43" t="s">
        <v>4518</v>
      </c>
      <c r="E509" s="43">
        <v>37902</v>
      </c>
      <c r="F509" s="48" t="s">
        <v>2665</v>
      </c>
      <c r="G509" s="45" t="s">
        <v>2699</v>
      </c>
      <c r="H509" s="46"/>
      <c r="I509" s="47" t="s">
        <v>4481</v>
      </c>
      <c r="J509" s="46"/>
      <c r="K509" s="35" t="s">
        <v>1512</v>
      </c>
      <c r="L509" s="35" t="s">
        <v>1939</v>
      </c>
      <c r="M509" s="46"/>
      <c r="N509" s="43" t="s">
        <v>4519</v>
      </c>
      <c r="O509" s="46"/>
      <c r="P509" s="46"/>
      <c r="Q509" s="43" t="s">
        <v>4483</v>
      </c>
      <c r="R509" s="46"/>
      <c r="S509" s="45" t="s">
        <v>4484</v>
      </c>
    </row>
    <row r="510" spans="1:19" ht="15.75" customHeight="1">
      <c r="A510" s="34">
        <v>509</v>
      </c>
      <c r="B510" s="35">
        <v>2025</v>
      </c>
      <c r="C510" s="35">
        <v>2025</v>
      </c>
      <c r="D510" s="43" t="s">
        <v>4520</v>
      </c>
      <c r="E510" s="43" t="s">
        <v>4521</v>
      </c>
      <c r="F510" s="48" t="s">
        <v>2656</v>
      </c>
      <c r="G510" s="45" t="s">
        <v>2699</v>
      </c>
      <c r="H510" s="46"/>
      <c r="I510" s="47" t="s">
        <v>4481</v>
      </c>
      <c r="J510" s="46"/>
      <c r="K510" s="35" t="s">
        <v>1512</v>
      </c>
      <c r="L510" s="35" t="s">
        <v>1939</v>
      </c>
      <c r="M510" s="46"/>
      <c r="N510" s="43" t="s">
        <v>4522</v>
      </c>
      <c r="O510" s="46"/>
      <c r="P510" s="46"/>
      <c r="Q510" s="43" t="s">
        <v>4483</v>
      </c>
      <c r="R510" s="46"/>
      <c r="S510" s="45" t="s">
        <v>4484</v>
      </c>
    </row>
    <row r="511" spans="1:19" ht="15.75" customHeight="1">
      <c r="A511" s="34">
        <v>510</v>
      </c>
      <c r="B511" s="35">
        <v>2025</v>
      </c>
      <c r="C511" s="35">
        <v>2025</v>
      </c>
      <c r="D511" s="43" t="s">
        <v>4523</v>
      </c>
      <c r="E511" s="43">
        <v>37445</v>
      </c>
      <c r="F511" s="48" t="s">
        <v>2665</v>
      </c>
      <c r="G511" s="45" t="s">
        <v>2699</v>
      </c>
      <c r="H511" s="46"/>
      <c r="I511" s="47" t="s">
        <v>4481</v>
      </c>
      <c r="J511" s="46"/>
      <c r="K511" s="35" t="s">
        <v>1512</v>
      </c>
      <c r="L511" s="35" t="s">
        <v>1939</v>
      </c>
      <c r="M511" s="46"/>
      <c r="N511" s="43" t="s">
        <v>4524</v>
      </c>
      <c r="O511" s="46"/>
      <c r="P511" s="46"/>
      <c r="Q511" s="43" t="s">
        <v>4483</v>
      </c>
      <c r="R511" s="46"/>
      <c r="S511" s="45" t="s">
        <v>4484</v>
      </c>
    </row>
    <row r="512" spans="1:19" ht="15.75" customHeight="1">
      <c r="A512" s="34">
        <v>511</v>
      </c>
      <c r="B512" s="35">
        <v>2025</v>
      </c>
      <c r="C512" s="35">
        <v>2025</v>
      </c>
      <c r="D512" s="43" t="s">
        <v>4525</v>
      </c>
      <c r="E512" s="43">
        <v>38601</v>
      </c>
      <c r="F512" s="48" t="s">
        <v>2656</v>
      </c>
      <c r="G512" s="45" t="s">
        <v>2699</v>
      </c>
      <c r="H512" s="46"/>
      <c r="I512" s="47" t="s">
        <v>4481</v>
      </c>
      <c r="J512" s="46"/>
      <c r="K512" s="35" t="s">
        <v>1512</v>
      </c>
      <c r="L512" s="35" t="s">
        <v>1939</v>
      </c>
      <c r="M512" s="46"/>
      <c r="N512" s="43" t="s">
        <v>4526</v>
      </c>
      <c r="O512" s="46"/>
      <c r="P512" s="46"/>
      <c r="Q512" s="43" t="s">
        <v>4483</v>
      </c>
      <c r="R512" s="46"/>
      <c r="S512" s="45" t="s">
        <v>4484</v>
      </c>
    </row>
    <row r="513" spans="1:19" ht="15.75" customHeight="1">
      <c r="A513" s="34">
        <v>512</v>
      </c>
      <c r="B513" s="35">
        <v>2025</v>
      </c>
      <c r="C513" s="35">
        <v>2025</v>
      </c>
      <c r="D513" s="43" t="s">
        <v>4527</v>
      </c>
      <c r="E513" s="43">
        <v>38328</v>
      </c>
      <c r="F513" s="48" t="s">
        <v>2665</v>
      </c>
      <c r="G513" s="45" t="s">
        <v>2699</v>
      </c>
      <c r="H513" s="46"/>
      <c r="I513" s="47" t="s">
        <v>4481</v>
      </c>
      <c r="J513" s="46"/>
      <c r="K513" s="35" t="s">
        <v>1512</v>
      </c>
      <c r="L513" s="35" t="s">
        <v>1939</v>
      </c>
      <c r="M513" s="46"/>
      <c r="N513" s="43" t="s">
        <v>4528</v>
      </c>
      <c r="O513" s="46"/>
      <c r="P513" s="46"/>
      <c r="Q513" s="43" t="s">
        <v>4483</v>
      </c>
      <c r="R513" s="46"/>
      <c r="S513" s="45" t="s">
        <v>4484</v>
      </c>
    </row>
    <row r="514" spans="1:19" ht="15.75" customHeight="1">
      <c r="A514" s="34">
        <v>513</v>
      </c>
      <c r="B514" s="35">
        <v>2025</v>
      </c>
      <c r="C514" s="35">
        <v>2025</v>
      </c>
      <c r="D514" s="43" t="s">
        <v>4529</v>
      </c>
      <c r="E514" s="43" t="s">
        <v>4530</v>
      </c>
      <c r="F514" s="48" t="s">
        <v>2665</v>
      </c>
      <c r="G514" s="45" t="s">
        <v>2699</v>
      </c>
      <c r="H514" s="46"/>
      <c r="I514" s="47" t="s">
        <v>4481</v>
      </c>
      <c r="J514" s="46"/>
      <c r="K514" s="35" t="s">
        <v>1512</v>
      </c>
      <c r="L514" s="35" t="s">
        <v>1939</v>
      </c>
      <c r="M514" s="46"/>
      <c r="N514" s="43" t="s">
        <v>4531</v>
      </c>
      <c r="O514" s="46"/>
      <c r="P514" s="46"/>
      <c r="Q514" s="43" t="s">
        <v>4483</v>
      </c>
      <c r="R514" s="46"/>
      <c r="S514" s="45" t="s">
        <v>4484</v>
      </c>
    </row>
    <row r="515" spans="1:19" ht="15.75" customHeight="1">
      <c r="A515" s="34">
        <v>514</v>
      </c>
      <c r="B515" s="35">
        <v>2025</v>
      </c>
      <c r="C515" s="35">
        <v>2025</v>
      </c>
      <c r="D515" s="43" t="s">
        <v>4532</v>
      </c>
      <c r="E515" s="43">
        <v>37905</v>
      </c>
      <c r="F515" s="48" t="s">
        <v>2656</v>
      </c>
      <c r="G515" s="45" t="s">
        <v>2699</v>
      </c>
      <c r="H515" s="46"/>
      <c r="I515" s="47" t="s">
        <v>4481</v>
      </c>
      <c r="J515" s="46"/>
      <c r="K515" s="35" t="s">
        <v>1512</v>
      </c>
      <c r="L515" s="35" t="s">
        <v>1939</v>
      </c>
      <c r="M515" s="46"/>
      <c r="N515" s="43" t="s">
        <v>4533</v>
      </c>
      <c r="O515" s="46"/>
      <c r="P515" s="46"/>
      <c r="Q515" s="43" t="s">
        <v>4483</v>
      </c>
      <c r="R515" s="46"/>
      <c r="S515" s="45" t="s">
        <v>4484</v>
      </c>
    </row>
    <row r="516" spans="1:19" ht="15.75" customHeight="1">
      <c r="A516" s="34">
        <v>515</v>
      </c>
      <c r="B516" s="35">
        <v>2025</v>
      </c>
      <c r="C516" s="35">
        <v>2025</v>
      </c>
      <c r="D516" s="43" t="s">
        <v>4534</v>
      </c>
      <c r="E516" s="43">
        <v>38356</v>
      </c>
      <c r="F516" s="48" t="s">
        <v>2665</v>
      </c>
      <c r="G516" s="45" t="s">
        <v>2699</v>
      </c>
      <c r="H516" s="46"/>
      <c r="I516" s="47" t="s">
        <v>4481</v>
      </c>
      <c r="J516" s="46"/>
      <c r="K516" s="35" t="s">
        <v>1512</v>
      </c>
      <c r="L516" s="35" t="s">
        <v>1939</v>
      </c>
      <c r="M516" s="46"/>
      <c r="N516" s="43" t="s">
        <v>4535</v>
      </c>
      <c r="O516" s="46"/>
      <c r="P516" s="46"/>
      <c r="Q516" s="43" t="s">
        <v>4483</v>
      </c>
      <c r="R516" s="46"/>
      <c r="S516" s="45" t="s">
        <v>4484</v>
      </c>
    </row>
    <row r="517" spans="1:19" ht="15.75" customHeight="1">
      <c r="A517" s="34">
        <v>516</v>
      </c>
      <c r="B517" s="35">
        <v>2025</v>
      </c>
      <c r="C517" s="35">
        <v>2025</v>
      </c>
      <c r="D517" s="43" t="s">
        <v>4536</v>
      </c>
      <c r="E517" s="43" t="s">
        <v>4537</v>
      </c>
      <c r="F517" s="48" t="s">
        <v>2665</v>
      </c>
      <c r="G517" s="45" t="s">
        <v>2699</v>
      </c>
      <c r="H517" s="46"/>
      <c r="I517" s="47" t="s">
        <v>4481</v>
      </c>
      <c r="J517" s="46"/>
      <c r="K517" s="35" t="s">
        <v>1512</v>
      </c>
      <c r="L517" s="35" t="s">
        <v>1939</v>
      </c>
      <c r="M517" s="46"/>
      <c r="N517" s="43" t="s">
        <v>4538</v>
      </c>
      <c r="O517" s="46"/>
      <c r="P517" s="46"/>
      <c r="Q517" s="43" t="s">
        <v>4483</v>
      </c>
      <c r="R517" s="46"/>
      <c r="S517" s="45" t="s">
        <v>4484</v>
      </c>
    </row>
    <row r="518" spans="1:19" ht="15.75" customHeight="1">
      <c r="A518" s="34">
        <v>517</v>
      </c>
      <c r="B518" s="35">
        <v>2025</v>
      </c>
      <c r="C518" s="35">
        <v>2025</v>
      </c>
      <c r="D518" s="43" t="s">
        <v>4539</v>
      </c>
      <c r="E518" s="43">
        <v>38601</v>
      </c>
      <c r="F518" s="48" t="s">
        <v>2656</v>
      </c>
      <c r="G518" s="45" t="s">
        <v>2699</v>
      </c>
      <c r="H518" s="46"/>
      <c r="I518" s="47" t="s">
        <v>4481</v>
      </c>
      <c r="J518" s="46"/>
      <c r="K518" s="35" t="s">
        <v>1512</v>
      </c>
      <c r="L518" s="35" t="s">
        <v>1939</v>
      </c>
      <c r="M518" s="46"/>
      <c r="N518" s="43" t="s">
        <v>4540</v>
      </c>
      <c r="O518" s="46"/>
      <c r="P518" s="46"/>
      <c r="Q518" s="43" t="s">
        <v>4483</v>
      </c>
      <c r="R518" s="46"/>
      <c r="S518" s="45" t="s">
        <v>4484</v>
      </c>
    </row>
    <row r="519" spans="1:19" ht="15.75" customHeight="1">
      <c r="A519" s="34">
        <v>518</v>
      </c>
      <c r="B519" s="35">
        <v>2025</v>
      </c>
      <c r="C519" s="35">
        <v>2025</v>
      </c>
      <c r="D519" s="43" t="s">
        <v>4541</v>
      </c>
      <c r="E519" s="43" t="s">
        <v>4542</v>
      </c>
      <c r="F519" s="48" t="s">
        <v>2665</v>
      </c>
      <c r="G519" s="45" t="s">
        <v>2699</v>
      </c>
      <c r="H519" s="46"/>
      <c r="I519" s="47" t="s">
        <v>4481</v>
      </c>
      <c r="J519" s="46"/>
      <c r="K519" s="35" t="s">
        <v>1512</v>
      </c>
      <c r="L519" s="35" t="s">
        <v>1939</v>
      </c>
      <c r="M519" s="46"/>
      <c r="N519" s="43" t="s">
        <v>4543</v>
      </c>
      <c r="O519" s="46"/>
      <c r="P519" s="46"/>
      <c r="Q519" s="43" t="s">
        <v>4483</v>
      </c>
      <c r="R519" s="46"/>
      <c r="S519" s="45" t="s">
        <v>4484</v>
      </c>
    </row>
    <row r="520" spans="1:19" ht="15.75" customHeight="1">
      <c r="A520" s="34">
        <v>519</v>
      </c>
      <c r="B520" s="35">
        <v>2025</v>
      </c>
      <c r="C520" s="35">
        <v>2025</v>
      </c>
      <c r="D520" s="43" t="s">
        <v>4544</v>
      </c>
      <c r="E520" s="43">
        <v>38020</v>
      </c>
      <c r="F520" s="48" t="s">
        <v>2665</v>
      </c>
      <c r="G520" s="45" t="s">
        <v>2699</v>
      </c>
      <c r="H520" s="46"/>
      <c r="I520" s="47" t="s">
        <v>4481</v>
      </c>
      <c r="J520" s="46"/>
      <c r="K520" s="35" t="s">
        <v>1512</v>
      </c>
      <c r="L520" s="35" t="s">
        <v>1939</v>
      </c>
      <c r="M520" s="46"/>
      <c r="N520" s="43" t="s">
        <v>4545</v>
      </c>
      <c r="O520" s="46"/>
      <c r="P520" s="46"/>
      <c r="Q520" s="43" t="s">
        <v>4483</v>
      </c>
      <c r="R520" s="46"/>
      <c r="S520" s="45" t="s">
        <v>4484</v>
      </c>
    </row>
    <row r="521" spans="1:19" ht="15.75" customHeight="1">
      <c r="A521" s="34">
        <v>520</v>
      </c>
      <c r="B521" s="35">
        <v>2025</v>
      </c>
      <c r="C521" s="35">
        <v>2025</v>
      </c>
      <c r="D521" s="43" t="s">
        <v>4546</v>
      </c>
      <c r="E521" s="43" t="s">
        <v>4547</v>
      </c>
      <c r="F521" s="48" t="s">
        <v>2665</v>
      </c>
      <c r="G521" s="45" t="s">
        <v>2699</v>
      </c>
      <c r="H521" s="46"/>
      <c r="I521" s="47" t="s">
        <v>4481</v>
      </c>
      <c r="J521" s="46"/>
      <c r="K521" s="35" t="s">
        <v>1512</v>
      </c>
      <c r="L521" s="35" t="s">
        <v>1939</v>
      </c>
      <c r="M521" s="46"/>
      <c r="N521" s="43" t="s">
        <v>4548</v>
      </c>
      <c r="O521" s="46"/>
      <c r="P521" s="46"/>
      <c r="Q521" s="43" t="s">
        <v>4483</v>
      </c>
      <c r="R521" s="46"/>
      <c r="S521" s="45" t="s">
        <v>4484</v>
      </c>
    </row>
    <row r="522" spans="1:19" ht="15.75" customHeight="1">
      <c r="A522" s="34">
        <v>521</v>
      </c>
      <c r="B522" s="35">
        <v>2025</v>
      </c>
      <c r="C522" s="35">
        <v>2025</v>
      </c>
      <c r="D522" s="43" t="s">
        <v>4549</v>
      </c>
      <c r="E522" s="43">
        <v>38573</v>
      </c>
      <c r="F522" s="48" t="s">
        <v>2656</v>
      </c>
      <c r="G522" s="45" t="s">
        <v>2699</v>
      </c>
      <c r="H522" s="46"/>
      <c r="I522" s="47" t="s">
        <v>4481</v>
      </c>
      <c r="J522" s="46"/>
      <c r="K522" s="35" t="s">
        <v>1512</v>
      </c>
      <c r="L522" s="35" t="s">
        <v>1939</v>
      </c>
      <c r="M522" s="46"/>
      <c r="N522" s="43" t="s">
        <v>4550</v>
      </c>
      <c r="O522" s="46"/>
      <c r="P522" s="46"/>
      <c r="Q522" s="43" t="s">
        <v>4483</v>
      </c>
      <c r="R522" s="46"/>
      <c r="S522" s="45" t="s">
        <v>4484</v>
      </c>
    </row>
    <row r="523" spans="1:19" ht="15.75" customHeight="1">
      <c r="A523" s="34">
        <v>522</v>
      </c>
      <c r="B523" s="35">
        <v>2025</v>
      </c>
      <c r="C523" s="35">
        <v>2025</v>
      </c>
      <c r="D523" s="43" t="s">
        <v>4551</v>
      </c>
      <c r="E523" s="43">
        <v>38698</v>
      </c>
      <c r="F523" s="48" t="s">
        <v>2656</v>
      </c>
      <c r="G523" s="45" t="s">
        <v>2699</v>
      </c>
      <c r="H523" s="46"/>
      <c r="I523" s="47" t="s">
        <v>4481</v>
      </c>
      <c r="J523" s="46"/>
      <c r="K523" s="35" t="s">
        <v>1512</v>
      </c>
      <c r="L523" s="35" t="s">
        <v>1939</v>
      </c>
      <c r="M523" s="46"/>
      <c r="N523" s="43" t="s">
        <v>4552</v>
      </c>
      <c r="O523" s="46"/>
      <c r="P523" s="46"/>
      <c r="Q523" s="43" t="s">
        <v>4483</v>
      </c>
      <c r="R523" s="46"/>
      <c r="S523" s="45" t="s">
        <v>4484</v>
      </c>
    </row>
    <row r="524" spans="1:19" ht="15.75" customHeight="1">
      <c r="A524" s="34">
        <v>523</v>
      </c>
      <c r="B524" s="35">
        <v>2025</v>
      </c>
      <c r="C524" s="35">
        <v>2025</v>
      </c>
      <c r="D524" s="43" t="s">
        <v>4553</v>
      </c>
      <c r="E524" s="43">
        <v>38780</v>
      </c>
      <c r="F524" s="48" t="s">
        <v>2665</v>
      </c>
      <c r="G524" s="45" t="s">
        <v>2699</v>
      </c>
      <c r="H524" s="46"/>
      <c r="I524" s="47" t="s">
        <v>4481</v>
      </c>
      <c r="J524" s="46"/>
      <c r="K524" s="35" t="s">
        <v>1512</v>
      </c>
      <c r="L524" s="35" t="s">
        <v>1939</v>
      </c>
      <c r="M524" s="46"/>
      <c r="N524" s="43" t="s">
        <v>4554</v>
      </c>
      <c r="O524" s="46"/>
      <c r="P524" s="46"/>
      <c r="Q524" s="43" t="s">
        <v>4483</v>
      </c>
      <c r="R524" s="46"/>
      <c r="S524" s="45" t="s">
        <v>4484</v>
      </c>
    </row>
    <row r="525" spans="1:19" ht="15.75" customHeight="1">
      <c r="A525" s="34">
        <v>524</v>
      </c>
      <c r="B525" s="35">
        <v>2025</v>
      </c>
      <c r="C525" s="35">
        <v>2025</v>
      </c>
      <c r="D525" s="43" t="s">
        <v>4555</v>
      </c>
      <c r="E525" s="43" t="s">
        <v>4556</v>
      </c>
      <c r="F525" s="48" t="s">
        <v>2665</v>
      </c>
      <c r="G525" s="45" t="s">
        <v>2699</v>
      </c>
      <c r="H525" s="46"/>
      <c r="I525" s="47" t="s">
        <v>4481</v>
      </c>
      <c r="J525" s="46"/>
      <c r="K525" s="35" t="s">
        <v>1512</v>
      </c>
      <c r="L525" s="35" t="s">
        <v>1939</v>
      </c>
      <c r="M525" s="46"/>
      <c r="N525" s="43" t="s">
        <v>4557</v>
      </c>
      <c r="O525" s="46"/>
      <c r="P525" s="46"/>
      <c r="Q525" s="43" t="s">
        <v>4483</v>
      </c>
      <c r="R525" s="46"/>
      <c r="S525" s="45" t="s">
        <v>4484</v>
      </c>
    </row>
    <row r="526" spans="1:19" ht="15.75" customHeight="1">
      <c r="A526" s="34">
        <v>525</v>
      </c>
      <c r="B526" s="35">
        <v>2025</v>
      </c>
      <c r="C526" s="35">
        <v>2025</v>
      </c>
      <c r="D526" s="43" t="s">
        <v>4558</v>
      </c>
      <c r="E526" s="43" t="s">
        <v>4559</v>
      </c>
      <c r="F526" s="48" t="s">
        <v>2665</v>
      </c>
      <c r="G526" s="45" t="s">
        <v>2699</v>
      </c>
      <c r="H526" s="46"/>
      <c r="I526" s="47" t="s">
        <v>4481</v>
      </c>
      <c r="J526" s="46"/>
      <c r="K526" s="35" t="s">
        <v>1512</v>
      </c>
      <c r="L526" s="35" t="s">
        <v>1939</v>
      </c>
      <c r="M526" s="46"/>
      <c r="N526" s="43" t="s">
        <v>4560</v>
      </c>
      <c r="O526" s="46"/>
      <c r="P526" s="46"/>
      <c r="Q526" s="43" t="s">
        <v>4483</v>
      </c>
      <c r="R526" s="46"/>
      <c r="S526" s="45" t="s">
        <v>4484</v>
      </c>
    </row>
    <row r="527" spans="1:19" ht="15.75" customHeight="1">
      <c r="A527" s="34">
        <v>526</v>
      </c>
      <c r="B527" s="35">
        <v>2025</v>
      </c>
      <c r="C527" s="35">
        <v>2025</v>
      </c>
      <c r="D527" s="43" t="s">
        <v>4561</v>
      </c>
      <c r="E527" s="43" t="s">
        <v>4562</v>
      </c>
      <c r="F527" s="48" t="s">
        <v>2665</v>
      </c>
      <c r="G527" s="45" t="s">
        <v>2657</v>
      </c>
      <c r="H527" s="46"/>
      <c r="I527" s="47" t="s">
        <v>4563</v>
      </c>
      <c r="J527" s="46"/>
      <c r="K527" s="35" t="s">
        <v>1512</v>
      </c>
      <c r="L527" s="35" t="s">
        <v>1939</v>
      </c>
      <c r="M527" s="46"/>
      <c r="N527" s="43" t="s">
        <v>4564</v>
      </c>
      <c r="O527" s="46"/>
      <c r="P527" s="46"/>
      <c r="Q527" s="43" t="s">
        <v>4565</v>
      </c>
      <c r="R527" s="46"/>
      <c r="S527" s="52"/>
    </row>
    <row r="528" spans="1:19" ht="15.75" customHeight="1">
      <c r="A528" s="34">
        <v>527</v>
      </c>
      <c r="B528" s="35">
        <v>2025</v>
      </c>
      <c r="C528" s="35">
        <v>2025</v>
      </c>
      <c r="D528" s="43" t="s">
        <v>4566</v>
      </c>
      <c r="E528" s="43" t="s">
        <v>4567</v>
      </c>
      <c r="F528" s="48" t="s">
        <v>2656</v>
      </c>
      <c r="G528" s="45" t="s">
        <v>2657</v>
      </c>
      <c r="H528" s="46"/>
      <c r="I528" s="47" t="s">
        <v>4563</v>
      </c>
      <c r="J528" s="46"/>
      <c r="K528" s="35" t="s">
        <v>1512</v>
      </c>
      <c r="L528" s="35" t="s">
        <v>1939</v>
      </c>
      <c r="M528" s="46"/>
      <c r="N528" s="43" t="s">
        <v>4568</v>
      </c>
      <c r="O528" s="46"/>
      <c r="P528" s="46"/>
      <c r="Q528" s="43" t="s">
        <v>4565</v>
      </c>
      <c r="R528" s="46"/>
      <c r="S528" s="52"/>
    </row>
    <row r="529" spans="1:19" ht="15.75" customHeight="1">
      <c r="A529" s="34">
        <v>528</v>
      </c>
      <c r="B529" s="35">
        <v>2025</v>
      </c>
      <c r="C529" s="35">
        <v>2025</v>
      </c>
      <c r="D529" s="43" t="s">
        <v>4569</v>
      </c>
      <c r="E529" s="43" t="s">
        <v>4570</v>
      </c>
      <c r="F529" s="48" t="s">
        <v>2665</v>
      </c>
      <c r="G529" s="45" t="s">
        <v>2657</v>
      </c>
      <c r="H529" s="46"/>
      <c r="I529" s="47" t="s">
        <v>4563</v>
      </c>
      <c r="J529" s="46"/>
      <c r="K529" s="35" t="s">
        <v>1512</v>
      </c>
      <c r="L529" s="35" t="s">
        <v>1939</v>
      </c>
      <c r="M529" s="46"/>
      <c r="N529" s="43" t="s">
        <v>4571</v>
      </c>
      <c r="O529" s="46"/>
      <c r="P529" s="46"/>
      <c r="Q529" s="43" t="s">
        <v>4565</v>
      </c>
      <c r="R529" s="46"/>
      <c r="S529" s="52"/>
    </row>
    <row r="530" spans="1:19" ht="15.75" customHeight="1">
      <c r="A530" s="34">
        <v>529</v>
      </c>
      <c r="B530" s="35">
        <v>2025</v>
      </c>
      <c r="C530" s="35">
        <v>2025</v>
      </c>
      <c r="D530" s="43" t="s">
        <v>4572</v>
      </c>
      <c r="E530" s="43" t="s">
        <v>4573</v>
      </c>
      <c r="F530" s="48" t="s">
        <v>2665</v>
      </c>
      <c r="G530" s="45" t="s">
        <v>2657</v>
      </c>
      <c r="H530" s="46"/>
      <c r="I530" s="47" t="s">
        <v>4563</v>
      </c>
      <c r="J530" s="46"/>
      <c r="K530" s="35" t="s">
        <v>1512</v>
      </c>
      <c r="L530" s="35" t="s">
        <v>1939</v>
      </c>
      <c r="M530" s="46"/>
      <c r="N530" s="43" t="s">
        <v>4574</v>
      </c>
      <c r="O530" s="46"/>
      <c r="P530" s="46"/>
      <c r="Q530" s="43" t="s">
        <v>4565</v>
      </c>
      <c r="R530" s="46"/>
      <c r="S530" s="52"/>
    </row>
    <row r="531" spans="1:19" ht="15.75" customHeight="1">
      <c r="A531" s="34">
        <v>530</v>
      </c>
      <c r="B531" s="35">
        <v>2025</v>
      </c>
      <c r="C531" s="35">
        <v>2025</v>
      </c>
      <c r="D531" s="43" t="s">
        <v>4575</v>
      </c>
      <c r="E531" s="43">
        <v>31594</v>
      </c>
      <c r="F531" s="48" t="s">
        <v>2665</v>
      </c>
      <c r="G531" s="45" t="s">
        <v>2657</v>
      </c>
      <c r="H531" s="46"/>
      <c r="I531" s="47" t="s">
        <v>4563</v>
      </c>
      <c r="J531" s="46"/>
      <c r="K531" s="35" t="s">
        <v>1512</v>
      </c>
      <c r="L531" s="35" t="s">
        <v>1939</v>
      </c>
      <c r="M531" s="46"/>
      <c r="N531" s="43" t="s">
        <v>4576</v>
      </c>
      <c r="O531" s="46"/>
      <c r="P531" s="46"/>
      <c r="Q531" s="43" t="s">
        <v>4565</v>
      </c>
      <c r="R531" s="46"/>
      <c r="S531" s="52"/>
    </row>
    <row r="532" spans="1:19" ht="15.75" customHeight="1">
      <c r="A532" s="34">
        <v>531</v>
      </c>
      <c r="B532" s="35">
        <v>2025</v>
      </c>
      <c r="C532" s="35">
        <v>2025</v>
      </c>
      <c r="D532" s="43" t="s">
        <v>4577</v>
      </c>
      <c r="E532" s="43">
        <v>30928</v>
      </c>
      <c r="F532" s="48" t="s">
        <v>2656</v>
      </c>
      <c r="G532" s="45" t="s">
        <v>2657</v>
      </c>
      <c r="H532" s="46"/>
      <c r="I532" s="47" t="s">
        <v>4563</v>
      </c>
      <c r="J532" s="46"/>
      <c r="K532" s="35" t="s">
        <v>1512</v>
      </c>
      <c r="L532" s="35" t="s">
        <v>1939</v>
      </c>
      <c r="M532" s="46"/>
      <c r="N532" s="43" t="s">
        <v>4578</v>
      </c>
      <c r="O532" s="46"/>
      <c r="P532" s="46"/>
      <c r="Q532" s="43" t="s">
        <v>4565</v>
      </c>
      <c r="R532" s="46"/>
      <c r="S532" s="52"/>
    </row>
    <row r="533" spans="1:19" ht="15.75" customHeight="1">
      <c r="A533" s="34">
        <v>532</v>
      </c>
      <c r="B533" s="35">
        <v>2025</v>
      </c>
      <c r="C533" s="35">
        <v>2025</v>
      </c>
      <c r="D533" s="43" t="s">
        <v>4579</v>
      </c>
      <c r="E533" s="43" t="s">
        <v>4580</v>
      </c>
      <c r="F533" s="48" t="s">
        <v>2656</v>
      </c>
      <c r="G533" s="45" t="s">
        <v>2657</v>
      </c>
      <c r="H533" s="46"/>
      <c r="I533" s="47" t="s">
        <v>4563</v>
      </c>
      <c r="J533" s="46"/>
      <c r="K533" s="35" t="s">
        <v>1512</v>
      </c>
      <c r="L533" s="35" t="s">
        <v>1939</v>
      </c>
      <c r="M533" s="46"/>
      <c r="N533" s="43" t="s">
        <v>4581</v>
      </c>
      <c r="O533" s="46"/>
      <c r="P533" s="46"/>
      <c r="Q533" s="43" t="s">
        <v>4565</v>
      </c>
      <c r="R533" s="46"/>
      <c r="S533" s="52"/>
    </row>
    <row r="534" spans="1:19" ht="15.75" customHeight="1">
      <c r="A534" s="34">
        <v>533</v>
      </c>
      <c r="B534" s="35">
        <v>2025</v>
      </c>
      <c r="C534" s="35">
        <v>2025</v>
      </c>
      <c r="D534" s="43" t="s">
        <v>4582</v>
      </c>
      <c r="E534" s="43" t="s">
        <v>4583</v>
      </c>
      <c r="F534" s="48" t="s">
        <v>2656</v>
      </c>
      <c r="G534" s="45" t="s">
        <v>2657</v>
      </c>
      <c r="H534" s="46"/>
      <c r="I534" s="47" t="s">
        <v>4563</v>
      </c>
      <c r="J534" s="46"/>
      <c r="K534" s="35" t="s">
        <v>1512</v>
      </c>
      <c r="L534" s="35" t="s">
        <v>1939</v>
      </c>
      <c r="M534" s="46"/>
      <c r="N534" s="43" t="s">
        <v>4584</v>
      </c>
      <c r="O534" s="46"/>
      <c r="P534" s="46"/>
      <c r="Q534" s="43" t="s">
        <v>4565</v>
      </c>
      <c r="R534" s="46"/>
      <c r="S534" s="52"/>
    </row>
    <row r="535" spans="1:19" ht="15.75" customHeight="1">
      <c r="A535" s="34">
        <v>534</v>
      </c>
      <c r="B535" s="35">
        <v>2025</v>
      </c>
      <c r="C535" s="35">
        <v>2025</v>
      </c>
      <c r="D535" s="43" t="s">
        <v>4585</v>
      </c>
      <c r="E535" s="43">
        <v>27979</v>
      </c>
      <c r="F535" s="48" t="s">
        <v>2665</v>
      </c>
      <c r="G535" s="45" t="s">
        <v>2657</v>
      </c>
      <c r="H535" s="46"/>
      <c r="I535" s="47" t="s">
        <v>4563</v>
      </c>
      <c r="J535" s="46"/>
      <c r="K535" s="35" t="s">
        <v>1512</v>
      </c>
      <c r="L535" s="35" t="s">
        <v>1939</v>
      </c>
      <c r="M535" s="46"/>
      <c r="N535" s="43" t="s">
        <v>4586</v>
      </c>
      <c r="O535" s="46"/>
      <c r="P535" s="46"/>
      <c r="Q535" s="43" t="s">
        <v>4565</v>
      </c>
      <c r="R535" s="46"/>
      <c r="S535" s="52"/>
    </row>
    <row r="536" spans="1:19" ht="15.75" customHeight="1">
      <c r="A536" s="34">
        <v>535</v>
      </c>
      <c r="B536" s="35">
        <v>2025</v>
      </c>
      <c r="C536" s="35">
        <v>2025</v>
      </c>
      <c r="D536" s="43" t="s">
        <v>4587</v>
      </c>
      <c r="E536" s="43" t="s">
        <v>4588</v>
      </c>
      <c r="F536" s="48" t="s">
        <v>2656</v>
      </c>
      <c r="G536" s="45" t="s">
        <v>2657</v>
      </c>
      <c r="H536" s="46"/>
      <c r="I536" s="47" t="s">
        <v>4563</v>
      </c>
      <c r="J536" s="46"/>
      <c r="K536" s="35" t="s">
        <v>1512</v>
      </c>
      <c r="L536" s="35" t="s">
        <v>1939</v>
      </c>
      <c r="M536" s="46"/>
      <c r="N536" s="43" t="s">
        <v>4589</v>
      </c>
      <c r="O536" s="46"/>
      <c r="P536" s="46"/>
      <c r="Q536" s="43" t="s">
        <v>4565</v>
      </c>
      <c r="R536" s="46"/>
      <c r="S536" s="52"/>
    </row>
    <row r="537" spans="1:19" ht="15.75" customHeight="1">
      <c r="A537" s="34">
        <v>536</v>
      </c>
      <c r="B537" s="35">
        <v>2025</v>
      </c>
      <c r="C537" s="35">
        <v>2025</v>
      </c>
      <c r="D537" s="43" t="s">
        <v>4590</v>
      </c>
      <c r="E537" s="43">
        <v>30536</v>
      </c>
      <c r="F537" s="48" t="s">
        <v>2656</v>
      </c>
      <c r="G537" s="45" t="s">
        <v>2657</v>
      </c>
      <c r="H537" s="46"/>
      <c r="I537" s="47" t="s">
        <v>4563</v>
      </c>
      <c r="J537" s="46"/>
      <c r="K537" s="35" t="s">
        <v>1512</v>
      </c>
      <c r="L537" s="35" t="s">
        <v>1939</v>
      </c>
      <c r="M537" s="46"/>
      <c r="N537" s="43" t="s">
        <v>4591</v>
      </c>
      <c r="O537" s="46"/>
      <c r="P537" s="46"/>
      <c r="Q537" s="43" t="s">
        <v>4565</v>
      </c>
      <c r="R537" s="46"/>
      <c r="S537" s="52"/>
    </row>
    <row r="538" spans="1:19" ht="15.75" customHeight="1">
      <c r="A538" s="34">
        <v>537</v>
      </c>
      <c r="B538" s="35">
        <v>2025</v>
      </c>
      <c r="C538" s="35">
        <v>2025</v>
      </c>
      <c r="D538" s="43" t="s">
        <v>4592</v>
      </c>
      <c r="E538" s="43">
        <v>31506</v>
      </c>
      <c r="F538" s="48" t="s">
        <v>2665</v>
      </c>
      <c r="G538" s="45" t="s">
        <v>2657</v>
      </c>
      <c r="H538" s="46"/>
      <c r="I538" s="47" t="s">
        <v>4563</v>
      </c>
      <c r="J538" s="46"/>
      <c r="K538" s="35" t="s">
        <v>1512</v>
      </c>
      <c r="L538" s="35" t="s">
        <v>1939</v>
      </c>
      <c r="M538" s="46"/>
      <c r="N538" s="43" t="s">
        <v>4593</v>
      </c>
      <c r="O538" s="46"/>
      <c r="P538" s="46"/>
      <c r="Q538" s="43" t="s">
        <v>4565</v>
      </c>
      <c r="R538" s="46"/>
      <c r="S538" s="52"/>
    </row>
    <row r="539" spans="1:19" ht="15.75" customHeight="1">
      <c r="A539" s="34">
        <v>538</v>
      </c>
      <c r="B539" s="35">
        <v>2025</v>
      </c>
      <c r="C539" s="35">
        <v>2025</v>
      </c>
      <c r="D539" s="43" t="s">
        <v>4594</v>
      </c>
      <c r="E539" s="43">
        <v>30959</v>
      </c>
      <c r="F539" s="48" t="s">
        <v>2656</v>
      </c>
      <c r="G539" s="45" t="s">
        <v>2657</v>
      </c>
      <c r="H539" s="46"/>
      <c r="I539" s="47" t="s">
        <v>4563</v>
      </c>
      <c r="J539" s="46"/>
      <c r="K539" s="35" t="s">
        <v>1512</v>
      </c>
      <c r="L539" s="35" t="s">
        <v>1939</v>
      </c>
      <c r="M539" s="46"/>
      <c r="N539" s="43" t="s">
        <v>4595</v>
      </c>
      <c r="O539" s="46"/>
      <c r="P539" s="46"/>
      <c r="Q539" s="43" t="s">
        <v>4565</v>
      </c>
      <c r="R539" s="46"/>
      <c r="S539" s="52"/>
    </row>
    <row r="540" spans="1:19" ht="15.75" customHeight="1">
      <c r="A540" s="34">
        <v>539</v>
      </c>
      <c r="B540" s="35">
        <v>2025</v>
      </c>
      <c r="C540" s="35">
        <v>2025</v>
      </c>
      <c r="D540" s="43" t="s">
        <v>4596</v>
      </c>
      <c r="E540" s="43">
        <v>33460</v>
      </c>
      <c r="F540" s="48" t="s">
        <v>2656</v>
      </c>
      <c r="G540" s="45" t="s">
        <v>2657</v>
      </c>
      <c r="H540" s="46"/>
      <c r="I540" s="47" t="s">
        <v>4563</v>
      </c>
      <c r="J540" s="46"/>
      <c r="K540" s="35" t="s">
        <v>1512</v>
      </c>
      <c r="L540" s="35" t="s">
        <v>1939</v>
      </c>
      <c r="M540" s="46"/>
      <c r="N540" s="43" t="s">
        <v>4597</v>
      </c>
      <c r="O540" s="46"/>
      <c r="P540" s="46"/>
      <c r="Q540" s="43" t="s">
        <v>4565</v>
      </c>
      <c r="R540" s="46"/>
      <c r="S540" s="52"/>
    </row>
    <row r="541" spans="1:19" ht="15.75" customHeight="1">
      <c r="A541" s="34">
        <v>540</v>
      </c>
      <c r="B541" s="35">
        <v>2025</v>
      </c>
      <c r="C541" s="35">
        <v>2025</v>
      </c>
      <c r="D541" s="43" t="s">
        <v>4598</v>
      </c>
      <c r="E541" s="43" t="s">
        <v>4599</v>
      </c>
      <c r="F541" s="48" t="s">
        <v>2656</v>
      </c>
      <c r="G541" s="45" t="s">
        <v>2657</v>
      </c>
      <c r="H541" s="46"/>
      <c r="I541" s="47" t="s">
        <v>4563</v>
      </c>
      <c r="J541" s="46"/>
      <c r="K541" s="35" t="s">
        <v>1512</v>
      </c>
      <c r="L541" s="35" t="s">
        <v>1939</v>
      </c>
      <c r="M541" s="46"/>
      <c r="N541" s="43" t="s">
        <v>4600</v>
      </c>
      <c r="O541" s="46"/>
      <c r="P541" s="46"/>
      <c r="Q541" s="43" t="s">
        <v>4565</v>
      </c>
      <c r="R541" s="46"/>
      <c r="S541" s="52"/>
    </row>
    <row r="542" spans="1:19" ht="15.75" customHeight="1">
      <c r="A542" s="34">
        <v>541</v>
      </c>
      <c r="B542" s="35">
        <v>2025</v>
      </c>
      <c r="C542" s="35">
        <v>2025</v>
      </c>
      <c r="D542" s="43" t="s">
        <v>4601</v>
      </c>
      <c r="E542" s="43" t="s">
        <v>4602</v>
      </c>
      <c r="F542" s="48" t="s">
        <v>2665</v>
      </c>
      <c r="G542" s="45" t="s">
        <v>2657</v>
      </c>
      <c r="H542" s="46"/>
      <c r="I542" s="47" t="s">
        <v>4563</v>
      </c>
      <c r="J542" s="46"/>
      <c r="K542" s="35" t="s">
        <v>1512</v>
      </c>
      <c r="L542" s="35" t="s">
        <v>1939</v>
      </c>
      <c r="M542" s="46"/>
      <c r="N542" s="43" t="s">
        <v>4603</v>
      </c>
      <c r="O542" s="46"/>
      <c r="P542" s="46"/>
      <c r="Q542" s="43" t="s">
        <v>4565</v>
      </c>
      <c r="R542" s="46"/>
      <c r="S542" s="52"/>
    </row>
    <row r="543" spans="1:19" ht="15.75" customHeight="1">
      <c r="A543" s="34">
        <v>542</v>
      </c>
      <c r="B543" s="35">
        <v>2025</v>
      </c>
      <c r="C543" s="35">
        <v>2025</v>
      </c>
      <c r="D543" s="43" t="s">
        <v>4604</v>
      </c>
      <c r="E543" s="43" t="s">
        <v>4605</v>
      </c>
      <c r="F543" s="48" t="s">
        <v>2656</v>
      </c>
      <c r="G543" s="45" t="s">
        <v>2657</v>
      </c>
      <c r="H543" s="46"/>
      <c r="I543" s="47" t="s">
        <v>4563</v>
      </c>
      <c r="J543" s="46"/>
      <c r="K543" s="35" t="s">
        <v>1512</v>
      </c>
      <c r="L543" s="35" t="s">
        <v>1939</v>
      </c>
      <c r="M543" s="46"/>
      <c r="N543" s="43" t="s">
        <v>4606</v>
      </c>
      <c r="O543" s="46"/>
      <c r="P543" s="46"/>
      <c r="Q543" s="43" t="s">
        <v>4565</v>
      </c>
      <c r="R543" s="46"/>
      <c r="S543" s="52"/>
    </row>
    <row r="544" spans="1:19" ht="15.75" customHeight="1">
      <c r="A544" s="34">
        <v>543</v>
      </c>
      <c r="B544" s="35">
        <v>2025</v>
      </c>
      <c r="C544" s="35">
        <v>2025</v>
      </c>
      <c r="D544" s="43" t="s">
        <v>4607</v>
      </c>
      <c r="E544" s="43" t="s">
        <v>4608</v>
      </c>
      <c r="F544" s="48" t="s">
        <v>2656</v>
      </c>
      <c r="G544" s="45" t="s">
        <v>2657</v>
      </c>
      <c r="H544" s="46"/>
      <c r="I544" s="47" t="s">
        <v>4563</v>
      </c>
      <c r="J544" s="46"/>
      <c r="K544" s="35" t="s">
        <v>1512</v>
      </c>
      <c r="L544" s="35" t="s">
        <v>1939</v>
      </c>
      <c r="M544" s="46"/>
      <c r="N544" s="43" t="s">
        <v>4609</v>
      </c>
      <c r="O544" s="46"/>
      <c r="P544" s="46"/>
      <c r="Q544" s="43" t="s">
        <v>4565</v>
      </c>
      <c r="R544" s="46"/>
      <c r="S544" s="52"/>
    </row>
    <row r="545" spans="1:19" ht="15.75" customHeight="1">
      <c r="A545" s="34">
        <v>544</v>
      </c>
      <c r="B545" s="35">
        <v>2025</v>
      </c>
      <c r="C545" s="35">
        <v>2025</v>
      </c>
      <c r="D545" s="43" t="s">
        <v>4610</v>
      </c>
      <c r="E545" s="43" t="s">
        <v>4611</v>
      </c>
      <c r="F545" s="48" t="s">
        <v>2665</v>
      </c>
      <c r="G545" s="45" t="s">
        <v>2657</v>
      </c>
      <c r="H545" s="46"/>
      <c r="I545" s="47" t="s">
        <v>4563</v>
      </c>
      <c r="J545" s="46"/>
      <c r="K545" s="35" t="s">
        <v>1512</v>
      </c>
      <c r="L545" s="35" t="s">
        <v>1939</v>
      </c>
      <c r="M545" s="46"/>
      <c r="N545" s="43" t="s">
        <v>4612</v>
      </c>
      <c r="O545" s="46"/>
      <c r="P545" s="46"/>
      <c r="Q545" s="43" t="s">
        <v>4565</v>
      </c>
      <c r="R545" s="46"/>
      <c r="S545" s="52"/>
    </row>
    <row r="546" spans="1:19" ht="15.75" customHeight="1">
      <c r="A546" s="34">
        <v>545</v>
      </c>
      <c r="B546" s="35">
        <v>2025</v>
      </c>
      <c r="C546" s="35">
        <v>2025</v>
      </c>
      <c r="D546" s="43" t="s">
        <v>4613</v>
      </c>
      <c r="E546" s="43" t="s">
        <v>4614</v>
      </c>
      <c r="F546" s="48" t="s">
        <v>2665</v>
      </c>
      <c r="G546" s="45" t="s">
        <v>2657</v>
      </c>
      <c r="H546" s="46"/>
      <c r="I546" s="47" t="s">
        <v>4563</v>
      </c>
      <c r="J546" s="46"/>
      <c r="K546" s="35" t="s">
        <v>1512</v>
      </c>
      <c r="L546" s="35" t="s">
        <v>1939</v>
      </c>
      <c r="M546" s="46"/>
      <c r="N546" s="43" t="s">
        <v>4615</v>
      </c>
      <c r="O546" s="46"/>
      <c r="P546" s="46"/>
      <c r="Q546" s="43" t="s">
        <v>4565</v>
      </c>
      <c r="R546" s="46"/>
      <c r="S546" s="52"/>
    </row>
    <row r="547" spans="1:19" ht="15.75" customHeight="1">
      <c r="A547" s="34">
        <v>546</v>
      </c>
      <c r="B547" s="35">
        <v>2025</v>
      </c>
      <c r="C547" s="35">
        <v>2025</v>
      </c>
      <c r="D547" s="43" t="s">
        <v>4616</v>
      </c>
      <c r="E547" s="43" t="s">
        <v>4617</v>
      </c>
      <c r="F547" s="48" t="s">
        <v>2665</v>
      </c>
      <c r="G547" s="45" t="s">
        <v>3209</v>
      </c>
      <c r="H547" s="46"/>
      <c r="I547" s="47" t="s">
        <v>4618</v>
      </c>
      <c r="J547" s="46"/>
      <c r="K547" s="35" t="s">
        <v>1512</v>
      </c>
      <c r="L547" s="35" t="s">
        <v>1939</v>
      </c>
      <c r="M547" s="46"/>
      <c r="N547" s="43">
        <v>758482545</v>
      </c>
      <c r="O547" s="46"/>
      <c r="P547" s="46"/>
      <c r="Q547" s="43" t="s">
        <v>4619</v>
      </c>
      <c r="R547" s="46"/>
      <c r="S547" s="52"/>
    </row>
    <row r="548" spans="1:19" ht="15.75" customHeight="1">
      <c r="A548" s="34">
        <v>547</v>
      </c>
      <c r="B548" s="35">
        <v>2025</v>
      </c>
      <c r="C548" s="35">
        <v>2025</v>
      </c>
      <c r="D548" s="43" t="s">
        <v>4620</v>
      </c>
      <c r="E548" s="43" t="s">
        <v>4621</v>
      </c>
      <c r="F548" s="48" t="s">
        <v>2665</v>
      </c>
      <c r="G548" s="45" t="s">
        <v>3209</v>
      </c>
      <c r="H548" s="46"/>
      <c r="I548" s="47" t="s">
        <v>4618</v>
      </c>
      <c r="J548" s="46"/>
      <c r="K548" s="35" t="s">
        <v>1512</v>
      </c>
      <c r="L548" s="35" t="s">
        <v>1939</v>
      </c>
      <c r="M548" s="46"/>
      <c r="N548" s="43">
        <v>760292779</v>
      </c>
      <c r="O548" s="46"/>
      <c r="P548" s="46"/>
      <c r="Q548" s="43" t="s">
        <v>4619</v>
      </c>
      <c r="R548" s="46"/>
      <c r="S548" s="52"/>
    </row>
    <row r="549" spans="1:19" ht="15.75" customHeight="1">
      <c r="A549" s="34">
        <v>548</v>
      </c>
      <c r="B549" s="35">
        <v>2025</v>
      </c>
      <c r="C549" s="35">
        <v>2025</v>
      </c>
      <c r="D549" s="43" t="s">
        <v>4622</v>
      </c>
      <c r="E549" s="43" t="s">
        <v>4623</v>
      </c>
      <c r="F549" s="48" t="s">
        <v>2665</v>
      </c>
      <c r="G549" s="45" t="s">
        <v>3209</v>
      </c>
      <c r="H549" s="46"/>
      <c r="I549" s="47" t="s">
        <v>4618</v>
      </c>
      <c r="J549" s="46"/>
      <c r="K549" s="35" t="s">
        <v>1512</v>
      </c>
      <c r="L549" s="35" t="s">
        <v>1939</v>
      </c>
      <c r="M549" s="46"/>
      <c r="N549" s="43">
        <v>762458782</v>
      </c>
      <c r="O549" s="46"/>
      <c r="P549" s="46"/>
      <c r="Q549" s="43" t="s">
        <v>4619</v>
      </c>
      <c r="R549" s="46"/>
      <c r="S549" s="52"/>
    </row>
    <row r="550" spans="1:19" ht="15.75" customHeight="1">
      <c r="A550" s="34">
        <v>549</v>
      </c>
      <c r="B550" s="35">
        <v>2025</v>
      </c>
      <c r="C550" s="35">
        <v>2025</v>
      </c>
      <c r="D550" s="43" t="s">
        <v>4624</v>
      </c>
      <c r="E550" s="43" t="s">
        <v>4486</v>
      </c>
      <c r="F550" s="48" t="s">
        <v>2665</v>
      </c>
      <c r="G550" s="45" t="s">
        <v>3209</v>
      </c>
      <c r="H550" s="46"/>
      <c r="I550" s="47" t="s">
        <v>4618</v>
      </c>
      <c r="J550" s="46"/>
      <c r="K550" s="35" t="s">
        <v>1512</v>
      </c>
      <c r="L550" s="35" t="s">
        <v>1939</v>
      </c>
      <c r="M550" s="46"/>
      <c r="N550" s="43">
        <v>775968046</v>
      </c>
      <c r="O550" s="46"/>
      <c r="P550" s="46"/>
      <c r="Q550" s="43" t="s">
        <v>4619</v>
      </c>
      <c r="R550" s="46"/>
      <c r="S550" s="52"/>
    </row>
    <row r="551" spans="1:19" ht="15.75" customHeight="1">
      <c r="A551" s="34">
        <v>550</v>
      </c>
      <c r="B551" s="35">
        <v>2025</v>
      </c>
      <c r="C551" s="35">
        <v>2025</v>
      </c>
      <c r="D551" s="43" t="s">
        <v>4625</v>
      </c>
      <c r="E551" s="48">
        <v>38240</v>
      </c>
      <c r="F551" s="48" t="s">
        <v>2665</v>
      </c>
      <c r="G551" s="45" t="s">
        <v>3209</v>
      </c>
      <c r="H551" s="46"/>
      <c r="I551" s="47" t="s">
        <v>4618</v>
      </c>
      <c r="J551" s="46"/>
      <c r="K551" s="35" t="s">
        <v>1512</v>
      </c>
      <c r="L551" s="35" t="s">
        <v>1939</v>
      </c>
      <c r="M551" s="46"/>
      <c r="N551" s="43">
        <v>775913343</v>
      </c>
      <c r="O551" s="46"/>
      <c r="P551" s="46"/>
      <c r="Q551" s="43" t="s">
        <v>4619</v>
      </c>
      <c r="R551" s="46"/>
      <c r="S551" s="52"/>
    </row>
    <row r="552" spans="1:19" ht="15.75" customHeight="1">
      <c r="A552" s="34">
        <v>551</v>
      </c>
      <c r="B552" s="35">
        <v>2025</v>
      </c>
      <c r="C552" s="35">
        <v>2025</v>
      </c>
      <c r="D552" s="43" t="s">
        <v>4626</v>
      </c>
      <c r="E552" s="43" t="s">
        <v>4627</v>
      </c>
      <c r="F552" s="48" t="s">
        <v>2665</v>
      </c>
      <c r="G552" s="45" t="s">
        <v>3209</v>
      </c>
      <c r="H552" s="46"/>
      <c r="I552" s="47" t="s">
        <v>4618</v>
      </c>
      <c r="J552" s="46"/>
      <c r="K552" s="35" t="s">
        <v>1512</v>
      </c>
      <c r="L552" s="35" t="s">
        <v>1939</v>
      </c>
      <c r="M552" s="46"/>
      <c r="N552" s="43">
        <v>775760590</v>
      </c>
      <c r="O552" s="46"/>
      <c r="P552" s="46"/>
      <c r="Q552" s="43" t="s">
        <v>4619</v>
      </c>
      <c r="R552" s="46"/>
      <c r="S552" s="52"/>
    </row>
    <row r="553" spans="1:19" ht="15.75" customHeight="1">
      <c r="A553" s="34">
        <v>552</v>
      </c>
      <c r="B553" s="35">
        <v>2025</v>
      </c>
      <c r="C553" s="35">
        <v>2025</v>
      </c>
      <c r="D553" s="43" t="s">
        <v>4628</v>
      </c>
      <c r="E553" s="43" t="s">
        <v>4629</v>
      </c>
      <c r="F553" s="48" t="s">
        <v>2656</v>
      </c>
      <c r="G553" s="45" t="s">
        <v>3209</v>
      </c>
      <c r="H553" s="46"/>
      <c r="I553" s="47" t="s">
        <v>4618</v>
      </c>
      <c r="J553" s="46"/>
      <c r="K553" s="35" t="s">
        <v>1512</v>
      </c>
      <c r="L553" s="35" t="s">
        <v>1939</v>
      </c>
      <c r="M553" s="46"/>
      <c r="N553" s="43">
        <v>671703480</v>
      </c>
      <c r="O553" s="46"/>
      <c r="P553" s="46"/>
      <c r="Q553" s="43" t="s">
        <v>4619</v>
      </c>
      <c r="R553" s="46"/>
      <c r="S553" s="52"/>
    </row>
    <row r="554" spans="1:19" ht="15.75" customHeight="1">
      <c r="A554" s="34">
        <v>553</v>
      </c>
      <c r="B554" s="35">
        <v>2025</v>
      </c>
      <c r="C554" s="35">
        <v>2025</v>
      </c>
      <c r="D554" s="43" t="s">
        <v>4630</v>
      </c>
      <c r="E554" s="48">
        <v>39023</v>
      </c>
      <c r="F554" s="48" t="s">
        <v>2656</v>
      </c>
      <c r="G554" s="45" t="s">
        <v>3209</v>
      </c>
      <c r="H554" s="46"/>
      <c r="I554" s="47" t="s">
        <v>4618</v>
      </c>
      <c r="J554" s="46"/>
      <c r="K554" s="35" t="s">
        <v>1512</v>
      </c>
      <c r="L554" s="35" t="s">
        <v>1939</v>
      </c>
      <c r="M554" s="46"/>
      <c r="N554" s="43">
        <v>772134596</v>
      </c>
      <c r="O554" s="46"/>
      <c r="P554" s="46"/>
      <c r="Q554" s="43" t="s">
        <v>4619</v>
      </c>
      <c r="R554" s="46"/>
      <c r="S554" s="52"/>
    </row>
    <row r="555" spans="1:19" ht="15.75" customHeight="1">
      <c r="A555" s="34">
        <v>554</v>
      </c>
      <c r="B555" s="35">
        <v>2025</v>
      </c>
      <c r="C555" s="35">
        <v>2025</v>
      </c>
      <c r="D555" s="43" t="s">
        <v>4631</v>
      </c>
      <c r="E555" s="43" t="s">
        <v>4632</v>
      </c>
      <c r="F555" s="48" t="s">
        <v>2656</v>
      </c>
      <c r="G555" s="45" t="s">
        <v>3209</v>
      </c>
      <c r="H555" s="46"/>
      <c r="I555" s="47" t="s">
        <v>4618</v>
      </c>
      <c r="J555" s="46"/>
      <c r="K555" s="35" t="s">
        <v>1512</v>
      </c>
      <c r="L555" s="35" t="s">
        <v>1939</v>
      </c>
      <c r="M555" s="46"/>
      <c r="N555" s="43">
        <v>668865287</v>
      </c>
      <c r="O555" s="46"/>
      <c r="P555" s="46"/>
      <c r="Q555" s="43" t="s">
        <v>4619</v>
      </c>
      <c r="R555" s="46"/>
      <c r="S555" s="52"/>
    </row>
    <row r="556" spans="1:19" ht="15.75" customHeight="1">
      <c r="A556" s="34">
        <v>555</v>
      </c>
      <c r="B556" s="35">
        <v>2025</v>
      </c>
      <c r="C556" s="35">
        <v>2025</v>
      </c>
      <c r="D556" s="43" t="s">
        <v>4633</v>
      </c>
      <c r="E556" s="48">
        <v>38144</v>
      </c>
      <c r="F556" s="48" t="s">
        <v>2665</v>
      </c>
      <c r="G556" s="45" t="s">
        <v>2699</v>
      </c>
      <c r="H556" s="46"/>
      <c r="I556" s="47" t="s">
        <v>4634</v>
      </c>
      <c r="J556" s="46"/>
      <c r="K556" s="35" t="s">
        <v>1512</v>
      </c>
      <c r="L556" s="35" t="s">
        <v>1939</v>
      </c>
      <c r="M556" s="46"/>
      <c r="N556" s="43" t="s">
        <v>4635</v>
      </c>
      <c r="O556" s="46"/>
      <c r="P556" s="46"/>
      <c r="Q556" s="43" t="s">
        <v>4636</v>
      </c>
      <c r="R556" s="46"/>
      <c r="S556" s="45" t="s">
        <v>4637</v>
      </c>
    </row>
    <row r="557" spans="1:19" ht="15.75" customHeight="1">
      <c r="A557" s="34">
        <v>556</v>
      </c>
      <c r="B557" s="35">
        <v>2025</v>
      </c>
      <c r="C557" s="35">
        <v>2025</v>
      </c>
      <c r="D557" s="43" t="s">
        <v>4638</v>
      </c>
      <c r="E557" s="43" t="s">
        <v>4639</v>
      </c>
      <c r="F557" s="48" t="s">
        <v>2665</v>
      </c>
      <c r="G557" s="45" t="s">
        <v>2699</v>
      </c>
      <c r="H557" s="46"/>
      <c r="I557" s="47" t="s">
        <v>4634</v>
      </c>
      <c r="J557" s="46"/>
      <c r="K557" s="35" t="s">
        <v>1512</v>
      </c>
      <c r="L557" s="35" t="s">
        <v>1939</v>
      </c>
      <c r="M557" s="46"/>
      <c r="N557" s="43" t="s">
        <v>4640</v>
      </c>
      <c r="O557" s="46"/>
      <c r="P557" s="46"/>
      <c r="Q557" s="43" t="s">
        <v>4636</v>
      </c>
      <c r="R557" s="46"/>
      <c r="S557" s="45" t="s">
        <v>4637</v>
      </c>
    </row>
    <row r="558" spans="1:19" ht="15.75" customHeight="1">
      <c r="A558" s="34">
        <v>557</v>
      </c>
      <c r="B558" s="35">
        <v>2025</v>
      </c>
      <c r="C558" s="35">
        <v>2025</v>
      </c>
      <c r="D558" s="43" t="s">
        <v>4641</v>
      </c>
      <c r="E558" s="48">
        <v>38390</v>
      </c>
      <c r="F558" s="48" t="s">
        <v>2665</v>
      </c>
      <c r="G558" s="45" t="s">
        <v>2699</v>
      </c>
      <c r="H558" s="46"/>
      <c r="I558" s="47" t="s">
        <v>4634</v>
      </c>
      <c r="J558" s="46"/>
      <c r="K558" s="35" t="s">
        <v>1512</v>
      </c>
      <c r="L558" s="35" t="s">
        <v>1939</v>
      </c>
      <c r="M558" s="46"/>
      <c r="N558" s="43" t="s">
        <v>4642</v>
      </c>
      <c r="O558" s="46"/>
      <c r="P558" s="46"/>
      <c r="Q558" s="43" t="s">
        <v>4636</v>
      </c>
      <c r="R558" s="46"/>
      <c r="S558" s="45" t="s">
        <v>4637</v>
      </c>
    </row>
    <row r="559" spans="1:19" ht="15.75" customHeight="1">
      <c r="A559" s="34">
        <v>558</v>
      </c>
      <c r="B559" s="35">
        <v>2025</v>
      </c>
      <c r="C559" s="35">
        <v>2025</v>
      </c>
      <c r="D559" s="43" t="s">
        <v>4643</v>
      </c>
      <c r="E559" s="43" t="s">
        <v>4644</v>
      </c>
      <c r="F559" s="48" t="s">
        <v>2656</v>
      </c>
      <c r="G559" s="45" t="s">
        <v>2699</v>
      </c>
      <c r="H559" s="46"/>
      <c r="I559" s="47" t="s">
        <v>4634</v>
      </c>
      <c r="J559" s="46"/>
      <c r="K559" s="35" t="s">
        <v>1512</v>
      </c>
      <c r="L559" s="35" t="s">
        <v>1939</v>
      </c>
      <c r="M559" s="46"/>
      <c r="N559" s="43" t="s">
        <v>4645</v>
      </c>
      <c r="O559" s="46"/>
      <c r="P559" s="46"/>
      <c r="Q559" s="43" t="s">
        <v>4636</v>
      </c>
      <c r="R559" s="46"/>
      <c r="S559" s="45" t="s">
        <v>4637</v>
      </c>
    </row>
    <row r="560" spans="1:19" ht="15.75" customHeight="1">
      <c r="A560" s="34">
        <v>559</v>
      </c>
      <c r="B560" s="35">
        <v>2025</v>
      </c>
      <c r="C560" s="35">
        <v>2025</v>
      </c>
      <c r="D560" s="43" t="s">
        <v>4646</v>
      </c>
      <c r="E560" s="48">
        <v>38332</v>
      </c>
      <c r="F560" s="48" t="s">
        <v>2665</v>
      </c>
      <c r="G560" s="45" t="s">
        <v>2699</v>
      </c>
      <c r="H560" s="46"/>
      <c r="I560" s="47" t="s">
        <v>4634</v>
      </c>
      <c r="J560" s="46"/>
      <c r="K560" s="35" t="s">
        <v>1512</v>
      </c>
      <c r="L560" s="35" t="s">
        <v>1939</v>
      </c>
      <c r="M560" s="46"/>
      <c r="N560" s="43" t="s">
        <v>4647</v>
      </c>
      <c r="O560" s="46"/>
      <c r="P560" s="46"/>
      <c r="Q560" s="43" t="s">
        <v>4636</v>
      </c>
      <c r="R560" s="46"/>
      <c r="S560" s="45" t="s">
        <v>4637</v>
      </c>
    </row>
    <row r="561" spans="1:19" ht="15.75" customHeight="1">
      <c r="A561" s="34">
        <v>560</v>
      </c>
      <c r="B561" s="35">
        <v>2025</v>
      </c>
      <c r="C561" s="35">
        <v>2025</v>
      </c>
      <c r="D561" s="43" t="s">
        <v>4648</v>
      </c>
      <c r="E561" s="43" t="s">
        <v>4649</v>
      </c>
      <c r="F561" s="48" t="s">
        <v>2665</v>
      </c>
      <c r="G561" s="45" t="s">
        <v>2699</v>
      </c>
      <c r="H561" s="46"/>
      <c r="I561" s="47" t="s">
        <v>4634</v>
      </c>
      <c r="J561" s="46"/>
      <c r="K561" s="35" t="s">
        <v>1512</v>
      </c>
      <c r="L561" s="35" t="s">
        <v>1939</v>
      </c>
      <c r="M561" s="46"/>
      <c r="N561" s="43" t="s">
        <v>4650</v>
      </c>
      <c r="O561" s="46"/>
      <c r="P561" s="46"/>
      <c r="Q561" s="43" t="s">
        <v>4636</v>
      </c>
      <c r="R561" s="46"/>
      <c r="S561" s="45" t="s">
        <v>4637</v>
      </c>
    </row>
    <row r="562" spans="1:19" ht="15.75" customHeight="1">
      <c r="A562" s="34">
        <v>561</v>
      </c>
      <c r="B562" s="53">
        <v>2026</v>
      </c>
      <c r="C562" s="53">
        <v>2026</v>
      </c>
      <c r="D562" s="43" t="s">
        <v>4261</v>
      </c>
      <c r="E562" s="54" t="s">
        <v>4262</v>
      </c>
      <c r="F562" s="48" t="s">
        <v>2656</v>
      </c>
      <c r="G562" s="45" t="s">
        <v>2931</v>
      </c>
      <c r="H562" s="45" t="s">
        <v>4255</v>
      </c>
      <c r="I562" s="47" t="s">
        <v>4651</v>
      </c>
      <c r="K562" s="35" t="s">
        <v>1462</v>
      </c>
      <c r="L562" s="35" t="s">
        <v>1820</v>
      </c>
      <c r="M562" s="55"/>
      <c r="N562" s="43" t="s">
        <v>4652</v>
      </c>
      <c r="O562" s="56"/>
      <c r="P562" s="57" t="s">
        <v>4653</v>
      </c>
      <c r="Q562" s="43" t="s">
        <v>4654</v>
      </c>
      <c r="R562" s="46"/>
      <c r="S562" s="46"/>
    </row>
    <row r="563" spans="1:19" ht="15.75" customHeight="1">
      <c r="A563" s="34">
        <v>562</v>
      </c>
      <c r="B563" s="53">
        <v>2026</v>
      </c>
      <c r="C563" s="53">
        <v>2026</v>
      </c>
      <c r="D563" s="43" t="s">
        <v>4655</v>
      </c>
      <c r="E563" s="54" t="s">
        <v>4656</v>
      </c>
      <c r="F563" s="48" t="s">
        <v>2665</v>
      </c>
      <c r="G563" s="45" t="s">
        <v>2931</v>
      </c>
      <c r="H563" s="45" t="s">
        <v>4255</v>
      </c>
      <c r="I563" s="47" t="s">
        <v>4651</v>
      </c>
      <c r="K563" s="35" t="s">
        <v>1462</v>
      </c>
      <c r="L563" s="35" t="s">
        <v>1820</v>
      </c>
      <c r="M563" s="55"/>
      <c r="N563" s="43" t="s">
        <v>4657</v>
      </c>
      <c r="O563" s="56"/>
      <c r="P563" s="57" t="s">
        <v>4653</v>
      </c>
      <c r="Q563" s="43" t="s">
        <v>4654</v>
      </c>
      <c r="R563" s="46"/>
      <c r="S563" s="46"/>
    </row>
    <row r="564" spans="1:19" ht="15.75" customHeight="1">
      <c r="A564" s="34">
        <v>563</v>
      </c>
      <c r="B564" s="53">
        <v>2026</v>
      </c>
      <c r="C564" s="53">
        <v>2026</v>
      </c>
      <c r="D564" s="43" t="s">
        <v>4658</v>
      </c>
      <c r="E564" s="54" t="s">
        <v>4659</v>
      </c>
      <c r="F564" s="48" t="s">
        <v>2665</v>
      </c>
      <c r="G564" s="45" t="s">
        <v>2931</v>
      </c>
      <c r="H564" s="45" t="s">
        <v>4255</v>
      </c>
      <c r="I564" s="47" t="s">
        <v>4651</v>
      </c>
      <c r="K564" s="35" t="s">
        <v>1462</v>
      </c>
      <c r="L564" s="35" t="s">
        <v>1820</v>
      </c>
      <c r="M564" s="55"/>
      <c r="N564" s="43" t="s">
        <v>4660</v>
      </c>
      <c r="O564" s="56"/>
      <c r="P564" s="57" t="s">
        <v>4653</v>
      </c>
      <c r="Q564" s="43" t="s">
        <v>4654</v>
      </c>
      <c r="R564" s="46"/>
      <c r="S564" s="46"/>
    </row>
    <row r="565" spans="1:19" ht="15.75" customHeight="1">
      <c r="A565" s="34">
        <v>564</v>
      </c>
      <c r="B565" s="53">
        <v>2026</v>
      </c>
      <c r="C565" s="53">
        <v>2026</v>
      </c>
      <c r="D565" s="43" t="s">
        <v>4263</v>
      </c>
      <c r="E565" s="54" t="s">
        <v>4264</v>
      </c>
      <c r="F565" s="48" t="s">
        <v>2656</v>
      </c>
      <c r="G565" s="45" t="s">
        <v>2931</v>
      </c>
      <c r="H565" s="45" t="s">
        <v>4255</v>
      </c>
      <c r="I565" s="47" t="s">
        <v>4651</v>
      </c>
      <c r="K565" s="35" t="s">
        <v>1462</v>
      </c>
      <c r="L565" s="35" t="s">
        <v>1820</v>
      </c>
      <c r="M565" s="55"/>
      <c r="N565" s="43" t="s">
        <v>4265</v>
      </c>
      <c r="O565" s="56"/>
      <c r="P565" s="57" t="s">
        <v>4653</v>
      </c>
      <c r="Q565" s="43" t="s">
        <v>4654</v>
      </c>
      <c r="R565" s="46"/>
      <c r="S565" s="46"/>
    </row>
    <row r="566" spans="1:19" ht="15.75" customHeight="1">
      <c r="A566" s="34">
        <v>565</v>
      </c>
      <c r="B566" s="53">
        <v>2026</v>
      </c>
      <c r="C566" s="53">
        <v>2026</v>
      </c>
      <c r="D566" s="43" t="s">
        <v>4661</v>
      </c>
      <c r="E566" s="54" t="s">
        <v>4662</v>
      </c>
      <c r="F566" s="48" t="s">
        <v>2665</v>
      </c>
      <c r="G566" s="45" t="s">
        <v>2931</v>
      </c>
      <c r="H566" s="45" t="s">
        <v>4255</v>
      </c>
      <c r="I566" s="47" t="s">
        <v>4651</v>
      </c>
      <c r="K566" s="35" t="s">
        <v>1462</v>
      </c>
      <c r="L566" s="35" t="s">
        <v>1820</v>
      </c>
      <c r="M566" s="55"/>
      <c r="N566" s="43" t="s">
        <v>4663</v>
      </c>
      <c r="O566" s="56"/>
      <c r="P566" s="57" t="s">
        <v>4653</v>
      </c>
      <c r="Q566" s="43" t="s">
        <v>4654</v>
      </c>
      <c r="R566" s="46"/>
      <c r="S566" s="46"/>
    </row>
    <row r="567" spans="1:19" ht="15.75" customHeight="1">
      <c r="A567" s="34">
        <v>566</v>
      </c>
      <c r="B567" s="53">
        <v>2026</v>
      </c>
      <c r="C567" s="53">
        <v>2026</v>
      </c>
      <c r="D567" s="43" t="s">
        <v>4664</v>
      </c>
      <c r="E567" s="54" t="s">
        <v>4665</v>
      </c>
      <c r="F567" s="48" t="s">
        <v>4666</v>
      </c>
      <c r="G567" s="45" t="s">
        <v>2699</v>
      </c>
      <c r="H567" s="45" t="s">
        <v>4667</v>
      </c>
      <c r="I567" s="47" t="s">
        <v>4668</v>
      </c>
      <c r="K567" s="35" t="s">
        <v>1512</v>
      </c>
      <c r="L567" s="35" t="s">
        <v>1939</v>
      </c>
      <c r="M567" s="55"/>
      <c r="N567" s="43" t="s">
        <v>4669</v>
      </c>
      <c r="O567" s="56"/>
      <c r="P567" s="57" t="s">
        <v>4670</v>
      </c>
      <c r="Q567" s="43" t="s">
        <v>4671</v>
      </c>
      <c r="R567" s="46"/>
      <c r="S567" s="58" t="s">
        <v>2812</v>
      </c>
    </row>
    <row r="568" spans="1:19" ht="15.75" customHeight="1">
      <c r="A568" s="34">
        <v>567</v>
      </c>
      <c r="B568" s="53">
        <v>2026</v>
      </c>
      <c r="C568" s="53">
        <v>2026</v>
      </c>
      <c r="D568" s="43" t="s">
        <v>4672</v>
      </c>
      <c r="E568" s="54" t="s">
        <v>4673</v>
      </c>
      <c r="F568" s="48" t="s">
        <v>4666</v>
      </c>
      <c r="G568" s="45" t="s">
        <v>2699</v>
      </c>
      <c r="H568" s="45" t="s">
        <v>4667</v>
      </c>
      <c r="I568" s="47" t="s">
        <v>4668</v>
      </c>
      <c r="K568" s="35" t="s">
        <v>1512</v>
      </c>
      <c r="L568" s="35" t="s">
        <v>1939</v>
      </c>
      <c r="M568" s="55"/>
      <c r="N568" s="43" t="s">
        <v>4674</v>
      </c>
      <c r="O568" s="56"/>
      <c r="P568" s="57" t="s">
        <v>4670</v>
      </c>
      <c r="Q568" s="43" t="s">
        <v>4671</v>
      </c>
      <c r="R568" s="46"/>
      <c r="S568" s="58" t="s">
        <v>2812</v>
      </c>
    </row>
    <row r="569" spans="1:19" ht="15.75" customHeight="1">
      <c r="A569" s="34">
        <v>568</v>
      </c>
      <c r="B569" s="53">
        <v>2026</v>
      </c>
      <c r="C569" s="53">
        <v>2026</v>
      </c>
      <c r="D569" s="43" t="s">
        <v>4675</v>
      </c>
      <c r="E569" s="54" t="s">
        <v>4676</v>
      </c>
      <c r="F569" s="48" t="s">
        <v>4666</v>
      </c>
      <c r="G569" s="45" t="s">
        <v>2699</v>
      </c>
      <c r="H569" s="45" t="s">
        <v>4667</v>
      </c>
      <c r="I569" s="47" t="s">
        <v>4668</v>
      </c>
      <c r="K569" s="35" t="s">
        <v>1512</v>
      </c>
      <c r="L569" s="35" t="s">
        <v>1939</v>
      </c>
      <c r="M569" s="55"/>
      <c r="N569" s="43" t="s">
        <v>4677</v>
      </c>
      <c r="O569" s="56"/>
      <c r="P569" s="57" t="s">
        <v>4670</v>
      </c>
      <c r="Q569" s="43" t="s">
        <v>4671</v>
      </c>
      <c r="R569" s="46"/>
      <c r="S569" s="58" t="s">
        <v>2812</v>
      </c>
    </row>
    <row r="570" spans="1:19" ht="15.75" customHeight="1">
      <c r="A570" s="34">
        <v>569</v>
      </c>
      <c r="B570" s="53">
        <v>2026</v>
      </c>
      <c r="C570" s="53">
        <v>2026</v>
      </c>
      <c r="D570" s="43" t="s">
        <v>4678</v>
      </c>
      <c r="E570" s="54" t="s">
        <v>4679</v>
      </c>
      <c r="F570" s="48" t="s">
        <v>4666</v>
      </c>
      <c r="G570" s="45" t="s">
        <v>2699</v>
      </c>
      <c r="H570" s="45" t="s">
        <v>4667</v>
      </c>
      <c r="I570" s="47" t="s">
        <v>4668</v>
      </c>
      <c r="K570" s="35" t="s">
        <v>1512</v>
      </c>
      <c r="L570" s="35" t="s">
        <v>1939</v>
      </c>
      <c r="M570" s="55"/>
      <c r="N570" s="43" t="s">
        <v>4680</v>
      </c>
      <c r="O570" s="56"/>
      <c r="P570" s="57" t="s">
        <v>4670</v>
      </c>
      <c r="Q570" s="43" t="s">
        <v>4671</v>
      </c>
      <c r="R570" s="46"/>
      <c r="S570" s="58" t="s">
        <v>2812</v>
      </c>
    </row>
    <row r="571" spans="1:19" ht="15.75" customHeight="1">
      <c r="A571" s="34">
        <v>570</v>
      </c>
      <c r="B571" s="53">
        <v>2026</v>
      </c>
      <c r="C571" s="53">
        <v>2026</v>
      </c>
      <c r="D571" s="43" t="s">
        <v>4681</v>
      </c>
      <c r="E571" s="54" t="s">
        <v>4682</v>
      </c>
      <c r="F571" s="48" t="s">
        <v>4666</v>
      </c>
      <c r="G571" s="45" t="s">
        <v>2699</v>
      </c>
      <c r="H571" s="45" t="s">
        <v>4667</v>
      </c>
      <c r="I571" s="47" t="s">
        <v>4668</v>
      </c>
      <c r="K571" s="35" t="s">
        <v>1512</v>
      </c>
      <c r="L571" s="35" t="s">
        <v>1939</v>
      </c>
      <c r="M571" s="55"/>
      <c r="N571" s="43" t="s">
        <v>4683</v>
      </c>
      <c r="O571" s="56"/>
      <c r="P571" s="57" t="s">
        <v>4670</v>
      </c>
      <c r="Q571" s="43" t="s">
        <v>4671</v>
      </c>
      <c r="R571" s="46"/>
      <c r="S571" s="58" t="s">
        <v>2812</v>
      </c>
    </row>
    <row r="572" spans="1:19" ht="15.75" customHeight="1">
      <c r="A572" s="34">
        <v>571</v>
      </c>
      <c r="B572" s="53">
        <v>2026</v>
      </c>
      <c r="C572" s="53">
        <v>2026</v>
      </c>
      <c r="D572" s="43" t="s">
        <v>4684</v>
      </c>
      <c r="E572" s="54" t="s">
        <v>4685</v>
      </c>
      <c r="F572" s="48" t="s">
        <v>4666</v>
      </c>
      <c r="G572" s="45" t="s">
        <v>2699</v>
      </c>
      <c r="H572" s="45" t="s">
        <v>4667</v>
      </c>
      <c r="I572" s="47" t="s">
        <v>4668</v>
      </c>
      <c r="K572" s="35" t="s">
        <v>1512</v>
      </c>
      <c r="L572" s="35" t="s">
        <v>1939</v>
      </c>
      <c r="M572" s="55"/>
      <c r="N572" s="43" t="s">
        <v>4686</v>
      </c>
      <c r="O572" s="56"/>
      <c r="P572" s="57" t="s">
        <v>4670</v>
      </c>
      <c r="Q572" s="43" t="s">
        <v>4671</v>
      </c>
      <c r="R572" s="46"/>
      <c r="S572" s="58" t="s">
        <v>2812</v>
      </c>
    </row>
    <row r="573" spans="1:19" ht="15.75" customHeight="1">
      <c r="A573" s="34">
        <v>572</v>
      </c>
      <c r="B573" s="53">
        <v>2026</v>
      </c>
      <c r="C573" s="53">
        <v>2026</v>
      </c>
      <c r="D573" s="43" t="s">
        <v>4687</v>
      </c>
      <c r="E573" s="54" t="s">
        <v>4688</v>
      </c>
      <c r="F573" s="48" t="s">
        <v>4666</v>
      </c>
      <c r="G573" s="45" t="s">
        <v>2699</v>
      </c>
      <c r="H573" s="45" t="s">
        <v>4667</v>
      </c>
      <c r="I573" s="47" t="s">
        <v>4668</v>
      </c>
      <c r="K573" s="35" t="s">
        <v>1512</v>
      </c>
      <c r="L573" s="35" t="s">
        <v>1939</v>
      </c>
      <c r="M573" s="55"/>
      <c r="N573" s="43" t="s">
        <v>4689</v>
      </c>
      <c r="O573" s="56"/>
      <c r="P573" s="57" t="s">
        <v>4670</v>
      </c>
      <c r="Q573" s="43" t="s">
        <v>4671</v>
      </c>
      <c r="R573" s="46"/>
      <c r="S573" s="58" t="s">
        <v>2812</v>
      </c>
    </row>
    <row r="574" spans="1:19" ht="15.75" customHeight="1">
      <c r="A574" s="34">
        <v>573</v>
      </c>
      <c r="B574" s="53">
        <v>2026</v>
      </c>
      <c r="C574" s="53">
        <v>2026</v>
      </c>
      <c r="D574" s="43" t="s">
        <v>4690</v>
      </c>
      <c r="E574" s="54" t="s">
        <v>4691</v>
      </c>
      <c r="F574" s="48" t="s">
        <v>4666</v>
      </c>
      <c r="G574" s="45" t="s">
        <v>2699</v>
      </c>
      <c r="H574" s="45" t="s">
        <v>4667</v>
      </c>
      <c r="I574" s="47" t="s">
        <v>4668</v>
      </c>
      <c r="K574" s="35" t="s">
        <v>1512</v>
      </c>
      <c r="L574" s="35" t="s">
        <v>1939</v>
      </c>
      <c r="M574" s="55"/>
      <c r="N574" s="43" t="s">
        <v>4692</v>
      </c>
      <c r="O574" s="56"/>
      <c r="P574" s="57" t="s">
        <v>4670</v>
      </c>
      <c r="Q574" s="43" t="s">
        <v>4671</v>
      </c>
      <c r="R574" s="46"/>
      <c r="S574" s="58" t="s">
        <v>2812</v>
      </c>
    </row>
    <row r="575" spans="1:19" ht="15.75" customHeight="1">
      <c r="A575" s="34">
        <v>574</v>
      </c>
      <c r="B575" s="53">
        <v>2026</v>
      </c>
      <c r="C575" s="53">
        <v>2026</v>
      </c>
      <c r="D575" s="43" t="s">
        <v>4693</v>
      </c>
      <c r="E575" s="54" t="s">
        <v>4694</v>
      </c>
      <c r="F575" s="48" t="s">
        <v>4666</v>
      </c>
      <c r="G575" s="45" t="s">
        <v>2699</v>
      </c>
      <c r="H575" s="45" t="s">
        <v>4667</v>
      </c>
      <c r="I575" s="47" t="s">
        <v>4668</v>
      </c>
      <c r="K575" s="35" t="s">
        <v>1512</v>
      </c>
      <c r="L575" s="35" t="s">
        <v>1939</v>
      </c>
      <c r="M575" s="55"/>
      <c r="N575" s="43" t="s">
        <v>4695</v>
      </c>
      <c r="O575" s="56"/>
      <c r="P575" s="57" t="s">
        <v>4670</v>
      </c>
      <c r="Q575" s="43" t="s">
        <v>4671</v>
      </c>
      <c r="R575" s="46"/>
      <c r="S575" s="58" t="s">
        <v>2812</v>
      </c>
    </row>
    <row r="576" spans="1:19" ht="15.75" customHeight="1">
      <c r="A576" s="34">
        <v>575</v>
      </c>
      <c r="B576" s="53">
        <v>2026</v>
      </c>
      <c r="C576" s="53">
        <v>2026</v>
      </c>
      <c r="D576" s="43" t="s">
        <v>4696</v>
      </c>
      <c r="E576" s="54" t="s">
        <v>4697</v>
      </c>
      <c r="F576" s="48" t="s">
        <v>4666</v>
      </c>
      <c r="G576" s="45" t="s">
        <v>2699</v>
      </c>
      <c r="H576" s="45" t="s">
        <v>4667</v>
      </c>
      <c r="I576" s="47" t="s">
        <v>4668</v>
      </c>
      <c r="K576" s="35" t="s">
        <v>1512</v>
      </c>
      <c r="L576" s="35" t="s">
        <v>1939</v>
      </c>
      <c r="M576" s="55"/>
      <c r="N576" s="43" t="s">
        <v>4698</v>
      </c>
      <c r="O576" s="56"/>
      <c r="P576" s="57" t="s">
        <v>4670</v>
      </c>
      <c r="Q576" s="43" t="s">
        <v>4671</v>
      </c>
      <c r="R576" s="46"/>
      <c r="S576" s="58" t="s">
        <v>2812</v>
      </c>
    </row>
    <row r="577" spans="1:19" ht="15.75" customHeight="1">
      <c r="A577" s="34">
        <v>576</v>
      </c>
      <c r="B577" s="53">
        <v>2026</v>
      </c>
      <c r="C577" s="53">
        <v>2026</v>
      </c>
      <c r="D577" s="43" t="s">
        <v>4699</v>
      </c>
      <c r="E577" s="54" t="s">
        <v>4700</v>
      </c>
      <c r="F577" s="48" t="s">
        <v>4666</v>
      </c>
      <c r="G577" s="45" t="s">
        <v>3927</v>
      </c>
      <c r="H577" s="45" t="s">
        <v>4273</v>
      </c>
      <c r="I577" s="59" t="s">
        <v>4701</v>
      </c>
      <c r="K577" s="35" t="s">
        <v>1512</v>
      </c>
      <c r="L577" s="35" t="s">
        <v>1939</v>
      </c>
      <c r="M577" s="55"/>
      <c r="N577" s="55"/>
      <c r="O577" s="56"/>
      <c r="P577" s="57" t="s">
        <v>4702</v>
      </c>
      <c r="Q577" s="43" t="s">
        <v>4703</v>
      </c>
      <c r="R577" s="46"/>
      <c r="S577" s="55"/>
    </row>
    <row r="578" spans="1:19" ht="15.75" customHeight="1">
      <c r="A578" s="34">
        <v>577</v>
      </c>
      <c r="B578" s="53">
        <v>2026</v>
      </c>
      <c r="C578" s="53">
        <v>2026</v>
      </c>
      <c r="D578" s="43" t="s">
        <v>4704</v>
      </c>
      <c r="E578" s="54" t="s">
        <v>4705</v>
      </c>
      <c r="F578" s="48" t="s">
        <v>2656</v>
      </c>
      <c r="G578" s="45" t="s">
        <v>3927</v>
      </c>
      <c r="H578" s="45" t="s">
        <v>4273</v>
      </c>
      <c r="I578" s="59" t="s">
        <v>4701</v>
      </c>
      <c r="K578" s="35" t="s">
        <v>1512</v>
      </c>
      <c r="L578" s="35" t="s">
        <v>1939</v>
      </c>
      <c r="M578" s="55"/>
      <c r="N578" s="55"/>
      <c r="O578" s="56"/>
      <c r="P578" s="57" t="s">
        <v>4702</v>
      </c>
      <c r="Q578" s="43" t="s">
        <v>4703</v>
      </c>
      <c r="R578" s="46"/>
      <c r="S578" s="46"/>
    </row>
    <row r="579" spans="1:19" ht="15.75" customHeight="1">
      <c r="A579" s="34">
        <v>578</v>
      </c>
      <c r="B579" s="53">
        <v>2026</v>
      </c>
      <c r="C579" s="53">
        <v>2026</v>
      </c>
      <c r="D579" s="43" t="s">
        <v>4706</v>
      </c>
      <c r="E579" s="54" t="s">
        <v>4707</v>
      </c>
      <c r="F579" s="48" t="s">
        <v>4666</v>
      </c>
      <c r="G579" s="45" t="s">
        <v>3927</v>
      </c>
      <c r="H579" s="45" t="s">
        <v>4273</v>
      </c>
      <c r="I579" s="59" t="s">
        <v>4701</v>
      </c>
      <c r="K579" s="35" t="s">
        <v>1512</v>
      </c>
      <c r="L579" s="35" t="s">
        <v>1939</v>
      </c>
      <c r="M579" s="55"/>
      <c r="N579" s="55"/>
      <c r="O579" s="56"/>
      <c r="P579" s="57" t="s">
        <v>4702</v>
      </c>
      <c r="Q579" s="43" t="s">
        <v>4703</v>
      </c>
      <c r="R579" s="46"/>
      <c r="S579" s="46"/>
    </row>
    <row r="580" spans="1:19" ht="15.75" customHeight="1">
      <c r="A580" s="34">
        <v>579</v>
      </c>
      <c r="B580" s="53">
        <v>2026</v>
      </c>
      <c r="C580" s="53">
        <v>2026</v>
      </c>
      <c r="D580" s="43" t="s">
        <v>4708</v>
      </c>
      <c r="E580" s="54" t="s">
        <v>4709</v>
      </c>
      <c r="F580" s="48" t="s">
        <v>4666</v>
      </c>
      <c r="G580" s="45" t="s">
        <v>3927</v>
      </c>
      <c r="H580" s="45" t="s">
        <v>4273</v>
      </c>
      <c r="I580" s="59" t="s">
        <v>4701</v>
      </c>
      <c r="K580" s="35" t="s">
        <v>1512</v>
      </c>
      <c r="L580" s="35" t="s">
        <v>1939</v>
      </c>
      <c r="M580" s="55"/>
      <c r="N580" s="55"/>
      <c r="O580" s="56"/>
      <c r="P580" s="57" t="s">
        <v>4702</v>
      </c>
      <c r="Q580" s="43" t="s">
        <v>4703</v>
      </c>
      <c r="R580" s="46"/>
      <c r="S580" s="46"/>
    </row>
    <row r="581" spans="1:19" ht="15.75" customHeight="1">
      <c r="A581" s="34">
        <v>580</v>
      </c>
      <c r="B581" s="53">
        <v>2026</v>
      </c>
      <c r="C581" s="53">
        <v>2026</v>
      </c>
      <c r="D581" s="43" t="s">
        <v>4710</v>
      </c>
      <c r="E581" s="54" t="s">
        <v>4711</v>
      </c>
      <c r="F581" s="48" t="s">
        <v>4666</v>
      </c>
      <c r="G581" s="45" t="s">
        <v>3927</v>
      </c>
      <c r="H581" s="45" t="s">
        <v>4273</v>
      </c>
      <c r="I581" s="59" t="s">
        <v>4701</v>
      </c>
      <c r="K581" s="35" t="s">
        <v>1512</v>
      </c>
      <c r="L581" s="35" t="s">
        <v>1939</v>
      </c>
      <c r="M581" s="55"/>
      <c r="N581" s="55"/>
      <c r="O581" s="56"/>
      <c r="P581" s="57" t="s">
        <v>4702</v>
      </c>
      <c r="Q581" s="43" t="s">
        <v>4703</v>
      </c>
      <c r="R581" s="46"/>
      <c r="S581" s="46"/>
    </row>
    <row r="582" spans="1:19" ht="13.2">
      <c r="A582" s="28"/>
      <c r="B582" s="28"/>
      <c r="C582" s="28"/>
      <c r="D582" s="28"/>
      <c r="E582" s="28"/>
      <c r="F582" s="28"/>
      <c r="G582" s="28"/>
      <c r="H582" s="28"/>
      <c r="I582" s="28"/>
      <c r="J582" s="28"/>
      <c r="K582" s="28"/>
      <c r="L582" s="28"/>
      <c r="M582" s="28"/>
      <c r="N582" s="28"/>
      <c r="O582" s="28"/>
      <c r="P582" s="28"/>
      <c r="Q582" s="28"/>
      <c r="R582" s="28"/>
      <c r="S582" s="28"/>
    </row>
    <row r="583" spans="1:19" ht="13.2">
      <c r="A583" s="28"/>
      <c r="B583" s="28"/>
      <c r="C583" s="28"/>
      <c r="D583" s="28"/>
      <c r="E583" s="28"/>
      <c r="F583" s="28"/>
      <c r="G583" s="28"/>
      <c r="H583" s="28"/>
      <c r="I583" s="28"/>
      <c r="J583" s="28"/>
      <c r="K583" s="28"/>
      <c r="L583" s="28"/>
      <c r="M583" s="28"/>
      <c r="N583" s="28"/>
      <c r="O583" s="28"/>
      <c r="P583" s="28"/>
      <c r="Q583" s="28"/>
      <c r="R583" s="28"/>
      <c r="S583" s="28"/>
    </row>
    <row r="584" spans="1:19" ht="13.2">
      <c r="A584" s="28"/>
      <c r="B584" s="28"/>
      <c r="C584" s="28"/>
      <c r="D584" s="28"/>
      <c r="E584" s="28"/>
      <c r="F584" s="28"/>
      <c r="G584" s="28"/>
      <c r="H584" s="28"/>
      <c r="I584" s="28"/>
      <c r="J584" s="28"/>
      <c r="K584" s="28"/>
      <c r="L584" s="28"/>
      <c r="M584" s="28"/>
      <c r="N584" s="28"/>
      <c r="O584" s="28"/>
      <c r="P584" s="28"/>
      <c r="Q584" s="28"/>
      <c r="R584" s="28"/>
      <c r="S584" s="28"/>
    </row>
    <row r="585" spans="1:19" ht="13.2">
      <c r="A585" s="28"/>
      <c r="B585" s="28"/>
      <c r="C585" s="28"/>
      <c r="D585" s="28"/>
      <c r="E585" s="28"/>
      <c r="F585" s="28"/>
      <c r="G585" s="28"/>
      <c r="H585" s="28"/>
      <c r="I585" s="28"/>
      <c r="J585" s="28"/>
      <c r="K585" s="28"/>
      <c r="L585" s="28"/>
      <c r="M585" s="28"/>
      <c r="N585" s="28"/>
      <c r="O585" s="28"/>
      <c r="P585" s="28"/>
      <c r="Q585" s="28"/>
      <c r="R585" s="28"/>
      <c r="S585" s="28"/>
    </row>
    <row r="586" spans="1:19" ht="13.2">
      <c r="A586" s="28"/>
      <c r="B586" s="28"/>
      <c r="C586" s="28"/>
      <c r="D586" s="28"/>
      <c r="E586" s="28"/>
      <c r="F586" s="28"/>
      <c r="G586" s="28"/>
      <c r="H586" s="28"/>
      <c r="I586" s="28"/>
      <c r="J586" s="28"/>
      <c r="K586" s="28"/>
      <c r="L586" s="28"/>
      <c r="M586" s="28"/>
      <c r="N586" s="28"/>
      <c r="O586" s="28"/>
      <c r="P586" s="28"/>
      <c r="Q586" s="28"/>
      <c r="R586" s="28"/>
      <c r="S586" s="28"/>
    </row>
    <row r="587" spans="1:19" ht="13.2">
      <c r="A587" s="28"/>
      <c r="B587" s="28"/>
      <c r="C587" s="28"/>
      <c r="D587" s="28"/>
      <c r="E587" s="28"/>
      <c r="F587" s="28"/>
      <c r="G587" s="28"/>
      <c r="H587" s="28"/>
      <c r="I587" s="28"/>
      <c r="J587" s="28"/>
      <c r="K587" s="28"/>
      <c r="L587" s="28"/>
      <c r="M587" s="28"/>
      <c r="N587" s="28"/>
      <c r="O587" s="28"/>
      <c r="P587" s="28"/>
      <c r="Q587" s="28"/>
      <c r="R587" s="28"/>
      <c r="S587" s="28"/>
    </row>
    <row r="588" spans="1:19" ht="13.2">
      <c r="A588" s="28"/>
      <c r="B588" s="28"/>
      <c r="C588" s="28"/>
      <c r="D588" s="28"/>
      <c r="E588" s="28"/>
      <c r="F588" s="28"/>
      <c r="G588" s="28"/>
      <c r="H588" s="28"/>
      <c r="I588" s="28"/>
      <c r="J588" s="28"/>
      <c r="K588" s="28"/>
      <c r="L588" s="28"/>
      <c r="M588" s="28"/>
      <c r="N588" s="28"/>
      <c r="O588" s="28"/>
      <c r="P588" s="28"/>
      <c r="Q588" s="28"/>
      <c r="R588" s="28"/>
      <c r="S588" s="28"/>
    </row>
    <row r="589" spans="1:19" ht="13.2">
      <c r="A589" s="28"/>
      <c r="B589" s="28"/>
      <c r="C589" s="28"/>
      <c r="D589" s="28"/>
      <c r="E589" s="28"/>
      <c r="F589" s="28"/>
      <c r="G589" s="28"/>
      <c r="H589" s="28"/>
      <c r="I589" s="28"/>
      <c r="J589" s="28"/>
      <c r="K589" s="28"/>
      <c r="L589" s="28"/>
      <c r="M589" s="28"/>
      <c r="N589" s="28"/>
      <c r="O589" s="28"/>
      <c r="P589" s="28"/>
      <c r="Q589" s="28"/>
      <c r="R589" s="28"/>
      <c r="S589" s="28"/>
    </row>
    <row r="590" spans="1:19" ht="13.2">
      <c r="A590" s="28"/>
      <c r="B590" s="28"/>
      <c r="C590" s="28"/>
      <c r="D590" s="28"/>
      <c r="E590" s="28"/>
      <c r="F590" s="28"/>
      <c r="G590" s="28"/>
      <c r="H590" s="28"/>
      <c r="I590" s="28"/>
      <c r="J590" s="28"/>
      <c r="K590" s="28"/>
      <c r="L590" s="28"/>
      <c r="M590" s="28"/>
      <c r="N590" s="28"/>
      <c r="O590" s="28"/>
      <c r="P590" s="28"/>
      <c r="Q590" s="28"/>
      <c r="R590" s="28"/>
      <c r="S590" s="28"/>
    </row>
    <row r="591" spans="1:19" ht="13.2">
      <c r="A591" s="28"/>
      <c r="B591" s="28"/>
      <c r="C591" s="28"/>
      <c r="D591" s="28"/>
      <c r="E591" s="28"/>
      <c r="F591" s="28"/>
      <c r="G591" s="28"/>
      <c r="H591" s="28"/>
      <c r="I591" s="28"/>
      <c r="J591" s="28"/>
      <c r="K591" s="28"/>
      <c r="L591" s="28"/>
      <c r="M591" s="28"/>
      <c r="N591" s="28"/>
      <c r="O591" s="28"/>
      <c r="P591" s="28"/>
      <c r="Q591" s="28"/>
      <c r="R591" s="28"/>
      <c r="S591" s="28"/>
    </row>
    <row r="592" spans="1:19" ht="13.2">
      <c r="A592" s="28"/>
      <c r="B592" s="28"/>
      <c r="C592" s="28"/>
      <c r="D592" s="28"/>
      <c r="E592" s="28"/>
      <c r="F592" s="28"/>
      <c r="G592" s="28"/>
      <c r="H592" s="28"/>
      <c r="I592" s="28"/>
      <c r="J592" s="28"/>
      <c r="K592" s="28"/>
      <c r="L592" s="28"/>
      <c r="M592" s="28"/>
      <c r="N592" s="28"/>
      <c r="O592" s="28"/>
      <c r="P592" s="28"/>
      <c r="Q592" s="28"/>
      <c r="R592" s="28"/>
      <c r="S592" s="28"/>
    </row>
    <row r="593" spans="1:19" ht="13.2">
      <c r="A593" s="28"/>
      <c r="B593" s="28"/>
      <c r="C593" s="28"/>
      <c r="D593" s="28"/>
      <c r="E593" s="28"/>
      <c r="F593" s="28"/>
      <c r="G593" s="28"/>
      <c r="H593" s="28"/>
      <c r="I593" s="28"/>
      <c r="J593" s="28"/>
      <c r="K593" s="28"/>
      <c r="L593" s="28"/>
      <c r="M593" s="28"/>
      <c r="N593" s="28"/>
      <c r="O593" s="28"/>
      <c r="P593" s="28"/>
      <c r="Q593" s="28"/>
      <c r="R593" s="28"/>
      <c r="S593" s="28"/>
    </row>
    <row r="594" spans="1:19" ht="13.2">
      <c r="A594" s="28"/>
      <c r="B594" s="28"/>
      <c r="C594" s="28"/>
      <c r="D594" s="28"/>
      <c r="E594" s="28"/>
      <c r="F594" s="28"/>
      <c r="G594" s="28"/>
      <c r="H594" s="28"/>
      <c r="I594" s="28"/>
      <c r="J594" s="28"/>
      <c r="K594" s="28"/>
      <c r="L594" s="28"/>
      <c r="M594" s="28"/>
      <c r="N594" s="28"/>
      <c r="O594" s="28"/>
      <c r="P594" s="28"/>
      <c r="Q594" s="28"/>
      <c r="R594" s="28"/>
      <c r="S594" s="28"/>
    </row>
    <row r="595" spans="1:19" ht="13.2">
      <c r="A595" s="28"/>
      <c r="B595" s="28"/>
      <c r="C595" s="28"/>
      <c r="D595" s="28"/>
      <c r="E595" s="28"/>
      <c r="F595" s="28"/>
      <c r="G595" s="28"/>
      <c r="H595" s="28"/>
      <c r="I595" s="28"/>
      <c r="J595" s="28"/>
      <c r="K595" s="28"/>
      <c r="L595" s="28"/>
      <c r="M595" s="28"/>
      <c r="N595" s="28"/>
      <c r="O595" s="28"/>
      <c r="P595" s="28"/>
      <c r="Q595" s="28"/>
      <c r="R595" s="28"/>
      <c r="S595" s="28"/>
    </row>
    <row r="596" spans="1:19" ht="13.2">
      <c r="A596" s="28"/>
      <c r="B596" s="28"/>
      <c r="C596" s="28"/>
      <c r="D596" s="28"/>
      <c r="E596" s="28"/>
      <c r="F596" s="28"/>
      <c r="G596" s="28"/>
      <c r="H596" s="28"/>
      <c r="I596" s="28"/>
      <c r="J596" s="28"/>
      <c r="K596" s="28"/>
      <c r="L596" s="28"/>
      <c r="M596" s="28"/>
      <c r="N596" s="28"/>
      <c r="O596" s="28"/>
      <c r="P596" s="28"/>
      <c r="Q596" s="28"/>
      <c r="R596" s="28"/>
      <c r="S596" s="28"/>
    </row>
    <row r="597" spans="1:19" ht="13.2">
      <c r="A597" s="28"/>
      <c r="B597" s="28"/>
      <c r="C597" s="28"/>
      <c r="D597" s="28"/>
      <c r="E597" s="28"/>
      <c r="F597" s="28"/>
      <c r="G597" s="28"/>
      <c r="H597" s="28"/>
      <c r="I597" s="28"/>
      <c r="J597" s="28"/>
      <c r="K597" s="28"/>
      <c r="L597" s="28"/>
      <c r="M597" s="28"/>
      <c r="N597" s="28"/>
      <c r="O597" s="28"/>
      <c r="P597" s="28"/>
      <c r="Q597" s="28"/>
      <c r="R597" s="28"/>
      <c r="S597" s="28"/>
    </row>
    <row r="598" spans="1:19" ht="13.2">
      <c r="A598" s="28"/>
      <c r="B598" s="28"/>
      <c r="C598" s="28"/>
      <c r="D598" s="28"/>
      <c r="E598" s="28"/>
      <c r="F598" s="28"/>
      <c r="G598" s="28"/>
      <c r="H598" s="28"/>
      <c r="I598" s="28"/>
      <c r="J598" s="28"/>
      <c r="K598" s="28"/>
      <c r="L598" s="28"/>
      <c r="M598" s="28"/>
      <c r="N598" s="28"/>
      <c r="O598" s="28"/>
      <c r="P598" s="28"/>
      <c r="Q598" s="28"/>
      <c r="R598" s="28"/>
      <c r="S598" s="28"/>
    </row>
    <row r="599" spans="1:19" ht="13.2">
      <c r="A599" s="28"/>
      <c r="B599" s="28"/>
      <c r="C599" s="28"/>
      <c r="D599" s="28"/>
      <c r="E599" s="28"/>
      <c r="F599" s="28"/>
      <c r="G599" s="28"/>
      <c r="H599" s="28"/>
      <c r="I599" s="28"/>
      <c r="J599" s="28"/>
      <c r="K599" s="28"/>
      <c r="L599" s="28"/>
      <c r="M599" s="28"/>
      <c r="N599" s="28"/>
      <c r="O599" s="28"/>
      <c r="P599" s="28"/>
      <c r="Q599" s="28"/>
      <c r="R599" s="28"/>
      <c r="S599" s="28"/>
    </row>
    <row r="600" spans="1:19" ht="13.2">
      <c r="A600" s="28"/>
      <c r="B600" s="28"/>
      <c r="C600" s="28"/>
      <c r="D600" s="28"/>
      <c r="E600" s="28"/>
      <c r="F600" s="28"/>
      <c r="G600" s="28"/>
      <c r="H600" s="28"/>
      <c r="I600" s="28"/>
      <c r="J600" s="28"/>
      <c r="K600" s="28"/>
      <c r="L600" s="28"/>
      <c r="M600" s="28"/>
      <c r="N600" s="28"/>
      <c r="O600" s="28"/>
      <c r="P600" s="28"/>
      <c r="Q600" s="28"/>
      <c r="R600" s="28"/>
      <c r="S600" s="28"/>
    </row>
    <row r="601" spans="1:19" ht="13.2">
      <c r="A601" s="28"/>
      <c r="B601" s="28"/>
      <c r="C601" s="28"/>
      <c r="D601" s="28"/>
      <c r="E601" s="28"/>
      <c r="F601" s="28"/>
      <c r="G601" s="28"/>
      <c r="H601" s="28"/>
      <c r="I601" s="28"/>
      <c r="J601" s="28"/>
      <c r="K601" s="28"/>
      <c r="L601" s="28"/>
      <c r="M601" s="28"/>
      <c r="N601" s="28"/>
      <c r="O601" s="28"/>
      <c r="P601" s="28"/>
      <c r="Q601" s="28"/>
      <c r="R601" s="28"/>
      <c r="S601" s="28"/>
    </row>
    <row r="602" spans="1:19" ht="13.2">
      <c r="A602" s="28"/>
      <c r="B602" s="28"/>
      <c r="C602" s="28"/>
      <c r="D602" s="28"/>
      <c r="E602" s="28"/>
      <c r="F602" s="28"/>
      <c r="G602" s="28"/>
      <c r="H602" s="28"/>
      <c r="I602" s="28"/>
      <c r="J602" s="28"/>
      <c r="K602" s="28"/>
      <c r="L602" s="28"/>
      <c r="M602" s="28"/>
      <c r="N602" s="28"/>
      <c r="O602" s="28"/>
      <c r="P602" s="28"/>
      <c r="Q602" s="28"/>
      <c r="R602" s="28"/>
      <c r="S602" s="28"/>
    </row>
    <row r="603" spans="1:19" ht="13.2">
      <c r="A603" s="28"/>
      <c r="B603" s="28"/>
      <c r="C603" s="28"/>
      <c r="D603" s="28"/>
      <c r="E603" s="28"/>
      <c r="F603" s="28"/>
      <c r="G603" s="28"/>
      <c r="H603" s="28"/>
      <c r="I603" s="28"/>
      <c r="J603" s="28"/>
      <c r="K603" s="28"/>
      <c r="L603" s="28"/>
      <c r="M603" s="28"/>
      <c r="N603" s="28"/>
      <c r="O603" s="28"/>
      <c r="P603" s="28"/>
      <c r="Q603" s="28"/>
      <c r="R603" s="28"/>
      <c r="S603" s="28"/>
    </row>
    <row r="604" spans="1:19" ht="13.2">
      <c r="A604" s="28"/>
      <c r="B604" s="28"/>
      <c r="C604" s="28"/>
      <c r="D604" s="28"/>
      <c r="E604" s="28"/>
      <c r="F604" s="28"/>
      <c r="G604" s="28"/>
      <c r="H604" s="28"/>
      <c r="I604" s="28"/>
      <c r="J604" s="28"/>
      <c r="K604" s="28"/>
      <c r="L604" s="28"/>
      <c r="M604" s="28"/>
      <c r="N604" s="28"/>
      <c r="O604" s="28"/>
      <c r="P604" s="28"/>
      <c r="Q604" s="28"/>
      <c r="R604" s="28"/>
      <c r="S604" s="28"/>
    </row>
    <row r="605" spans="1:19" ht="13.2">
      <c r="A605" s="28"/>
      <c r="B605" s="28"/>
      <c r="C605" s="28"/>
      <c r="D605" s="28"/>
      <c r="E605" s="28"/>
      <c r="F605" s="28"/>
      <c r="G605" s="28"/>
      <c r="H605" s="28"/>
      <c r="I605" s="28"/>
      <c r="J605" s="28"/>
      <c r="K605" s="28"/>
      <c r="L605" s="28"/>
      <c r="M605" s="28"/>
      <c r="N605" s="28"/>
      <c r="O605" s="28"/>
      <c r="P605" s="28"/>
      <c r="Q605" s="28"/>
      <c r="R605" s="28"/>
      <c r="S605" s="28"/>
    </row>
    <row r="606" spans="1:19" ht="13.2">
      <c r="A606" s="28"/>
      <c r="B606" s="28"/>
      <c r="C606" s="28"/>
      <c r="D606" s="28"/>
      <c r="E606" s="28"/>
      <c r="F606" s="28"/>
      <c r="G606" s="28"/>
      <c r="H606" s="28"/>
      <c r="I606" s="28"/>
      <c r="J606" s="28"/>
      <c r="K606" s="28"/>
      <c r="L606" s="28"/>
      <c r="M606" s="28"/>
      <c r="N606" s="28"/>
      <c r="O606" s="28"/>
      <c r="P606" s="28"/>
      <c r="Q606" s="28"/>
      <c r="R606" s="28"/>
      <c r="S606" s="28"/>
    </row>
    <row r="607" spans="1:19" ht="13.2">
      <c r="A607" s="28"/>
      <c r="B607" s="28"/>
      <c r="C607" s="28"/>
      <c r="D607" s="28"/>
      <c r="E607" s="28"/>
      <c r="F607" s="28"/>
      <c r="G607" s="28"/>
      <c r="H607" s="28"/>
      <c r="I607" s="28"/>
      <c r="J607" s="28"/>
      <c r="K607" s="28"/>
      <c r="L607" s="28"/>
      <c r="M607" s="28"/>
      <c r="N607" s="28"/>
      <c r="O607" s="28"/>
      <c r="P607" s="28"/>
      <c r="Q607" s="28"/>
      <c r="R607" s="28"/>
      <c r="S607" s="28"/>
    </row>
    <row r="608" spans="1:19" ht="13.2">
      <c r="A608" s="28"/>
      <c r="B608" s="28"/>
      <c r="C608" s="28"/>
      <c r="D608" s="28"/>
      <c r="E608" s="28"/>
      <c r="F608" s="28"/>
      <c r="G608" s="28"/>
      <c r="H608" s="28"/>
      <c r="I608" s="28"/>
      <c r="J608" s="28"/>
      <c r="K608" s="28"/>
      <c r="L608" s="28"/>
      <c r="M608" s="28"/>
      <c r="N608" s="28"/>
      <c r="O608" s="28"/>
      <c r="P608" s="28"/>
      <c r="Q608" s="28"/>
      <c r="R608" s="28"/>
      <c r="S608" s="28"/>
    </row>
    <row r="609" spans="1:19" ht="13.2">
      <c r="A609" s="28"/>
      <c r="B609" s="28"/>
      <c r="C609" s="28"/>
      <c r="D609" s="28"/>
      <c r="E609" s="28"/>
      <c r="F609" s="28"/>
      <c r="G609" s="28"/>
      <c r="H609" s="28"/>
      <c r="I609" s="28"/>
      <c r="J609" s="28"/>
      <c r="K609" s="28"/>
      <c r="L609" s="28"/>
      <c r="M609" s="28"/>
      <c r="N609" s="28"/>
      <c r="O609" s="28"/>
      <c r="P609" s="28"/>
      <c r="Q609" s="28"/>
      <c r="R609" s="28"/>
      <c r="S609" s="28"/>
    </row>
    <row r="610" spans="1:19" ht="13.2">
      <c r="A610" s="28"/>
      <c r="B610" s="28"/>
      <c r="C610" s="28"/>
      <c r="D610" s="28"/>
      <c r="E610" s="28"/>
      <c r="F610" s="28"/>
      <c r="G610" s="28"/>
      <c r="H610" s="28"/>
      <c r="I610" s="28"/>
      <c r="J610" s="28"/>
      <c r="K610" s="28"/>
      <c r="L610" s="28"/>
      <c r="M610" s="28"/>
      <c r="N610" s="28"/>
      <c r="O610" s="28"/>
      <c r="P610" s="28"/>
      <c r="Q610" s="28"/>
      <c r="R610" s="28"/>
      <c r="S610" s="28"/>
    </row>
    <row r="611" spans="1:19" ht="13.2">
      <c r="A611" s="28"/>
      <c r="B611" s="28"/>
      <c r="C611" s="28"/>
      <c r="D611" s="28"/>
      <c r="E611" s="28"/>
      <c r="F611" s="28"/>
      <c r="G611" s="28"/>
      <c r="H611" s="28"/>
      <c r="I611" s="28"/>
      <c r="J611" s="28"/>
      <c r="K611" s="28"/>
      <c r="L611" s="28"/>
      <c r="M611" s="28"/>
      <c r="N611" s="28"/>
      <c r="O611" s="28"/>
      <c r="P611" s="28"/>
      <c r="Q611" s="28"/>
      <c r="R611" s="28"/>
      <c r="S611" s="28"/>
    </row>
    <row r="612" spans="1:19" ht="13.2">
      <c r="A612" s="28"/>
      <c r="B612" s="28"/>
      <c r="C612" s="28"/>
      <c r="D612" s="28"/>
      <c r="E612" s="28"/>
      <c r="F612" s="28"/>
      <c r="G612" s="28"/>
      <c r="H612" s="28"/>
      <c r="I612" s="28"/>
      <c r="J612" s="28"/>
      <c r="K612" s="28"/>
      <c r="L612" s="28"/>
      <c r="M612" s="28"/>
      <c r="N612" s="28"/>
      <c r="O612" s="28"/>
      <c r="P612" s="28"/>
      <c r="Q612" s="28"/>
      <c r="R612" s="28"/>
      <c r="S612" s="28"/>
    </row>
    <row r="613" spans="1:19" ht="13.2">
      <c r="A613" s="28"/>
      <c r="B613" s="28"/>
      <c r="C613" s="28"/>
      <c r="D613" s="28"/>
      <c r="E613" s="28"/>
      <c r="F613" s="28"/>
      <c r="G613" s="28"/>
      <c r="H613" s="28"/>
      <c r="I613" s="28"/>
      <c r="J613" s="28"/>
      <c r="K613" s="28"/>
      <c r="L613" s="28"/>
      <c r="M613" s="28"/>
      <c r="N613" s="28"/>
      <c r="O613" s="28"/>
      <c r="P613" s="28"/>
      <c r="Q613" s="28"/>
      <c r="R613" s="28"/>
      <c r="S613" s="28"/>
    </row>
    <row r="614" spans="1:19" ht="13.2">
      <c r="A614" s="28"/>
      <c r="B614" s="28"/>
      <c r="C614" s="28"/>
      <c r="D614" s="28"/>
      <c r="E614" s="28"/>
      <c r="F614" s="28"/>
      <c r="G614" s="28"/>
      <c r="H614" s="28"/>
      <c r="I614" s="28"/>
      <c r="J614" s="28"/>
      <c r="K614" s="28"/>
      <c r="L614" s="28"/>
      <c r="M614" s="28"/>
      <c r="N614" s="28"/>
      <c r="O614" s="28"/>
      <c r="P614" s="28"/>
      <c r="Q614" s="28"/>
      <c r="R614" s="28"/>
      <c r="S614" s="28"/>
    </row>
    <row r="615" spans="1:19" ht="13.2">
      <c r="A615" s="28"/>
      <c r="B615" s="28"/>
      <c r="C615" s="28"/>
      <c r="D615" s="28"/>
      <c r="E615" s="28"/>
      <c r="F615" s="28"/>
      <c r="G615" s="28"/>
      <c r="H615" s="28"/>
      <c r="I615" s="28"/>
      <c r="J615" s="28"/>
      <c r="K615" s="28"/>
      <c r="L615" s="28"/>
      <c r="M615" s="28"/>
      <c r="N615" s="28"/>
      <c r="O615" s="28"/>
      <c r="P615" s="28"/>
      <c r="Q615" s="28"/>
      <c r="R615" s="28"/>
      <c r="S615" s="28"/>
    </row>
    <row r="616" spans="1:19" ht="13.2">
      <c r="A616" s="28"/>
      <c r="B616" s="28"/>
      <c r="C616" s="28"/>
      <c r="D616" s="28"/>
      <c r="E616" s="28"/>
      <c r="F616" s="28"/>
      <c r="G616" s="28"/>
      <c r="H616" s="28"/>
      <c r="I616" s="28"/>
      <c r="J616" s="28"/>
      <c r="K616" s="28"/>
      <c r="L616" s="28"/>
      <c r="M616" s="28"/>
      <c r="N616" s="28"/>
      <c r="O616" s="28"/>
      <c r="P616" s="28"/>
      <c r="Q616" s="28"/>
      <c r="R616" s="28"/>
      <c r="S616" s="28"/>
    </row>
    <row r="617" spans="1:19" ht="13.2">
      <c r="A617" s="28"/>
      <c r="B617" s="28"/>
      <c r="C617" s="28"/>
      <c r="D617" s="28"/>
      <c r="E617" s="28"/>
      <c r="F617" s="28"/>
      <c r="G617" s="28"/>
      <c r="H617" s="28"/>
      <c r="I617" s="28"/>
      <c r="J617" s="28"/>
      <c r="K617" s="28"/>
      <c r="L617" s="28"/>
      <c r="M617" s="28"/>
      <c r="N617" s="28"/>
      <c r="O617" s="28"/>
      <c r="P617" s="28"/>
      <c r="Q617" s="28"/>
      <c r="R617" s="28"/>
      <c r="S617" s="28"/>
    </row>
    <row r="618" spans="1:19" ht="13.2">
      <c r="A618" s="28"/>
      <c r="B618" s="28"/>
      <c r="C618" s="28"/>
      <c r="D618" s="28"/>
      <c r="E618" s="28"/>
      <c r="F618" s="28"/>
      <c r="G618" s="28"/>
      <c r="H618" s="28"/>
      <c r="I618" s="28"/>
      <c r="J618" s="28"/>
      <c r="K618" s="28"/>
      <c r="L618" s="28"/>
      <c r="M618" s="28"/>
      <c r="N618" s="28"/>
      <c r="O618" s="28"/>
      <c r="P618" s="28"/>
      <c r="Q618" s="28"/>
      <c r="R618" s="28"/>
      <c r="S618" s="28"/>
    </row>
    <row r="619" spans="1:19" ht="13.2">
      <c r="A619" s="28"/>
      <c r="B619" s="28"/>
      <c r="C619" s="28"/>
      <c r="D619" s="28"/>
      <c r="E619" s="28"/>
      <c r="F619" s="28"/>
      <c r="G619" s="28"/>
      <c r="H619" s="28"/>
      <c r="I619" s="28"/>
      <c r="J619" s="28"/>
      <c r="K619" s="28"/>
      <c r="L619" s="28"/>
      <c r="M619" s="28"/>
      <c r="N619" s="28"/>
      <c r="O619" s="28"/>
      <c r="P619" s="28"/>
      <c r="Q619" s="28"/>
      <c r="R619" s="28"/>
      <c r="S619" s="28"/>
    </row>
    <row r="620" spans="1:19" ht="13.2">
      <c r="A620" s="28"/>
      <c r="B620" s="28"/>
      <c r="C620" s="28"/>
      <c r="D620" s="28"/>
      <c r="E620" s="28"/>
      <c r="F620" s="28"/>
      <c r="G620" s="28"/>
      <c r="H620" s="28"/>
      <c r="I620" s="28"/>
      <c r="J620" s="28"/>
      <c r="K620" s="28"/>
      <c r="L620" s="28"/>
      <c r="M620" s="28"/>
      <c r="N620" s="28"/>
      <c r="O620" s="28"/>
      <c r="P620" s="28"/>
      <c r="Q620" s="28"/>
      <c r="R620" s="28"/>
      <c r="S620" s="28"/>
    </row>
    <row r="621" spans="1:19" ht="13.2">
      <c r="A621" s="28"/>
      <c r="B621" s="28"/>
      <c r="C621" s="28"/>
      <c r="D621" s="28"/>
      <c r="E621" s="28"/>
      <c r="F621" s="28"/>
      <c r="G621" s="28"/>
      <c r="H621" s="28"/>
      <c r="I621" s="28"/>
      <c r="J621" s="28"/>
      <c r="K621" s="28"/>
      <c r="L621" s="28"/>
      <c r="M621" s="28"/>
      <c r="N621" s="28"/>
      <c r="O621" s="28"/>
      <c r="P621" s="28"/>
      <c r="Q621" s="28"/>
      <c r="R621" s="28"/>
      <c r="S621" s="28"/>
    </row>
    <row r="622" spans="1:19" ht="13.2">
      <c r="A622" s="28"/>
      <c r="B622" s="28"/>
      <c r="C622" s="28"/>
      <c r="D622" s="28"/>
      <c r="E622" s="28"/>
      <c r="F622" s="28"/>
      <c r="G622" s="28"/>
      <c r="H622" s="28"/>
      <c r="I622" s="28"/>
      <c r="J622" s="28"/>
      <c r="K622" s="28"/>
      <c r="L622" s="28"/>
      <c r="M622" s="28"/>
      <c r="N622" s="28"/>
      <c r="O622" s="28"/>
      <c r="P622" s="28"/>
      <c r="Q622" s="28"/>
      <c r="R622" s="28"/>
      <c r="S622" s="28"/>
    </row>
    <row r="623" spans="1:19" ht="13.2">
      <c r="A623" s="28"/>
      <c r="B623" s="28"/>
      <c r="C623" s="28"/>
      <c r="D623" s="28"/>
      <c r="E623" s="28"/>
      <c r="F623" s="28"/>
      <c r="G623" s="28"/>
      <c r="H623" s="28"/>
      <c r="I623" s="28"/>
      <c r="J623" s="28"/>
      <c r="K623" s="28"/>
      <c r="L623" s="28"/>
      <c r="M623" s="28"/>
      <c r="N623" s="28"/>
      <c r="O623" s="28"/>
      <c r="P623" s="28"/>
      <c r="Q623" s="28"/>
      <c r="R623" s="28"/>
      <c r="S623" s="28"/>
    </row>
    <row r="624" spans="1:19" ht="13.2">
      <c r="A624" s="28"/>
      <c r="B624" s="28"/>
      <c r="C624" s="28"/>
      <c r="D624" s="28"/>
      <c r="E624" s="28"/>
      <c r="F624" s="28"/>
      <c r="G624" s="28"/>
      <c r="H624" s="28"/>
      <c r="I624" s="28"/>
      <c r="J624" s="28"/>
      <c r="K624" s="28"/>
      <c r="L624" s="28"/>
      <c r="M624" s="28"/>
      <c r="N624" s="28"/>
      <c r="O624" s="28"/>
      <c r="P624" s="28"/>
      <c r="Q624" s="28"/>
      <c r="R624" s="28"/>
      <c r="S624" s="28"/>
    </row>
    <row r="625" spans="1:19" ht="13.2">
      <c r="A625" s="28"/>
      <c r="B625" s="28"/>
      <c r="C625" s="28"/>
      <c r="D625" s="28"/>
      <c r="E625" s="28"/>
      <c r="F625" s="28"/>
      <c r="G625" s="28"/>
      <c r="H625" s="28"/>
      <c r="I625" s="28"/>
      <c r="J625" s="28"/>
      <c r="K625" s="28"/>
      <c r="L625" s="28"/>
      <c r="M625" s="28"/>
      <c r="N625" s="28"/>
      <c r="O625" s="28"/>
      <c r="P625" s="28"/>
      <c r="Q625" s="28"/>
      <c r="R625" s="28"/>
      <c r="S625" s="28"/>
    </row>
    <row r="626" spans="1:19" ht="13.2">
      <c r="A626" s="28"/>
      <c r="B626" s="28"/>
      <c r="C626" s="28"/>
      <c r="D626" s="28"/>
      <c r="E626" s="28"/>
      <c r="F626" s="28"/>
      <c r="G626" s="28"/>
      <c r="H626" s="28"/>
      <c r="I626" s="28"/>
      <c r="J626" s="28"/>
      <c r="K626" s="28"/>
      <c r="L626" s="28"/>
      <c r="M626" s="28"/>
      <c r="N626" s="28"/>
      <c r="O626" s="28"/>
      <c r="P626" s="28"/>
      <c r="Q626" s="28"/>
      <c r="R626" s="28"/>
      <c r="S626" s="28"/>
    </row>
    <row r="627" spans="1:19" ht="13.2">
      <c r="A627" s="28"/>
      <c r="B627" s="28"/>
      <c r="C627" s="28"/>
      <c r="D627" s="28"/>
      <c r="E627" s="28"/>
      <c r="F627" s="28"/>
      <c r="G627" s="28"/>
      <c r="H627" s="28"/>
      <c r="I627" s="28"/>
      <c r="J627" s="28"/>
      <c r="K627" s="28"/>
      <c r="L627" s="28"/>
      <c r="M627" s="28"/>
      <c r="N627" s="28"/>
      <c r="O627" s="28"/>
      <c r="P627" s="28"/>
      <c r="Q627" s="28"/>
      <c r="R627" s="28"/>
      <c r="S627" s="28"/>
    </row>
    <row r="628" spans="1:19" ht="13.2">
      <c r="A628" s="28"/>
      <c r="B628" s="28"/>
      <c r="C628" s="28"/>
      <c r="D628" s="28"/>
      <c r="E628" s="28"/>
      <c r="F628" s="28"/>
      <c r="G628" s="28"/>
      <c r="H628" s="28"/>
      <c r="I628" s="28"/>
      <c r="J628" s="28"/>
      <c r="K628" s="28"/>
      <c r="L628" s="28"/>
      <c r="M628" s="28"/>
      <c r="N628" s="28"/>
      <c r="O628" s="28"/>
      <c r="P628" s="28"/>
      <c r="Q628" s="28"/>
      <c r="R628" s="28"/>
      <c r="S628" s="28"/>
    </row>
    <row r="629" spans="1:19" ht="13.2">
      <c r="A629" s="28"/>
      <c r="B629" s="28"/>
      <c r="C629" s="28"/>
      <c r="D629" s="28"/>
      <c r="E629" s="28"/>
      <c r="F629" s="28"/>
      <c r="G629" s="28"/>
      <c r="H629" s="28"/>
      <c r="I629" s="28"/>
      <c r="J629" s="28"/>
      <c r="K629" s="28"/>
      <c r="L629" s="28"/>
      <c r="M629" s="28"/>
      <c r="N629" s="28"/>
      <c r="O629" s="28"/>
      <c r="P629" s="28"/>
      <c r="Q629" s="28"/>
      <c r="R629" s="28"/>
      <c r="S629" s="28"/>
    </row>
    <row r="630" spans="1:19" ht="13.2">
      <c r="A630" s="28"/>
      <c r="B630" s="28"/>
      <c r="C630" s="28"/>
      <c r="D630" s="28"/>
      <c r="E630" s="28"/>
      <c r="F630" s="28"/>
      <c r="G630" s="28"/>
      <c r="H630" s="28"/>
      <c r="I630" s="28"/>
      <c r="J630" s="28"/>
      <c r="K630" s="28"/>
      <c r="L630" s="28"/>
      <c r="M630" s="28"/>
      <c r="N630" s="28"/>
      <c r="O630" s="28"/>
      <c r="P630" s="28"/>
      <c r="Q630" s="28"/>
      <c r="R630" s="28"/>
      <c r="S630" s="28"/>
    </row>
    <row r="631" spans="1:19" ht="13.2">
      <c r="A631" s="28"/>
      <c r="B631" s="28"/>
      <c r="C631" s="28"/>
      <c r="D631" s="28"/>
      <c r="E631" s="28"/>
      <c r="F631" s="28"/>
      <c r="G631" s="28"/>
      <c r="H631" s="28"/>
      <c r="I631" s="28"/>
      <c r="J631" s="28"/>
      <c r="K631" s="28"/>
      <c r="L631" s="28"/>
      <c r="M631" s="28"/>
      <c r="N631" s="28"/>
      <c r="O631" s="28"/>
      <c r="P631" s="28"/>
      <c r="Q631" s="28"/>
      <c r="R631" s="28"/>
      <c r="S631" s="28"/>
    </row>
    <row r="632" spans="1:19" ht="13.2">
      <c r="A632" s="28"/>
      <c r="B632" s="28"/>
      <c r="C632" s="28"/>
      <c r="D632" s="28"/>
      <c r="E632" s="28"/>
      <c r="F632" s="28"/>
      <c r="G632" s="28"/>
      <c r="H632" s="28"/>
      <c r="I632" s="28"/>
      <c r="J632" s="28"/>
      <c r="K632" s="28"/>
      <c r="L632" s="28"/>
      <c r="M632" s="28"/>
      <c r="N632" s="28"/>
      <c r="O632" s="28"/>
      <c r="P632" s="28"/>
      <c r="Q632" s="28"/>
      <c r="R632" s="28"/>
      <c r="S632" s="28"/>
    </row>
    <row r="633" spans="1:19" ht="13.2">
      <c r="A633" s="28"/>
      <c r="B633" s="28"/>
      <c r="C633" s="28"/>
      <c r="D633" s="28"/>
      <c r="E633" s="28"/>
      <c r="F633" s="28"/>
      <c r="G633" s="28"/>
      <c r="H633" s="28"/>
      <c r="I633" s="28"/>
      <c r="J633" s="28"/>
      <c r="K633" s="28"/>
      <c r="L633" s="28"/>
      <c r="M633" s="28"/>
      <c r="N633" s="28"/>
      <c r="O633" s="28"/>
      <c r="P633" s="28"/>
      <c r="Q633" s="28"/>
      <c r="R633" s="28"/>
      <c r="S633" s="28"/>
    </row>
    <row r="634" spans="1:19" ht="13.2">
      <c r="A634" s="28"/>
      <c r="B634" s="28"/>
      <c r="C634" s="28"/>
      <c r="D634" s="28"/>
      <c r="E634" s="28"/>
      <c r="F634" s="28"/>
      <c r="G634" s="28"/>
      <c r="H634" s="28"/>
      <c r="I634" s="28"/>
      <c r="J634" s="28"/>
      <c r="K634" s="28"/>
      <c r="L634" s="28"/>
      <c r="M634" s="28"/>
      <c r="N634" s="28"/>
      <c r="O634" s="28"/>
      <c r="P634" s="28"/>
      <c r="Q634" s="28"/>
      <c r="R634" s="28"/>
      <c r="S634" s="28"/>
    </row>
    <row r="635" spans="1:19" ht="13.2">
      <c r="A635" s="28"/>
      <c r="B635" s="28"/>
      <c r="C635" s="28"/>
      <c r="D635" s="28"/>
      <c r="E635" s="28"/>
      <c r="F635" s="28"/>
      <c r="G635" s="28"/>
      <c r="H635" s="28"/>
      <c r="I635" s="28"/>
      <c r="J635" s="28"/>
      <c r="K635" s="28"/>
      <c r="L635" s="28"/>
      <c r="M635" s="28"/>
      <c r="N635" s="28"/>
      <c r="O635" s="28"/>
      <c r="P635" s="28"/>
      <c r="Q635" s="28"/>
      <c r="R635" s="28"/>
      <c r="S635" s="28"/>
    </row>
    <row r="636" spans="1:19" ht="13.2">
      <c r="A636" s="28"/>
      <c r="B636" s="28"/>
      <c r="C636" s="28"/>
      <c r="D636" s="28"/>
      <c r="E636" s="28"/>
      <c r="F636" s="28"/>
      <c r="G636" s="28"/>
      <c r="H636" s="28"/>
      <c r="I636" s="28"/>
      <c r="J636" s="28"/>
      <c r="K636" s="28"/>
      <c r="L636" s="28"/>
      <c r="M636" s="28"/>
      <c r="N636" s="28"/>
      <c r="O636" s="28"/>
      <c r="P636" s="28"/>
      <c r="Q636" s="28"/>
      <c r="R636" s="28"/>
      <c r="S636" s="28"/>
    </row>
    <row r="637" spans="1:19" ht="13.2">
      <c r="A637" s="28"/>
      <c r="B637" s="28"/>
      <c r="C637" s="28"/>
      <c r="D637" s="28"/>
      <c r="E637" s="28"/>
      <c r="F637" s="28"/>
      <c r="G637" s="28"/>
      <c r="H637" s="28"/>
      <c r="I637" s="28"/>
      <c r="J637" s="28"/>
      <c r="K637" s="28"/>
      <c r="L637" s="28"/>
      <c r="M637" s="28"/>
      <c r="N637" s="28"/>
      <c r="O637" s="28"/>
      <c r="P637" s="28"/>
      <c r="Q637" s="28"/>
      <c r="R637" s="28"/>
      <c r="S637" s="28"/>
    </row>
    <row r="638" spans="1:19" ht="13.2">
      <c r="A638" s="28"/>
      <c r="B638" s="28"/>
      <c r="C638" s="28"/>
      <c r="D638" s="28"/>
      <c r="E638" s="28"/>
      <c r="F638" s="28"/>
      <c r="G638" s="28"/>
      <c r="H638" s="28"/>
      <c r="I638" s="28"/>
      <c r="J638" s="28"/>
      <c r="K638" s="28"/>
      <c r="L638" s="28"/>
      <c r="M638" s="28"/>
      <c r="N638" s="28"/>
      <c r="O638" s="28"/>
      <c r="P638" s="28"/>
      <c r="Q638" s="28"/>
      <c r="R638" s="28"/>
      <c r="S638" s="28"/>
    </row>
    <row r="639" spans="1:19" ht="13.2">
      <c r="A639" s="28"/>
      <c r="B639" s="28"/>
      <c r="C639" s="28"/>
      <c r="D639" s="28"/>
      <c r="E639" s="28"/>
      <c r="F639" s="28"/>
      <c r="G639" s="28"/>
      <c r="H639" s="28"/>
      <c r="I639" s="28"/>
      <c r="J639" s="28"/>
      <c r="K639" s="28"/>
      <c r="L639" s="28"/>
      <c r="M639" s="28"/>
      <c r="N639" s="28"/>
      <c r="O639" s="28"/>
      <c r="P639" s="28"/>
      <c r="Q639" s="28"/>
      <c r="R639" s="28"/>
      <c r="S639" s="28"/>
    </row>
    <row r="640" spans="1:19" ht="13.2">
      <c r="A640" s="28"/>
      <c r="B640" s="28"/>
      <c r="C640" s="28"/>
      <c r="D640" s="28"/>
      <c r="E640" s="28"/>
      <c r="F640" s="28"/>
      <c r="G640" s="28"/>
      <c r="H640" s="28"/>
      <c r="I640" s="28"/>
      <c r="J640" s="28"/>
      <c r="K640" s="28"/>
      <c r="L640" s="28"/>
      <c r="M640" s="28"/>
      <c r="N640" s="28"/>
      <c r="O640" s="28"/>
      <c r="P640" s="28"/>
      <c r="Q640" s="28"/>
      <c r="R640" s="28"/>
      <c r="S640" s="28"/>
    </row>
    <row r="641" spans="1:19" ht="13.2">
      <c r="A641" s="28"/>
      <c r="B641" s="28"/>
      <c r="C641" s="28"/>
      <c r="D641" s="28"/>
      <c r="E641" s="28"/>
      <c r="F641" s="28"/>
      <c r="G641" s="28"/>
      <c r="H641" s="28"/>
      <c r="I641" s="28"/>
      <c r="J641" s="28"/>
      <c r="K641" s="28"/>
      <c r="L641" s="28"/>
      <c r="M641" s="28"/>
      <c r="N641" s="28"/>
      <c r="O641" s="28"/>
      <c r="P641" s="28"/>
      <c r="Q641" s="28"/>
      <c r="R641" s="28"/>
      <c r="S641" s="28"/>
    </row>
    <row r="642" spans="1:19" ht="13.2">
      <c r="A642" s="28"/>
      <c r="B642" s="28"/>
      <c r="C642" s="28"/>
      <c r="D642" s="28"/>
      <c r="E642" s="28"/>
      <c r="F642" s="28"/>
      <c r="G642" s="28"/>
      <c r="H642" s="28"/>
      <c r="I642" s="28"/>
      <c r="J642" s="28"/>
      <c r="K642" s="28"/>
      <c r="L642" s="28"/>
      <c r="M642" s="28"/>
      <c r="N642" s="28"/>
      <c r="O642" s="28"/>
      <c r="P642" s="28"/>
      <c r="Q642" s="28"/>
      <c r="R642" s="28"/>
      <c r="S642" s="28"/>
    </row>
    <row r="643" spans="1:19" ht="13.2">
      <c r="A643" s="28"/>
      <c r="B643" s="28"/>
      <c r="C643" s="28"/>
      <c r="D643" s="28"/>
      <c r="E643" s="28"/>
      <c r="F643" s="28"/>
      <c r="G643" s="28"/>
      <c r="H643" s="28"/>
      <c r="I643" s="28"/>
      <c r="J643" s="28"/>
      <c r="K643" s="28"/>
      <c r="L643" s="28"/>
      <c r="M643" s="28"/>
      <c r="N643" s="28"/>
      <c r="O643" s="28"/>
      <c r="P643" s="28"/>
      <c r="Q643" s="28"/>
      <c r="R643" s="28"/>
      <c r="S643" s="28"/>
    </row>
    <row r="644" spans="1:19" ht="13.2">
      <c r="A644" s="28"/>
      <c r="B644" s="28"/>
      <c r="C644" s="28"/>
      <c r="D644" s="28"/>
      <c r="E644" s="28"/>
      <c r="F644" s="28"/>
      <c r="G644" s="28"/>
      <c r="H644" s="28"/>
      <c r="I644" s="28"/>
      <c r="J644" s="28"/>
      <c r="K644" s="28"/>
      <c r="L644" s="28"/>
      <c r="M644" s="28"/>
      <c r="N644" s="28"/>
      <c r="O644" s="28"/>
      <c r="P644" s="28"/>
      <c r="Q644" s="28"/>
      <c r="R644" s="28"/>
      <c r="S644" s="28"/>
    </row>
    <row r="645" spans="1:19" ht="13.2">
      <c r="A645" s="28"/>
      <c r="B645" s="28"/>
      <c r="C645" s="28"/>
      <c r="D645" s="28"/>
      <c r="E645" s="28"/>
      <c r="F645" s="28"/>
      <c r="G645" s="28"/>
      <c r="H645" s="28"/>
      <c r="I645" s="28"/>
      <c r="J645" s="28"/>
      <c r="K645" s="28"/>
      <c r="L645" s="28"/>
      <c r="M645" s="28"/>
      <c r="N645" s="28"/>
      <c r="O645" s="28"/>
      <c r="P645" s="28"/>
      <c r="Q645" s="28"/>
      <c r="R645" s="28"/>
      <c r="S645" s="28"/>
    </row>
    <row r="646" spans="1:19" ht="13.2">
      <c r="A646" s="28"/>
      <c r="B646" s="28"/>
      <c r="C646" s="28"/>
      <c r="D646" s="28"/>
      <c r="E646" s="28"/>
      <c r="F646" s="28"/>
      <c r="G646" s="28"/>
      <c r="H646" s="28"/>
      <c r="I646" s="28"/>
      <c r="J646" s="28"/>
      <c r="K646" s="28"/>
      <c r="L646" s="28"/>
      <c r="M646" s="28"/>
      <c r="N646" s="28"/>
      <c r="O646" s="28"/>
      <c r="P646" s="28"/>
      <c r="Q646" s="28"/>
      <c r="R646" s="28"/>
      <c r="S646" s="28"/>
    </row>
    <row r="647" spans="1:19" ht="13.2">
      <c r="A647" s="28"/>
      <c r="B647" s="28"/>
      <c r="C647" s="28"/>
      <c r="D647" s="28"/>
      <c r="E647" s="28"/>
      <c r="F647" s="28"/>
      <c r="G647" s="28"/>
      <c r="H647" s="28"/>
      <c r="I647" s="28"/>
      <c r="J647" s="28"/>
      <c r="K647" s="28"/>
      <c r="L647" s="28"/>
      <c r="M647" s="28"/>
      <c r="N647" s="28"/>
      <c r="O647" s="28"/>
      <c r="P647" s="28"/>
      <c r="Q647" s="28"/>
      <c r="R647" s="28"/>
      <c r="S647" s="28"/>
    </row>
    <row r="648" spans="1:19" ht="13.2">
      <c r="A648" s="28"/>
      <c r="B648" s="28"/>
      <c r="C648" s="28"/>
      <c r="D648" s="28"/>
      <c r="E648" s="28"/>
      <c r="F648" s="28"/>
      <c r="G648" s="28"/>
      <c r="H648" s="28"/>
      <c r="I648" s="28"/>
      <c r="J648" s="28"/>
      <c r="K648" s="28"/>
      <c r="L648" s="28"/>
      <c r="M648" s="28"/>
      <c r="N648" s="28"/>
      <c r="O648" s="28"/>
      <c r="P648" s="28"/>
      <c r="Q648" s="28"/>
      <c r="R648" s="28"/>
      <c r="S648" s="28"/>
    </row>
    <row r="649" spans="1:19" ht="13.2">
      <c r="A649" s="28"/>
      <c r="B649" s="28"/>
      <c r="C649" s="28"/>
      <c r="D649" s="28"/>
      <c r="E649" s="28"/>
      <c r="F649" s="28"/>
      <c r="G649" s="28"/>
      <c r="H649" s="28"/>
      <c r="I649" s="28"/>
      <c r="J649" s="28"/>
      <c r="K649" s="28"/>
      <c r="L649" s="28"/>
      <c r="M649" s="28"/>
      <c r="N649" s="28"/>
      <c r="O649" s="28"/>
      <c r="P649" s="28"/>
      <c r="Q649" s="28"/>
      <c r="R649" s="28"/>
      <c r="S649" s="28"/>
    </row>
    <row r="650" spans="1:19" ht="13.2">
      <c r="A650" s="28"/>
      <c r="B650" s="28"/>
      <c r="C650" s="28"/>
      <c r="D650" s="28"/>
      <c r="E650" s="28"/>
      <c r="F650" s="28"/>
      <c r="G650" s="28"/>
      <c r="H650" s="28"/>
      <c r="I650" s="28"/>
      <c r="J650" s="28"/>
      <c r="K650" s="28"/>
      <c r="L650" s="28"/>
      <c r="M650" s="28"/>
      <c r="N650" s="28"/>
      <c r="O650" s="28"/>
      <c r="P650" s="28"/>
      <c r="Q650" s="28"/>
      <c r="R650" s="28"/>
      <c r="S650" s="28"/>
    </row>
    <row r="651" spans="1:19" ht="13.2">
      <c r="A651" s="28"/>
      <c r="B651" s="28"/>
      <c r="C651" s="28"/>
      <c r="D651" s="28"/>
      <c r="E651" s="28"/>
      <c r="F651" s="28"/>
      <c r="G651" s="28"/>
      <c r="H651" s="28"/>
      <c r="I651" s="28"/>
      <c r="J651" s="28"/>
      <c r="K651" s="28"/>
      <c r="L651" s="28"/>
      <c r="M651" s="28"/>
      <c r="N651" s="28"/>
      <c r="O651" s="28"/>
      <c r="P651" s="28"/>
      <c r="Q651" s="28"/>
      <c r="R651" s="28"/>
      <c r="S651" s="28"/>
    </row>
    <row r="652" spans="1:19" ht="13.2">
      <c r="A652" s="28"/>
      <c r="B652" s="28"/>
      <c r="C652" s="28"/>
      <c r="D652" s="28"/>
      <c r="E652" s="28"/>
      <c r="F652" s="28"/>
      <c r="G652" s="28"/>
      <c r="H652" s="28"/>
      <c r="I652" s="28"/>
      <c r="J652" s="28"/>
      <c r="K652" s="28"/>
      <c r="L652" s="28"/>
      <c r="M652" s="28"/>
      <c r="N652" s="28"/>
      <c r="O652" s="28"/>
      <c r="P652" s="28"/>
      <c r="Q652" s="28"/>
      <c r="R652" s="28"/>
      <c r="S652" s="28"/>
    </row>
    <row r="653" spans="1:19" ht="13.2">
      <c r="A653" s="28"/>
      <c r="B653" s="28"/>
      <c r="C653" s="28"/>
      <c r="D653" s="28"/>
      <c r="E653" s="28"/>
      <c r="F653" s="28"/>
      <c r="G653" s="28"/>
      <c r="H653" s="28"/>
      <c r="I653" s="28"/>
      <c r="J653" s="28"/>
      <c r="K653" s="28"/>
      <c r="L653" s="28"/>
      <c r="M653" s="28"/>
      <c r="N653" s="28"/>
      <c r="O653" s="28"/>
      <c r="P653" s="28"/>
      <c r="Q653" s="28"/>
      <c r="R653" s="28"/>
      <c r="S653" s="28"/>
    </row>
    <row r="654" spans="1:19" ht="13.2">
      <c r="A654" s="28"/>
      <c r="B654" s="28"/>
      <c r="C654" s="28"/>
      <c r="D654" s="28"/>
      <c r="E654" s="28"/>
      <c r="F654" s="28"/>
      <c r="G654" s="28"/>
      <c r="H654" s="28"/>
      <c r="I654" s="28"/>
      <c r="J654" s="28"/>
      <c r="K654" s="28"/>
      <c r="L654" s="28"/>
      <c r="M654" s="28"/>
      <c r="N654" s="28"/>
      <c r="O654" s="28"/>
      <c r="P654" s="28"/>
      <c r="Q654" s="28"/>
      <c r="R654" s="28"/>
      <c r="S654" s="28"/>
    </row>
    <row r="655" spans="1:19" ht="13.2">
      <c r="A655" s="28"/>
      <c r="B655" s="28"/>
      <c r="C655" s="28"/>
      <c r="D655" s="28"/>
      <c r="E655" s="28"/>
      <c r="F655" s="28"/>
      <c r="G655" s="28"/>
      <c r="H655" s="28"/>
      <c r="I655" s="28"/>
      <c r="J655" s="28"/>
      <c r="K655" s="28"/>
      <c r="L655" s="28"/>
      <c r="M655" s="28"/>
      <c r="N655" s="28"/>
      <c r="O655" s="28"/>
      <c r="P655" s="28"/>
      <c r="Q655" s="28"/>
      <c r="R655" s="28"/>
      <c r="S655" s="28"/>
    </row>
    <row r="656" spans="1:19" ht="13.2">
      <c r="A656" s="28"/>
      <c r="B656" s="28"/>
      <c r="C656" s="28"/>
      <c r="D656" s="28"/>
      <c r="E656" s="28"/>
      <c r="F656" s="28"/>
      <c r="G656" s="28"/>
      <c r="H656" s="28"/>
      <c r="I656" s="28"/>
      <c r="J656" s="28"/>
      <c r="K656" s="28"/>
      <c r="L656" s="28"/>
      <c r="M656" s="28"/>
      <c r="N656" s="28"/>
      <c r="O656" s="28"/>
      <c r="P656" s="28"/>
      <c r="Q656" s="28"/>
      <c r="R656" s="28"/>
      <c r="S656" s="28"/>
    </row>
    <row r="657" spans="1:19" ht="13.2">
      <c r="A657" s="28"/>
      <c r="B657" s="28"/>
      <c r="C657" s="28"/>
      <c r="D657" s="28"/>
      <c r="E657" s="28"/>
      <c r="F657" s="28"/>
      <c r="G657" s="28"/>
      <c r="H657" s="28"/>
      <c r="I657" s="28"/>
      <c r="J657" s="28"/>
      <c r="K657" s="28"/>
      <c r="L657" s="28"/>
      <c r="M657" s="28"/>
      <c r="N657" s="28"/>
      <c r="O657" s="28"/>
      <c r="P657" s="28"/>
      <c r="Q657" s="28"/>
      <c r="R657" s="28"/>
      <c r="S657" s="28"/>
    </row>
    <row r="658" spans="1:19" ht="13.2">
      <c r="A658" s="28"/>
      <c r="B658" s="28"/>
      <c r="C658" s="28"/>
      <c r="D658" s="28"/>
      <c r="E658" s="28"/>
      <c r="F658" s="28"/>
      <c r="G658" s="28"/>
      <c r="H658" s="28"/>
      <c r="I658" s="28"/>
      <c r="J658" s="28"/>
      <c r="K658" s="28"/>
      <c r="L658" s="28"/>
      <c r="M658" s="28"/>
      <c r="N658" s="28"/>
      <c r="O658" s="28"/>
      <c r="P658" s="28"/>
      <c r="Q658" s="28"/>
      <c r="R658" s="28"/>
      <c r="S658" s="28"/>
    </row>
    <row r="659" spans="1:19" ht="13.2">
      <c r="A659" s="28"/>
      <c r="B659" s="28"/>
      <c r="C659" s="28"/>
      <c r="D659" s="28"/>
      <c r="E659" s="28"/>
      <c r="F659" s="28"/>
      <c r="G659" s="28"/>
      <c r="H659" s="28"/>
      <c r="I659" s="28"/>
      <c r="J659" s="28"/>
      <c r="K659" s="28"/>
      <c r="L659" s="28"/>
      <c r="M659" s="28"/>
      <c r="N659" s="28"/>
      <c r="O659" s="28"/>
      <c r="P659" s="28"/>
      <c r="Q659" s="28"/>
      <c r="R659" s="28"/>
      <c r="S659" s="28"/>
    </row>
    <row r="660" spans="1:19" ht="13.2">
      <c r="A660" s="28"/>
      <c r="B660" s="28"/>
      <c r="C660" s="28"/>
      <c r="D660" s="28"/>
      <c r="E660" s="28"/>
      <c r="F660" s="28"/>
      <c r="G660" s="28"/>
      <c r="H660" s="28"/>
      <c r="I660" s="28"/>
      <c r="J660" s="28"/>
      <c r="K660" s="28"/>
      <c r="L660" s="28"/>
      <c r="M660" s="28"/>
      <c r="N660" s="28"/>
      <c r="O660" s="28"/>
      <c r="P660" s="28"/>
      <c r="Q660" s="28"/>
      <c r="R660" s="28"/>
      <c r="S660" s="28"/>
    </row>
    <row r="661" spans="1:19" ht="13.2">
      <c r="A661" s="28"/>
      <c r="B661" s="28"/>
      <c r="C661" s="28"/>
      <c r="D661" s="28"/>
      <c r="E661" s="28"/>
      <c r="F661" s="28"/>
      <c r="G661" s="28"/>
      <c r="H661" s="28"/>
      <c r="I661" s="28"/>
      <c r="J661" s="28"/>
      <c r="K661" s="28"/>
      <c r="L661" s="28"/>
      <c r="M661" s="28"/>
      <c r="N661" s="28"/>
      <c r="O661" s="28"/>
      <c r="P661" s="28"/>
      <c r="Q661" s="28"/>
      <c r="R661" s="28"/>
      <c r="S661" s="28"/>
    </row>
    <row r="662" spans="1:19" ht="13.2">
      <c r="A662" s="28"/>
      <c r="B662" s="28"/>
      <c r="C662" s="28"/>
      <c r="D662" s="28"/>
      <c r="E662" s="28"/>
      <c r="F662" s="28"/>
      <c r="G662" s="28"/>
      <c r="H662" s="28"/>
      <c r="I662" s="28"/>
      <c r="J662" s="28"/>
      <c r="K662" s="28"/>
      <c r="L662" s="28"/>
      <c r="M662" s="28"/>
      <c r="N662" s="28"/>
      <c r="O662" s="28"/>
      <c r="P662" s="28"/>
      <c r="Q662" s="28"/>
      <c r="R662" s="28"/>
      <c r="S662" s="28"/>
    </row>
    <row r="663" spans="1:19" ht="13.2">
      <c r="A663" s="28"/>
      <c r="B663" s="28"/>
      <c r="C663" s="28"/>
      <c r="D663" s="28"/>
      <c r="E663" s="28"/>
      <c r="F663" s="28"/>
      <c r="G663" s="28"/>
      <c r="H663" s="28"/>
      <c r="I663" s="28"/>
      <c r="J663" s="28"/>
      <c r="K663" s="28"/>
      <c r="L663" s="28"/>
      <c r="M663" s="28"/>
      <c r="N663" s="28"/>
      <c r="O663" s="28"/>
      <c r="P663" s="28"/>
      <c r="Q663" s="28"/>
      <c r="R663" s="28"/>
      <c r="S663" s="28"/>
    </row>
    <row r="664" spans="1:19" ht="13.2">
      <c r="A664" s="28"/>
      <c r="B664" s="28"/>
      <c r="C664" s="28"/>
      <c r="D664" s="28"/>
      <c r="E664" s="28"/>
      <c r="F664" s="28"/>
      <c r="G664" s="28"/>
      <c r="H664" s="28"/>
      <c r="I664" s="28"/>
      <c r="J664" s="28"/>
      <c r="K664" s="28"/>
      <c r="L664" s="28"/>
      <c r="M664" s="28"/>
      <c r="N664" s="28"/>
      <c r="O664" s="28"/>
      <c r="P664" s="28"/>
      <c r="Q664" s="28"/>
      <c r="R664" s="28"/>
      <c r="S664" s="28"/>
    </row>
    <row r="665" spans="1:19" ht="13.2">
      <c r="A665" s="28"/>
      <c r="B665" s="28"/>
      <c r="C665" s="28"/>
      <c r="D665" s="28"/>
      <c r="E665" s="28"/>
      <c r="F665" s="28"/>
      <c r="G665" s="28"/>
      <c r="H665" s="28"/>
      <c r="I665" s="28"/>
      <c r="J665" s="28"/>
      <c r="K665" s="28"/>
      <c r="L665" s="28"/>
      <c r="M665" s="28"/>
      <c r="N665" s="28"/>
      <c r="O665" s="28"/>
      <c r="P665" s="28"/>
      <c r="Q665" s="28"/>
      <c r="R665" s="28"/>
      <c r="S665" s="28"/>
    </row>
    <row r="666" spans="1:19" ht="13.2">
      <c r="A666" s="28"/>
      <c r="B666" s="28"/>
      <c r="C666" s="28"/>
      <c r="D666" s="28"/>
      <c r="E666" s="28"/>
      <c r="F666" s="28"/>
      <c r="G666" s="28"/>
      <c r="H666" s="28"/>
      <c r="I666" s="28"/>
      <c r="J666" s="28"/>
      <c r="K666" s="28"/>
      <c r="L666" s="28"/>
      <c r="M666" s="28"/>
      <c r="N666" s="28"/>
      <c r="O666" s="28"/>
      <c r="P666" s="28"/>
      <c r="Q666" s="28"/>
      <c r="R666" s="28"/>
      <c r="S666" s="28"/>
    </row>
    <row r="667" spans="1:19" ht="13.2">
      <c r="A667" s="28"/>
      <c r="B667" s="28"/>
      <c r="C667" s="28"/>
      <c r="D667" s="28"/>
      <c r="E667" s="28"/>
      <c r="F667" s="28"/>
      <c r="G667" s="28"/>
      <c r="H667" s="28"/>
      <c r="I667" s="28"/>
      <c r="J667" s="28"/>
      <c r="K667" s="28"/>
      <c r="L667" s="28"/>
      <c r="M667" s="28"/>
      <c r="N667" s="28"/>
      <c r="O667" s="28"/>
      <c r="P667" s="28"/>
      <c r="Q667" s="28"/>
      <c r="R667" s="28"/>
      <c r="S667" s="28"/>
    </row>
    <row r="668" spans="1:19" ht="13.2">
      <c r="A668" s="28"/>
      <c r="B668" s="28"/>
      <c r="C668" s="28"/>
      <c r="D668" s="28"/>
      <c r="E668" s="28"/>
      <c r="F668" s="28"/>
      <c r="G668" s="28"/>
      <c r="H668" s="28"/>
      <c r="I668" s="28"/>
      <c r="J668" s="28"/>
      <c r="K668" s="28"/>
      <c r="L668" s="28"/>
      <c r="M668" s="28"/>
      <c r="N668" s="28"/>
      <c r="O668" s="28"/>
      <c r="P668" s="28"/>
      <c r="Q668" s="28"/>
      <c r="R668" s="28"/>
      <c r="S668" s="28"/>
    </row>
    <row r="669" spans="1:19" ht="13.2">
      <c r="A669" s="28"/>
      <c r="B669" s="28"/>
      <c r="C669" s="28"/>
      <c r="D669" s="28"/>
      <c r="E669" s="28"/>
      <c r="F669" s="28"/>
      <c r="G669" s="28"/>
      <c r="H669" s="28"/>
      <c r="I669" s="28"/>
      <c r="J669" s="28"/>
      <c r="K669" s="28"/>
      <c r="L669" s="28"/>
      <c r="M669" s="28"/>
      <c r="N669" s="28"/>
      <c r="O669" s="28"/>
      <c r="P669" s="28"/>
      <c r="Q669" s="28"/>
      <c r="R669" s="28"/>
      <c r="S669" s="28"/>
    </row>
    <row r="670" spans="1:19" ht="13.2">
      <c r="A670" s="28"/>
      <c r="B670" s="28"/>
      <c r="C670" s="28"/>
      <c r="D670" s="28"/>
      <c r="E670" s="28"/>
      <c r="F670" s="28"/>
      <c r="G670" s="28"/>
      <c r="H670" s="28"/>
      <c r="I670" s="28"/>
      <c r="J670" s="28"/>
      <c r="K670" s="28"/>
      <c r="L670" s="28"/>
      <c r="M670" s="28"/>
      <c r="N670" s="28"/>
      <c r="O670" s="28"/>
      <c r="P670" s="28"/>
      <c r="Q670" s="28"/>
      <c r="R670" s="28"/>
      <c r="S670" s="28"/>
    </row>
    <row r="671" spans="1:19" ht="13.2">
      <c r="A671" s="28"/>
      <c r="B671" s="28"/>
      <c r="C671" s="28"/>
      <c r="D671" s="28"/>
      <c r="E671" s="28"/>
      <c r="F671" s="28"/>
      <c r="G671" s="28"/>
      <c r="H671" s="28"/>
      <c r="I671" s="28"/>
      <c r="J671" s="28"/>
      <c r="K671" s="28"/>
      <c r="L671" s="28"/>
      <c r="M671" s="28"/>
      <c r="N671" s="28"/>
      <c r="O671" s="28"/>
      <c r="P671" s="28"/>
      <c r="Q671" s="28"/>
      <c r="R671" s="28"/>
      <c r="S671" s="28"/>
    </row>
    <row r="672" spans="1:19" ht="13.2">
      <c r="A672" s="28"/>
      <c r="B672" s="28"/>
      <c r="C672" s="28"/>
      <c r="D672" s="28"/>
      <c r="E672" s="28"/>
      <c r="F672" s="28"/>
      <c r="G672" s="28"/>
      <c r="H672" s="28"/>
      <c r="I672" s="28"/>
      <c r="J672" s="28"/>
      <c r="K672" s="28"/>
      <c r="L672" s="28"/>
      <c r="M672" s="28"/>
      <c r="N672" s="28"/>
      <c r="O672" s="28"/>
      <c r="P672" s="28"/>
      <c r="Q672" s="28"/>
      <c r="R672" s="28"/>
      <c r="S672" s="28"/>
    </row>
    <row r="673" spans="1:19" ht="13.2">
      <c r="A673" s="28"/>
      <c r="B673" s="28"/>
      <c r="C673" s="28"/>
      <c r="D673" s="28"/>
      <c r="E673" s="28"/>
      <c r="F673" s="28"/>
      <c r="G673" s="28"/>
      <c r="H673" s="28"/>
      <c r="I673" s="28"/>
      <c r="J673" s="28"/>
      <c r="K673" s="28"/>
      <c r="L673" s="28"/>
      <c r="M673" s="28"/>
      <c r="N673" s="28"/>
      <c r="O673" s="28"/>
      <c r="P673" s="28"/>
      <c r="Q673" s="28"/>
      <c r="R673" s="28"/>
      <c r="S673" s="28"/>
    </row>
    <row r="674" spans="1:19" ht="13.2">
      <c r="A674" s="28"/>
      <c r="B674" s="28"/>
      <c r="C674" s="28"/>
      <c r="D674" s="28"/>
      <c r="E674" s="28"/>
      <c r="F674" s="28"/>
      <c r="G674" s="28"/>
      <c r="H674" s="28"/>
      <c r="I674" s="28"/>
      <c r="J674" s="28"/>
      <c r="K674" s="28"/>
      <c r="L674" s="28"/>
      <c r="M674" s="28"/>
      <c r="N674" s="28"/>
      <c r="O674" s="28"/>
      <c r="P674" s="28"/>
      <c r="Q674" s="28"/>
      <c r="R674" s="28"/>
      <c r="S674" s="28"/>
    </row>
    <row r="675" spans="1:19" ht="13.2">
      <c r="A675" s="28"/>
      <c r="B675" s="28"/>
      <c r="C675" s="28"/>
      <c r="D675" s="28"/>
      <c r="E675" s="28"/>
      <c r="F675" s="28"/>
      <c r="G675" s="28"/>
      <c r="H675" s="28"/>
      <c r="I675" s="28"/>
      <c r="J675" s="28"/>
      <c r="K675" s="28"/>
      <c r="L675" s="28"/>
      <c r="M675" s="28"/>
      <c r="N675" s="28"/>
      <c r="O675" s="28"/>
      <c r="P675" s="28"/>
      <c r="Q675" s="28"/>
      <c r="R675" s="28"/>
      <c r="S675" s="28"/>
    </row>
    <row r="676" spans="1:19" ht="13.2">
      <c r="A676" s="28"/>
      <c r="B676" s="28"/>
      <c r="C676" s="28"/>
      <c r="D676" s="28"/>
      <c r="E676" s="28"/>
      <c r="F676" s="28"/>
      <c r="G676" s="28"/>
      <c r="H676" s="28"/>
      <c r="I676" s="28"/>
      <c r="J676" s="28"/>
      <c r="K676" s="28"/>
      <c r="L676" s="28"/>
      <c r="M676" s="28"/>
      <c r="N676" s="28"/>
      <c r="O676" s="28"/>
      <c r="P676" s="28"/>
      <c r="Q676" s="28"/>
      <c r="R676" s="28"/>
      <c r="S676" s="28"/>
    </row>
    <row r="677" spans="1:19" ht="13.2">
      <c r="A677" s="28"/>
      <c r="B677" s="28"/>
      <c r="C677" s="28"/>
      <c r="D677" s="28"/>
      <c r="E677" s="28"/>
      <c r="F677" s="28"/>
      <c r="G677" s="28"/>
      <c r="H677" s="28"/>
      <c r="I677" s="28"/>
      <c r="J677" s="28"/>
      <c r="K677" s="28"/>
      <c r="L677" s="28"/>
      <c r="M677" s="28"/>
      <c r="N677" s="28"/>
      <c r="O677" s="28"/>
      <c r="P677" s="28"/>
      <c r="Q677" s="28"/>
      <c r="R677" s="28"/>
      <c r="S677" s="28"/>
    </row>
    <row r="678" spans="1:19" ht="13.2">
      <c r="A678" s="28"/>
      <c r="B678" s="28"/>
      <c r="C678" s="28"/>
      <c r="D678" s="28"/>
      <c r="E678" s="28"/>
      <c r="F678" s="28"/>
      <c r="G678" s="28"/>
      <c r="H678" s="28"/>
      <c r="I678" s="28"/>
      <c r="J678" s="28"/>
      <c r="K678" s="28"/>
      <c r="L678" s="28"/>
      <c r="M678" s="28"/>
      <c r="N678" s="28"/>
      <c r="O678" s="28"/>
      <c r="P678" s="28"/>
      <c r="Q678" s="28"/>
      <c r="R678" s="28"/>
      <c r="S678" s="28"/>
    </row>
    <row r="679" spans="1:19" ht="13.2">
      <c r="A679" s="28"/>
      <c r="B679" s="28"/>
      <c r="C679" s="28"/>
      <c r="D679" s="28"/>
      <c r="E679" s="28"/>
      <c r="F679" s="28"/>
      <c r="G679" s="28"/>
      <c r="H679" s="28"/>
      <c r="I679" s="28"/>
      <c r="J679" s="28"/>
      <c r="K679" s="28"/>
      <c r="L679" s="28"/>
      <c r="M679" s="28"/>
      <c r="N679" s="28"/>
      <c r="O679" s="28"/>
      <c r="P679" s="28"/>
      <c r="Q679" s="28"/>
      <c r="R679" s="28"/>
      <c r="S679" s="28"/>
    </row>
    <row r="680" spans="1:19" ht="13.2">
      <c r="A680" s="28"/>
      <c r="B680" s="28"/>
      <c r="C680" s="28"/>
      <c r="D680" s="28"/>
      <c r="E680" s="28"/>
      <c r="F680" s="28"/>
      <c r="G680" s="28"/>
      <c r="H680" s="28"/>
      <c r="I680" s="28"/>
      <c r="J680" s="28"/>
      <c r="K680" s="28"/>
      <c r="L680" s="28"/>
      <c r="M680" s="28"/>
      <c r="N680" s="28"/>
      <c r="O680" s="28"/>
      <c r="P680" s="28"/>
      <c r="Q680" s="28"/>
      <c r="R680" s="28"/>
      <c r="S680" s="28"/>
    </row>
    <row r="681" spans="1:19" ht="13.2">
      <c r="A681" s="28"/>
      <c r="B681" s="28"/>
      <c r="C681" s="28"/>
      <c r="D681" s="28"/>
      <c r="E681" s="28"/>
      <c r="F681" s="28"/>
      <c r="G681" s="28"/>
      <c r="H681" s="28"/>
      <c r="I681" s="28"/>
      <c r="J681" s="28"/>
      <c r="K681" s="28"/>
      <c r="L681" s="28"/>
      <c r="M681" s="28"/>
      <c r="N681" s="28"/>
      <c r="O681" s="28"/>
      <c r="P681" s="28"/>
      <c r="Q681" s="28"/>
      <c r="R681" s="28"/>
      <c r="S681" s="28"/>
    </row>
    <row r="682" spans="1:19" ht="13.2">
      <c r="A682" s="28"/>
      <c r="B682" s="28"/>
      <c r="C682" s="28"/>
      <c r="D682" s="28"/>
      <c r="E682" s="28"/>
      <c r="F682" s="28"/>
      <c r="G682" s="28"/>
      <c r="H682" s="28"/>
      <c r="I682" s="28"/>
      <c r="J682" s="28"/>
      <c r="K682" s="28"/>
      <c r="L682" s="28"/>
      <c r="M682" s="28"/>
      <c r="N682" s="28"/>
      <c r="O682" s="28"/>
      <c r="P682" s="28"/>
      <c r="Q682" s="28"/>
      <c r="R682" s="28"/>
      <c r="S682" s="28"/>
    </row>
    <row r="683" spans="1:19" ht="13.2">
      <c r="A683" s="28"/>
      <c r="B683" s="28"/>
      <c r="C683" s="28"/>
      <c r="D683" s="28"/>
      <c r="E683" s="28"/>
      <c r="F683" s="28"/>
      <c r="G683" s="28"/>
      <c r="H683" s="28"/>
      <c r="I683" s="28"/>
      <c r="J683" s="28"/>
      <c r="K683" s="28"/>
      <c r="L683" s="28"/>
      <c r="M683" s="28"/>
      <c r="N683" s="28"/>
      <c r="O683" s="28"/>
      <c r="P683" s="28"/>
      <c r="Q683" s="28"/>
      <c r="R683" s="28"/>
      <c r="S683" s="28"/>
    </row>
    <row r="684" spans="1:19" ht="13.2">
      <c r="A684" s="28"/>
      <c r="B684" s="28"/>
      <c r="C684" s="28"/>
      <c r="D684" s="28"/>
      <c r="E684" s="28"/>
      <c r="F684" s="28"/>
      <c r="G684" s="28"/>
      <c r="H684" s="28"/>
      <c r="I684" s="28"/>
      <c r="J684" s="28"/>
      <c r="K684" s="28"/>
      <c r="L684" s="28"/>
      <c r="M684" s="28"/>
      <c r="N684" s="28"/>
      <c r="O684" s="28"/>
      <c r="P684" s="28"/>
      <c r="Q684" s="28"/>
      <c r="R684" s="28"/>
      <c r="S684" s="28"/>
    </row>
    <row r="685" spans="1:19" ht="13.2">
      <c r="A685" s="28"/>
      <c r="B685" s="28"/>
      <c r="C685" s="28"/>
      <c r="D685" s="28"/>
      <c r="E685" s="28"/>
      <c r="F685" s="28"/>
      <c r="G685" s="28"/>
      <c r="H685" s="28"/>
      <c r="I685" s="28"/>
      <c r="J685" s="28"/>
      <c r="K685" s="28"/>
      <c r="L685" s="28"/>
      <c r="M685" s="28"/>
      <c r="N685" s="28"/>
      <c r="O685" s="28"/>
      <c r="P685" s="28"/>
      <c r="Q685" s="28"/>
      <c r="R685" s="28"/>
      <c r="S685" s="28"/>
    </row>
    <row r="686" spans="1:19" ht="13.2">
      <c r="A686" s="28"/>
      <c r="B686" s="28"/>
      <c r="C686" s="28"/>
      <c r="D686" s="28"/>
      <c r="E686" s="28"/>
      <c r="F686" s="28"/>
      <c r="G686" s="28"/>
      <c r="H686" s="28"/>
      <c r="I686" s="28"/>
      <c r="J686" s="28"/>
      <c r="K686" s="28"/>
      <c r="L686" s="28"/>
      <c r="M686" s="28"/>
      <c r="N686" s="28"/>
      <c r="O686" s="28"/>
      <c r="P686" s="28"/>
      <c r="Q686" s="28"/>
      <c r="R686" s="28"/>
      <c r="S686" s="28"/>
    </row>
    <row r="687" spans="1:19" ht="13.2">
      <c r="A687" s="28"/>
      <c r="B687" s="28"/>
      <c r="C687" s="28"/>
      <c r="D687" s="28"/>
      <c r="E687" s="28"/>
      <c r="F687" s="28"/>
      <c r="G687" s="28"/>
      <c r="H687" s="28"/>
      <c r="I687" s="28"/>
      <c r="J687" s="28"/>
      <c r="K687" s="28"/>
      <c r="L687" s="28"/>
      <c r="M687" s="28"/>
      <c r="N687" s="28"/>
      <c r="O687" s="28"/>
      <c r="P687" s="28"/>
      <c r="Q687" s="28"/>
      <c r="R687" s="28"/>
      <c r="S687" s="28"/>
    </row>
    <row r="688" spans="1:19" ht="13.2">
      <c r="A688" s="28"/>
      <c r="B688" s="28"/>
      <c r="C688" s="28"/>
      <c r="D688" s="28"/>
      <c r="E688" s="28"/>
      <c r="F688" s="28"/>
      <c r="G688" s="28"/>
      <c r="H688" s="28"/>
      <c r="I688" s="28"/>
      <c r="J688" s="28"/>
      <c r="K688" s="28"/>
      <c r="L688" s="28"/>
      <c r="M688" s="28"/>
      <c r="N688" s="28"/>
      <c r="O688" s="28"/>
      <c r="P688" s="28"/>
      <c r="Q688" s="28"/>
      <c r="R688" s="28"/>
      <c r="S688" s="28"/>
    </row>
    <row r="689" spans="1:19" ht="13.2">
      <c r="A689" s="28"/>
      <c r="B689" s="28"/>
      <c r="C689" s="28"/>
      <c r="D689" s="28"/>
      <c r="E689" s="28"/>
      <c r="F689" s="28"/>
      <c r="G689" s="28"/>
      <c r="H689" s="28"/>
      <c r="I689" s="28"/>
      <c r="J689" s="28"/>
      <c r="K689" s="28"/>
      <c r="L689" s="28"/>
      <c r="M689" s="28"/>
      <c r="N689" s="28"/>
      <c r="O689" s="28"/>
      <c r="P689" s="28"/>
      <c r="Q689" s="28"/>
      <c r="R689" s="28"/>
      <c r="S689" s="28"/>
    </row>
    <row r="690" spans="1:19" ht="13.2">
      <c r="A690" s="28"/>
      <c r="B690" s="28"/>
      <c r="C690" s="28"/>
      <c r="D690" s="28"/>
      <c r="E690" s="28"/>
      <c r="F690" s="28"/>
      <c r="G690" s="28"/>
      <c r="H690" s="28"/>
      <c r="I690" s="28"/>
      <c r="J690" s="28"/>
      <c r="K690" s="28"/>
      <c r="L690" s="28"/>
      <c r="M690" s="28"/>
      <c r="N690" s="28"/>
      <c r="O690" s="28"/>
      <c r="P690" s="28"/>
      <c r="Q690" s="28"/>
      <c r="R690" s="28"/>
      <c r="S690" s="28"/>
    </row>
    <row r="691" spans="1:19" ht="13.2">
      <c r="A691" s="28"/>
      <c r="B691" s="28"/>
      <c r="C691" s="28"/>
      <c r="D691" s="28"/>
      <c r="E691" s="28"/>
      <c r="F691" s="28"/>
      <c r="G691" s="28"/>
      <c r="H691" s="28"/>
      <c r="I691" s="28"/>
      <c r="J691" s="28"/>
      <c r="K691" s="28"/>
      <c r="L691" s="28"/>
      <c r="M691" s="28"/>
      <c r="N691" s="28"/>
      <c r="O691" s="28"/>
      <c r="P691" s="28"/>
      <c r="Q691" s="28"/>
      <c r="R691" s="28"/>
      <c r="S691" s="28"/>
    </row>
    <row r="692" spans="1:19" ht="13.2">
      <c r="A692" s="28"/>
      <c r="B692" s="28"/>
      <c r="C692" s="28"/>
      <c r="D692" s="28"/>
      <c r="E692" s="28"/>
      <c r="F692" s="28"/>
      <c r="G692" s="28"/>
      <c r="H692" s="28"/>
      <c r="I692" s="28"/>
      <c r="J692" s="28"/>
      <c r="K692" s="28"/>
      <c r="L692" s="28"/>
      <c r="M692" s="28"/>
      <c r="N692" s="28"/>
      <c r="O692" s="28"/>
      <c r="P692" s="28"/>
      <c r="Q692" s="28"/>
      <c r="R692" s="28"/>
      <c r="S692" s="28"/>
    </row>
    <row r="693" spans="1:19" ht="13.2">
      <c r="A693" s="28"/>
      <c r="B693" s="28"/>
      <c r="C693" s="28"/>
      <c r="D693" s="28"/>
      <c r="E693" s="28"/>
      <c r="F693" s="28"/>
      <c r="G693" s="28"/>
      <c r="H693" s="28"/>
      <c r="I693" s="28"/>
      <c r="J693" s="28"/>
      <c r="K693" s="28"/>
      <c r="L693" s="28"/>
      <c r="M693" s="28"/>
      <c r="N693" s="28"/>
      <c r="O693" s="28"/>
      <c r="P693" s="28"/>
      <c r="Q693" s="28"/>
      <c r="R693" s="28"/>
      <c r="S693" s="28"/>
    </row>
    <row r="694" spans="1:19" ht="13.2">
      <c r="A694" s="28"/>
      <c r="B694" s="28"/>
      <c r="C694" s="28"/>
      <c r="D694" s="28"/>
      <c r="E694" s="28"/>
      <c r="F694" s="28"/>
      <c r="G694" s="28"/>
      <c r="H694" s="28"/>
      <c r="I694" s="28"/>
      <c r="J694" s="28"/>
      <c r="K694" s="28"/>
      <c r="L694" s="28"/>
      <c r="M694" s="28"/>
      <c r="N694" s="28"/>
      <c r="O694" s="28"/>
      <c r="P694" s="28"/>
      <c r="Q694" s="28"/>
      <c r="R694" s="28"/>
      <c r="S694" s="28"/>
    </row>
    <row r="695" spans="1:19" ht="13.2">
      <c r="A695" s="28"/>
      <c r="B695" s="28"/>
      <c r="C695" s="28"/>
      <c r="D695" s="28"/>
      <c r="E695" s="28"/>
      <c r="F695" s="28"/>
      <c r="G695" s="28"/>
      <c r="H695" s="28"/>
      <c r="I695" s="28"/>
      <c r="J695" s="28"/>
      <c r="K695" s="28"/>
      <c r="L695" s="28"/>
      <c r="M695" s="28"/>
      <c r="N695" s="28"/>
      <c r="O695" s="28"/>
      <c r="P695" s="28"/>
      <c r="Q695" s="28"/>
      <c r="R695" s="28"/>
      <c r="S695" s="28"/>
    </row>
    <row r="696" spans="1:19" ht="13.2">
      <c r="A696" s="28"/>
      <c r="B696" s="28"/>
      <c r="C696" s="28"/>
      <c r="D696" s="28"/>
      <c r="E696" s="28"/>
      <c r="F696" s="28"/>
      <c r="G696" s="28"/>
      <c r="H696" s="28"/>
      <c r="I696" s="28"/>
      <c r="J696" s="28"/>
      <c r="K696" s="28"/>
      <c r="L696" s="28"/>
      <c r="M696" s="28"/>
      <c r="N696" s="28"/>
      <c r="O696" s="28"/>
      <c r="P696" s="28"/>
      <c r="Q696" s="28"/>
      <c r="R696" s="28"/>
      <c r="S696" s="28"/>
    </row>
    <row r="697" spans="1:19" ht="13.2">
      <c r="A697" s="28"/>
      <c r="B697" s="28"/>
      <c r="C697" s="28"/>
      <c r="D697" s="28"/>
      <c r="E697" s="28"/>
      <c r="F697" s="28"/>
      <c r="G697" s="28"/>
      <c r="H697" s="28"/>
      <c r="I697" s="28"/>
      <c r="J697" s="28"/>
      <c r="K697" s="28"/>
      <c r="L697" s="28"/>
      <c r="M697" s="28"/>
      <c r="N697" s="28"/>
      <c r="O697" s="28"/>
      <c r="P697" s="28"/>
      <c r="Q697" s="28"/>
      <c r="R697" s="28"/>
      <c r="S697" s="28"/>
    </row>
    <row r="698" spans="1:19" ht="13.2">
      <c r="A698" s="28"/>
      <c r="B698" s="28"/>
      <c r="C698" s="28"/>
      <c r="D698" s="28"/>
      <c r="E698" s="28"/>
      <c r="F698" s="28"/>
      <c r="G698" s="28"/>
      <c r="H698" s="28"/>
      <c r="I698" s="28"/>
      <c r="J698" s="28"/>
      <c r="K698" s="28"/>
      <c r="L698" s="28"/>
      <c r="M698" s="28"/>
      <c r="N698" s="28"/>
      <c r="O698" s="28"/>
      <c r="P698" s="28"/>
      <c r="Q698" s="28"/>
      <c r="R698" s="28"/>
      <c r="S698" s="28"/>
    </row>
    <row r="699" spans="1:19" ht="13.2">
      <c r="A699" s="28"/>
      <c r="B699" s="28"/>
      <c r="C699" s="28"/>
      <c r="D699" s="28"/>
      <c r="E699" s="28"/>
      <c r="F699" s="28"/>
      <c r="G699" s="28"/>
      <c r="H699" s="28"/>
      <c r="I699" s="28"/>
      <c r="J699" s="28"/>
      <c r="K699" s="28"/>
      <c r="L699" s="28"/>
      <c r="M699" s="28"/>
      <c r="N699" s="28"/>
      <c r="O699" s="28"/>
      <c r="P699" s="28"/>
      <c r="Q699" s="28"/>
      <c r="R699" s="28"/>
      <c r="S699" s="28"/>
    </row>
    <row r="700" spans="1:19" ht="13.2">
      <c r="A700" s="28"/>
      <c r="B700" s="28"/>
      <c r="C700" s="28"/>
      <c r="D700" s="28"/>
      <c r="E700" s="28"/>
      <c r="F700" s="28"/>
      <c r="G700" s="28"/>
      <c r="H700" s="28"/>
      <c r="I700" s="28"/>
      <c r="J700" s="28"/>
      <c r="K700" s="28"/>
      <c r="L700" s="28"/>
      <c r="M700" s="28"/>
      <c r="N700" s="28"/>
      <c r="O700" s="28"/>
      <c r="P700" s="28"/>
      <c r="Q700" s="28"/>
      <c r="R700" s="28"/>
      <c r="S700" s="28"/>
    </row>
    <row r="701" spans="1:19" ht="13.2">
      <c r="A701" s="28"/>
      <c r="B701" s="28"/>
      <c r="C701" s="28"/>
      <c r="D701" s="28"/>
      <c r="E701" s="28"/>
      <c r="F701" s="28"/>
      <c r="G701" s="28"/>
      <c r="H701" s="28"/>
      <c r="I701" s="28"/>
      <c r="J701" s="28"/>
      <c r="K701" s="28"/>
      <c r="L701" s="28"/>
      <c r="M701" s="28"/>
      <c r="N701" s="28"/>
      <c r="O701" s="28"/>
      <c r="P701" s="28"/>
      <c r="Q701" s="28"/>
      <c r="R701" s="28"/>
      <c r="S701" s="28"/>
    </row>
    <row r="702" spans="1:19" ht="13.2">
      <c r="A702" s="28"/>
      <c r="B702" s="28"/>
      <c r="C702" s="28"/>
      <c r="D702" s="28"/>
      <c r="E702" s="28"/>
      <c r="F702" s="28"/>
      <c r="G702" s="28"/>
      <c r="H702" s="28"/>
      <c r="I702" s="28"/>
      <c r="J702" s="28"/>
      <c r="K702" s="28"/>
      <c r="L702" s="28"/>
      <c r="M702" s="28"/>
      <c r="N702" s="28"/>
      <c r="O702" s="28"/>
      <c r="P702" s="28"/>
      <c r="Q702" s="28"/>
      <c r="R702" s="28"/>
      <c r="S702" s="28"/>
    </row>
    <row r="703" spans="1:19" ht="13.2">
      <c r="A703" s="28"/>
      <c r="B703" s="28"/>
      <c r="C703" s="28"/>
      <c r="D703" s="28"/>
      <c r="E703" s="28"/>
      <c r="F703" s="28"/>
      <c r="G703" s="28"/>
      <c r="H703" s="28"/>
      <c r="I703" s="28"/>
      <c r="J703" s="28"/>
      <c r="K703" s="28"/>
      <c r="L703" s="28"/>
      <c r="M703" s="28"/>
      <c r="N703" s="28"/>
      <c r="O703" s="28"/>
      <c r="P703" s="28"/>
      <c r="Q703" s="28"/>
      <c r="R703" s="28"/>
      <c r="S703" s="28"/>
    </row>
    <row r="704" spans="1:19" ht="13.2">
      <c r="A704" s="28"/>
      <c r="B704" s="28"/>
      <c r="C704" s="28"/>
      <c r="D704" s="28"/>
      <c r="E704" s="28"/>
      <c r="F704" s="28"/>
      <c r="G704" s="28"/>
      <c r="H704" s="28"/>
      <c r="I704" s="28"/>
      <c r="J704" s="28"/>
      <c r="K704" s="28"/>
      <c r="L704" s="28"/>
      <c r="M704" s="28"/>
      <c r="N704" s="28"/>
      <c r="O704" s="28"/>
      <c r="P704" s="28"/>
      <c r="Q704" s="28"/>
      <c r="R704" s="28"/>
      <c r="S704" s="28"/>
    </row>
    <row r="705" spans="1:19" ht="13.2">
      <c r="A705" s="28"/>
      <c r="B705" s="28"/>
      <c r="C705" s="28"/>
      <c r="D705" s="28"/>
      <c r="E705" s="28"/>
      <c r="F705" s="28"/>
      <c r="G705" s="28"/>
      <c r="H705" s="28"/>
      <c r="I705" s="28"/>
      <c r="J705" s="28"/>
      <c r="K705" s="28"/>
      <c r="L705" s="28"/>
      <c r="M705" s="28"/>
      <c r="N705" s="28"/>
      <c r="O705" s="28"/>
      <c r="P705" s="28"/>
      <c r="Q705" s="28"/>
      <c r="R705" s="28"/>
      <c r="S705" s="28"/>
    </row>
    <row r="706" spans="1:19" ht="13.2">
      <c r="A706" s="28"/>
      <c r="B706" s="28"/>
      <c r="C706" s="28"/>
      <c r="D706" s="28"/>
      <c r="E706" s="28"/>
      <c r="F706" s="28"/>
      <c r="G706" s="28"/>
      <c r="H706" s="28"/>
      <c r="I706" s="28"/>
      <c r="J706" s="28"/>
      <c r="K706" s="28"/>
      <c r="L706" s="28"/>
      <c r="M706" s="28"/>
      <c r="N706" s="28"/>
      <c r="O706" s="28"/>
      <c r="P706" s="28"/>
      <c r="Q706" s="28"/>
      <c r="R706" s="28"/>
      <c r="S706" s="28"/>
    </row>
    <row r="707" spans="1:19" ht="13.2">
      <c r="A707" s="28"/>
      <c r="B707" s="28"/>
      <c r="C707" s="28"/>
      <c r="D707" s="28"/>
      <c r="E707" s="28"/>
      <c r="F707" s="28"/>
      <c r="G707" s="28"/>
      <c r="H707" s="28"/>
      <c r="I707" s="28"/>
      <c r="J707" s="28"/>
      <c r="K707" s="28"/>
      <c r="L707" s="28"/>
      <c r="M707" s="28"/>
      <c r="N707" s="28"/>
      <c r="O707" s="28"/>
      <c r="P707" s="28"/>
      <c r="Q707" s="28"/>
      <c r="R707" s="28"/>
      <c r="S707" s="28"/>
    </row>
    <row r="708" spans="1:19" ht="13.2">
      <c r="A708" s="28"/>
      <c r="B708" s="28"/>
      <c r="C708" s="28"/>
      <c r="D708" s="28"/>
      <c r="E708" s="28"/>
      <c r="F708" s="28"/>
      <c r="G708" s="28"/>
      <c r="H708" s="28"/>
      <c r="I708" s="28"/>
      <c r="J708" s="28"/>
      <c r="K708" s="28"/>
      <c r="L708" s="28"/>
      <c r="M708" s="28"/>
      <c r="N708" s="28"/>
      <c r="O708" s="28"/>
      <c r="P708" s="28"/>
      <c r="Q708" s="28"/>
      <c r="R708" s="28"/>
      <c r="S708" s="28"/>
    </row>
    <row r="709" spans="1:19" ht="13.2">
      <c r="A709" s="28"/>
      <c r="B709" s="28"/>
      <c r="C709" s="28"/>
      <c r="D709" s="28"/>
      <c r="E709" s="28"/>
      <c r="F709" s="28"/>
      <c r="G709" s="28"/>
      <c r="H709" s="28"/>
      <c r="I709" s="28"/>
      <c r="J709" s="28"/>
      <c r="K709" s="28"/>
      <c r="L709" s="28"/>
      <c r="M709" s="28"/>
      <c r="N709" s="28"/>
      <c r="O709" s="28"/>
      <c r="P709" s="28"/>
      <c r="Q709" s="28"/>
      <c r="R709" s="28"/>
      <c r="S709" s="28"/>
    </row>
    <row r="710" spans="1:19" ht="13.2">
      <c r="A710" s="28"/>
      <c r="B710" s="28"/>
      <c r="C710" s="28"/>
      <c r="D710" s="28"/>
      <c r="E710" s="28"/>
      <c r="F710" s="28"/>
      <c r="G710" s="28"/>
      <c r="H710" s="28"/>
      <c r="I710" s="28"/>
      <c r="J710" s="28"/>
      <c r="K710" s="28"/>
      <c r="L710" s="28"/>
      <c r="M710" s="28"/>
      <c r="N710" s="28"/>
      <c r="O710" s="28"/>
      <c r="P710" s="28"/>
      <c r="Q710" s="28"/>
      <c r="R710" s="28"/>
      <c r="S710" s="28"/>
    </row>
    <row r="711" spans="1:19" ht="13.2">
      <c r="A711" s="28"/>
      <c r="B711" s="28"/>
      <c r="C711" s="28"/>
      <c r="D711" s="28"/>
      <c r="E711" s="28"/>
      <c r="F711" s="28"/>
      <c r="G711" s="28"/>
      <c r="H711" s="28"/>
      <c r="I711" s="28"/>
      <c r="J711" s="28"/>
      <c r="K711" s="28"/>
      <c r="L711" s="28"/>
      <c r="M711" s="28"/>
      <c r="N711" s="28"/>
      <c r="O711" s="28"/>
      <c r="P711" s="28"/>
      <c r="Q711" s="28"/>
      <c r="R711" s="28"/>
      <c r="S711" s="28"/>
    </row>
    <row r="712" spans="1:19" ht="13.2">
      <c r="A712" s="28"/>
      <c r="B712" s="28"/>
      <c r="C712" s="28"/>
      <c r="D712" s="28"/>
      <c r="E712" s="28"/>
      <c r="F712" s="28"/>
      <c r="G712" s="28"/>
      <c r="H712" s="28"/>
      <c r="I712" s="28"/>
      <c r="J712" s="28"/>
      <c r="K712" s="28"/>
      <c r="L712" s="28"/>
      <c r="M712" s="28"/>
      <c r="N712" s="28"/>
      <c r="O712" s="28"/>
      <c r="P712" s="28"/>
      <c r="Q712" s="28"/>
      <c r="R712" s="28"/>
      <c r="S712" s="28"/>
    </row>
    <row r="713" spans="1:19" ht="13.2">
      <c r="A713" s="28"/>
      <c r="B713" s="28"/>
      <c r="C713" s="28"/>
      <c r="D713" s="28"/>
      <c r="E713" s="28"/>
      <c r="F713" s="28"/>
      <c r="G713" s="28"/>
      <c r="H713" s="28"/>
      <c r="I713" s="28"/>
      <c r="J713" s="28"/>
      <c r="K713" s="28"/>
      <c r="L713" s="28"/>
      <c r="M713" s="28"/>
      <c r="N713" s="28"/>
      <c r="O713" s="28"/>
      <c r="P713" s="28"/>
      <c r="Q713" s="28"/>
      <c r="R713" s="28"/>
      <c r="S713" s="28"/>
    </row>
    <row r="714" spans="1:19" ht="13.2">
      <c r="A714" s="28"/>
      <c r="B714" s="28"/>
      <c r="C714" s="28"/>
      <c r="D714" s="28"/>
      <c r="E714" s="28"/>
      <c r="F714" s="28"/>
      <c r="G714" s="28"/>
      <c r="H714" s="28"/>
      <c r="I714" s="28"/>
      <c r="J714" s="28"/>
      <c r="K714" s="28"/>
      <c r="L714" s="28"/>
      <c r="M714" s="28"/>
      <c r="N714" s="28"/>
      <c r="O714" s="28"/>
      <c r="P714" s="28"/>
      <c r="Q714" s="28"/>
      <c r="R714" s="28"/>
      <c r="S714" s="28"/>
    </row>
    <row r="715" spans="1:19" ht="13.2">
      <c r="A715" s="28"/>
      <c r="B715" s="28"/>
      <c r="C715" s="28"/>
      <c r="D715" s="28"/>
      <c r="E715" s="28"/>
      <c r="F715" s="28"/>
      <c r="G715" s="28"/>
      <c r="H715" s="28"/>
      <c r="I715" s="28"/>
      <c r="J715" s="28"/>
      <c r="K715" s="28"/>
      <c r="L715" s="28"/>
      <c r="M715" s="28"/>
      <c r="N715" s="28"/>
      <c r="O715" s="28"/>
      <c r="P715" s="28"/>
      <c r="Q715" s="28"/>
      <c r="R715" s="28"/>
      <c r="S715" s="28"/>
    </row>
    <row r="716" spans="1:19" ht="13.2">
      <c r="A716" s="28"/>
      <c r="B716" s="28"/>
      <c r="C716" s="28"/>
      <c r="D716" s="28"/>
      <c r="E716" s="28"/>
      <c r="F716" s="28"/>
      <c r="G716" s="28"/>
      <c r="H716" s="28"/>
      <c r="I716" s="28"/>
      <c r="J716" s="28"/>
      <c r="K716" s="28"/>
      <c r="L716" s="28"/>
      <c r="M716" s="28"/>
      <c r="N716" s="28"/>
      <c r="O716" s="28"/>
      <c r="P716" s="28"/>
      <c r="Q716" s="28"/>
      <c r="R716" s="28"/>
      <c r="S716" s="28"/>
    </row>
    <row r="717" spans="1:19" ht="13.2">
      <c r="A717" s="28"/>
      <c r="B717" s="28"/>
      <c r="C717" s="28"/>
      <c r="D717" s="28"/>
      <c r="E717" s="28"/>
      <c r="F717" s="28"/>
      <c r="G717" s="28"/>
      <c r="H717" s="28"/>
      <c r="I717" s="28"/>
      <c r="J717" s="28"/>
      <c r="K717" s="28"/>
      <c r="L717" s="28"/>
      <c r="M717" s="28"/>
      <c r="N717" s="28"/>
      <c r="O717" s="28"/>
      <c r="P717" s="28"/>
      <c r="Q717" s="28"/>
      <c r="R717" s="28"/>
      <c r="S717" s="28"/>
    </row>
    <row r="718" spans="1:19" ht="13.2">
      <c r="A718" s="28"/>
      <c r="B718" s="28"/>
      <c r="C718" s="28"/>
      <c r="D718" s="28"/>
      <c r="E718" s="28"/>
      <c r="F718" s="28"/>
      <c r="G718" s="28"/>
      <c r="H718" s="28"/>
      <c r="I718" s="28"/>
      <c r="J718" s="28"/>
      <c r="K718" s="28"/>
      <c r="L718" s="28"/>
      <c r="M718" s="28"/>
      <c r="N718" s="28"/>
      <c r="O718" s="28"/>
      <c r="P718" s="28"/>
      <c r="Q718" s="28"/>
      <c r="R718" s="28"/>
      <c r="S718" s="28"/>
    </row>
    <row r="719" spans="1:19" ht="13.2">
      <c r="A719" s="28"/>
      <c r="B719" s="28"/>
      <c r="C719" s="28"/>
      <c r="D719" s="28"/>
      <c r="E719" s="28"/>
      <c r="F719" s="28"/>
      <c r="G719" s="28"/>
      <c r="H719" s="28"/>
      <c r="I719" s="28"/>
      <c r="J719" s="28"/>
      <c r="K719" s="28"/>
      <c r="L719" s="28"/>
      <c r="M719" s="28"/>
      <c r="N719" s="28"/>
      <c r="O719" s="28"/>
      <c r="P719" s="28"/>
      <c r="Q719" s="28"/>
      <c r="R719" s="28"/>
      <c r="S719" s="28"/>
    </row>
    <row r="720" spans="1:19" ht="13.2">
      <c r="A720" s="28"/>
      <c r="B720" s="28"/>
      <c r="C720" s="28"/>
      <c r="D720" s="28"/>
      <c r="E720" s="28"/>
      <c r="F720" s="28"/>
      <c r="G720" s="28"/>
      <c r="H720" s="28"/>
      <c r="I720" s="28"/>
      <c r="J720" s="28"/>
      <c r="K720" s="28"/>
      <c r="L720" s="28"/>
      <c r="M720" s="28"/>
      <c r="N720" s="28"/>
      <c r="O720" s="28"/>
      <c r="P720" s="28"/>
      <c r="Q720" s="28"/>
      <c r="R720" s="28"/>
      <c r="S720" s="28"/>
    </row>
    <row r="721" spans="1:19" ht="13.2">
      <c r="A721" s="28"/>
      <c r="B721" s="28"/>
      <c r="C721" s="28"/>
      <c r="D721" s="28"/>
      <c r="E721" s="28"/>
      <c r="F721" s="28"/>
      <c r="G721" s="28"/>
      <c r="H721" s="28"/>
      <c r="I721" s="28"/>
      <c r="J721" s="28"/>
      <c r="K721" s="28"/>
      <c r="L721" s="28"/>
      <c r="M721" s="28"/>
      <c r="N721" s="28"/>
      <c r="O721" s="28"/>
      <c r="P721" s="28"/>
      <c r="Q721" s="28"/>
      <c r="R721" s="28"/>
      <c r="S721" s="28"/>
    </row>
    <row r="722" spans="1:19" ht="13.2">
      <c r="A722" s="28"/>
      <c r="B722" s="28"/>
      <c r="C722" s="28"/>
      <c r="D722" s="28"/>
      <c r="E722" s="28"/>
      <c r="F722" s="28"/>
      <c r="G722" s="28"/>
      <c r="H722" s="28"/>
      <c r="I722" s="28"/>
      <c r="J722" s="28"/>
      <c r="K722" s="28"/>
      <c r="L722" s="28"/>
      <c r="M722" s="28"/>
      <c r="N722" s="28"/>
      <c r="O722" s="28"/>
      <c r="P722" s="28"/>
      <c r="Q722" s="28"/>
      <c r="R722" s="28"/>
      <c r="S722" s="28"/>
    </row>
    <row r="723" spans="1:19" ht="13.2">
      <c r="A723" s="28"/>
      <c r="B723" s="28"/>
      <c r="C723" s="28"/>
      <c r="D723" s="28"/>
      <c r="E723" s="28"/>
      <c r="F723" s="28"/>
      <c r="G723" s="28"/>
      <c r="H723" s="28"/>
      <c r="I723" s="28"/>
      <c r="J723" s="28"/>
      <c r="K723" s="28"/>
      <c r="L723" s="28"/>
      <c r="M723" s="28"/>
      <c r="N723" s="28"/>
      <c r="O723" s="28"/>
      <c r="P723" s="28"/>
      <c r="Q723" s="28"/>
      <c r="R723" s="28"/>
      <c r="S723" s="28"/>
    </row>
    <row r="724" spans="1:19" ht="13.2">
      <c r="A724" s="28"/>
      <c r="B724" s="28"/>
      <c r="C724" s="28"/>
      <c r="D724" s="28"/>
      <c r="E724" s="28"/>
      <c r="F724" s="28"/>
      <c r="G724" s="28"/>
      <c r="H724" s="28"/>
      <c r="I724" s="28"/>
      <c r="J724" s="28"/>
      <c r="K724" s="28"/>
      <c r="L724" s="28"/>
      <c r="M724" s="28"/>
      <c r="N724" s="28"/>
      <c r="O724" s="28"/>
      <c r="P724" s="28"/>
      <c r="Q724" s="28"/>
      <c r="R724" s="28"/>
      <c r="S724" s="28"/>
    </row>
    <row r="725" spans="1:19" ht="13.2">
      <c r="A725" s="28"/>
      <c r="B725" s="28"/>
      <c r="C725" s="28"/>
      <c r="D725" s="28"/>
      <c r="E725" s="28"/>
      <c r="F725" s="28"/>
      <c r="G725" s="28"/>
      <c r="H725" s="28"/>
      <c r="I725" s="28"/>
      <c r="J725" s="28"/>
      <c r="K725" s="28"/>
      <c r="L725" s="28"/>
      <c r="M725" s="28"/>
      <c r="N725" s="28"/>
      <c r="O725" s="28"/>
      <c r="P725" s="28"/>
      <c r="Q725" s="28"/>
      <c r="R725" s="28"/>
      <c r="S725" s="28"/>
    </row>
    <row r="726" spans="1:19" ht="13.2">
      <c r="A726" s="28"/>
      <c r="B726" s="28"/>
      <c r="C726" s="28"/>
      <c r="D726" s="28"/>
      <c r="E726" s="28"/>
      <c r="F726" s="28"/>
      <c r="G726" s="28"/>
      <c r="H726" s="28"/>
      <c r="I726" s="28"/>
      <c r="J726" s="28"/>
      <c r="K726" s="28"/>
      <c r="L726" s="28"/>
      <c r="M726" s="28"/>
      <c r="N726" s="28"/>
      <c r="O726" s="28"/>
      <c r="P726" s="28"/>
      <c r="Q726" s="28"/>
      <c r="R726" s="28"/>
      <c r="S726" s="28"/>
    </row>
    <row r="727" spans="1:19" ht="13.2">
      <c r="A727" s="28"/>
      <c r="B727" s="28"/>
      <c r="C727" s="28"/>
      <c r="D727" s="28"/>
      <c r="E727" s="28"/>
      <c r="F727" s="28"/>
      <c r="G727" s="28"/>
      <c r="H727" s="28"/>
      <c r="I727" s="28"/>
      <c r="J727" s="28"/>
      <c r="K727" s="28"/>
      <c r="L727" s="28"/>
      <c r="M727" s="28"/>
      <c r="N727" s="28"/>
      <c r="O727" s="28"/>
      <c r="P727" s="28"/>
      <c r="Q727" s="28"/>
      <c r="R727" s="28"/>
      <c r="S727" s="28"/>
    </row>
    <row r="728" spans="1:19" ht="13.2">
      <c r="A728" s="28"/>
      <c r="B728" s="28"/>
      <c r="C728" s="28"/>
      <c r="D728" s="28"/>
      <c r="E728" s="28"/>
      <c r="F728" s="28"/>
      <c r="G728" s="28"/>
      <c r="H728" s="28"/>
      <c r="I728" s="28"/>
      <c r="J728" s="28"/>
      <c r="K728" s="28"/>
      <c r="L728" s="28"/>
      <c r="M728" s="28"/>
      <c r="N728" s="28"/>
      <c r="O728" s="28"/>
      <c r="P728" s="28"/>
      <c r="Q728" s="28"/>
      <c r="R728" s="28"/>
      <c r="S728" s="28"/>
    </row>
    <row r="729" spans="1:19" ht="13.2">
      <c r="A729" s="28"/>
      <c r="B729" s="28"/>
      <c r="C729" s="28"/>
      <c r="D729" s="28"/>
      <c r="E729" s="28"/>
      <c r="F729" s="28"/>
      <c r="G729" s="28"/>
      <c r="H729" s="28"/>
      <c r="I729" s="28"/>
      <c r="J729" s="28"/>
      <c r="K729" s="28"/>
      <c r="L729" s="28"/>
      <c r="M729" s="28"/>
      <c r="N729" s="28"/>
      <c r="O729" s="28"/>
      <c r="P729" s="28"/>
      <c r="Q729" s="28"/>
      <c r="R729" s="28"/>
      <c r="S729" s="28"/>
    </row>
    <row r="730" spans="1:19" ht="13.2">
      <c r="A730" s="28"/>
      <c r="B730" s="28"/>
      <c r="C730" s="28"/>
      <c r="D730" s="28"/>
      <c r="E730" s="28"/>
      <c r="F730" s="28"/>
      <c r="G730" s="28"/>
      <c r="H730" s="28"/>
      <c r="I730" s="28"/>
      <c r="J730" s="28"/>
      <c r="K730" s="28"/>
      <c r="L730" s="28"/>
      <c r="M730" s="28"/>
      <c r="N730" s="28"/>
      <c r="O730" s="28"/>
      <c r="P730" s="28"/>
      <c r="Q730" s="28"/>
      <c r="R730" s="28"/>
      <c r="S730" s="28"/>
    </row>
    <row r="731" spans="1:19" ht="13.2">
      <c r="A731" s="28"/>
      <c r="B731" s="28"/>
      <c r="C731" s="28"/>
      <c r="D731" s="28"/>
      <c r="E731" s="28"/>
      <c r="F731" s="28"/>
      <c r="G731" s="28"/>
      <c r="H731" s="28"/>
      <c r="I731" s="28"/>
      <c r="J731" s="28"/>
      <c r="K731" s="28"/>
      <c r="L731" s="28"/>
      <c r="M731" s="28"/>
      <c r="N731" s="28"/>
      <c r="O731" s="28"/>
      <c r="P731" s="28"/>
      <c r="Q731" s="28"/>
      <c r="R731" s="28"/>
      <c r="S731" s="28"/>
    </row>
    <row r="732" spans="1:19" ht="13.2">
      <c r="A732" s="28"/>
      <c r="B732" s="28"/>
      <c r="C732" s="28"/>
      <c r="D732" s="28"/>
      <c r="E732" s="28"/>
      <c r="F732" s="28"/>
      <c r="G732" s="28"/>
      <c r="H732" s="28"/>
      <c r="I732" s="28"/>
      <c r="J732" s="28"/>
      <c r="K732" s="28"/>
      <c r="L732" s="28"/>
      <c r="M732" s="28"/>
      <c r="N732" s="28"/>
      <c r="O732" s="28"/>
      <c r="P732" s="28"/>
      <c r="Q732" s="28"/>
      <c r="R732" s="28"/>
      <c r="S732" s="28"/>
    </row>
    <row r="733" spans="1:19" ht="13.2">
      <c r="A733" s="28"/>
      <c r="B733" s="28"/>
      <c r="C733" s="28"/>
      <c r="D733" s="28"/>
      <c r="E733" s="28"/>
      <c r="F733" s="28"/>
      <c r="G733" s="28"/>
      <c r="H733" s="28"/>
      <c r="I733" s="28"/>
      <c r="J733" s="28"/>
      <c r="K733" s="28"/>
      <c r="L733" s="28"/>
      <c r="M733" s="28"/>
      <c r="N733" s="28"/>
      <c r="O733" s="28"/>
      <c r="P733" s="28"/>
      <c r="Q733" s="28"/>
      <c r="R733" s="28"/>
      <c r="S733" s="28"/>
    </row>
    <row r="734" spans="1:19" ht="13.2">
      <c r="A734" s="28"/>
      <c r="B734" s="28"/>
      <c r="C734" s="28"/>
      <c r="D734" s="28"/>
      <c r="E734" s="28"/>
      <c r="F734" s="28"/>
      <c r="G734" s="28"/>
      <c r="H734" s="28"/>
      <c r="I734" s="28"/>
      <c r="J734" s="28"/>
      <c r="K734" s="28"/>
      <c r="L734" s="28"/>
      <c r="M734" s="28"/>
      <c r="N734" s="28"/>
      <c r="O734" s="28"/>
      <c r="P734" s="28"/>
      <c r="Q734" s="28"/>
      <c r="R734" s="28"/>
      <c r="S734" s="28"/>
    </row>
    <row r="735" spans="1:19" ht="13.2">
      <c r="A735" s="28"/>
      <c r="B735" s="28"/>
      <c r="C735" s="28"/>
      <c r="D735" s="28"/>
      <c r="E735" s="28"/>
      <c r="F735" s="28"/>
      <c r="G735" s="28"/>
      <c r="H735" s="28"/>
      <c r="I735" s="28"/>
      <c r="J735" s="28"/>
      <c r="K735" s="28"/>
      <c r="L735" s="28"/>
      <c r="M735" s="28"/>
      <c r="N735" s="28"/>
      <c r="O735" s="28"/>
      <c r="P735" s="28"/>
      <c r="Q735" s="28"/>
      <c r="R735" s="28"/>
      <c r="S735" s="28"/>
    </row>
    <row r="736" spans="1:19" ht="13.2">
      <c r="A736" s="28"/>
      <c r="B736" s="28"/>
      <c r="C736" s="28"/>
      <c r="D736" s="28"/>
      <c r="E736" s="28"/>
      <c r="F736" s="28"/>
      <c r="G736" s="28"/>
      <c r="H736" s="28"/>
      <c r="I736" s="28"/>
      <c r="J736" s="28"/>
      <c r="K736" s="28"/>
      <c r="L736" s="28"/>
      <c r="M736" s="28"/>
      <c r="N736" s="28"/>
      <c r="O736" s="28"/>
      <c r="P736" s="28"/>
      <c r="Q736" s="28"/>
      <c r="R736" s="28"/>
      <c r="S736" s="28"/>
    </row>
    <row r="737" spans="1:19" ht="13.2">
      <c r="A737" s="28"/>
      <c r="B737" s="28"/>
      <c r="C737" s="28"/>
      <c r="D737" s="28"/>
      <c r="E737" s="28"/>
      <c r="F737" s="28"/>
      <c r="G737" s="28"/>
      <c r="H737" s="28"/>
      <c r="I737" s="28"/>
      <c r="J737" s="28"/>
      <c r="K737" s="28"/>
      <c r="L737" s="28"/>
      <c r="M737" s="28"/>
      <c r="N737" s="28"/>
      <c r="O737" s="28"/>
      <c r="P737" s="28"/>
      <c r="Q737" s="28"/>
      <c r="R737" s="28"/>
      <c r="S737" s="28"/>
    </row>
    <row r="738" spans="1:19" ht="13.2">
      <c r="A738" s="28"/>
      <c r="B738" s="28"/>
      <c r="C738" s="28"/>
      <c r="D738" s="28"/>
      <c r="E738" s="28"/>
      <c r="F738" s="28"/>
      <c r="G738" s="28"/>
      <c r="H738" s="28"/>
      <c r="I738" s="28"/>
      <c r="J738" s="28"/>
      <c r="K738" s="28"/>
      <c r="L738" s="28"/>
      <c r="M738" s="28"/>
      <c r="N738" s="28"/>
      <c r="O738" s="28"/>
      <c r="P738" s="28"/>
      <c r="Q738" s="28"/>
      <c r="R738" s="28"/>
      <c r="S738" s="28"/>
    </row>
    <row r="739" spans="1:19" ht="13.2">
      <c r="A739" s="28"/>
      <c r="B739" s="28"/>
      <c r="C739" s="28"/>
      <c r="D739" s="28"/>
      <c r="E739" s="28"/>
      <c r="F739" s="28"/>
      <c r="G739" s="28"/>
      <c r="H739" s="28"/>
      <c r="I739" s="28"/>
      <c r="J739" s="28"/>
      <c r="K739" s="28"/>
      <c r="L739" s="28"/>
      <c r="M739" s="28"/>
      <c r="N739" s="28"/>
      <c r="O739" s="28"/>
      <c r="P739" s="28"/>
      <c r="Q739" s="28"/>
      <c r="R739" s="28"/>
      <c r="S739" s="28"/>
    </row>
    <row r="740" spans="1:19" ht="13.2">
      <c r="A740" s="28"/>
      <c r="B740" s="28"/>
      <c r="C740" s="28"/>
      <c r="D740" s="28"/>
      <c r="E740" s="28"/>
      <c r="F740" s="28"/>
      <c r="G740" s="28"/>
      <c r="H740" s="28"/>
      <c r="I740" s="28"/>
      <c r="J740" s="28"/>
      <c r="K740" s="28"/>
      <c r="L740" s="28"/>
      <c r="M740" s="28"/>
      <c r="N740" s="28"/>
      <c r="O740" s="28"/>
      <c r="P740" s="28"/>
      <c r="Q740" s="28"/>
      <c r="R740" s="28"/>
      <c r="S740" s="28"/>
    </row>
    <row r="741" spans="1:19" ht="13.2">
      <c r="A741" s="28"/>
      <c r="B741" s="28"/>
      <c r="C741" s="28"/>
      <c r="D741" s="28"/>
      <c r="E741" s="28"/>
      <c r="F741" s="28"/>
      <c r="G741" s="28"/>
      <c r="H741" s="28"/>
      <c r="I741" s="28"/>
      <c r="J741" s="28"/>
      <c r="K741" s="28"/>
      <c r="L741" s="28"/>
      <c r="M741" s="28"/>
      <c r="N741" s="28"/>
      <c r="O741" s="28"/>
      <c r="P741" s="28"/>
      <c r="Q741" s="28"/>
      <c r="R741" s="28"/>
      <c r="S741" s="28"/>
    </row>
    <row r="742" spans="1:19" ht="13.2">
      <c r="A742" s="28"/>
      <c r="B742" s="28"/>
      <c r="C742" s="28"/>
      <c r="D742" s="28"/>
      <c r="E742" s="28"/>
      <c r="F742" s="28"/>
      <c r="G742" s="28"/>
      <c r="H742" s="28"/>
      <c r="I742" s="28"/>
      <c r="J742" s="28"/>
      <c r="K742" s="28"/>
      <c r="L742" s="28"/>
      <c r="M742" s="28"/>
      <c r="N742" s="28"/>
      <c r="O742" s="28"/>
      <c r="P742" s="28"/>
      <c r="Q742" s="28"/>
      <c r="R742" s="28"/>
      <c r="S742" s="28"/>
    </row>
    <row r="743" spans="1:19" ht="13.2">
      <c r="A743" s="28"/>
      <c r="B743" s="28"/>
      <c r="C743" s="28"/>
      <c r="D743" s="28"/>
      <c r="E743" s="28"/>
      <c r="F743" s="28"/>
      <c r="G743" s="28"/>
      <c r="H743" s="28"/>
      <c r="I743" s="28"/>
      <c r="J743" s="28"/>
      <c r="K743" s="28"/>
      <c r="L743" s="28"/>
      <c r="M743" s="28"/>
      <c r="N743" s="28"/>
      <c r="O743" s="28"/>
      <c r="P743" s="28"/>
      <c r="Q743" s="28"/>
      <c r="R743" s="28"/>
      <c r="S743" s="28"/>
    </row>
    <row r="744" spans="1:19" ht="13.2">
      <c r="A744" s="28"/>
      <c r="B744" s="28"/>
      <c r="C744" s="28"/>
      <c r="D744" s="28"/>
      <c r="E744" s="28"/>
      <c r="F744" s="28"/>
      <c r="G744" s="28"/>
      <c r="H744" s="28"/>
      <c r="I744" s="28"/>
      <c r="J744" s="28"/>
      <c r="K744" s="28"/>
      <c r="L744" s="28"/>
      <c r="M744" s="28"/>
      <c r="N744" s="28"/>
      <c r="O744" s="28"/>
      <c r="P744" s="28"/>
      <c r="Q744" s="28"/>
      <c r="R744" s="28"/>
      <c r="S744" s="28"/>
    </row>
    <row r="745" spans="1:19" ht="13.2">
      <c r="A745" s="28"/>
      <c r="B745" s="28"/>
      <c r="C745" s="28"/>
      <c r="D745" s="28"/>
      <c r="E745" s="28"/>
      <c r="F745" s="28"/>
      <c r="G745" s="28"/>
      <c r="H745" s="28"/>
      <c r="I745" s="28"/>
      <c r="J745" s="28"/>
      <c r="K745" s="28"/>
      <c r="L745" s="28"/>
      <c r="M745" s="28"/>
      <c r="N745" s="28"/>
      <c r="O745" s="28"/>
      <c r="P745" s="28"/>
      <c r="Q745" s="28"/>
      <c r="R745" s="28"/>
      <c r="S745" s="28"/>
    </row>
    <row r="746" spans="1:19" ht="13.2">
      <c r="A746" s="28"/>
      <c r="B746" s="28"/>
      <c r="C746" s="28"/>
      <c r="D746" s="28"/>
      <c r="E746" s="28"/>
      <c r="F746" s="28"/>
      <c r="G746" s="28"/>
      <c r="H746" s="28"/>
      <c r="I746" s="28"/>
      <c r="J746" s="28"/>
      <c r="K746" s="28"/>
      <c r="L746" s="28"/>
      <c r="M746" s="28"/>
      <c r="N746" s="28"/>
      <c r="O746" s="28"/>
      <c r="P746" s="28"/>
      <c r="Q746" s="28"/>
      <c r="R746" s="28"/>
      <c r="S746" s="28"/>
    </row>
    <row r="747" spans="1:19" ht="13.2">
      <c r="A747" s="28"/>
      <c r="B747" s="28"/>
      <c r="C747" s="28"/>
      <c r="D747" s="28"/>
      <c r="E747" s="28"/>
      <c r="F747" s="28"/>
      <c r="G747" s="28"/>
      <c r="H747" s="28"/>
      <c r="I747" s="28"/>
      <c r="J747" s="28"/>
      <c r="K747" s="28"/>
      <c r="L747" s="28"/>
      <c r="M747" s="28"/>
      <c r="N747" s="28"/>
      <c r="O747" s="28"/>
      <c r="P747" s="28"/>
      <c r="Q747" s="28"/>
      <c r="R747" s="28"/>
      <c r="S747" s="28"/>
    </row>
    <row r="748" spans="1:19" ht="13.2">
      <c r="A748" s="28"/>
      <c r="B748" s="28"/>
      <c r="C748" s="28"/>
      <c r="D748" s="28"/>
      <c r="E748" s="28"/>
      <c r="F748" s="28"/>
      <c r="G748" s="28"/>
      <c r="H748" s="28"/>
      <c r="I748" s="28"/>
      <c r="J748" s="28"/>
      <c r="K748" s="28"/>
      <c r="L748" s="28"/>
      <c r="M748" s="28"/>
      <c r="N748" s="28"/>
      <c r="O748" s="28"/>
      <c r="P748" s="28"/>
      <c r="Q748" s="28"/>
      <c r="R748" s="28"/>
      <c r="S748" s="28"/>
    </row>
    <row r="749" spans="1:19" ht="13.2">
      <c r="A749" s="28"/>
      <c r="B749" s="28"/>
      <c r="C749" s="28"/>
      <c r="D749" s="28"/>
      <c r="E749" s="28"/>
      <c r="F749" s="28"/>
      <c r="G749" s="28"/>
      <c r="H749" s="28"/>
      <c r="I749" s="28"/>
      <c r="J749" s="28"/>
      <c r="K749" s="28"/>
      <c r="L749" s="28"/>
      <c r="M749" s="28"/>
      <c r="N749" s="28"/>
      <c r="O749" s="28"/>
      <c r="P749" s="28"/>
      <c r="Q749" s="28"/>
      <c r="R749" s="28"/>
      <c r="S749" s="28"/>
    </row>
    <row r="750" spans="1:19" ht="13.2">
      <c r="A750" s="28"/>
      <c r="B750" s="28"/>
      <c r="C750" s="28"/>
      <c r="D750" s="28"/>
      <c r="E750" s="28"/>
      <c r="F750" s="28"/>
      <c r="G750" s="28"/>
      <c r="H750" s="28"/>
      <c r="I750" s="28"/>
      <c r="J750" s="28"/>
      <c r="K750" s="28"/>
      <c r="L750" s="28"/>
      <c r="M750" s="28"/>
      <c r="N750" s="28"/>
      <c r="O750" s="28"/>
      <c r="P750" s="28"/>
      <c r="Q750" s="28"/>
      <c r="R750" s="28"/>
      <c r="S750" s="28"/>
    </row>
    <row r="751" spans="1:19" ht="13.2">
      <c r="A751" s="28"/>
      <c r="B751" s="28"/>
      <c r="C751" s="28"/>
      <c r="D751" s="28"/>
      <c r="E751" s="28"/>
      <c r="F751" s="28"/>
      <c r="G751" s="28"/>
      <c r="H751" s="28"/>
      <c r="I751" s="28"/>
      <c r="J751" s="28"/>
      <c r="K751" s="28"/>
      <c r="L751" s="28"/>
      <c r="M751" s="28"/>
      <c r="N751" s="28"/>
      <c r="O751" s="28"/>
      <c r="P751" s="28"/>
      <c r="Q751" s="28"/>
      <c r="R751" s="28"/>
      <c r="S751" s="28"/>
    </row>
    <row r="752" spans="1:19" ht="13.2">
      <c r="A752" s="28"/>
      <c r="B752" s="28"/>
      <c r="C752" s="28"/>
      <c r="D752" s="28"/>
      <c r="E752" s="28"/>
      <c r="F752" s="28"/>
      <c r="G752" s="28"/>
      <c r="H752" s="28"/>
      <c r="I752" s="28"/>
      <c r="J752" s="28"/>
      <c r="K752" s="28"/>
      <c r="L752" s="28"/>
      <c r="M752" s="28"/>
      <c r="N752" s="28"/>
      <c r="O752" s="28"/>
      <c r="P752" s="28"/>
      <c r="Q752" s="28"/>
      <c r="R752" s="28"/>
      <c r="S752" s="28"/>
    </row>
    <row r="753" spans="1:19" ht="13.2">
      <c r="A753" s="28"/>
      <c r="B753" s="28"/>
      <c r="C753" s="28"/>
      <c r="D753" s="28"/>
      <c r="E753" s="28"/>
      <c r="F753" s="28"/>
      <c r="G753" s="28"/>
      <c r="H753" s="28"/>
      <c r="I753" s="28"/>
      <c r="J753" s="28"/>
      <c r="K753" s="28"/>
      <c r="L753" s="28"/>
      <c r="M753" s="28"/>
      <c r="N753" s="28"/>
      <c r="O753" s="28"/>
      <c r="P753" s="28"/>
      <c r="Q753" s="28"/>
      <c r="R753" s="28"/>
      <c r="S753" s="28"/>
    </row>
    <row r="754" spans="1:19" ht="13.2">
      <c r="A754" s="28"/>
      <c r="B754" s="28"/>
      <c r="C754" s="28"/>
      <c r="D754" s="28"/>
      <c r="E754" s="28"/>
      <c r="F754" s="28"/>
      <c r="G754" s="28"/>
      <c r="H754" s="28"/>
      <c r="I754" s="28"/>
      <c r="J754" s="28"/>
      <c r="K754" s="28"/>
      <c r="L754" s="28"/>
      <c r="M754" s="28"/>
      <c r="N754" s="28"/>
      <c r="O754" s="28"/>
      <c r="P754" s="28"/>
      <c r="Q754" s="28"/>
      <c r="R754" s="28"/>
      <c r="S754" s="28"/>
    </row>
    <row r="755" spans="1:19" ht="13.2">
      <c r="A755" s="28"/>
      <c r="B755" s="28"/>
      <c r="C755" s="28"/>
      <c r="D755" s="28"/>
      <c r="E755" s="28"/>
      <c r="F755" s="28"/>
      <c r="G755" s="28"/>
      <c r="H755" s="28"/>
      <c r="I755" s="28"/>
      <c r="J755" s="28"/>
      <c r="K755" s="28"/>
      <c r="L755" s="28"/>
      <c r="M755" s="28"/>
      <c r="N755" s="28"/>
      <c r="O755" s="28"/>
      <c r="P755" s="28"/>
      <c r="Q755" s="28"/>
      <c r="R755" s="28"/>
      <c r="S755" s="28"/>
    </row>
    <row r="756" spans="1:19" ht="13.2">
      <c r="A756" s="28"/>
      <c r="B756" s="28"/>
      <c r="C756" s="28"/>
      <c r="D756" s="28"/>
      <c r="E756" s="28"/>
      <c r="F756" s="28"/>
      <c r="G756" s="28"/>
      <c r="H756" s="28"/>
      <c r="I756" s="28"/>
      <c r="J756" s="28"/>
      <c r="K756" s="28"/>
      <c r="L756" s="28"/>
      <c r="M756" s="28"/>
      <c r="N756" s="28"/>
      <c r="O756" s="28"/>
      <c r="P756" s="28"/>
      <c r="Q756" s="28"/>
      <c r="R756" s="28"/>
      <c r="S756" s="28"/>
    </row>
    <row r="757" spans="1:19" ht="13.2">
      <c r="A757" s="28"/>
      <c r="B757" s="28"/>
      <c r="C757" s="28"/>
      <c r="D757" s="28"/>
      <c r="E757" s="28"/>
      <c r="F757" s="28"/>
      <c r="G757" s="28"/>
      <c r="H757" s="28"/>
      <c r="I757" s="28"/>
      <c r="J757" s="28"/>
      <c r="K757" s="28"/>
      <c r="L757" s="28"/>
      <c r="M757" s="28"/>
      <c r="N757" s="28"/>
      <c r="O757" s="28"/>
      <c r="P757" s="28"/>
      <c r="Q757" s="28"/>
      <c r="R757" s="28"/>
      <c r="S757" s="28"/>
    </row>
    <row r="758" spans="1:19" ht="13.2">
      <c r="A758" s="28"/>
      <c r="B758" s="28"/>
      <c r="C758" s="28"/>
      <c r="D758" s="28"/>
      <c r="E758" s="28"/>
      <c r="F758" s="28"/>
      <c r="G758" s="28"/>
      <c r="H758" s="28"/>
      <c r="I758" s="28"/>
      <c r="J758" s="28"/>
      <c r="K758" s="28"/>
      <c r="L758" s="28"/>
      <c r="M758" s="28"/>
      <c r="N758" s="28"/>
      <c r="O758" s="28"/>
      <c r="P758" s="28"/>
      <c r="Q758" s="28"/>
      <c r="R758" s="28"/>
      <c r="S758" s="28"/>
    </row>
    <row r="759" spans="1:19" ht="13.2">
      <c r="A759" s="28"/>
      <c r="B759" s="28"/>
      <c r="C759" s="28"/>
      <c r="D759" s="28"/>
      <c r="E759" s="28"/>
      <c r="F759" s="28"/>
      <c r="G759" s="28"/>
      <c r="H759" s="28"/>
      <c r="I759" s="28"/>
      <c r="J759" s="28"/>
      <c r="K759" s="28"/>
      <c r="L759" s="28"/>
      <c r="M759" s="28"/>
      <c r="N759" s="28"/>
      <c r="O759" s="28"/>
      <c r="P759" s="28"/>
      <c r="Q759" s="28"/>
      <c r="R759" s="28"/>
      <c r="S759" s="28"/>
    </row>
    <row r="760" spans="1:19" ht="13.2">
      <c r="A760" s="28"/>
      <c r="B760" s="28"/>
      <c r="C760" s="28"/>
      <c r="D760" s="28"/>
      <c r="E760" s="28"/>
      <c r="F760" s="28"/>
      <c r="G760" s="28"/>
      <c r="H760" s="28"/>
      <c r="I760" s="28"/>
      <c r="J760" s="28"/>
      <c r="K760" s="28"/>
      <c r="L760" s="28"/>
      <c r="M760" s="28"/>
      <c r="N760" s="28"/>
      <c r="O760" s="28"/>
      <c r="P760" s="28"/>
      <c r="Q760" s="28"/>
      <c r="R760" s="28"/>
      <c r="S760" s="28"/>
    </row>
    <row r="761" spans="1:19" ht="13.2">
      <c r="A761" s="28"/>
      <c r="B761" s="28"/>
      <c r="C761" s="28"/>
      <c r="D761" s="28"/>
      <c r="E761" s="28"/>
      <c r="F761" s="28"/>
      <c r="G761" s="28"/>
      <c r="H761" s="28"/>
      <c r="I761" s="28"/>
      <c r="J761" s="28"/>
      <c r="K761" s="28"/>
      <c r="L761" s="28"/>
      <c r="M761" s="28"/>
      <c r="N761" s="28"/>
      <c r="O761" s="28"/>
      <c r="P761" s="28"/>
      <c r="Q761" s="28"/>
      <c r="R761" s="28"/>
      <c r="S761" s="28"/>
    </row>
    <row r="762" spans="1:19" ht="13.2">
      <c r="A762" s="28"/>
      <c r="B762" s="28"/>
      <c r="C762" s="28"/>
      <c r="D762" s="28"/>
      <c r="E762" s="28"/>
      <c r="F762" s="28"/>
      <c r="G762" s="28"/>
      <c r="H762" s="28"/>
      <c r="I762" s="28"/>
      <c r="J762" s="28"/>
      <c r="K762" s="28"/>
      <c r="L762" s="28"/>
      <c r="M762" s="28"/>
      <c r="N762" s="28"/>
      <c r="O762" s="28"/>
      <c r="P762" s="28"/>
      <c r="Q762" s="28"/>
      <c r="R762" s="28"/>
      <c r="S762" s="28"/>
    </row>
    <row r="763" spans="1:19" ht="13.2">
      <c r="A763" s="28"/>
      <c r="B763" s="28"/>
      <c r="C763" s="28"/>
      <c r="D763" s="28"/>
      <c r="E763" s="28"/>
      <c r="F763" s="28"/>
      <c r="G763" s="28"/>
      <c r="H763" s="28"/>
      <c r="I763" s="28"/>
      <c r="J763" s="28"/>
      <c r="K763" s="28"/>
      <c r="L763" s="28"/>
      <c r="M763" s="28"/>
      <c r="N763" s="28"/>
      <c r="O763" s="28"/>
      <c r="P763" s="28"/>
      <c r="Q763" s="28"/>
      <c r="R763" s="28"/>
      <c r="S763" s="28"/>
    </row>
    <row r="764" spans="1:19" ht="13.2">
      <c r="A764" s="28"/>
      <c r="B764" s="28"/>
      <c r="C764" s="28"/>
      <c r="D764" s="28"/>
      <c r="E764" s="28"/>
      <c r="F764" s="28"/>
      <c r="G764" s="28"/>
      <c r="H764" s="28"/>
      <c r="I764" s="28"/>
      <c r="J764" s="28"/>
      <c r="K764" s="28"/>
      <c r="L764" s="28"/>
      <c r="M764" s="28"/>
      <c r="N764" s="28"/>
      <c r="O764" s="28"/>
      <c r="P764" s="28"/>
      <c r="Q764" s="28"/>
      <c r="R764" s="28"/>
      <c r="S764" s="28"/>
    </row>
    <row r="765" spans="1:19" ht="13.2">
      <c r="A765" s="28"/>
      <c r="B765" s="28"/>
      <c r="C765" s="28"/>
      <c r="D765" s="28"/>
      <c r="E765" s="28"/>
      <c r="F765" s="28"/>
      <c r="G765" s="28"/>
      <c r="H765" s="28"/>
      <c r="I765" s="28"/>
      <c r="J765" s="28"/>
      <c r="K765" s="28"/>
      <c r="L765" s="28"/>
      <c r="M765" s="28"/>
      <c r="N765" s="28"/>
      <c r="O765" s="28"/>
      <c r="P765" s="28"/>
      <c r="Q765" s="28"/>
      <c r="R765" s="28"/>
      <c r="S765" s="28"/>
    </row>
    <row r="766" spans="1:19" ht="13.2">
      <c r="A766" s="28"/>
      <c r="B766" s="28"/>
      <c r="C766" s="28"/>
      <c r="D766" s="28"/>
      <c r="E766" s="28"/>
      <c r="F766" s="28"/>
      <c r="G766" s="28"/>
      <c r="H766" s="28"/>
      <c r="I766" s="28"/>
      <c r="J766" s="28"/>
      <c r="K766" s="28"/>
      <c r="L766" s="28"/>
      <c r="M766" s="28"/>
      <c r="N766" s="28"/>
      <c r="O766" s="28"/>
      <c r="P766" s="28"/>
      <c r="Q766" s="28"/>
      <c r="R766" s="28"/>
      <c r="S766" s="28"/>
    </row>
    <row r="767" spans="1:19" ht="13.2">
      <c r="A767" s="28"/>
      <c r="B767" s="28"/>
      <c r="C767" s="28"/>
      <c r="D767" s="28"/>
      <c r="E767" s="28"/>
      <c r="F767" s="28"/>
      <c r="G767" s="28"/>
      <c r="H767" s="28"/>
      <c r="I767" s="28"/>
      <c r="J767" s="28"/>
      <c r="K767" s="28"/>
      <c r="L767" s="28"/>
      <c r="M767" s="28"/>
      <c r="N767" s="28"/>
      <c r="O767" s="28"/>
      <c r="P767" s="28"/>
      <c r="Q767" s="28"/>
      <c r="R767" s="28"/>
      <c r="S767" s="28"/>
    </row>
    <row r="768" spans="1:19" ht="13.2">
      <c r="A768" s="28"/>
      <c r="B768" s="28"/>
      <c r="C768" s="28"/>
      <c r="D768" s="28"/>
      <c r="E768" s="28"/>
      <c r="F768" s="28"/>
      <c r="G768" s="28"/>
      <c r="H768" s="28"/>
      <c r="I768" s="28"/>
      <c r="J768" s="28"/>
      <c r="K768" s="28"/>
      <c r="L768" s="28"/>
      <c r="M768" s="28"/>
      <c r="N768" s="28"/>
      <c r="O768" s="28"/>
      <c r="P768" s="28"/>
      <c r="Q768" s="28"/>
      <c r="R768" s="28"/>
      <c r="S768" s="28"/>
    </row>
    <row r="769" spans="1:19" ht="13.2">
      <c r="A769" s="28"/>
      <c r="B769" s="28"/>
      <c r="C769" s="28"/>
      <c r="D769" s="28"/>
      <c r="E769" s="28"/>
      <c r="F769" s="28"/>
      <c r="G769" s="28"/>
      <c r="H769" s="28"/>
      <c r="I769" s="28"/>
      <c r="J769" s="28"/>
      <c r="K769" s="28"/>
      <c r="L769" s="28"/>
      <c r="M769" s="28"/>
      <c r="N769" s="28"/>
      <c r="O769" s="28"/>
      <c r="P769" s="28"/>
      <c r="Q769" s="28"/>
      <c r="R769" s="28"/>
      <c r="S769" s="28"/>
    </row>
    <row r="770" spans="1:19" ht="13.2">
      <c r="A770" s="28"/>
      <c r="B770" s="28"/>
      <c r="C770" s="28"/>
      <c r="D770" s="28"/>
      <c r="E770" s="28"/>
      <c r="F770" s="28"/>
      <c r="G770" s="28"/>
      <c r="H770" s="28"/>
      <c r="I770" s="28"/>
      <c r="J770" s="28"/>
      <c r="K770" s="28"/>
      <c r="L770" s="28"/>
      <c r="M770" s="28"/>
      <c r="N770" s="28"/>
      <c r="O770" s="28"/>
      <c r="P770" s="28"/>
      <c r="Q770" s="28"/>
      <c r="R770" s="28"/>
      <c r="S770" s="28"/>
    </row>
    <row r="771" spans="1:19" ht="13.2">
      <c r="A771" s="28"/>
      <c r="B771" s="28"/>
      <c r="C771" s="28"/>
      <c r="D771" s="28"/>
      <c r="E771" s="28"/>
      <c r="F771" s="28"/>
      <c r="G771" s="28"/>
      <c r="H771" s="28"/>
      <c r="I771" s="28"/>
      <c r="J771" s="28"/>
      <c r="K771" s="28"/>
      <c r="L771" s="28"/>
      <c r="M771" s="28"/>
      <c r="N771" s="28"/>
      <c r="O771" s="28"/>
      <c r="P771" s="28"/>
      <c r="Q771" s="28"/>
      <c r="R771" s="28"/>
      <c r="S771" s="28"/>
    </row>
    <row r="772" spans="1:19" ht="13.2">
      <c r="A772" s="28"/>
      <c r="B772" s="28"/>
      <c r="C772" s="28"/>
      <c r="D772" s="28"/>
      <c r="E772" s="28"/>
      <c r="F772" s="28"/>
      <c r="G772" s="28"/>
      <c r="H772" s="28"/>
      <c r="I772" s="28"/>
      <c r="J772" s="28"/>
      <c r="K772" s="28"/>
      <c r="L772" s="28"/>
      <c r="M772" s="28"/>
      <c r="N772" s="28"/>
      <c r="O772" s="28"/>
      <c r="P772" s="28"/>
      <c r="Q772" s="28"/>
      <c r="R772" s="28"/>
      <c r="S772" s="28"/>
    </row>
    <row r="773" spans="1:19" ht="13.2">
      <c r="A773" s="28"/>
      <c r="B773" s="28"/>
      <c r="C773" s="28"/>
      <c r="D773" s="28"/>
      <c r="E773" s="28"/>
      <c r="F773" s="28"/>
      <c r="G773" s="28"/>
      <c r="H773" s="28"/>
      <c r="I773" s="28"/>
      <c r="J773" s="28"/>
      <c r="K773" s="28"/>
      <c r="L773" s="28"/>
      <c r="M773" s="28"/>
      <c r="N773" s="28"/>
      <c r="O773" s="28"/>
      <c r="P773" s="28"/>
      <c r="Q773" s="28"/>
      <c r="R773" s="28"/>
      <c r="S773" s="28"/>
    </row>
    <row r="774" spans="1:19" ht="13.2">
      <c r="A774" s="28"/>
      <c r="B774" s="28"/>
      <c r="C774" s="28"/>
      <c r="D774" s="28"/>
      <c r="E774" s="28"/>
      <c r="F774" s="28"/>
      <c r="G774" s="28"/>
      <c r="H774" s="28"/>
      <c r="I774" s="28"/>
      <c r="J774" s="28"/>
      <c r="K774" s="28"/>
      <c r="L774" s="28"/>
      <c r="M774" s="28"/>
      <c r="N774" s="28"/>
      <c r="O774" s="28"/>
      <c r="P774" s="28"/>
      <c r="Q774" s="28"/>
      <c r="R774" s="28"/>
      <c r="S774" s="28"/>
    </row>
    <row r="775" spans="1:19" ht="13.2">
      <c r="A775" s="28"/>
      <c r="B775" s="28"/>
      <c r="C775" s="28"/>
      <c r="D775" s="28"/>
      <c r="E775" s="28"/>
      <c r="F775" s="28"/>
      <c r="G775" s="28"/>
      <c r="H775" s="28"/>
      <c r="I775" s="28"/>
      <c r="J775" s="28"/>
      <c r="K775" s="28"/>
      <c r="L775" s="28"/>
      <c r="M775" s="28"/>
      <c r="N775" s="28"/>
      <c r="O775" s="28"/>
      <c r="P775" s="28"/>
      <c r="Q775" s="28"/>
      <c r="R775" s="28"/>
      <c r="S775" s="28"/>
    </row>
    <row r="776" spans="1:19" ht="13.2">
      <c r="A776" s="28"/>
      <c r="B776" s="28"/>
      <c r="C776" s="28"/>
      <c r="D776" s="28"/>
      <c r="E776" s="28"/>
      <c r="F776" s="28"/>
      <c r="G776" s="28"/>
      <c r="H776" s="28"/>
      <c r="I776" s="28"/>
      <c r="J776" s="28"/>
      <c r="K776" s="28"/>
      <c r="L776" s="28"/>
      <c r="M776" s="28"/>
      <c r="N776" s="28"/>
      <c r="O776" s="28"/>
      <c r="P776" s="28"/>
      <c r="Q776" s="28"/>
      <c r="R776" s="28"/>
      <c r="S776" s="28"/>
    </row>
    <row r="777" spans="1:19" ht="13.2">
      <c r="A777" s="28"/>
      <c r="B777" s="28"/>
      <c r="C777" s="28"/>
      <c r="D777" s="28"/>
      <c r="E777" s="28"/>
      <c r="F777" s="28"/>
      <c r="G777" s="28"/>
      <c r="H777" s="28"/>
      <c r="I777" s="28"/>
      <c r="J777" s="28"/>
      <c r="K777" s="28"/>
      <c r="L777" s="28"/>
      <c r="M777" s="28"/>
      <c r="N777" s="28"/>
      <c r="O777" s="28"/>
      <c r="P777" s="28"/>
      <c r="Q777" s="28"/>
      <c r="R777" s="28"/>
      <c r="S777" s="28"/>
    </row>
    <row r="778" spans="1:19" ht="13.2">
      <c r="A778" s="28"/>
      <c r="B778" s="28"/>
      <c r="C778" s="28"/>
      <c r="D778" s="28"/>
      <c r="E778" s="28"/>
      <c r="F778" s="28"/>
      <c r="G778" s="28"/>
      <c r="H778" s="28"/>
      <c r="I778" s="28"/>
      <c r="J778" s="28"/>
      <c r="K778" s="28"/>
      <c r="L778" s="28"/>
      <c r="M778" s="28"/>
      <c r="N778" s="28"/>
      <c r="O778" s="28"/>
      <c r="P778" s="28"/>
      <c r="Q778" s="28"/>
      <c r="R778" s="28"/>
      <c r="S778" s="28"/>
    </row>
    <row r="779" spans="1:19" ht="13.2">
      <c r="A779" s="28"/>
      <c r="B779" s="28"/>
      <c r="C779" s="28"/>
      <c r="D779" s="28"/>
      <c r="E779" s="28"/>
      <c r="F779" s="28"/>
      <c r="G779" s="28"/>
      <c r="H779" s="28"/>
      <c r="I779" s="28"/>
      <c r="J779" s="28"/>
      <c r="K779" s="28"/>
      <c r="L779" s="28"/>
      <c r="M779" s="28"/>
      <c r="N779" s="28"/>
      <c r="O779" s="28"/>
      <c r="P779" s="28"/>
      <c r="Q779" s="28"/>
      <c r="R779" s="28"/>
      <c r="S779" s="28"/>
    </row>
    <row r="780" spans="1:19" ht="13.2">
      <c r="A780" s="28"/>
      <c r="B780" s="28"/>
      <c r="C780" s="28"/>
      <c r="D780" s="28"/>
      <c r="E780" s="28"/>
      <c r="F780" s="28"/>
      <c r="G780" s="28"/>
      <c r="H780" s="28"/>
      <c r="I780" s="28"/>
      <c r="J780" s="28"/>
      <c r="K780" s="28"/>
      <c r="L780" s="28"/>
      <c r="M780" s="28"/>
      <c r="N780" s="28"/>
      <c r="O780" s="28"/>
      <c r="P780" s="28"/>
      <c r="Q780" s="28"/>
      <c r="R780" s="28"/>
      <c r="S780" s="28"/>
    </row>
    <row r="781" spans="1:19" ht="13.2">
      <c r="A781" s="28"/>
      <c r="B781" s="28"/>
      <c r="C781" s="28"/>
      <c r="D781" s="28"/>
      <c r="E781" s="28"/>
      <c r="F781" s="28"/>
      <c r="G781" s="28"/>
      <c r="H781" s="28"/>
      <c r="I781" s="28"/>
      <c r="J781" s="28"/>
      <c r="K781" s="28"/>
      <c r="L781" s="28"/>
      <c r="M781" s="28"/>
      <c r="N781" s="28"/>
      <c r="O781" s="28"/>
      <c r="P781" s="28"/>
      <c r="Q781" s="28"/>
      <c r="R781" s="28"/>
      <c r="S781" s="28"/>
    </row>
    <row r="782" spans="1:19" ht="13.2">
      <c r="A782" s="28"/>
      <c r="B782" s="28"/>
      <c r="C782" s="28"/>
      <c r="D782" s="28"/>
      <c r="E782" s="28"/>
      <c r="F782" s="28"/>
      <c r="G782" s="28"/>
      <c r="H782" s="28"/>
      <c r="I782" s="28"/>
      <c r="J782" s="28"/>
      <c r="K782" s="28"/>
      <c r="L782" s="28"/>
      <c r="M782" s="28"/>
      <c r="N782" s="28"/>
      <c r="O782" s="28"/>
      <c r="P782" s="28"/>
      <c r="Q782" s="28"/>
      <c r="R782" s="28"/>
      <c r="S782" s="28"/>
    </row>
    <row r="783" spans="1:19" ht="13.2">
      <c r="A783" s="28"/>
      <c r="B783" s="28"/>
      <c r="C783" s="28"/>
      <c r="D783" s="28"/>
      <c r="E783" s="28"/>
      <c r="F783" s="28"/>
      <c r="G783" s="28"/>
      <c r="H783" s="28"/>
      <c r="I783" s="28"/>
      <c r="J783" s="28"/>
      <c r="K783" s="28"/>
      <c r="L783" s="28"/>
      <c r="M783" s="28"/>
      <c r="N783" s="28"/>
      <c r="O783" s="28"/>
      <c r="P783" s="28"/>
      <c r="Q783" s="28"/>
      <c r="R783" s="28"/>
      <c r="S783" s="28"/>
    </row>
    <row r="784" spans="1:19" ht="13.2">
      <c r="A784" s="28"/>
      <c r="B784" s="28"/>
      <c r="C784" s="28"/>
      <c r="D784" s="28"/>
      <c r="E784" s="28"/>
      <c r="F784" s="28"/>
      <c r="G784" s="28"/>
      <c r="H784" s="28"/>
      <c r="I784" s="28"/>
      <c r="J784" s="28"/>
      <c r="K784" s="28"/>
      <c r="L784" s="28"/>
      <c r="M784" s="28"/>
      <c r="N784" s="28"/>
      <c r="O784" s="28"/>
      <c r="P784" s="28"/>
      <c r="Q784" s="28"/>
      <c r="R784" s="28"/>
      <c r="S784" s="28"/>
    </row>
    <row r="785" spans="1:19" ht="13.2">
      <c r="A785" s="28"/>
      <c r="B785" s="28"/>
      <c r="C785" s="28"/>
      <c r="D785" s="28"/>
      <c r="E785" s="28"/>
      <c r="F785" s="28"/>
      <c r="G785" s="28"/>
      <c r="H785" s="28"/>
      <c r="I785" s="28"/>
      <c r="J785" s="28"/>
      <c r="K785" s="28"/>
      <c r="L785" s="28"/>
      <c r="M785" s="28"/>
      <c r="N785" s="28"/>
      <c r="O785" s="28"/>
      <c r="P785" s="28"/>
      <c r="Q785" s="28"/>
      <c r="R785" s="28"/>
      <c r="S785" s="28"/>
    </row>
    <row r="786" spans="1:19" ht="13.2">
      <c r="A786" s="28"/>
      <c r="B786" s="28"/>
      <c r="C786" s="28"/>
      <c r="D786" s="28"/>
      <c r="E786" s="28"/>
      <c r="F786" s="28"/>
      <c r="G786" s="28"/>
      <c r="H786" s="28"/>
      <c r="I786" s="28"/>
      <c r="J786" s="28"/>
      <c r="K786" s="28"/>
      <c r="L786" s="28"/>
      <c r="M786" s="28"/>
      <c r="N786" s="28"/>
      <c r="O786" s="28"/>
      <c r="P786" s="28"/>
      <c r="Q786" s="28"/>
      <c r="R786" s="28"/>
      <c r="S786" s="28"/>
    </row>
    <row r="787" spans="1:19" ht="13.2">
      <c r="A787" s="28"/>
      <c r="B787" s="28"/>
      <c r="C787" s="28"/>
      <c r="D787" s="28"/>
      <c r="E787" s="28"/>
      <c r="F787" s="28"/>
      <c r="G787" s="28"/>
      <c r="H787" s="28"/>
      <c r="I787" s="28"/>
      <c r="J787" s="28"/>
      <c r="K787" s="28"/>
      <c r="L787" s="28"/>
      <c r="M787" s="28"/>
      <c r="N787" s="28"/>
      <c r="O787" s="28"/>
      <c r="P787" s="28"/>
      <c r="Q787" s="28"/>
      <c r="R787" s="28"/>
      <c r="S787" s="28"/>
    </row>
    <row r="788" spans="1:19" ht="13.2">
      <c r="A788" s="28"/>
      <c r="B788" s="28"/>
      <c r="C788" s="28"/>
      <c r="D788" s="28"/>
      <c r="E788" s="28"/>
      <c r="F788" s="28"/>
      <c r="G788" s="28"/>
      <c r="H788" s="28"/>
      <c r="I788" s="28"/>
      <c r="J788" s="28"/>
      <c r="K788" s="28"/>
      <c r="L788" s="28"/>
      <c r="M788" s="28"/>
      <c r="N788" s="28"/>
      <c r="O788" s="28"/>
      <c r="P788" s="28"/>
      <c r="Q788" s="28"/>
      <c r="R788" s="28"/>
      <c r="S788" s="28"/>
    </row>
    <row r="789" spans="1:19" ht="13.2">
      <c r="A789" s="28"/>
      <c r="B789" s="28"/>
      <c r="C789" s="28"/>
      <c r="D789" s="28"/>
      <c r="E789" s="28"/>
      <c r="F789" s="28"/>
      <c r="G789" s="28"/>
      <c r="H789" s="28"/>
      <c r="I789" s="28"/>
      <c r="J789" s="28"/>
      <c r="K789" s="28"/>
      <c r="L789" s="28"/>
      <c r="M789" s="28"/>
      <c r="N789" s="28"/>
      <c r="O789" s="28"/>
      <c r="P789" s="28"/>
      <c r="Q789" s="28"/>
      <c r="R789" s="28"/>
      <c r="S789" s="28"/>
    </row>
    <row r="790" spans="1:19" ht="13.2">
      <c r="A790" s="28"/>
      <c r="B790" s="28"/>
      <c r="C790" s="28"/>
      <c r="D790" s="28"/>
      <c r="E790" s="28"/>
      <c r="F790" s="28"/>
      <c r="G790" s="28"/>
      <c r="H790" s="28"/>
      <c r="I790" s="28"/>
      <c r="J790" s="28"/>
      <c r="K790" s="28"/>
      <c r="L790" s="28"/>
      <c r="M790" s="28"/>
      <c r="N790" s="28"/>
      <c r="O790" s="28"/>
      <c r="P790" s="28"/>
      <c r="Q790" s="28"/>
      <c r="R790" s="28"/>
      <c r="S790" s="28"/>
    </row>
    <row r="791" spans="1:19" ht="13.2">
      <c r="A791" s="28"/>
      <c r="B791" s="28"/>
      <c r="C791" s="28"/>
      <c r="D791" s="28"/>
      <c r="E791" s="28"/>
      <c r="F791" s="28"/>
      <c r="G791" s="28"/>
      <c r="H791" s="28"/>
      <c r="I791" s="28"/>
      <c r="J791" s="28"/>
      <c r="K791" s="28"/>
      <c r="L791" s="28"/>
      <c r="M791" s="28"/>
      <c r="N791" s="28"/>
      <c r="O791" s="28"/>
      <c r="P791" s="28"/>
      <c r="Q791" s="28"/>
      <c r="R791" s="28"/>
      <c r="S791" s="28"/>
    </row>
    <row r="792" spans="1:19" ht="13.2">
      <c r="A792" s="28"/>
      <c r="B792" s="28"/>
      <c r="C792" s="28"/>
      <c r="D792" s="28"/>
      <c r="E792" s="28"/>
      <c r="F792" s="28"/>
      <c r="G792" s="28"/>
      <c r="H792" s="28"/>
      <c r="I792" s="28"/>
      <c r="J792" s="28"/>
      <c r="K792" s="28"/>
      <c r="L792" s="28"/>
      <c r="M792" s="28"/>
      <c r="N792" s="28"/>
      <c r="O792" s="28"/>
      <c r="P792" s="28"/>
      <c r="Q792" s="28"/>
      <c r="R792" s="28"/>
      <c r="S792" s="28"/>
    </row>
    <row r="793" spans="1:19" ht="13.2">
      <c r="A793" s="28"/>
      <c r="B793" s="28"/>
      <c r="C793" s="28"/>
      <c r="D793" s="28"/>
      <c r="E793" s="28"/>
      <c r="F793" s="28"/>
      <c r="G793" s="28"/>
      <c r="H793" s="28"/>
      <c r="I793" s="28"/>
      <c r="J793" s="28"/>
      <c r="K793" s="28"/>
      <c r="L793" s="28"/>
      <c r="M793" s="28"/>
      <c r="N793" s="28"/>
      <c r="O793" s="28"/>
      <c r="P793" s="28"/>
      <c r="Q793" s="28"/>
      <c r="R793" s="28"/>
      <c r="S793" s="28"/>
    </row>
    <row r="794" spans="1:19" ht="13.2">
      <c r="A794" s="28"/>
      <c r="B794" s="28"/>
      <c r="C794" s="28"/>
      <c r="D794" s="28"/>
      <c r="E794" s="28"/>
      <c r="F794" s="28"/>
      <c r="G794" s="28"/>
      <c r="H794" s="28"/>
      <c r="I794" s="28"/>
      <c r="J794" s="28"/>
      <c r="K794" s="28"/>
      <c r="L794" s="28"/>
      <c r="M794" s="28"/>
      <c r="N794" s="28"/>
      <c r="O794" s="28"/>
      <c r="P794" s="28"/>
      <c r="Q794" s="28"/>
      <c r="R794" s="28"/>
      <c r="S794" s="28"/>
    </row>
    <row r="795" spans="1:19" ht="13.2">
      <c r="A795" s="28"/>
      <c r="B795" s="28"/>
      <c r="C795" s="28"/>
      <c r="D795" s="28"/>
      <c r="E795" s="28"/>
      <c r="F795" s="28"/>
      <c r="G795" s="28"/>
      <c r="H795" s="28"/>
      <c r="I795" s="28"/>
      <c r="J795" s="28"/>
      <c r="K795" s="28"/>
      <c r="L795" s="28"/>
      <c r="M795" s="28"/>
      <c r="N795" s="28"/>
      <c r="O795" s="28"/>
      <c r="P795" s="28"/>
      <c r="Q795" s="28"/>
      <c r="R795" s="28"/>
      <c r="S795" s="28"/>
    </row>
    <row r="796" spans="1:19" ht="13.2">
      <c r="A796" s="28"/>
      <c r="B796" s="28"/>
      <c r="C796" s="28"/>
      <c r="D796" s="28"/>
      <c r="E796" s="28"/>
      <c r="F796" s="28"/>
      <c r="G796" s="28"/>
      <c r="H796" s="28"/>
      <c r="I796" s="28"/>
      <c r="J796" s="28"/>
      <c r="K796" s="28"/>
      <c r="L796" s="28"/>
      <c r="M796" s="28"/>
      <c r="N796" s="28"/>
      <c r="O796" s="28"/>
      <c r="P796" s="28"/>
      <c r="Q796" s="28"/>
      <c r="R796" s="28"/>
      <c r="S796" s="28"/>
    </row>
    <row r="797" spans="1:19" ht="13.2">
      <c r="A797" s="28"/>
      <c r="B797" s="28"/>
      <c r="C797" s="28"/>
      <c r="D797" s="28"/>
      <c r="E797" s="28"/>
      <c r="F797" s="28"/>
      <c r="G797" s="28"/>
      <c r="H797" s="28"/>
      <c r="I797" s="28"/>
      <c r="J797" s="28"/>
      <c r="K797" s="28"/>
      <c r="L797" s="28"/>
      <c r="M797" s="28"/>
      <c r="N797" s="28"/>
      <c r="O797" s="28"/>
      <c r="P797" s="28"/>
      <c r="Q797" s="28"/>
      <c r="R797" s="28"/>
      <c r="S797" s="28"/>
    </row>
    <row r="798" spans="1:19" ht="13.2">
      <c r="A798" s="28"/>
      <c r="B798" s="28"/>
      <c r="C798" s="28"/>
      <c r="D798" s="28"/>
      <c r="E798" s="28"/>
      <c r="F798" s="28"/>
      <c r="G798" s="28"/>
      <c r="H798" s="28"/>
      <c r="I798" s="28"/>
      <c r="J798" s="28"/>
      <c r="K798" s="28"/>
      <c r="L798" s="28"/>
      <c r="M798" s="28"/>
      <c r="N798" s="28"/>
      <c r="O798" s="28"/>
      <c r="P798" s="28"/>
      <c r="Q798" s="28"/>
      <c r="R798" s="28"/>
      <c r="S798" s="28"/>
    </row>
    <row r="799" spans="1:19" ht="13.2">
      <c r="A799" s="28"/>
      <c r="B799" s="28"/>
      <c r="C799" s="28"/>
      <c r="D799" s="28"/>
      <c r="E799" s="28"/>
      <c r="F799" s="28"/>
      <c r="G799" s="28"/>
      <c r="H799" s="28"/>
      <c r="I799" s="28"/>
      <c r="J799" s="28"/>
      <c r="K799" s="28"/>
      <c r="L799" s="28"/>
      <c r="M799" s="28"/>
      <c r="N799" s="28"/>
      <c r="O799" s="28"/>
      <c r="P799" s="28"/>
      <c r="Q799" s="28"/>
      <c r="R799" s="28"/>
      <c r="S799" s="28"/>
    </row>
    <row r="800" spans="1:19" ht="13.2">
      <c r="A800" s="28"/>
      <c r="B800" s="28"/>
      <c r="C800" s="28"/>
      <c r="D800" s="28"/>
      <c r="E800" s="28"/>
      <c r="F800" s="28"/>
      <c r="G800" s="28"/>
      <c r="H800" s="28"/>
      <c r="I800" s="28"/>
      <c r="J800" s="28"/>
      <c r="K800" s="28"/>
      <c r="L800" s="28"/>
      <c r="M800" s="28"/>
      <c r="N800" s="28"/>
      <c r="O800" s="28"/>
      <c r="P800" s="28"/>
      <c r="Q800" s="28"/>
      <c r="R800" s="28"/>
      <c r="S800" s="28"/>
    </row>
    <row r="801" spans="1:19" ht="13.2">
      <c r="A801" s="28"/>
      <c r="B801" s="28"/>
      <c r="C801" s="28"/>
      <c r="D801" s="28"/>
      <c r="E801" s="28"/>
      <c r="F801" s="28"/>
      <c r="G801" s="28"/>
      <c r="H801" s="28"/>
      <c r="I801" s="28"/>
      <c r="J801" s="28"/>
      <c r="K801" s="28"/>
      <c r="L801" s="28"/>
      <c r="M801" s="28"/>
      <c r="N801" s="28"/>
      <c r="O801" s="28"/>
      <c r="P801" s="28"/>
      <c r="Q801" s="28"/>
      <c r="R801" s="28"/>
      <c r="S801" s="28"/>
    </row>
    <row r="802" spans="1:19" ht="13.2">
      <c r="A802" s="28"/>
      <c r="B802" s="28"/>
      <c r="C802" s="28"/>
      <c r="D802" s="28"/>
      <c r="E802" s="28"/>
      <c r="F802" s="28"/>
      <c r="G802" s="28"/>
      <c r="H802" s="28"/>
      <c r="I802" s="28"/>
      <c r="J802" s="28"/>
      <c r="K802" s="28"/>
      <c r="L802" s="28"/>
      <c r="M802" s="28"/>
      <c r="N802" s="28"/>
      <c r="O802" s="28"/>
      <c r="P802" s="28"/>
      <c r="Q802" s="28"/>
      <c r="R802" s="28"/>
      <c r="S802" s="28"/>
    </row>
    <row r="803" spans="1:19" ht="13.2">
      <c r="A803" s="28"/>
      <c r="B803" s="28"/>
      <c r="C803" s="28"/>
      <c r="D803" s="28"/>
      <c r="E803" s="28"/>
      <c r="F803" s="28"/>
      <c r="G803" s="28"/>
      <c r="H803" s="28"/>
      <c r="I803" s="28"/>
      <c r="J803" s="28"/>
      <c r="K803" s="28"/>
      <c r="L803" s="28"/>
      <c r="M803" s="28"/>
      <c r="N803" s="28"/>
      <c r="O803" s="28"/>
      <c r="P803" s="28"/>
      <c r="Q803" s="28"/>
      <c r="R803" s="28"/>
      <c r="S803" s="28"/>
    </row>
    <row r="804" spans="1:19" ht="13.2">
      <c r="A804" s="28"/>
      <c r="B804" s="28"/>
      <c r="C804" s="28"/>
      <c r="D804" s="28"/>
      <c r="E804" s="28"/>
      <c r="F804" s="28"/>
      <c r="G804" s="28"/>
      <c r="H804" s="28"/>
      <c r="I804" s="28"/>
      <c r="J804" s="28"/>
      <c r="K804" s="28"/>
      <c r="L804" s="28"/>
      <c r="M804" s="28"/>
      <c r="N804" s="28"/>
      <c r="O804" s="28"/>
      <c r="P804" s="28"/>
      <c r="Q804" s="28"/>
      <c r="R804" s="28"/>
      <c r="S804" s="28"/>
    </row>
    <row r="805" spans="1:19" ht="13.2">
      <c r="A805" s="28"/>
      <c r="B805" s="28"/>
      <c r="C805" s="28"/>
      <c r="D805" s="28"/>
      <c r="E805" s="28"/>
      <c r="F805" s="28"/>
      <c r="G805" s="28"/>
      <c r="H805" s="28"/>
      <c r="I805" s="28"/>
      <c r="J805" s="28"/>
      <c r="K805" s="28"/>
      <c r="L805" s="28"/>
      <c r="M805" s="28"/>
      <c r="N805" s="28"/>
      <c r="O805" s="28"/>
      <c r="P805" s="28"/>
      <c r="Q805" s="28"/>
      <c r="R805" s="28"/>
      <c r="S805" s="28"/>
    </row>
    <row r="806" spans="1:19" ht="13.2">
      <c r="A806" s="28"/>
      <c r="B806" s="28"/>
      <c r="C806" s="28"/>
      <c r="D806" s="28"/>
      <c r="E806" s="28"/>
      <c r="F806" s="28"/>
      <c r="G806" s="28"/>
      <c r="H806" s="28"/>
      <c r="I806" s="28"/>
      <c r="J806" s="28"/>
      <c r="K806" s="28"/>
      <c r="L806" s="28"/>
      <c r="M806" s="28"/>
      <c r="N806" s="28"/>
      <c r="O806" s="28"/>
      <c r="P806" s="28"/>
      <c r="Q806" s="28"/>
      <c r="R806" s="28"/>
      <c r="S806" s="28"/>
    </row>
    <row r="807" spans="1:19" ht="13.2">
      <c r="A807" s="28"/>
      <c r="B807" s="28"/>
      <c r="C807" s="28"/>
      <c r="D807" s="28"/>
      <c r="E807" s="28"/>
      <c r="F807" s="28"/>
      <c r="G807" s="28"/>
      <c r="H807" s="28"/>
      <c r="I807" s="28"/>
      <c r="J807" s="28"/>
      <c r="K807" s="28"/>
      <c r="L807" s="28"/>
      <c r="M807" s="28"/>
      <c r="N807" s="28"/>
      <c r="O807" s="28"/>
      <c r="P807" s="28"/>
      <c r="Q807" s="28"/>
      <c r="R807" s="28"/>
      <c r="S807" s="28"/>
    </row>
    <row r="808" spans="1:19" ht="13.2">
      <c r="A808" s="28"/>
      <c r="B808" s="28"/>
      <c r="C808" s="28"/>
      <c r="D808" s="28"/>
      <c r="E808" s="28"/>
      <c r="F808" s="28"/>
      <c r="G808" s="28"/>
      <c r="H808" s="28"/>
      <c r="I808" s="28"/>
      <c r="J808" s="28"/>
      <c r="K808" s="28"/>
      <c r="L808" s="28"/>
      <c r="M808" s="28"/>
      <c r="N808" s="28"/>
      <c r="O808" s="28"/>
      <c r="P808" s="28"/>
      <c r="Q808" s="28"/>
      <c r="R808" s="28"/>
      <c r="S808" s="28"/>
    </row>
    <row r="809" spans="1:19" ht="13.2">
      <c r="A809" s="28"/>
      <c r="B809" s="28"/>
      <c r="C809" s="28"/>
      <c r="D809" s="28"/>
      <c r="E809" s="28"/>
      <c r="F809" s="28"/>
      <c r="G809" s="28"/>
      <c r="H809" s="28"/>
      <c r="I809" s="28"/>
      <c r="J809" s="28"/>
      <c r="K809" s="28"/>
      <c r="L809" s="28"/>
      <c r="M809" s="28"/>
      <c r="N809" s="28"/>
      <c r="O809" s="28"/>
      <c r="P809" s="28"/>
      <c r="Q809" s="28"/>
      <c r="R809" s="28"/>
      <c r="S809" s="28"/>
    </row>
    <row r="810" spans="1:19" ht="13.2">
      <c r="A810" s="28"/>
      <c r="B810" s="28"/>
      <c r="C810" s="28"/>
      <c r="D810" s="28"/>
      <c r="E810" s="28"/>
      <c r="F810" s="28"/>
      <c r="G810" s="28"/>
      <c r="H810" s="28"/>
      <c r="I810" s="28"/>
      <c r="J810" s="28"/>
      <c r="K810" s="28"/>
      <c r="L810" s="28"/>
      <c r="M810" s="28"/>
      <c r="N810" s="28"/>
      <c r="O810" s="28"/>
      <c r="P810" s="28"/>
      <c r="Q810" s="28"/>
      <c r="R810" s="28"/>
      <c r="S810" s="28"/>
    </row>
    <row r="811" spans="1:19" ht="13.2">
      <c r="A811" s="28"/>
      <c r="B811" s="28"/>
      <c r="C811" s="28"/>
      <c r="D811" s="28"/>
      <c r="E811" s="28"/>
      <c r="F811" s="28"/>
      <c r="G811" s="28"/>
      <c r="H811" s="28"/>
      <c r="I811" s="28"/>
      <c r="J811" s="28"/>
      <c r="K811" s="28"/>
      <c r="L811" s="28"/>
      <c r="M811" s="28"/>
      <c r="N811" s="28"/>
      <c r="O811" s="28"/>
      <c r="P811" s="28"/>
      <c r="Q811" s="28"/>
      <c r="R811" s="28"/>
      <c r="S811" s="28"/>
    </row>
    <row r="812" spans="1:19" ht="13.2">
      <c r="A812" s="28"/>
      <c r="B812" s="28"/>
      <c r="C812" s="28"/>
      <c r="D812" s="28"/>
      <c r="E812" s="28"/>
      <c r="F812" s="28"/>
      <c r="G812" s="28"/>
      <c r="H812" s="28"/>
      <c r="I812" s="28"/>
      <c r="J812" s="28"/>
      <c r="K812" s="28"/>
      <c r="L812" s="28"/>
      <c r="M812" s="28"/>
      <c r="N812" s="28"/>
      <c r="O812" s="28"/>
      <c r="P812" s="28"/>
      <c r="Q812" s="28"/>
      <c r="R812" s="28"/>
      <c r="S812" s="28"/>
    </row>
    <row r="813" spans="1:19" ht="13.2">
      <c r="A813" s="28"/>
      <c r="B813" s="28"/>
      <c r="C813" s="28"/>
      <c r="D813" s="28"/>
      <c r="E813" s="28"/>
      <c r="F813" s="28"/>
      <c r="G813" s="28"/>
      <c r="H813" s="28"/>
      <c r="I813" s="28"/>
      <c r="J813" s="28"/>
      <c r="K813" s="28"/>
      <c r="L813" s="28"/>
      <c r="M813" s="28"/>
      <c r="N813" s="28"/>
      <c r="O813" s="28"/>
      <c r="P813" s="28"/>
      <c r="Q813" s="28"/>
      <c r="R813" s="28"/>
      <c r="S813" s="28"/>
    </row>
    <row r="814" spans="1:19" ht="13.2">
      <c r="A814" s="28"/>
      <c r="B814" s="28"/>
      <c r="C814" s="28"/>
      <c r="D814" s="28"/>
      <c r="E814" s="28"/>
      <c r="F814" s="28"/>
      <c r="G814" s="28"/>
      <c r="H814" s="28"/>
      <c r="I814" s="28"/>
      <c r="J814" s="28"/>
      <c r="K814" s="28"/>
      <c r="L814" s="28"/>
      <c r="M814" s="28"/>
      <c r="N814" s="28"/>
      <c r="O814" s="28"/>
      <c r="P814" s="28"/>
      <c r="Q814" s="28"/>
      <c r="R814" s="28"/>
      <c r="S814" s="28"/>
    </row>
    <row r="815" spans="1:19" ht="13.2">
      <c r="A815" s="28"/>
      <c r="B815" s="28"/>
      <c r="C815" s="28"/>
      <c r="D815" s="28"/>
      <c r="E815" s="28"/>
      <c r="F815" s="28"/>
      <c r="G815" s="28"/>
      <c r="H815" s="28"/>
      <c r="I815" s="28"/>
      <c r="J815" s="28"/>
      <c r="K815" s="28"/>
      <c r="L815" s="28"/>
      <c r="M815" s="28"/>
      <c r="N815" s="28"/>
      <c r="O815" s="28"/>
      <c r="P815" s="28"/>
      <c r="Q815" s="28"/>
      <c r="R815" s="28"/>
      <c r="S815" s="28"/>
    </row>
    <row r="816" spans="1:19" ht="13.2">
      <c r="A816" s="28"/>
      <c r="B816" s="28"/>
      <c r="C816" s="28"/>
      <c r="D816" s="28"/>
      <c r="E816" s="28"/>
      <c r="F816" s="28"/>
      <c r="G816" s="28"/>
      <c r="H816" s="28"/>
      <c r="I816" s="28"/>
      <c r="J816" s="28"/>
      <c r="K816" s="28"/>
      <c r="L816" s="28"/>
      <c r="M816" s="28"/>
      <c r="N816" s="28"/>
      <c r="O816" s="28"/>
      <c r="P816" s="28"/>
      <c r="Q816" s="28"/>
      <c r="R816" s="28"/>
      <c r="S816" s="28"/>
    </row>
    <row r="817" spans="1:19" ht="13.2">
      <c r="A817" s="28"/>
      <c r="B817" s="28"/>
      <c r="C817" s="28"/>
      <c r="D817" s="28"/>
      <c r="E817" s="28"/>
      <c r="F817" s="28"/>
      <c r="G817" s="28"/>
      <c r="H817" s="28"/>
      <c r="I817" s="28"/>
      <c r="J817" s="28"/>
      <c r="K817" s="28"/>
      <c r="L817" s="28"/>
      <c r="M817" s="28"/>
      <c r="N817" s="28"/>
      <c r="O817" s="28"/>
      <c r="P817" s="28"/>
      <c r="Q817" s="28"/>
      <c r="R817" s="28"/>
      <c r="S817" s="28"/>
    </row>
    <row r="818" spans="1:19" ht="13.2">
      <c r="A818" s="28"/>
      <c r="B818" s="28"/>
      <c r="C818" s="28"/>
      <c r="D818" s="28"/>
      <c r="E818" s="28"/>
      <c r="F818" s="28"/>
      <c r="G818" s="28"/>
      <c r="H818" s="28"/>
      <c r="I818" s="28"/>
      <c r="J818" s="28"/>
      <c r="K818" s="28"/>
      <c r="L818" s="28"/>
      <c r="M818" s="28"/>
      <c r="N818" s="28"/>
      <c r="O818" s="28"/>
      <c r="P818" s="28"/>
      <c r="Q818" s="28"/>
      <c r="R818" s="28"/>
      <c r="S818" s="28"/>
    </row>
    <row r="819" spans="1:19" ht="13.2">
      <c r="A819" s="28"/>
      <c r="B819" s="28"/>
      <c r="C819" s="28"/>
      <c r="D819" s="28"/>
      <c r="E819" s="28"/>
      <c r="F819" s="28"/>
      <c r="G819" s="28"/>
      <c r="H819" s="28"/>
      <c r="I819" s="28"/>
      <c r="J819" s="28"/>
      <c r="K819" s="28"/>
      <c r="L819" s="28"/>
      <c r="M819" s="28"/>
      <c r="N819" s="28"/>
      <c r="O819" s="28"/>
      <c r="P819" s="28"/>
      <c r="Q819" s="28"/>
      <c r="R819" s="28"/>
      <c r="S819" s="28"/>
    </row>
    <row r="820" spans="1:19" ht="13.2">
      <c r="A820" s="28"/>
      <c r="B820" s="28"/>
      <c r="C820" s="28"/>
      <c r="D820" s="28"/>
      <c r="E820" s="28"/>
      <c r="F820" s="28"/>
      <c r="G820" s="28"/>
      <c r="H820" s="28"/>
      <c r="I820" s="28"/>
      <c r="J820" s="28"/>
      <c r="K820" s="28"/>
      <c r="L820" s="28"/>
      <c r="M820" s="28"/>
      <c r="N820" s="28"/>
      <c r="O820" s="28"/>
      <c r="P820" s="28"/>
      <c r="Q820" s="28"/>
      <c r="R820" s="28"/>
      <c r="S820" s="28"/>
    </row>
    <row r="821" spans="1:19" ht="13.2">
      <c r="A821" s="28"/>
      <c r="B821" s="28"/>
      <c r="C821" s="28"/>
      <c r="D821" s="28"/>
      <c r="E821" s="28"/>
      <c r="F821" s="28"/>
      <c r="G821" s="28"/>
      <c r="H821" s="28"/>
      <c r="I821" s="28"/>
      <c r="J821" s="28"/>
      <c r="K821" s="28"/>
      <c r="L821" s="28"/>
      <c r="M821" s="28"/>
      <c r="N821" s="28"/>
      <c r="O821" s="28"/>
      <c r="P821" s="28"/>
      <c r="Q821" s="28"/>
      <c r="R821" s="28"/>
      <c r="S821" s="28"/>
    </row>
    <row r="822" spans="1:19" ht="13.2">
      <c r="A822" s="28"/>
      <c r="B822" s="28"/>
      <c r="C822" s="28"/>
      <c r="D822" s="28"/>
      <c r="E822" s="28"/>
      <c r="F822" s="28"/>
      <c r="G822" s="28"/>
      <c r="H822" s="28"/>
      <c r="I822" s="28"/>
      <c r="J822" s="28"/>
      <c r="K822" s="28"/>
      <c r="L822" s="28"/>
      <c r="M822" s="28"/>
      <c r="N822" s="28"/>
      <c r="O822" s="28"/>
      <c r="P822" s="28"/>
      <c r="Q822" s="28"/>
      <c r="R822" s="28"/>
      <c r="S822" s="28"/>
    </row>
    <row r="823" spans="1:19" ht="13.2">
      <c r="A823" s="28"/>
      <c r="B823" s="28"/>
      <c r="C823" s="28"/>
      <c r="D823" s="28"/>
      <c r="E823" s="28"/>
      <c r="F823" s="28"/>
      <c r="G823" s="28"/>
      <c r="H823" s="28"/>
      <c r="I823" s="28"/>
      <c r="J823" s="28"/>
      <c r="K823" s="28"/>
      <c r="L823" s="28"/>
      <c r="M823" s="28"/>
      <c r="N823" s="28"/>
      <c r="O823" s="28"/>
      <c r="P823" s="28"/>
      <c r="Q823" s="28"/>
      <c r="R823" s="28"/>
      <c r="S823" s="28"/>
    </row>
    <row r="824" spans="1:19" ht="13.2">
      <c r="A824" s="28"/>
      <c r="B824" s="28"/>
      <c r="C824" s="28"/>
      <c r="D824" s="28"/>
      <c r="E824" s="28"/>
      <c r="F824" s="28"/>
      <c r="G824" s="28"/>
      <c r="H824" s="28"/>
      <c r="I824" s="28"/>
      <c r="J824" s="28"/>
      <c r="K824" s="28"/>
      <c r="L824" s="28"/>
      <c r="M824" s="28"/>
      <c r="N824" s="28"/>
      <c r="O824" s="28"/>
      <c r="P824" s="28"/>
      <c r="Q824" s="28"/>
      <c r="R824" s="28"/>
      <c r="S824" s="28"/>
    </row>
    <row r="825" spans="1:19" ht="13.2">
      <c r="A825" s="28"/>
      <c r="B825" s="28"/>
      <c r="C825" s="28"/>
      <c r="D825" s="28"/>
      <c r="E825" s="28"/>
      <c r="F825" s="28"/>
      <c r="G825" s="28"/>
      <c r="H825" s="28"/>
      <c r="I825" s="28"/>
      <c r="J825" s="28"/>
      <c r="K825" s="28"/>
      <c r="L825" s="28"/>
      <c r="M825" s="28"/>
      <c r="N825" s="28"/>
      <c r="O825" s="28"/>
      <c r="P825" s="28"/>
      <c r="Q825" s="28"/>
      <c r="R825" s="28"/>
      <c r="S825" s="28"/>
    </row>
    <row r="826" spans="1:19" ht="13.2">
      <c r="A826" s="28"/>
      <c r="B826" s="28"/>
      <c r="C826" s="28"/>
      <c r="D826" s="28"/>
      <c r="E826" s="28"/>
      <c r="F826" s="28"/>
      <c r="G826" s="28"/>
      <c r="H826" s="28"/>
      <c r="I826" s="28"/>
      <c r="J826" s="28"/>
      <c r="K826" s="28"/>
      <c r="L826" s="28"/>
      <c r="M826" s="28"/>
      <c r="N826" s="28"/>
      <c r="O826" s="28"/>
      <c r="P826" s="28"/>
      <c r="Q826" s="28"/>
      <c r="R826" s="28"/>
      <c r="S826" s="28"/>
    </row>
    <row r="827" spans="1:19" ht="13.2">
      <c r="A827" s="28"/>
      <c r="B827" s="28"/>
      <c r="C827" s="28"/>
      <c r="D827" s="28"/>
      <c r="E827" s="28"/>
      <c r="F827" s="28"/>
      <c r="G827" s="28"/>
      <c r="H827" s="28"/>
      <c r="I827" s="28"/>
      <c r="J827" s="28"/>
      <c r="K827" s="28"/>
      <c r="L827" s="28"/>
      <c r="M827" s="28"/>
      <c r="N827" s="28"/>
      <c r="O827" s="28"/>
      <c r="P827" s="28"/>
      <c r="Q827" s="28"/>
      <c r="R827" s="28"/>
      <c r="S827" s="28"/>
    </row>
    <row r="828" spans="1:19" ht="13.2">
      <c r="A828" s="28"/>
      <c r="B828" s="28"/>
      <c r="C828" s="28"/>
      <c r="D828" s="28"/>
      <c r="E828" s="28"/>
      <c r="F828" s="28"/>
      <c r="G828" s="28"/>
      <c r="H828" s="28"/>
      <c r="I828" s="28"/>
      <c r="J828" s="28"/>
      <c r="K828" s="28"/>
      <c r="L828" s="28"/>
      <c r="M828" s="28"/>
      <c r="N828" s="28"/>
      <c r="O828" s="28"/>
      <c r="P828" s="28"/>
      <c r="Q828" s="28"/>
      <c r="R828" s="28"/>
      <c r="S828" s="28"/>
    </row>
    <row r="829" spans="1:19" ht="13.2">
      <c r="A829" s="28"/>
      <c r="B829" s="28"/>
      <c r="C829" s="28"/>
      <c r="D829" s="28"/>
      <c r="E829" s="28"/>
      <c r="F829" s="28"/>
      <c r="G829" s="28"/>
      <c r="H829" s="28"/>
      <c r="I829" s="28"/>
      <c r="J829" s="28"/>
      <c r="K829" s="28"/>
      <c r="L829" s="28"/>
      <c r="M829" s="28"/>
      <c r="N829" s="28"/>
      <c r="O829" s="28"/>
      <c r="P829" s="28"/>
      <c r="Q829" s="28"/>
      <c r="R829" s="28"/>
      <c r="S829" s="28"/>
    </row>
    <row r="830" spans="1:19" ht="13.2">
      <c r="A830" s="28"/>
      <c r="B830" s="28"/>
      <c r="C830" s="28"/>
      <c r="D830" s="28"/>
      <c r="E830" s="28"/>
      <c r="F830" s="28"/>
      <c r="G830" s="28"/>
      <c r="H830" s="28"/>
      <c r="I830" s="28"/>
      <c r="J830" s="28"/>
      <c r="K830" s="28"/>
      <c r="L830" s="28"/>
      <c r="M830" s="28"/>
      <c r="N830" s="28"/>
      <c r="O830" s="28"/>
      <c r="P830" s="28"/>
      <c r="Q830" s="28"/>
      <c r="R830" s="28"/>
      <c r="S830" s="28"/>
    </row>
    <row r="831" spans="1:19" ht="13.2">
      <c r="A831" s="28"/>
      <c r="B831" s="28"/>
      <c r="C831" s="28"/>
      <c r="D831" s="28"/>
      <c r="E831" s="28"/>
      <c r="F831" s="28"/>
      <c r="G831" s="28"/>
      <c r="H831" s="28"/>
      <c r="I831" s="28"/>
      <c r="J831" s="28"/>
      <c r="K831" s="28"/>
      <c r="L831" s="28"/>
      <c r="M831" s="28"/>
      <c r="N831" s="28"/>
      <c r="O831" s="28"/>
      <c r="P831" s="28"/>
      <c r="Q831" s="28"/>
      <c r="R831" s="28"/>
      <c r="S831" s="28"/>
    </row>
    <row r="832" spans="1:19" ht="13.2">
      <c r="A832" s="28"/>
      <c r="B832" s="28"/>
      <c r="C832" s="28"/>
      <c r="D832" s="28"/>
      <c r="E832" s="28"/>
      <c r="F832" s="28"/>
      <c r="G832" s="28"/>
      <c r="H832" s="28"/>
      <c r="I832" s="28"/>
      <c r="J832" s="28"/>
      <c r="K832" s="28"/>
      <c r="L832" s="28"/>
      <c r="M832" s="28"/>
      <c r="N832" s="28"/>
      <c r="O832" s="28"/>
      <c r="P832" s="28"/>
      <c r="Q832" s="28"/>
      <c r="R832" s="28"/>
      <c r="S832" s="28"/>
    </row>
    <row r="833" spans="1:19" ht="13.2">
      <c r="A833" s="28"/>
      <c r="B833" s="28"/>
      <c r="C833" s="28"/>
      <c r="D833" s="28"/>
      <c r="E833" s="28"/>
      <c r="F833" s="28"/>
      <c r="G833" s="28"/>
      <c r="H833" s="28"/>
      <c r="I833" s="28"/>
      <c r="J833" s="28"/>
      <c r="K833" s="28"/>
      <c r="L833" s="28"/>
      <c r="M833" s="28"/>
      <c r="N833" s="28"/>
      <c r="O833" s="28"/>
      <c r="P833" s="28"/>
      <c r="Q833" s="28"/>
      <c r="R833" s="28"/>
      <c r="S833" s="28"/>
    </row>
    <row r="834" spans="1:19" ht="13.2">
      <c r="A834" s="28"/>
      <c r="B834" s="28"/>
      <c r="C834" s="28"/>
      <c r="D834" s="28"/>
      <c r="E834" s="28"/>
      <c r="F834" s="28"/>
      <c r="G834" s="28"/>
      <c r="H834" s="28"/>
      <c r="I834" s="28"/>
      <c r="J834" s="28"/>
      <c r="K834" s="28"/>
      <c r="L834" s="28"/>
      <c r="M834" s="28"/>
      <c r="N834" s="28"/>
      <c r="O834" s="28"/>
      <c r="P834" s="28"/>
      <c r="Q834" s="28"/>
      <c r="R834" s="28"/>
      <c r="S834" s="28"/>
    </row>
    <row r="835" spans="1:19" ht="13.2">
      <c r="A835" s="28"/>
      <c r="B835" s="28"/>
      <c r="C835" s="28"/>
      <c r="D835" s="28"/>
      <c r="E835" s="28"/>
      <c r="F835" s="28"/>
      <c r="G835" s="28"/>
      <c r="H835" s="28"/>
      <c r="I835" s="28"/>
      <c r="J835" s="28"/>
      <c r="K835" s="28"/>
      <c r="L835" s="28"/>
      <c r="M835" s="28"/>
      <c r="N835" s="28"/>
      <c r="O835" s="28"/>
      <c r="P835" s="28"/>
      <c r="Q835" s="28"/>
      <c r="R835" s="28"/>
      <c r="S835" s="28"/>
    </row>
    <row r="836" spans="1:19" ht="13.2">
      <c r="A836" s="28"/>
      <c r="B836" s="28"/>
      <c r="C836" s="28"/>
      <c r="D836" s="28"/>
      <c r="E836" s="28"/>
      <c r="F836" s="28"/>
      <c r="G836" s="28"/>
      <c r="H836" s="28"/>
      <c r="I836" s="28"/>
      <c r="J836" s="28"/>
      <c r="K836" s="28"/>
      <c r="L836" s="28"/>
      <c r="M836" s="28"/>
      <c r="N836" s="28"/>
      <c r="O836" s="28"/>
      <c r="P836" s="28"/>
      <c r="Q836" s="28"/>
      <c r="R836" s="28"/>
      <c r="S836" s="28"/>
    </row>
    <row r="837" spans="1:19" ht="13.2">
      <c r="A837" s="28"/>
      <c r="B837" s="28"/>
      <c r="C837" s="28"/>
      <c r="D837" s="28"/>
      <c r="E837" s="28"/>
      <c r="F837" s="28"/>
      <c r="G837" s="28"/>
      <c r="H837" s="28"/>
      <c r="I837" s="28"/>
      <c r="J837" s="28"/>
      <c r="K837" s="28"/>
      <c r="L837" s="28"/>
      <c r="M837" s="28"/>
      <c r="N837" s="28"/>
      <c r="O837" s="28"/>
      <c r="P837" s="28"/>
      <c r="Q837" s="28"/>
      <c r="R837" s="28"/>
      <c r="S837" s="28"/>
    </row>
    <row r="838" spans="1:19" ht="13.2">
      <c r="A838" s="28"/>
      <c r="B838" s="28"/>
      <c r="C838" s="28"/>
      <c r="D838" s="28"/>
      <c r="E838" s="28"/>
      <c r="F838" s="28"/>
      <c r="G838" s="28"/>
      <c r="H838" s="28"/>
      <c r="I838" s="28"/>
      <c r="J838" s="28"/>
      <c r="K838" s="28"/>
      <c r="L838" s="28"/>
      <c r="M838" s="28"/>
      <c r="N838" s="28"/>
      <c r="O838" s="28"/>
      <c r="P838" s="28"/>
      <c r="Q838" s="28"/>
      <c r="R838" s="28"/>
      <c r="S838" s="28"/>
    </row>
    <row r="839" spans="1:19" ht="13.2">
      <c r="A839" s="28"/>
      <c r="B839" s="28"/>
      <c r="C839" s="28"/>
      <c r="D839" s="28"/>
      <c r="E839" s="28"/>
      <c r="F839" s="28"/>
      <c r="G839" s="28"/>
      <c r="H839" s="28"/>
      <c r="I839" s="28"/>
      <c r="J839" s="28"/>
      <c r="K839" s="28"/>
      <c r="L839" s="28"/>
      <c r="M839" s="28"/>
      <c r="N839" s="28"/>
      <c r="O839" s="28"/>
      <c r="P839" s="28"/>
      <c r="Q839" s="28"/>
      <c r="R839" s="28"/>
      <c r="S839" s="28"/>
    </row>
    <row r="840" spans="1:19" ht="13.2">
      <c r="A840" s="28"/>
      <c r="B840" s="28"/>
      <c r="C840" s="28"/>
      <c r="D840" s="28"/>
      <c r="E840" s="28"/>
      <c r="F840" s="28"/>
      <c r="G840" s="28"/>
      <c r="H840" s="28"/>
      <c r="I840" s="28"/>
      <c r="J840" s="28"/>
      <c r="K840" s="28"/>
      <c r="L840" s="28"/>
      <c r="M840" s="28"/>
      <c r="N840" s="28"/>
      <c r="O840" s="28"/>
      <c r="P840" s="28"/>
      <c r="Q840" s="28"/>
      <c r="R840" s="28"/>
      <c r="S840" s="28"/>
    </row>
    <row r="841" spans="1:19" ht="13.2">
      <c r="A841" s="28"/>
      <c r="B841" s="28"/>
      <c r="C841" s="28"/>
      <c r="D841" s="28"/>
      <c r="E841" s="28"/>
      <c r="F841" s="28"/>
      <c r="G841" s="28"/>
      <c r="H841" s="28"/>
      <c r="I841" s="28"/>
      <c r="J841" s="28"/>
      <c r="K841" s="28"/>
      <c r="L841" s="28"/>
      <c r="M841" s="28"/>
      <c r="N841" s="28"/>
      <c r="O841" s="28"/>
      <c r="P841" s="28"/>
      <c r="Q841" s="28"/>
      <c r="R841" s="28"/>
      <c r="S841" s="28"/>
    </row>
    <row r="842" spans="1:19" ht="13.2">
      <c r="A842" s="28"/>
      <c r="B842" s="28"/>
      <c r="C842" s="28"/>
      <c r="D842" s="28"/>
      <c r="E842" s="28"/>
      <c r="F842" s="28"/>
      <c r="G842" s="28"/>
      <c r="H842" s="28"/>
      <c r="I842" s="28"/>
      <c r="J842" s="28"/>
      <c r="K842" s="28"/>
      <c r="L842" s="28"/>
      <c r="M842" s="28"/>
      <c r="N842" s="28"/>
      <c r="O842" s="28"/>
      <c r="P842" s="28"/>
      <c r="Q842" s="28"/>
      <c r="R842" s="28"/>
      <c r="S842" s="28"/>
    </row>
    <row r="843" spans="1:19" ht="13.2">
      <c r="A843" s="28"/>
      <c r="B843" s="28"/>
      <c r="C843" s="28"/>
      <c r="D843" s="28"/>
      <c r="E843" s="28"/>
      <c r="F843" s="28"/>
      <c r="G843" s="28"/>
      <c r="H843" s="28"/>
      <c r="I843" s="28"/>
      <c r="J843" s="28"/>
      <c r="K843" s="28"/>
      <c r="L843" s="28"/>
      <c r="M843" s="28"/>
      <c r="N843" s="28"/>
      <c r="O843" s="28"/>
      <c r="P843" s="28"/>
      <c r="Q843" s="28"/>
      <c r="R843" s="28"/>
      <c r="S843" s="28"/>
    </row>
    <row r="844" spans="1:19" ht="13.2">
      <c r="A844" s="28"/>
      <c r="B844" s="28"/>
      <c r="C844" s="28"/>
      <c r="D844" s="28"/>
      <c r="E844" s="28"/>
      <c r="F844" s="28"/>
      <c r="G844" s="28"/>
      <c r="H844" s="28"/>
      <c r="I844" s="28"/>
      <c r="J844" s="28"/>
      <c r="K844" s="28"/>
      <c r="L844" s="28"/>
      <c r="M844" s="28"/>
      <c r="N844" s="28"/>
      <c r="O844" s="28"/>
      <c r="P844" s="28"/>
      <c r="Q844" s="28"/>
      <c r="R844" s="28"/>
      <c r="S844" s="28"/>
    </row>
    <row r="845" spans="1:19" ht="13.2">
      <c r="A845" s="28"/>
      <c r="B845" s="28"/>
      <c r="C845" s="28"/>
      <c r="D845" s="28"/>
      <c r="E845" s="28"/>
      <c r="F845" s="28"/>
      <c r="G845" s="28"/>
      <c r="H845" s="28"/>
      <c r="I845" s="28"/>
      <c r="J845" s="28"/>
      <c r="K845" s="28"/>
      <c r="L845" s="28"/>
      <c r="M845" s="28"/>
      <c r="N845" s="28"/>
      <c r="O845" s="28"/>
      <c r="P845" s="28"/>
      <c r="Q845" s="28"/>
      <c r="R845" s="28"/>
      <c r="S845" s="28"/>
    </row>
    <row r="846" spans="1:19" ht="13.2">
      <c r="A846" s="28"/>
      <c r="B846" s="28"/>
      <c r="C846" s="28"/>
      <c r="D846" s="28"/>
      <c r="E846" s="28"/>
      <c r="F846" s="28"/>
      <c r="G846" s="28"/>
      <c r="H846" s="28"/>
      <c r="I846" s="28"/>
      <c r="J846" s="28"/>
      <c r="K846" s="28"/>
      <c r="L846" s="28"/>
      <c r="M846" s="28"/>
      <c r="N846" s="28"/>
      <c r="O846" s="28"/>
      <c r="P846" s="28"/>
      <c r="Q846" s="28"/>
      <c r="R846" s="28"/>
      <c r="S846" s="28"/>
    </row>
    <row r="847" spans="1:19" ht="13.2">
      <c r="A847" s="28"/>
      <c r="B847" s="28"/>
      <c r="C847" s="28"/>
      <c r="D847" s="28"/>
      <c r="E847" s="28"/>
      <c r="F847" s="28"/>
      <c r="G847" s="28"/>
      <c r="H847" s="28"/>
      <c r="I847" s="28"/>
      <c r="J847" s="28"/>
      <c r="K847" s="28"/>
      <c r="L847" s="28"/>
      <c r="M847" s="28"/>
      <c r="N847" s="28"/>
      <c r="O847" s="28"/>
      <c r="P847" s="28"/>
      <c r="Q847" s="28"/>
      <c r="R847" s="28"/>
      <c r="S847" s="28"/>
    </row>
    <row r="848" spans="1:19" ht="13.2">
      <c r="A848" s="28"/>
      <c r="B848" s="28"/>
      <c r="C848" s="28"/>
      <c r="D848" s="28"/>
      <c r="E848" s="28"/>
      <c r="F848" s="28"/>
      <c r="G848" s="28"/>
      <c r="H848" s="28"/>
      <c r="I848" s="28"/>
      <c r="J848" s="28"/>
      <c r="K848" s="28"/>
      <c r="L848" s="28"/>
      <c r="M848" s="28"/>
      <c r="N848" s="28"/>
      <c r="O848" s="28"/>
      <c r="P848" s="28"/>
      <c r="Q848" s="28"/>
      <c r="R848" s="28"/>
      <c r="S848" s="28"/>
    </row>
    <row r="849" spans="1:19" ht="13.2">
      <c r="A849" s="28"/>
      <c r="B849" s="28"/>
      <c r="C849" s="28"/>
      <c r="D849" s="28"/>
      <c r="E849" s="28"/>
      <c r="F849" s="28"/>
      <c r="G849" s="28"/>
      <c r="H849" s="28"/>
      <c r="I849" s="28"/>
      <c r="J849" s="28"/>
      <c r="K849" s="28"/>
      <c r="L849" s="28"/>
      <c r="M849" s="28"/>
      <c r="N849" s="28"/>
      <c r="O849" s="28"/>
      <c r="P849" s="28"/>
      <c r="Q849" s="28"/>
      <c r="R849" s="28"/>
      <c r="S849" s="28"/>
    </row>
    <row r="850" spans="1:19" ht="13.2">
      <c r="A850" s="28"/>
      <c r="B850" s="28"/>
      <c r="C850" s="28"/>
      <c r="D850" s="28"/>
      <c r="E850" s="28"/>
      <c r="F850" s="28"/>
      <c r="G850" s="28"/>
      <c r="H850" s="28"/>
      <c r="I850" s="28"/>
      <c r="J850" s="28"/>
      <c r="K850" s="28"/>
      <c r="L850" s="28"/>
      <c r="M850" s="28"/>
      <c r="N850" s="28"/>
      <c r="O850" s="28"/>
      <c r="P850" s="28"/>
      <c r="Q850" s="28"/>
      <c r="R850" s="28"/>
      <c r="S850" s="28"/>
    </row>
    <row r="851" spans="1:19" ht="13.2">
      <c r="A851" s="28"/>
      <c r="B851" s="28"/>
      <c r="C851" s="28"/>
      <c r="D851" s="28"/>
      <c r="E851" s="28"/>
      <c r="F851" s="28"/>
      <c r="G851" s="28"/>
      <c r="H851" s="28"/>
      <c r="I851" s="28"/>
      <c r="J851" s="28"/>
      <c r="K851" s="28"/>
      <c r="L851" s="28"/>
      <c r="M851" s="28"/>
      <c r="N851" s="28"/>
      <c r="O851" s="28"/>
      <c r="P851" s="28"/>
      <c r="Q851" s="28"/>
      <c r="R851" s="28"/>
      <c r="S851" s="28"/>
    </row>
    <row r="852" spans="1:19" ht="13.2">
      <c r="A852" s="28"/>
      <c r="B852" s="28"/>
      <c r="C852" s="28"/>
      <c r="D852" s="28"/>
      <c r="E852" s="28"/>
      <c r="F852" s="28"/>
      <c r="G852" s="28"/>
      <c r="H852" s="28"/>
      <c r="I852" s="28"/>
      <c r="J852" s="28"/>
      <c r="K852" s="28"/>
      <c r="L852" s="28"/>
      <c r="M852" s="28"/>
      <c r="N852" s="28"/>
      <c r="O852" s="28"/>
      <c r="P852" s="28"/>
      <c r="Q852" s="28"/>
      <c r="R852" s="28"/>
      <c r="S852" s="28"/>
    </row>
    <row r="853" spans="1:19" ht="13.2">
      <c r="A853" s="28"/>
      <c r="B853" s="28"/>
      <c r="C853" s="28"/>
      <c r="D853" s="28"/>
      <c r="E853" s="28"/>
      <c r="F853" s="28"/>
      <c r="G853" s="28"/>
      <c r="H853" s="28"/>
      <c r="I853" s="28"/>
      <c r="J853" s="28"/>
      <c r="K853" s="28"/>
      <c r="L853" s="28"/>
      <c r="M853" s="28"/>
      <c r="N853" s="28"/>
      <c r="O853" s="28"/>
      <c r="P853" s="28"/>
      <c r="Q853" s="28"/>
      <c r="R853" s="28"/>
      <c r="S853" s="28"/>
    </row>
    <row r="854" spans="1:19" ht="13.2">
      <c r="A854" s="28"/>
      <c r="B854" s="28"/>
      <c r="C854" s="28"/>
      <c r="D854" s="28"/>
      <c r="E854" s="28"/>
      <c r="F854" s="28"/>
      <c r="G854" s="28"/>
      <c r="H854" s="28"/>
      <c r="I854" s="28"/>
      <c r="J854" s="28"/>
      <c r="K854" s="28"/>
      <c r="L854" s="28"/>
      <c r="M854" s="28"/>
      <c r="N854" s="28"/>
      <c r="O854" s="28"/>
      <c r="P854" s="28"/>
      <c r="Q854" s="28"/>
      <c r="R854" s="28"/>
      <c r="S854" s="28"/>
    </row>
    <row r="855" spans="1:19" ht="13.2">
      <c r="A855" s="28"/>
      <c r="B855" s="28"/>
      <c r="C855" s="28"/>
      <c r="D855" s="28"/>
      <c r="E855" s="28"/>
      <c r="F855" s="28"/>
      <c r="G855" s="28"/>
      <c r="H855" s="28"/>
      <c r="I855" s="28"/>
      <c r="J855" s="28"/>
      <c r="K855" s="28"/>
      <c r="L855" s="28"/>
      <c r="M855" s="28"/>
      <c r="N855" s="28"/>
      <c r="O855" s="28"/>
      <c r="P855" s="28"/>
      <c r="Q855" s="28"/>
      <c r="R855" s="28"/>
      <c r="S855" s="28"/>
    </row>
    <row r="856" spans="1:19" ht="13.2">
      <c r="A856" s="28"/>
      <c r="B856" s="28"/>
      <c r="C856" s="28"/>
      <c r="D856" s="28"/>
      <c r="E856" s="28"/>
      <c r="F856" s="28"/>
      <c r="G856" s="28"/>
      <c r="H856" s="28"/>
      <c r="I856" s="28"/>
      <c r="J856" s="28"/>
      <c r="K856" s="28"/>
      <c r="L856" s="28"/>
      <c r="M856" s="28"/>
      <c r="N856" s="28"/>
      <c r="O856" s="28"/>
      <c r="P856" s="28"/>
      <c r="Q856" s="28"/>
      <c r="R856" s="28"/>
      <c r="S856" s="28"/>
    </row>
    <row r="857" spans="1:19" ht="13.2">
      <c r="A857" s="28"/>
      <c r="B857" s="28"/>
      <c r="C857" s="28"/>
      <c r="D857" s="28"/>
      <c r="E857" s="28"/>
      <c r="F857" s="28"/>
      <c r="G857" s="28"/>
      <c r="H857" s="28"/>
      <c r="I857" s="28"/>
      <c r="J857" s="28"/>
      <c r="K857" s="28"/>
      <c r="L857" s="28"/>
      <c r="M857" s="28"/>
      <c r="N857" s="28"/>
      <c r="O857" s="28"/>
      <c r="P857" s="28"/>
      <c r="Q857" s="28"/>
      <c r="R857" s="28"/>
      <c r="S857" s="28"/>
    </row>
    <row r="858" spans="1:19" ht="13.2">
      <c r="A858" s="28"/>
      <c r="B858" s="28"/>
      <c r="C858" s="28"/>
      <c r="D858" s="28"/>
      <c r="E858" s="28"/>
      <c r="F858" s="28"/>
      <c r="G858" s="28"/>
      <c r="H858" s="28"/>
      <c r="I858" s="28"/>
      <c r="J858" s="28"/>
      <c r="K858" s="28"/>
      <c r="L858" s="28"/>
      <c r="M858" s="28"/>
      <c r="N858" s="28"/>
      <c r="O858" s="28"/>
      <c r="P858" s="28"/>
      <c r="Q858" s="28"/>
      <c r="R858" s="28"/>
      <c r="S858" s="28"/>
    </row>
    <row r="859" spans="1:19" ht="13.2">
      <c r="A859" s="28"/>
      <c r="B859" s="28"/>
      <c r="C859" s="28"/>
      <c r="D859" s="28"/>
      <c r="E859" s="28"/>
      <c r="F859" s="28"/>
      <c r="G859" s="28"/>
      <c r="H859" s="28"/>
      <c r="I859" s="28"/>
      <c r="J859" s="28"/>
      <c r="K859" s="28"/>
      <c r="L859" s="28"/>
      <c r="M859" s="28"/>
      <c r="N859" s="28"/>
      <c r="O859" s="28"/>
      <c r="P859" s="28"/>
      <c r="Q859" s="28"/>
      <c r="R859" s="28"/>
      <c r="S859" s="28"/>
    </row>
    <row r="860" spans="1:19" ht="13.2">
      <c r="A860" s="28"/>
      <c r="B860" s="28"/>
      <c r="C860" s="28"/>
      <c r="D860" s="28"/>
      <c r="E860" s="28"/>
      <c r="F860" s="28"/>
      <c r="G860" s="28"/>
      <c r="H860" s="28"/>
      <c r="I860" s="28"/>
      <c r="J860" s="28"/>
      <c r="K860" s="28"/>
      <c r="L860" s="28"/>
      <c r="M860" s="28"/>
      <c r="N860" s="28"/>
      <c r="O860" s="28"/>
      <c r="P860" s="28"/>
      <c r="Q860" s="28"/>
      <c r="R860" s="28"/>
      <c r="S860" s="28"/>
    </row>
    <row r="861" spans="1:19" ht="13.2">
      <c r="A861" s="28"/>
      <c r="B861" s="28"/>
      <c r="C861" s="28"/>
      <c r="D861" s="28"/>
      <c r="E861" s="28"/>
      <c r="F861" s="28"/>
      <c r="G861" s="28"/>
      <c r="H861" s="28"/>
      <c r="I861" s="28"/>
      <c r="J861" s="28"/>
      <c r="K861" s="28"/>
      <c r="L861" s="28"/>
      <c r="M861" s="28"/>
      <c r="N861" s="28"/>
      <c r="O861" s="28"/>
      <c r="P861" s="28"/>
      <c r="Q861" s="28"/>
      <c r="R861" s="28"/>
      <c r="S861" s="28"/>
    </row>
    <row r="862" spans="1:19" ht="13.2">
      <c r="A862" s="28"/>
      <c r="B862" s="28"/>
      <c r="C862" s="28"/>
      <c r="D862" s="28"/>
      <c r="E862" s="28"/>
      <c r="F862" s="28"/>
      <c r="G862" s="28"/>
      <c r="H862" s="28"/>
      <c r="I862" s="28"/>
      <c r="J862" s="28"/>
      <c r="K862" s="28"/>
      <c r="L862" s="28"/>
      <c r="M862" s="28"/>
      <c r="N862" s="28"/>
      <c r="O862" s="28"/>
      <c r="P862" s="28"/>
      <c r="Q862" s="28"/>
      <c r="R862" s="28"/>
      <c r="S862" s="28"/>
    </row>
    <row r="863" spans="1:19" ht="13.2">
      <c r="A863" s="28"/>
      <c r="B863" s="28"/>
      <c r="C863" s="28"/>
      <c r="D863" s="28"/>
      <c r="E863" s="28"/>
      <c r="F863" s="28"/>
      <c r="G863" s="28"/>
      <c r="H863" s="28"/>
      <c r="I863" s="28"/>
      <c r="J863" s="28"/>
      <c r="K863" s="28"/>
      <c r="L863" s="28"/>
      <c r="M863" s="28"/>
      <c r="N863" s="28"/>
      <c r="O863" s="28"/>
      <c r="P863" s="28"/>
      <c r="Q863" s="28"/>
      <c r="R863" s="28"/>
      <c r="S863" s="28"/>
    </row>
    <row r="864" spans="1:19" ht="13.2">
      <c r="A864" s="28"/>
      <c r="B864" s="28"/>
      <c r="C864" s="28"/>
      <c r="D864" s="28"/>
      <c r="E864" s="28"/>
      <c r="F864" s="28"/>
      <c r="G864" s="28"/>
      <c r="H864" s="28"/>
      <c r="I864" s="28"/>
      <c r="J864" s="28"/>
      <c r="K864" s="28"/>
      <c r="L864" s="28"/>
      <c r="M864" s="28"/>
      <c r="N864" s="28"/>
      <c r="O864" s="28"/>
      <c r="P864" s="28"/>
      <c r="Q864" s="28"/>
      <c r="R864" s="28"/>
      <c r="S864" s="28"/>
    </row>
    <row r="865" spans="1:19" ht="13.2">
      <c r="A865" s="28"/>
      <c r="B865" s="28"/>
      <c r="C865" s="28"/>
      <c r="D865" s="28"/>
      <c r="E865" s="28"/>
      <c r="F865" s="28"/>
      <c r="G865" s="28"/>
      <c r="H865" s="28"/>
      <c r="I865" s="28"/>
      <c r="J865" s="28"/>
      <c r="K865" s="28"/>
      <c r="L865" s="28"/>
      <c r="M865" s="28"/>
      <c r="N865" s="28"/>
      <c r="O865" s="28"/>
      <c r="P865" s="28"/>
      <c r="Q865" s="28"/>
      <c r="R865" s="28"/>
      <c r="S865" s="28"/>
    </row>
    <row r="866" spans="1:19" ht="13.2">
      <c r="A866" s="28"/>
      <c r="B866" s="28"/>
      <c r="C866" s="28"/>
      <c r="D866" s="28"/>
      <c r="E866" s="28"/>
      <c r="F866" s="28"/>
      <c r="G866" s="28"/>
      <c r="H866" s="28"/>
      <c r="I866" s="28"/>
      <c r="J866" s="28"/>
      <c r="K866" s="28"/>
      <c r="L866" s="28"/>
      <c r="M866" s="28"/>
      <c r="N866" s="28"/>
      <c r="O866" s="28"/>
      <c r="P866" s="28"/>
      <c r="Q866" s="28"/>
      <c r="R866" s="28"/>
      <c r="S866" s="28"/>
    </row>
    <row r="867" spans="1:19" ht="13.2">
      <c r="A867" s="28"/>
      <c r="B867" s="28"/>
      <c r="C867" s="28"/>
      <c r="D867" s="28"/>
      <c r="E867" s="28"/>
      <c r="F867" s="28"/>
      <c r="G867" s="28"/>
      <c r="H867" s="28"/>
      <c r="I867" s="28"/>
      <c r="J867" s="28"/>
      <c r="K867" s="28"/>
      <c r="L867" s="28"/>
      <c r="M867" s="28"/>
      <c r="N867" s="28"/>
      <c r="O867" s="28"/>
      <c r="P867" s="28"/>
      <c r="Q867" s="28"/>
      <c r="R867" s="28"/>
      <c r="S867" s="28"/>
    </row>
    <row r="868" spans="1:19" ht="13.2">
      <c r="A868" s="28"/>
      <c r="B868" s="28"/>
      <c r="C868" s="28"/>
      <c r="D868" s="28"/>
      <c r="E868" s="28"/>
      <c r="F868" s="28"/>
      <c r="G868" s="28"/>
      <c r="H868" s="28"/>
      <c r="I868" s="28"/>
      <c r="J868" s="28"/>
      <c r="K868" s="28"/>
      <c r="L868" s="28"/>
      <c r="M868" s="28"/>
      <c r="N868" s="28"/>
      <c r="O868" s="28"/>
      <c r="P868" s="28"/>
      <c r="Q868" s="28"/>
      <c r="R868" s="28"/>
      <c r="S868" s="28"/>
    </row>
    <row r="869" spans="1:19" ht="13.2">
      <c r="A869" s="28"/>
      <c r="B869" s="28"/>
      <c r="C869" s="28"/>
      <c r="D869" s="28"/>
      <c r="E869" s="28"/>
      <c r="F869" s="28"/>
      <c r="G869" s="28"/>
      <c r="H869" s="28"/>
      <c r="I869" s="28"/>
      <c r="J869" s="28"/>
      <c r="K869" s="28"/>
      <c r="L869" s="28"/>
      <c r="M869" s="28"/>
      <c r="N869" s="28"/>
      <c r="O869" s="28"/>
      <c r="P869" s="28"/>
      <c r="Q869" s="28"/>
      <c r="R869" s="28"/>
      <c r="S869" s="28"/>
    </row>
    <row r="870" spans="1:19" ht="13.2">
      <c r="A870" s="28"/>
      <c r="B870" s="28"/>
      <c r="C870" s="28"/>
      <c r="D870" s="28"/>
      <c r="E870" s="28"/>
      <c r="F870" s="28"/>
      <c r="G870" s="28"/>
      <c r="H870" s="28"/>
      <c r="I870" s="28"/>
      <c r="J870" s="28"/>
      <c r="K870" s="28"/>
      <c r="L870" s="28"/>
      <c r="M870" s="28"/>
      <c r="N870" s="28"/>
      <c r="O870" s="28"/>
      <c r="P870" s="28"/>
      <c r="Q870" s="28"/>
      <c r="R870" s="28"/>
      <c r="S870" s="28"/>
    </row>
    <row r="871" spans="1:19" ht="13.2">
      <c r="A871" s="28"/>
      <c r="B871" s="28"/>
      <c r="C871" s="28"/>
      <c r="D871" s="28"/>
      <c r="E871" s="28"/>
      <c r="F871" s="28"/>
      <c r="G871" s="28"/>
      <c r="H871" s="28"/>
      <c r="I871" s="28"/>
      <c r="J871" s="28"/>
      <c r="K871" s="28"/>
      <c r="L871" s="28"/>
      <c r="M871" s="28"/>
      <c r="N871" s="28"/>
      <c r="O871" s="28"/>
      <c r="P871" s="28"/>
      <c r="Q871" s="28"/>
      <c r="R871" s="28"/>
      <c r="S871" s="28"/>
    </row>
    <row r="872" spans="1:19" ht="13.2">
      <c r="A872" s="28"/>
      <c r="B872" s="28"/>
      <c r="C872" s="28"/>
      <c r="D872" s="28"/>
      <c r="E872" s="28"/>
      <c r="F872" s="28"/>
      <c r="G872" s="28"/>
      <c r="H872" s="28"/>
      <c r="I872" s="28"/>
      <c r="J872" s="28"/>
      <c r="K872" s="28"/>
      <c r="L872" s="28"/>
      <c r="M872" s="28"/>
      <c r="N872" s="28"/>
      <c r="O872" s="28"/>
      <c r="P872" s="28"/>
      <c r="Q872" s="28"/>
      <c r="R872" s="28"/>
      <c r="S872" s="28"/>
    </row>
    <row r="873" spans="1:19" ht="13.2">
      <c r="A873" s="28"/>
      <c r="B873" s="28"/>
      <c r="C873" s="28"/>
      <c r="D873" s="28"/>
      <c r="E873" s="28"/>
      <c r="F873" s="28"/>
      <c r="G873" s="28"/>
      <c r="H873" s="28"/>
      <c r="I873" s="28"/>
      <c r="J873" s="28"/>
      <c r="K873" s="28"/>
      <c r="L873" s="28"/>
      <c r="M873" s="28"/>
      <c r="N873" s="28"/>
      <c r="O873" s="28"/>
      <c r="P873" s="28"/>
      <c r="Q873" s="28"/>
      <c r="R873" s="28"/>
      <c r="S873" s="28"/>
    </row>
    <row r="874" spans="1:19" ht="13.2">
      <c r="A874" s="28"/>
      <c r="B874" s="28"/>
      <c r="C874" s="28"/>
      <c r="D874" s="28"/>
      <c r="E874" s="28"/>
      <c r="F874" s="28"/>
      <c r="G874" s="28"/>
      <c r="H874" s="28"/>
      <c r="I874" s="28"/>
      <c r="J874" s="28"/>
      <c r="K874" s="28"/>
      <c r="L874" s="28"/>
      <c r="M874" s="28"/>
      <c r="N874" s="28"/>
      <c r="O874" s="28"/>
      <c r="P874" s="28"/>
      <c r="Q874" s="28"/>
      <c r="R874" s="28"/>
      <c r="S874" s="28"/>
    </row>
    <row r="875" spans="1:19" ht="13.2">
      <c r="A875" s="28"/>
      <c r="B875" s="28"/>
      <c r="C875" s="28"/>
      <c r="D875" s="28"/>
      <c r="E875" s="28"/>
      <c r="F875" s="28"/>
      <c r="G875" s="28"/>
      <c r="H875" s="28"/>
      <c r="I875" s="28"/>
      <c r="J875" s="28"/>
      <c r="K875" s="28"/>
      <c r="L875" s="28"/>
      <c r="M875" s="28"/>
      <c r="N875" s="28"/>
      <c r="O875" s="28"/>
      <c r="P875" s="28"/>
      <c r="Q875" s="28"/>
      <c r="R875" s="28"/>
      <c r="S875" s="28"/>
    </row>
    <row r="876" spans="1:19" ht="13.2">
      <c r="A876" s="28"/>
      <c r="B876" s="28"/>
      <c r="C876" s="28"/>
      <c r="D876" s="28"/>
      <c r="E876" s="28"/>
      <c r="F876" s="28"/>
      <c r="G876" s="28"/>
      <c r="H876" s="28"/>
      <c r="I876" s="28"/>
      <c r="J876" s="28"/>
      <c r="K876" s="28"/>
      <c r="L876" s="28"/>
      <c r="M876" s="28"/>
      <c r="N876" s="28"/>
      <c r="O876" s="28"/>
      <c r="P876" s="28"/>
      <c r="Q876" s="28"/>
      <c r="R876" s="28"/>
      <c r="S876" s="28"/>
    </row>
    <row r="877" spans="1:19" ht="13.2">
      <c r="A877" s="28"/>
      <c r="B877" s="28"/>
      <c r="C877" s="28"/>
      <c r="D877" s="28"/>
      <c r="E877" s="28"/>
      <c r="F877" s="28"/>
      <c r="G877" s="28"/>
      <c r="H877" s="28"/>
      <c r="I877" s="28"/>
      <c r="J877" s="28"/>
      <c r="K877" s="28"/>
      <c r="L877" s="28"/>
      <c r="M877" s="28"/>
      <c r="N877" s="28"/>
      <c r="O877" s="28"/>
      <c r="P877" s="28"/>
      <c r="Q877" s="28"/>
      <c r="R877" s="28"/>
      <c r="S877" s="28"/>
    </row>
    <row r="878" spans="1:19" ht="13.2">
      <c r="A878" s="28"/>
      <c r="B878" s="28"/>
      <c r="C878" s="28"/>
      <c r="D878" s="28"/>
      <c r="E878" s="28"/>
      <c r="F878" s="28"/>
      <c r="G878" s="28"/>
      <c r="H878" s="28"/>
      <c r="I878" s="28"/>
      <c r="J878" s="28"/>
      <c r="K878" s="28"/>
      <c r="L878" s="28"/>
      <c r="M878" s="28"/>
      <c r="N878" s="28"/>
      <c r="O878" s="28"/>
      <c r="P878" s="28"/>
      <c r="Q878" s="28"/>
      <c r="R878" s="28"/>
      <c r="S878" s="28"/>
    </row>
    <row r="879" spans="1:19" ht="13.2">
      <c r="A879" s="28"/>
      <c r="B879" s="28"/>
      <c r="C879" s="28"/>
      <c r="D879" s="28"/>
      <c r="E879" s="28"/>
      <c r="F879" s="28"/>
      <c r="G879" s="28"/>
      <c r="H879" s="28"/>
      <c r="I879" s="28"/>
      <c r="J879" s="28"/>
      <c r="K879" s="28"/>
      <c r="L879" s="28"/>
      <c r="M879" s="28"/>
      <c r="N879" s="28"/>
      <c r="O879" s="28"/>
      <c r="P879" s="28"/>
      <c r="Q879" s="28"/>
      <c r="R879" s="28"/>
      <c r="S879" s="28"/>
    </row>
    <row r="880" spans="1:19" ht="13.2">
      <c r="A880" s="28"/>
      <c r="B880" s="28"/>
      <c r="C880" s="28"/>
      <c r="D880" s="28"/>
      <c r="E880" s="28"/>
      <c r="F880" s="28"/>
      <c r="G880" s="28"/>
      <c r="H880" s="28"/>
      <c r="I880" s="28"/>
      <c r="J880" s="28"/>
      <c r="K880" s="28"/>
      <c r="L880" s="28"/>
      <c r="M880" s="28"/>
      <c r="N880" s="28"/>
      <c r="O880" s="28"/>
      <c r="P880" s="28"/>
      <c r="Q880" s="28"/>
      <c r="R880" s="28"/>
      <c r="S880" s="28"/>
    </row>
    <row r="881" spans="1:19" ht="13.2">
      <c r="A881" s="28"/>
      <c r="B881" s="28"/>
      <c r="C881" s="28"/>
      <c r="D881" s="28"/>
      <c r="E881" s="28"/>
      <c r="F881" s="28"/>
      <c r="G881" s="28"/>
      <c r="H881" s="28"/>
      <c r="I881" s="28"/>
      <c r="J881" s="28"/>
      <c r="K881" s="28"/>
      <c r="L881" s="28"/>
      <c r="M881" s="28"/>
      <c r="N881" s="28"/>
      <c r="O881" s="28"/>
      <c r="P881" s="28"/>
      <c r="Q881" s="28"/>
      <c r="R881" s="28"/>
      <c r="S881" s="28"/>
    </row>
    <row r="882" spans="1:19" ht="13.2">
      <c r="A882" s="28"/>
      <c r="B882" s="28"/>
      <c r="C882" s="28"/>
      <c r="D882" s="28"/>
      <c r="E882" s="28"/>
      <c r="F882" s="28"/>
      <c r="G882" s="28"/>
      <c r="H882" s="28"/>
      <c r="I882" s="28"/>
      <c r="J882" s="28"/>
      <c r="K882" s="28"/>
      <c r="L882" s="28"/>
      <c r="M882" s="28"/>
      <c r="N882" s="28"/>
      <c r="O882" s="28"/>
      <c r="P882" s="28"/>
      <c r="Q882" s="28"/>
      <c r="R882" s="28"/>
      <c r="S882" s="28"/>
    </row>
    <row r="883" spans="1:19" ht="13.2">
      <c r="A883" s="28"/>
      <c r="B883" s="28"/>
      <c r="C883" s="28"/>
      <c r="D883" s="28"/>
      <c r="E883" s="28"/>
      <c r="F883" s="28"/>
      <c r="G883" s="28"/>
      <c r="H883" s="28"/>
      <c r="I883" s="28"/>
      <c r="J883" s="28"/>
      <c r="K883" s="28"/>
      <c r="L883" s="28"/>
      <c r="M883" s="28"/>
      <c r="N883" s="28"/>
      <c r="O883" s="28"/>
      <c r="P883" s="28"/>
      <c r="Q883" s="28"/>
      <c r="R883" s="28"/>
      <c r="S883" s="28"/>
    </row>
    <row r="884" spans="1:19" ht="13.2">
      <c r="A884" s="28"/>
      <c r="B884" s="28"/>
      <c r="C884" s="28"/>
      <c r="D884" s="28"/>
      <c r="E884" s="28"/>
      <c r="F884" s="28"/>
      <c r="G884" s="28"/>
      <c r="H884" s="28"/>
      <c r="I884" s="28"/>
      <c r="J884" s="28"/>
      <c r="K884" s="28"/>
      <c r="L884" s="28"/>
      <c r="M884" s="28"/>
      <c r="N884" s="28"/>
      <c r="O884" s="28"/>
      <c r="P884" s="28"/>
      <c r="Q884" s="28"/>
      <c r="R884" s="28"/>
      <c r="S884" s="28"/>
    </row>
    <row r="885" spans="1:19" ht="13.2">
      <c r="A885" s="28"/>
      <c r="B885" s="28"/>
      <c r="C885" s="28"/>
      <c r="D885" s="28"/>
      <c r="E885" s="28"/>
      <c r="F885" s="28"/>
      <c r="G885" s="28"/>
      <c r="H885" s="28"/>
      <c r="I885" s="28"/>
      <c r="J885" s="28"/>
      <c r="K885" s="28"/>
      <c r="L885" s="28"/>
      <c r="M885" s="28"/>
      <c r="N885" s="28"/>
      <c r="O885" s="28"/>
      <c r="P885" s="28"/>
      <c r="Q885" s="28"/>
      <c r="R885" s="28"/>
      <c r="S885" s="28"/>
    </row>
    <row r="886" spans="1:19" ht="13.2">
      <c r="A886" s="28"/>
      <c r="B886" s="28"/>
      <c r="C886" s="28"/>
      <c r="D886" s="28"/>
      <c r="E886" s="28"/>
      <c r="F886" s="28"/>
      <c r="G886" s="28"/>
      <c r="H886" s="28"/>
      <c r="I886" s="28"/>
      <c r="J886" s="28"/>
      <c r="K886" s="28"/>
      <c r="L886" s="28"/>
      <c r="M886" s="28"/>
      <c r="N886" s="28"/>
      <c r="O886" s="28"/>
      <c r="P886" s="28"/>
      <c r="Q886" s="28"/>
      <c r="R886" s="28"/>
      <c r="S886" s="28"/>
    </row>
    <row r="887" spans="1:19" ht="13.2">
      <c r="A887" s="28"/>
      <c r="B887" s="28"/>
      <c r="C887" s="28"/>
      <c r="D887" s="28"/>
      <c r="E887" s="28"/>
      <c r="F887" s="28"/>
      <c r="G887" s="28"/>
      <c r="H887" s="28"/>
      <c r="I887" s="28"/>
      <c r="J887" s="28"/>
      <c r="K887" s="28"/>
      <c r="L887" s="28"/>
      <c r="M887" s="28"/>
      <c r="N887" s="28"/>
      <c r="O887" s="28"/>
      <c r="P887" s="28"/>
      <c r="Q887" s="28"/>
      <c r="R887" s="28"/>
      <c r="S887" s="28"/>
    </row>
    <row r="888" spans="1:19" ht="13.2">
      <c r="A888" s="28"/>
      <c r="B888" s="28"/>
      <c r="C888" s="28"/>
      <c r="D888" s="28"/>
      <c r="E888" s="28"/>
      <c r="F888" s="28"/>
      <c r="G888" s="28"/>
      <c r="H888" s="28"/>
      <c r="I888" s="28"/>
      <c r="J888" s="28"/>
      <c r="K888" s="28"/>
      <c r="L888" s="28"/>
      <c r="M888" s="28"/>
      <c r="N888" s="28"/>
      <c r="O888" s="28"/>
      <c r="P888" s="28"/>
      <c r="Q888" s="28"/>
      <c r="R888" s="28"/>
      <c r="S888" s="28"/>
    </row>
    <row r="889" spans="1:19" ht="13.2">
      <c r="A889" s="28"/>
      <c r="B889" s="28"/>
      <c r="C889" s="28"/>
      <c r="D889" s="28"/>
      <c r="E889" s="28"/>
      <c r="F889" s="28"/>
      <c r="G889" s="28"/>
      <c r="H889" s="28"/>
      <c r="I889" s="28"/>
      <c r="J889" s="28"/>
      <c r="K889" s="28"/>
      <c r="L889" s="28"/>
      <c r="M889" s="28"/>
      <c r="N889" s="28"/>
      <c r="O889" s="28"/>
      <c r="P889" s="28"/>
      <c r="Q889" s="28"/>
      <c r="R889" s="28"/>
      <c r="S889" s="28"/>
    </row>
    <row r="890" spans="1:19" ht="13.2">
      <c r="A890" s="28"/>
      <c r="B890" s="28"/>
      <c r="C890" s="28"/>
      <c r="D890" s="28"/>
      <c r="E890" s="28"/>
      <c r="F890" s="28"/>
      <c r="G890" s="28"/>
      <c r="H890" s="28"/>
      <c r="I890" s="28"/>
      <c r="J890" s="28"/>
      <c r="K890" s="28"/>
      <c r="L890" s="28"/>
      <c r="M890" s="28"/>
      <c r="N890" s="28"/>
      <c r="O890" s="28"/>
      <c r="P890" s="28"/>
      <c r="Q890" s="28"/>
      <c r="R890" s="28"/>
      <c r="S890" s="28"/>
    </row>
    <row r="891" spans="1:19" ht="13.2">
      <c r="A891" s="28"/>
      <c r="B891" s="28"/>
      <c r="C891" s="28"/>
      <c r="D891" s="28"/>
      <c r="E891" s="28"/>
      <c r="F891" s="28"/>
      <c r="G891" s="28"/>
      <c r="H891" s="28"/>
      <c r="I891" s="28"/>
      <c r="J891" s="28"/>
      <c r="K891" s="28"/>
      <c r="L891" s="28"/>
      <c r="M891" s="28"/>
      <c r="N891" s="28"/>
      <c r="O891" s="28"/>
      <c r="P891" s="28"/>
      <c r="Q891" s="28"/>
      <c r="R891" s="28"/>
      <c r="S891" s="28"/>
    </row>
    <row r="892" spans="1:19" ht="13.2">
      <c r="A892" s="28"/>
      <c r="B892" s="28"/>
      <c r="C892" s="28"/>
      <c r="D892" s="28"/>
      <c r="E892" s="28"/>
      <c r="F892" s="28"/>
      <c r="G892" s="28"/>
      <c r="H892" s="28"/>
      <c r="I892" s="28"/>
      <c r="J892" s="28"/>
      <c r="K892" s="28"/>
      <c r="L892" s="28"/>
      <c r="M892" s="28"/>
      <c r="N892" s="28"/>
      <c r="O892" s="28"/>
      <c r="P892" s="28"/>
      <c r="Q892" s="28"/>
      <c r="R892" s="28"/>
      <c r="S892" s="28"/>
    </row>
    <row r="893" spans="1:19" ht="13.2">
      <c r="A893" s="28"/>
      <c r="B893" s="28"/>
      <c r="C893" s="28"/>
      <c r="D893" s="28"/>
      <c r="E893" s="28"/>
      <c r="F893" s="28"/>
      <c r="G893" s="28"/>
      <c r="H893" s="28"/>
      <c r="I893" s="28"/>
      <c r="J893" s="28"/>
      <c r="K893" s="28"/>
      <c r="L893" s="28"/>
      <c r="M893" s="28"/>
      <c r="N893" s="28"/>
      <c r="O893" s="28"/>
      <c r="P893" s="28"/>
      <c r="Q893" s="28"/>
      <c r="R893" s="28"/>
      <c r="S893" s="28"/>
    </row>
    <row r="894" spans="1:19" ht="13.2">
      <c r="A894" s="28"/>
      <c r="B894" s="28"/>
      <c r="C894" s="28"/>
      <c r="D894" s="28"/>
      <c r="E894" s="28"/>
      <c r="F894" s="28"/>
      <c r="G894" s="28"/>
      <c r="H894" s="28"/>
      <c r="I894" s="28"/>
      <c r="J894" s="28"/>
      <c r="K894" s="28"/>
      <c r="L894" s="28"/>
      <c r="M894" s="28"/>
      <c r="N894" s="28"/>
      <c r="O894" s="28"/>
      <c r="P894" s="28"/>
      <c r="Q894" s="28"/>
      <c r="R894" s="28"/>
      <c r="S894" s="28"/>
    </row>
    <row r="895" spans="1:19" ht="13.2">
      <c r="A895" s="28"/>
      <c r="B895" s="28"/>
      <c r="C895" s="28"/>
      <c r="D895" s="28"/>
      <c r="E895" s="28"/>
      <c r="F895" s="28"/>
      <c r="G895" s="28"/>
      <c r="H895" s="28"/>
      <c r="I895" s="28"/>
      <c r="J895" s="28"/>
      <c r="K895" s="28"/>
      <c r="L895" s="28"/>
      <c r="M895" s="28"/>
      <c r="N895" s="28"/>
      <c r="O895" s="28"/>
      <c r="P895" s="28"/>
      <c r="Q895" s="28"/>
      <c r="R895" s="28"/>
      <c r="S895" s="28"/>
    </row>
    <row r="896" spans="1:19" ht="13.2">
      <c r="A896" s="28"/>
      <c r="B896" s="28"/>
      <c r="C896" s="28"/>
      <c r="D896" s="28"/>
      <c r="E896" s="28"/>
      <c r="F896" s="28"/>
      <c r="G896" s="28"/>
      <c r="H896" s="28"/>
      <c r="I896" s="28"/>
      <c r="J896" s="28"/>
      <c r="K896" s="28"/>
      <c r="L896" s="28"/>
      <c r="M896" s="28"/>
      <c r="N896" s="28"/>
      <c r="O896" s="28"/>
      <c r="P896" s="28"/>
      <c r="Q896" s="28"/>
      <c r="R896" s="28"/>
      <c r="S896" s="28"/>
    </row>
    <row r="897" spans="1:19" ht="13.2">
      <c r="A897" s="28"/>
      <c r="B897" s="28"/>
      <c r="C897" s="28"/>
      <c r="D897" s="28"/>
      <c r="E897" s="28"/>
      <c r="F897" s="28"/>
      <c r="G897" s="28"/>
      <c r="H897" s="28"/>
      <c r="I897" s="28"/>
      <c r="J897" s="28"/>
      <c r="K897" s="28"/>
      <c r="L897" s="28"/>
      <c r="M897" s="28"/>
      <c r="N897" s="28"/>
      <c r="O897" s="28"/>
      <c r="P897" s="28"/>
      <c r="Q897" s="28"/>
      <c r="R897" s="28"/>
      <c r="S897" s="28"/>
    </row>
    <row r="898" spans="1:19" ht="13.2">
      <c r="A898" s="28"/>
      <c r="B898" s="28"/>
      <c r="C898" s="28"/>
      <c r="D898" s="28"/>
      <c r="E898" s="28"/>
      <c r="F898" s="28"/>
      <c r="G898" s="28"/>
      <c r="H898" s="28"/>
      <c r="I898" s="28"/>
      <c r="J898" s="28"/>
      <c r="K898" s="28"/>
      <c r="L898" s="28"/>
      <c r="M898" s="28"/>
      <c r="N898" s="28"/>
      <c r="O898" s="28"/>
      <c r="P898" s="28"/>
      <c r="Q898" s="28"/>
      <c r="R898" s="28"/>
      <c r="S898" s="28"/>
    </row>
    <row r="899" spans="1:19" ht="13.2">
      <c r="A899" s="28"/>
      <c r="B899" s="28"/>
      <c r="C899" s="28"/>
      <c r="D899" s="28"/>
      <c r="E899" s="28"/>
      <c r="F899" s="28"/>
      <c r="G899" s="28"/>
      <c r="H899" s="28"/>
      <c r="I899" s="28"/>
      <c r="J899" s="28"/>
      <c r="K899" s="28"/>
      <c r="L899" s="28"/>
      <c r="M899" s="28"/>
      <c r="N899" s="28"/>
      <c r="O899" s="28"/>
      <c r="P899" s="28"/>
      <c r="Q899" s="28"/>
      <c r="R899" s="28"/>
      <c r="S899" s="28"/>
    </row>
    <row r="900" spans="1:19" ht="13.2">
      <c r="A900" s="28"/>
      <c r="B900" s="28"/>
      <c r="C900" s="28"/>
      <c r="D900" s="28"/>
      <c r="E900" s="28"/>
      <c r="F900" s="28"/>
      <c r="G900" s="28"/>
      <c r="H900" s="28"/>
      <c r="I900" s="28"/>
      <c r="J900" s="28"/>
      <c r="K900" s="28"/>
      <c r="L900" s="28"/>
      <c r="M900" s="28"/>
      <c r="N900" s="28"/>
      <c r="O900" s="28"/>
      <c r="P900" s="28"/>
      <c r="Q900" s="28"/>
      <c r="R900" s="28"/>
      <c r="S900" s="28"/>
    </row>
    <row r="901" spans="1:19" ht="13.2">
      <c r="A901" s="28"/>
      <c r="B901" s="28"/>
      <c r="C901" s="28"/>
      <c r="D901" s="28"/>
      <c r="E901" s="28"/>
      <c r="F901" s="28"/>
      <c r="G901" s="28"/>
      <c r="H901" s="28"/>
      <c r="I901" s="28"/>
      <c r="J901" s="28"/>
      <c r="K901" s="28"/>
      <c r="L901" s="28"/>
      <c r="M901" s="28"/>
      <c r="N901" s="28"/>
      <c r="O901" s="28"/>
      <c r="P901" s="28"/>
      <c r="Q901" s="28"/>
      <c r="R901" s="28"/>
      <c r="S901" s="28"/>
    </row>
    <row r="902" spans="1:19" ht="13.2">
      <c r="A902" s="28"/>
      <c r="B902" s="28"/>
      <c r="C902" s="28"/>
      <c r="D902" s="28"/>
      <c r="E902" s="28"/>
      <c r="F902" s="28"/>
      <c r="G902" s="28"/>
      <c r="H902" s="28"/>
      <c r="I902" s="28"/>
      <c r="J902" s="28"/>
      <c r="K902" s="28"/>
      <c r="L902" s="28"/>
      <c r="M902" s="28"/>
      <c r="N902" s="28"/>
      <c r="O902" s="28"/>
      <c r="P902" s="28"/>
      <c r="Q902" s="28"/>
      <c r="R902" s="28"/>
      <c r="S902" s="28"/>
    </row>
    <row r="903" spans="1:19" ht="13.2">
      <c r="A903" s="28"/>
      <c r="B903" s="28"/>
      <c r="C903" s="28"/>
      <c r="D903" s="28"/>
      <c r="E903" s="28"/>
      <c r="F903" s="28"/>
      <c r="G903" s="28"/>
      <c r="H903" s="28"/>
      <c r="I903" s="28"/>
      <c r="J903" s="28"/>
      <c r="K903" s="28"/>
      <c r="L903" s="28"/>
      <c r="M903" s="28"/>
      <c r="N903" s="28"/>
      <c r="O903" s="28"/>
      <c r="P903" s="28"/>
      <c r="Q903" s="28"/>
      <c r="R903" s="28"/>
      <c r="S903" s="28"/>
    </row>
    <row r="904" spans="1:19" ht="13.2">
      <c r="A904" s="28"/>
      <c r="B904" s="28"/>
      <c r="C904" s="28"/>
      <c r="D904" s="28"/>
      <c r="E904" s="28"/>
      <c r="F904" s="28"/>
      <c r="G904" s="28"/>
      <c r="H904" s="28"/>
      <c r="I904" s="28"/>
      <c r="J904" s="28"/>
      <c r="K904" s="28"/>
      <c r="L904" s="28"/>
      <c r="M904" s="28"/>
      <c r="N904" s="28"/>
      <c r="O904" s="28"/>
      <c r="P904" s="28"/>
      <c r="Q904" s="28"/>
      <c r="R904" s="28"/>
      <c r="S904" s="28"/>
    </row>
    <row r="905" spans="1:19" ht="13.2">
      <c r="A905" s="28"/>
      <c r="B905" s="28"/>
      <c r="C905" s="28"/>
      <c r="D905" s="28"/>
      <c r="E905" s="28"/>
      <c r="F905" s="28"/>
      <c r="G905" s="28"/>
      <c r="H905" s="28"/>
      <c r="I905" s="28"/>
      <c r="J905" s="28"/>
      <c r="K905" s="28"/>
      <c r="L905" s="28"/>
      <c r="M905" s="28"/>
      <c r="N905" s="28"/>
      <c r="O905" s="28"/>
      <c r="P905" s="28"/>
      <c r="Q905" s="28"/>
      <c r="R905" s="28"/>
      <c r="S905" s="28"/>
    </row>
    <row r="906" spans="1:19" ht="13.2">
      <c r="A906" s="28"/>
      <c r="B906" s="28"/>
      <c r="C906" s="28"/>
      <c r="D906" s="28"/>
      <c r="E906" s="28"/>
      <c r="F906" s="28"/>
      <c r="G906" s="28"/>
      <c r="H906" s="28"/>
      <c r="I906" s="28"/>
      <c r="J906" s="28"/>
      <c r="K906" s="28"/>
      <c r="L906" s="28"/>
      <c r="M906" s="28"/>
      <c r="N906" s="28"/>
      <c r="O906" s="28"/>
      <c r="P906" s="28"/>
      <c r="Q906" s="28"/>
      <c r="R906" s="28"/>
      <c r="S906" s="28"/>
    </row>
    <row r="907" spans="1:19" ht="13.2">
      <c r="A907" s="28"/>
      <c r="B907" s="28"/>
      <c r="C907" s="28"/>
      <c r="D907" s="28"/>
      <c r="E907" s="28"/>
      <c r="F907" s="28"/>
      <c r="G907" s="28"/>
      <c r="H907" s="28"/>
      <c r="I907" s="28"/>
      <c r="J907" s="28"/>
      <c r="K907" s="28"/>
      <c r="L907" s="28"/>
      <c r="M907" s="28"/>
      <c r="N907" s="28"/>
      <c r="O907" s="28"/>
      <c r="P907" s="28"/>
      <c r="Q907" s="28"/>
      <c r="R907" s="28"/>
      <c r="S907" s="28"/>
    </row>
    <row r="908" spans="1:19" ht="13.2">
      <c r="A908" s="28"/>
      <c r="B908" s="28"/>
      <c r="C908" s="28"/>
      <c r="D908" s="28"/>
      <c r="E908" s="28"/>
      <c r="F908" s="28"/>
      <c r="G908" s="28"/>
      <c r="H908" s="28"/>
      <c r="I908" s="28"/>
      <c r="J908" s="28"/>
      <c r="K908" s="28"/>
      <c r="L908" s="28"/>
      <c r="M908" s="28"/>
      <c r="N908" s="28"/>
      <c r="O908" s="28"/>
      <c r="P908" s="28"/>
      <c r="Q908" s="28"/>
      <c r="R908" s="28"/>
      <c r="S908" s="28"/>
    </row>
    <row r="909" spans="1:19" ht="13.2">
      <c r="A909" s="28"/>
      <c r="B909" s="28"/>
      <c r="C909" s="28"/>
      <c r="D909" s="28"/>
      <c r="E909" s="28"/>
      <c r="F909" s="28"/>
      <c r="G909" s="28"/>
      <c r="H909" s="28"/>
      <c r="I909" s="28"/>
      <c r="J909" s="28"/>
      <c r="K909" s="28"/>
      <c r="L909" s="28"/>
      <c r="M909" s="28"/>
      <c r="N909" s="28"/>
      <c r="O909" s="28"/>
      <c r="P909" s="28"/>
      <c r="Q909" s="28"/>
      <c r="R909" s="28"/>
      <c r="S909" s="28"/>
    </row>
    <row r="910" spans="1:19" ht="13.2">
      <c r="A910" s="28"/>
      <c r="B910" s="28"/>
      <c r="C910" s="28"/>
      <c r="D910" s="28"/>
      <c r="E910" s="28"/>
      <c r="F910" s="28"/>
      <c r="G910" s="28"/>
      <c r="H910" s="28"/>
      <c r="I910" s="28"/>
      <c r="J910" s="28"/>
      <c r="K910" s="28"/>
      <c r="L910" s="28"/>
      <c r="M910" s="28"/>
      <c r="N910" s="28"/>
      <c r="O910" s="28"/>
      <c r="P910" s="28"/>
      <c r="Q910" s="28"/>
      <c r="R910" s="28"/>
      <c r="S910" s="28"/>
    </row>
    <row r="911" spans="1:19" ht="13.2">
      <c r="A911" s="28"/>
      <c r="B911" s="28"/>
      <c r="C911" s="28"/>
      <c r="D911" s="28"/>
      <c r="E911" s="28"/>
      <c r="F911" s="28"/>
      <c r="G911" s="28"/>
      <c r="H911" s="28"/>
      <c r="I911" s="28"/>
      <c r="J911" s="28"/>
      <c r="K911" s="28"/>
      <c r="L911" s="28"/>
      <c r="M911" s="28"/>
      <c r="N911" s="28"/>
      <c r="O911" s="28"/>
      <c r="P911" s="28"/>
      <c r="Q911" s="28"/>
      <c r="R911" s="28"/>
      <c r="S911" s="28"/>
    </row>
    <row r="912" spans="1:19" ht="13.2">
      <c r="A912" s="28"/>
      <c r="B912" s="28"/>
      <c r="C912" s="28"/>
      <c r="D912" s="28"/>
      <c r="E912" s="28"/>
      <c r="F912" s="28"/>
      <c r="G912" s="28"/>
      <c r="H912" s="28"/>
      <c r="I912" s="28"/>
      <c r="J912" s="28"/>
      <c r="K912" s="28"/>
      <c r="L912" s="28"/>
      <c r="M912" s="28"/>
      <c r="N912" s="28"/>
      <c r="O912" s="28"/>
      <c r="P912" s="28"/>
      <c r="Q912" s="28"/>
      <c r="R912" s="28"/>
      <c r="S912" s="28"/>
    </row>
    <row r="913" spans="1:19" ht="13.2">
      <c r="A913" s="28"/>
      <c r="B913" s="28"/>
      <c r="C913" s="28"/>
      <c r="D913" s="28"/>
      <c r="E913" s="28"/>
      <c r="F913" s="28"/>
      <c r="G913" s="28"/>
      <c r="H913" s="28"/>
      <c r="I913" s="28"/>
      <c r="J913" s="28"/>
      <c r="K913" s="28"/>
      <c r="L913" s="28"/>
      <c r="M913" s="28"/>
      <c r="N913" s="28"/>
      <c r="O913" s="28"/>
      <c r="P913" s="28"/>
      <c r="Q913" s="28"/>
      <c r="R913" s="28"/>
      <c r="S913" s="28"/>
    </row>
    <row r="914" spans="1:19" ht="13.2">
      <c r="A914" s="28"/>
      <c r="B914" s="28"/>
      <c r="C914" s="28"/>
      <c r="D914" s="28"/>
      <c r="E914" s="28"/>
      <c r="F914" s="28"/>
      <c r="G914" s="28"/>
      <c r="H914" s="28"/>
      <c r="I914" s="28"/>
      <c r="J914" s="28"/>
      <c r="K914" s="28"/>
      <c r="L914" s="28"/>
      <c r="M914" s="28"/>
      <c r="N914" s="28"/>
      <c r="O914" s="28"/>
      <c r="P914" s="28"/>
      <c r="Q914" s="28"/>
      <c r="R914" s="28"/>
      <c r="S914" s="28"/>
    </row>
    <row r="915" spans="1:19" ht="13.2">
      <c r="A915" s="28"/>
      <c r="B915" s="28"/>
      <c r="C915" s="28"/>
      <c r="D915" s="28"/>
      <c r="E915" s="28"/>
      <c r="F915" s="28"/>
      <c r="G915" s="28"/>
      <c r="H915" s="28"/>
      <c r="I915" s="28"/>
      <c r="J915" s="28"/>
      <c r="K915" s="28"/>
      <c r="L915" s="28"/>
      <c r="M915" s="28"/>
      <c r="N915" s="28"/>
      <c r="O915" s="28"/>
      <c r="P915" s="28"/>
      <c r="Q915" s="28"/>
      <c r="R915" s="28"/>
      <c r="S915" s="28"/>
    </row>
    <row r="916" spans="1:19" ht="13.2">
      <c r="A916" s="28"/>
      <c r="B916" s="28"/>
      <c r="C916" s="28"/>
      <c r="D916" s="28"/>
      <c r="E916" s="28"/>
      <c r="F916" s="28"/>
      <c r="G916" s="28"/>
      <c r="H916" s="28"/>
      <c r="I916" s="28"/>
      <c r="J916" s="28"/>
      <c r="K916" s="28"/>
      <c r="L916" s="28"/>
      <c r="M916" s="28"/>
      <c r="N916" s="28"/>
      <c r="O916" s="28"/>
      <c r="P916" s="28"/>
      <c r="Q916" s="28"/>
      <c r="R916" s="28"/>
      <c r="S916" s="28"/>
    </row>
    <row r="917" spans="1:19" ht="13.2">
      <c r="A917" s="28"/>
      <c r="B917" s="28"/>
      <c r="C917" s="28"/>
      <c r="D917" s="28"/>
      <c r="E917" s="28"/>
      <c r="F917" s="28"/>
      <c r="G917" s="28"/>
      <c r="H917" s="28"/>
      <c r="I917" s="28"/>
      <c r="J917" s="28"/>
      <c r="K917" s="28"/>
      <c r="L917" s="28"/>
      <c r="M917" s="28"/>
      <c r="N917" s="28"/>
      <c r="O917" s="28"/>
      <c r="P917" s="28"/>
      <c r="Q917" s="28"/>
      <c r="R917" s="28"/>
      <c r="S917" s="28"/>
    </row>
    <row r="918" spans="1:19" ht="13.2">
      <c r="A918" s="28"/>
      <c r="B918" s="28"/>
      <c r="C918" s="28"/>
      <c r="D918" s="28"/>
      <c r="E918" s="28"/>
      <c r="F918" s="28"/>
      <c r="G918" s="28"/>
      <c r="H918" s="28"/>
      <c r="I918" s="28"/>
      <c r="J918" s="28"/>
      <c r="K918" s="28"/>
      <c r="L918" s="28"/>
      <c r="M918" s="28"/>
      <c r="N918" s="28"/>
      <c r="O918" s="28"/>
      <c r="P918" s="28"/>
      <c r="Q918" s="28"/>
      <c r="R918" s="28"/>
      <c r="S918" s="28"/>
    </row>
    <row r="919" spans="1:19" ht="13.2">
      <c r="A919" s="28"/>
      <c r="B919" s="28"/>
      <c r="C919" s="28"/>
      <c r="D919" s="28"/>
      <c r="E919" s="28"/>
      <c r="F919" s="28"/>
      <c r="G919" s="28"/>
      <c r="H919" s="28"/>
      <c r="I919" s="28"/>
      <c r="J919" s="28"/>
      <c r="K919" s="28"/>
      <c r="L919" s="28"/>
      <c r="M919" s="28"/>
      <c r="N919" s="28"/>
      <c r="O919" s="28"/>
      <c r="P919" s="28"/>
      <c r="Q919" s="28"/>
      <c r="R919" s="28"/>
      <c r="S919" s="28"/>
    </row>
    <row r="920" spans="1:19" ht="13.2">
      <c r="A920" s="28"/>
      <c r="B920" s="28"/>
      <c r="C920" s="28"/>
      <c r="D920" s="28"/>
      <c r="E920" s="28"/>
      <c r="F920" s="28"/>
      <c r="G920" s="28"/>
      <c r="H920" s="28"/>
      <c r="I920" s="28"/>
      <c r="J920" s="28"/>
      <c r="K920" s="28"/>
      <c r="L920" s="28"/>
      <c r="M920" s="28"/>
      <c r="N920" s="28"/>
      <c r="O920" s="28"/>
      <c r="P920" s="28"/>
      <c r="Q920" s="28"/>
      <c r="R920" s="28"/>
      <c r="S920" s="28"/>
    </row>
    <row r="921" spans="1:19" ht="13.2">
      <c r="A921" s="28"/>
      <c r="B921" s="28"/>
      <c r="C921" s="28"/>
      <c r="D921" s="28"/>
      <c r="E921" s="28"/>
      <c r="F921" s="28"/>
      <c r="G921" s="28"/>
      <c r="H921" s="28"/>
      <c r="I921" s="28"/>
      <c r="J921" s="28"/>
      <c r="K921" s="28"/>
      <c r="L921" s="28"/>
      <c r="M921" s="28"/>
      <c r="N921" s="28"/>
      <c r="O921" s="28"/>
      <c r="P921" s="28"/>
      <c r="Q921" s="28"/>
      <c r="R921" s="28"/>
      <c r="S921" s="28"/>
    </row>
    <row r="922" spans="1:19" ht="13.2">
      <c r="A922" s="28"/>
      <c r="B922" s="28"/>
      <c r="C922" s="28"/>
      <c r="D922" s="28"/>
      <c r="E922" s="28"/>
      <c r="F922" s="28"/>
      <c r="G922" s="28"/>
      <c r="H922" s="28"/>
      <c r="I922" s="28"/>
      <c r="J922" s="28"/>
      <c r="K922" s="28"/>
      <c r="L922" s="28"/>
      <c r="M922" s="28"/>
      <c r="N922" s="28"/>
      <c r="O922" s="28"/>
      <c r="P922" s="28"/>
      <c r="Q922" s="28"/>
      <c r="R922" s="28"/>
      <c r="S922" s="28"/>
    </row>
    <row r="923" spans="1:19" ht="13.2">
      <c r="A923" s="28"/>
      <c r="B923" s="28"/>
      <c r="C923" s="28"/>
      <c r="D923" s="28"/>
      <c r="E923" s="28"/>
      <c r="F923" s="28"/>
      <c r="G923" s="28"/>
      <c r="H923" s="28"/>
      <c r="I923" s="28"/>
      <c r="J923" s="28"/>
      <c r="K923" s="28"/>
      <c r="L923" s="28"/>
      <c r="M923" s="28"/>
      <c r="N923" s="28"/>
      <c r="O923" s="28"/>
      <c r="P923" s="28"/>
      <c r="Q923" s="28"/>
      <c r="R923" s="28"/>
      <c r="S923" s="28"/>
    </row>
    <row r="924" spans="1:19" ht="13.2">
      <c r="A924" s="28"/>
      <c r="B924" s="28"/>
      <c r="C924" s="28"/>
      <c r="D924" s="28"/>
      <c r="E924" s="28"/>
      <c r="F924" s="28"/>
      <c r="G924" s="28"/>
      <c r="H924" s="28"/>
      <c r="I924" s="28"/>
      <c r="J924" s="28"/>
      <c r="K924" s="28"/>
      <c r="L924" s="28"/>
      <c r="M924" s="28"/>
      <c r="N924" s="28"/>
      <c r="O924" s="28"/>
      <c r="P924" s="28"/>
      <c r="Q924" s="28"/>
      <c r="R924" s="28"/>
      <c r="S924" s="28"/>
    </row>
    <row r="925" spans="1:19" ht="13.2">
      <c r="A925" s="28"/>
      <c r="B925" s="28"/>
      <c r="C925" s="28"/>
      <c r="D925" s="28"/>
      <c r="E925" s="28"/>
      <c r="F925" s="28"/>
      <c r="G925" s="28"/>
      <c r="H925" s="28"/>
      <c r="I925" s="28"/>
      <c r="J925" s="28"/>
      <c r="K925" s="28"/>
      <c r="L925" s="28"/>
      <c r="M925" s="28"/>
      <c r="N925" s="28"/>
      <c r="O925" s="28"/>
      <c r="P925" s="28"/>
      <c r="Q925" s="28"/>
      <c r="R925" s="28"/>
      <c r="S925" s="28"/>
    </row>
    <row r="926" spans="1:19" ht="13.2">
      <c r="A926" s="28"/>
      <c r="B926" s="28"/>
      <c r="C926" s="28"/>
      <c r="D926" s="28"/>
      <c r="E926" s="28"/>
      <c r="F926" s="28"/>
      <c r="G926" s="28"/>
      <c r="H926" s="28"/>
      <c r="I926" s="28"/>
      <c r="J926" s="28"/>
      <c r="K926" s="28"/>
      <c r="L926" s="28"/>
      <c r="M926" s="28"/>
      <c r="N926" s="28"/>
      <c r="O926" s="28"/>
      <c r="P926" s="28"/>
      <c r="Q926" s="28"/>
      <c r="R926" s="28"/>
      <c r="S926" s="28"/>
    </row>
    <row r="927" spans="1:19" ht="13.2">
      <c r="A927" s="28"/>
      <c r="B927" s="28"/>
      <c r="C927" s="28"/>
      <c r="D927" s="28"/>
      <c r="E927" s="28"/>
      <c r="F927" s="28"/>
      <c r="G927" s="28"/>
      <c r="H927" s="28"/>
      <c r="I927" s="28"/>
      <c r="J927" s="28"/>
      <c r="K927" s="28"/>
      <c r="L927" s="28"/>
      <c r="M927" s="28"/>
      <c r="N927" s="28"/>
      <c r="O927" s="28"/>
      <c r="P927" s="28"/>
      <c r="Q927" s="28"/>
      <c r="R927" s="28"/>
      <c r="S927" s="28"/>
    </row>
    <row r="928" spans="1:19" ht="13.2">
      <c r="A928" s="28"/>
      <c r="B928" s="28"/>
      <c r="C928" s="28"/>
      <c r="D928" s="28"/>
      <c r="E928" s="28"/>
      <c r="F928" s="28"/>
      <c r="G928" s="28"/>
      <c r="H928" s="28"/>
      <c r="I928" s="28"/>
      <c r="J928" s="28"/>
      <c r="K928" s="28"/>
      <c r="L928" s="28"/>
      <c r="M928" s="28"/>
      <c r="N928" s="28"/>
      <c r="O928" s="28"/>
      <c r="P928" s="28"/>
      <c r="Q928" s="28"/>
      <c r="R928" s="28"/>
      <c r="S928" s="28"/>
    </row>
    <row r="929" spans="1:19" ht="13.2">
      <c r="A929" s="28"/>
      <c r="B929" s="28"/>
      <c r="C929" s="28"/>
      <c r="D929" s="28"/>
      <c r="E929" s="28"/>
      <c r="F929" s="28"/>
      <c r="G929" s="28"/>
      <c r="H929" s="28"/>
      <c r="I929" s="28"/>
      <c r="J929" s="28"/>
      <c r="K929" s="28"/>
      <c r="L929" s="28"/>
      <c r="M929" s="28"/>
      <c r="N929" s="28"/>
      <c r="O929" s="28"/>
      <c r="P929" s="28"/>
      <c r="Q929" s="28"/>
      <c r="R929" s="28"/>
      <c r="S929" s="28"/>
    </row>
    <row r="930" spans="1:19" ht="13.2">
      <c r="A930" s="28"/>
      <c r="B930" s="28"/>
      <c r="C930" s="28"/>
      <c r="D930" s="28"/>
      <c r="E930" s="28"/>
      <c r="F930" s="28"/>
      <c r="G930" s="28"/>
      <c r="H930" s="28"/>
      <c r="I930" s="28"/>
      <c r="J930" s="28"/>
      <c r="K930" s="28"/>
      <c r="L930" s="28"/>
      <c r="M930" s="28"/>
      <c r="N930" s="28"/>
      <c r="O930" s="28"/>
      <c r="P930" s="28"/>
      <c r="Q930" s="28"/>
      <c r="R930" s="28"/>
      <c r="S930" s="28"/>
    </row>
    <row r="931" spans="1:19" ht="13.2">
      <c r="A931" s="28"/>
      <c r="B931" s="28"/>
      <c r="C931" s="28"/>
      <c r="D931" s="28"/>
      <c r="E931" s="28"/>
      <c r="F931" s="28"/>
      <c r="G931" s="28"/>
      <c r="H931" s="28"/>
      <c r="I931" s="28"/>
      <c r="J931" s="28"/>
      <c r="K931" s="28"/>
      <c r="L931" s="28"/>
      <c r="M931" s="28"/>
      <c r="N931" s="28"/>
      <c r="O931" s="28"/>
      <c r="P931" s="28"/>
      <c r="Q931" s="28"/>
      <c r="R931" s="28"/>
      <c r="S931" s="28"/>
    </row>
    <row r="932" spans="1:19" ht="13.2">
      <c r="A932" s="28"/>
      <c r="B932" s="28"/>
      <c r="C932" s="28"/>
      <c r="D932" s="28"/>
      <c r="E932" s="28"/>
      <c r="F932" s="28"/>
      <c r="G932" s="28"/>
      <c r="H932" s="28"/>
      <c r="I932" s="28"/>
      <c r="J932" s="28"/>
      <c r="K932" s="28"/>
      <c r="L932" s="28"/>
      <c r="M932" s="28"/>
      <c r="N932" s="28"/>
      <c r="O932" s="28"/>
      <c r="P932" s="28"/>
      <c r="Q932" s="28"/>
      <c r="R932" s="28"/>
      <c r="S932" s="28"/>
    </row>
    <row r="933" spans="1:19" ht="13.2">
      <c r="A933" s="28"/>
      <c r="B933" s="28"/>
      <c r="C933" s="28"/>
      <c r="D933" s="28"/>
      <c r="E933" s="28"/>
      <c r="F933" s="28"/>
      <c r="G933" s="28"/>
      <c r="H933" s="28"/>
      <c r="I933" s="28"/>
      <c r="J933" s="28"/>
      <c r="K933" s="28"/>
      <c r="L933" s="28"/>
      <c r="M933" s="28"/>
      <c r="N933" s="28"/>
      <c r="O933" s="28"/>
      <c r="P933" s="28"/>
      <c r="Q933" s="28"/>
      <c r="R933" s="28"/>
      <c r="S933" s="28"/>
    </row>
    <row r="934" spans="1:19" ht="13.2">
      <c r="A934" s="28"/>
      <c r="B934" s="28"/>
      <c r="C934" s="28"/>
      <c r="D934" s="28"/>
      <c r="E934" s="28"/>
      <c r="F934" s="28"/>
      <c r="G934" s="28"/>
      <c r="H934" s="28"/>
      <c r="I934" s="28"/>
      <c r="J934" s="28"/>
      <c r="K934" s="28"/>
      <c r="L934" s="28"/>
      <c r="M934" s="28"/>
      <c r="N934" s="28"/>
      <c r="O934" s="28"/>
      <c r="P934" s="28"/>
      <c r="Q934" s="28"/>
      <c r="R934" s="28"/>
      <c r="S934" s="28"/>
    </row>
    <row r="935" spans="1:19" ht="13.2">
      <c r="A935" s="28"/>
      <c r="B935" s="28"/>
      <c r="C935" s="28"/>
      <c r="D935" s="28"/>
      <c r="E935" s="28"/>
      <c r="F935" s="28"/>
      <c r="G935" s="28"/>
      <c r="H935" s="28"/>
      <c r="I935" s="28"/>
      <c r="J935" s="28"/>
      <c r="K935" s="28"/>
      <c r="L935" s="28"/>
      <c r="M935" s="28"/>
      <c r="N935" s="28"/>
      <c r="O935" s="28"/>
      <c r="P935" s="28"/>
      <c r="Q935" s="28"/>
      <c r="R935" s="28"/>
      <c r="S935" s="28"/>
    </row>
    <row r="936" spans="1:19" ht="13.2">
      <c r="A936" s="28"/>
      <c r="B936" s="28"/>
      <c r="C936" s="28"/>
      <c r="D936" s="28"/>
      <c r="E936" s="28"/>
      <c r="F936" s="28"/>
      <c r="G936" s="28"/>
      <c r="H936" s="28"/>
      <c r="I936" s="28"/>
      <c r="J936" s="28"/>
      <c r="K936" s="28"/>
      <c r="L936" s="28"/>
      <c r="M936" s="28"/>
      <c r="N936" s="28"/>
      <c r="O936" s="28"/>
      <c r="P936" s="28"/>
      <c r="Q936" s="28"/>
      <c r="R936" s="28"/>
      <c r="S936" s="28"/>
    </row>
    <row r="937" spans="1:19" ht="13.2">
      <c r="A937" s="28"/>
      <c r="B937" s="28"/>
      <c r="C937" s="28"/>
      <c r="D937" s="28"/>
      <c r="E937" s="28"/>
      <c r="F937" s="28"/>
      <c r="G937" s="28"/>
      <c r="H937" s="28"/>
      <c r="I937" s="28"/>
      <c r="J937" s="28"/>
      <c r="K937" s="28"/>
      <c r="L937" s="28"/>
      <c r="M937" s="28"/>
      <c r="N937" s="28"/>
      <c r="O937" s="28"/>
      <c r="P937" s="28"/>
      <c r="Q937" s="28"/>
      <c r="R937" s="28"/>
      <c r="S937" s="28"/>
    </row>
    <row r="938" spans="1:19" ht="13.2">
      <c r="A938" s="28"/>
      <c r="B938" s="28"/>
      <c r="C938" s="28"/>
      <c r="D938" s="28"/>
      <c r="E938" s="28"/>
      <c r="F938" s="28"/>
      <c r="G938" s="28"/>
      <c r="H938" s="28"/>
      <c r="I938" s="28"/>
      <c r="J938" s="28"/>
      <c r="K938" s="28"/>
      <c r="L938" s="28"/>
      <c r="M938" s="28"/>
      <c r="N938" s="28"/>
      <c r="O938" s="28"/>
      <c r="P938" s="28"/>
      <c r="Q938" s="28"/>
      <c r="R938" s="28"/>
      <c r="S938" s="28"/>
    </row>
    <row r="939" spans="1:19" ht="13.2">
      <c r="A939" s="28"/>
      <c r="B939" s="28"/>
      <c r="C939" s="28"/>
      <c r="D939" s="28"/>
      <c r="E939" s="28"/>
      <c r="F939" s="28"/>
      <c r="G939" s="28"/>
      <c r="H939" s="28"/>
      <c r="I939" s="28"/>
      <c r="J939" s="28"/>
      <c r="K939" s="28"/>
      <c r="L939" s="28"/>
      <c r="M939" s="28"/>
      <c r="N939" s="28"/>
      <c r="O939" s="28"/>
      <c r="P939" s="28"/>
      <c r="Q939" s="28"/>
      <c r="R939" s="28"/>
      <c r="S939" s="28"/>
    </row>
    <row r="940" spans="1:19" ht="13.2">
      <c r="A940" s="28"/>
      <c r="B940" s="28"/>
      <c r="C940" s="28"/>
      <c r="D940" s="28"/>
      <c r="E940" s="28"/>
      <c r="F940" s="28"/>
      <c r="G940" s="28"/>
      <c r="H940" s="28"/>
      <c r="I940" s="28"/>
      <c r="J940" s="28"/>
      <c r="K940" s="28"/>
      <c r="L940" s="28"/>
      <c r="M940" s="28"/>
      <c r="N940" s="28"/>
      <c r="O940" s="28"/>
      <c r="P940" s="28"/>
      <c r="Q940" s="28"/>
      <c r="R940" s="28"/>
      <c r="S940" s="28"/>
    </row>
    <row r="941" spans="1:19" ht="13.2">
      <c r="A941" s="28"/>
      <c r="B941" s="28"/>
      <c r="C941" s="28"/>
      <c r="D941" s="28"/>
      <c r="E941" s="28"/>
      <c r="F941" s="28"/>
      <c r="G941" s="28"/>
      <c r="H941" s="28"/>
      <c r="I941" s="28"/>
      <c r="J941" s="28"/>
      <c r="K941" s="28"/>
      <c r="L941" s="28"/>
      <c r="M941" s="28"/>
      <c r="N941" s="28"/>
      <c r="O941" s="28"/>
      <c r="P941" s="28"/>
      <c r="Q941" s="28"/>
      <c r="R941" s="28"/>
      <c r="S941" s="28"/>
    </row>
    <row r="942" spans="1:19" ht="13.2">
      <c r="A942" s="28"/>
      <c r="B942" s="28"/>
      <c r="C942" s="28"/>
      <c r="D942" s="28"/>
      <c r="E942" s="28"/>
      <c r="F942" s="28"/>
      <c r="G942" s="28"/>
      <c r="H942" s="28"/>
      <c r="I942" s="28"/>
      <c r="J942" s="28"/>
      <c r="K942" s="28"/>
      <c r="L942" s="28"/>
      <c r="M942" s="28"/>
      <c r="N942" s="28"/>
      <c r="O942" s="28"/>
      <c r="P942" s="28"/>
      <c r="Q942" s="28"/>
      <c r="R942" s="28"/>
      <c r="S942" s="28"/>
    </row>
    <row r="943" spans="1:19" ht="13.2">
      <c r="A943" s="28"/>
      <c r="B943" s="28"/>
      <c r="C943" s="28"/>
      <c r="D943" s="28"/>
      <c r="E943" s="28"/>
      <c r="F943" s="28"/>
      <c r="G943" s="28"/>
      <c r="H943" s="28"/>
      <c r="I943" s="28"/>
      <c r="J943" s="28"/>
      <c r="K943" s="28"/>
      <c r="L943" s="28"/>
      <c r="M943" s="28"/>
      <c r="N943" s="28"/>
      <c r="O943" s="28"/>
      <c r="P943" s="28"/>
      <c r="Q943" s="28"/>
      <c r="R943" s="28"/>
      <c r="S943" s="28"/>
    </row>
    <row r="944" spans="1:19" ht="13.2">
      <c r="A944" s="28"/>
      <c r="B944" s="28"/>
      <c r="C944" s="28"/>
      <c r="D944" s="28"/>
      <c r="E944" s="28"/>
      <c r="F944" s="28"/>
      <c r="G944" s="28"/>
      <c r="H944" s="28"/>
      <c r="I944" s="28"/>
      <c r="J944" s="28"/>
      <c r="K944" s="28"/>
      <c r="L944" s="28"/>
      <c r="M944" s="28"/>
      <c r="N944" s="28"/>
      <c r="O944" s="28"/>
      <c r="P944" s="28"/>
      <c r="Q944" s="28"/>
      <c r="R944" s="28"/>
      <c r="S944" s="28"/>
    </row>
    <row r="945" spans="1:19" ht="13.2">
      <c r="A945" s="28"/>
      <c r="B945" s="28"/>
      <c r="C945" s="28"/>
      <c r="D945" s="28"/>
      <c r="E945" s="28"/>
      <c r="F945" s="28"/>
      <c r="G945" s="28"/>
      <c r="H945" s="28"/>
      <c r="I945" s="28"/>
      <c r="J945" s="28"/>
      <c r="K945" s="28"/>
      <c r="L945" s="28"/>
      <c r="M945" s="28"/>
      <c r="N945" s="28"/>
      <c r="O945" s="28"/>
      <c r="P945" s="28"/>
      <c r="Q945" s="28"/>
      <c r="R945" s="28"/>
      <c r="S945" s="28"/>
    </row>
    <row r="946" spans="1:19" ht="13.2">
      <c r="A946" s="28"/>
      <c r="B946" s="28"/>
      <c r="C946" s="28"/>
      <c r="D946" s="28"/>
      <c r="E946" s="28"/>
      <c r="F946" s="28"/>
      <c r="G946" s="28"/>
      <c r="H946" s="28"/>
      <c r="I946" s="28"/>
      <c r="J946" s="28"/>
      <c r="K946" s="28"/>
      <c r="L946" s="28"/>
      <c r="M946" s="28"/>
      <c r="N946" s="28"/>
      <c r="O946" s="28"/>
      <c r="P946" s="28"/>
      <c r="Q946" s="28"/>
      <c r="R946" s="28"/>
      <c r="S946" s="28"/>
    </row>
    <row r="947" spans="1:19" ht="13.2">
      <c r="A947" s="28"/>
      <c r="B947" s="28"/>
      <c r="C947" s="28"/>
      <c r="D947" s="28"/>
      <c r="E947" s="28"/>
      <c r="F947" s="28"/>
      <c r="G947" s="28"/>
      <c r="H947" s="28"/>
      <c r="I947" s="28"/>
      <c r="J947" s="28"/>
      <c r="K947" s="28"/>
      <c r="L947" s="28"/>
      <c r="M947" s="28"/>
      <c r="N947" s="28"/>
      <c r="O947" s="28"/>
      <c r="P947" s="28"/>
      <c r="Q947" s="28"/>
      <c r="R947" s="28"/>
      <c r="S947" s="28"/>
    </row>
    <row r="948" spans="1:19" ht="13.2">
      <c r="A948" s="28"/>
      <c r="B948" s="28"/>
      <c r="C948" s="28"/>
      <c r="D948" s="28"/>
      <c r="E948" s="28"/>
      <c r="F948" s="28"/>
      <c r="G948" s="28"/>
      <c r="H948" s="28"/>
      <c r="I948" s="28"/>
      <c r="J948" s="28"/>
      <c r="K948" s="28"/>
      <c r="L948" s="28"/>
      <c r="M948" s="28"/>
      <c r="N948" s="28"/>
      <c r="O948" s="28"/>
      <c r="P948" s="28"/>
      <c r="Q948" s="28"/>
      <c r="R948" s="28"/>
      <c r="S948" s="28"/>
    </row>
    <row r="949" spans="1:19" ht="13.2">
      <c r="A949" s="28"/>
      <c r="B949" s="28"/>
      <c r="C949" s="28"/>
      <c r="D949" s="28"/>
      <c r="E949" s="28"/>
      <c r="F949" s="28"/>
      <c r="G949" s="28"/>
      <c r="H949" s="28"/>
      <c r="I949" s="28"/>
      <c r="J949" s="28"/>
      <c r="K949" s="28"/>
      <c r="L949" s="28"/>
      <c r="M949" s="28"/>
      <c r="N949" s="28"/>
      <c r="O949" s="28"/>
      <c r="P949" s="28"/>
      <c r="Q949" s="28"/>
      <c r="R949" s="28"/>
      <c r="S949" s="28"/>
    </row>
    <row r="950" spans="1:19" ht="13.2">
      <c r="A950" s="28"/>
      <c r="B950" s="28"/>
      <c r="C950" s="28"/>
      <c r="D950" s="28"/>
      <c r="E950" s="28"/>
      <c r="F950" s="28"/>
      <c r="G950" s="28"/>
      <c r="H950" s="28"/>
      <c r="I950" s="28"/>
      <c r="J950" s="28"/>
      <c r="K950" s="28"/>
      <c r="L950" s="28"/>
      <c r="M950" s="28"/>
      <c r="N950" s="28"/>
      <c r="O950" s="28"/>
      <c r="P950" s="28"/>
      <c r="Q950" s="28"/>
      <c r="R950" s="28"/>
      <c r="S950" s="28"/>
    </row>
    <row r="951" spans="1:19" ht="13.2">
      <c r="A951" s="28"/>
      <c r="B951" s="28"/>
      <c r="C951" s="28"/>
      <c r="D951" s="28"/>
      <c r="E951" s="28"/>
      <c r="F951" s="28"/>
      <c r="G951" s="28"/>
      <c r="H951" s="28"/>
      <c r="I951" s="28"/>
      <c r="J951" s="28"/>
      <c r="K951" s="28"/>
      <c r="L951" s="28"/>
      <c r="M951" s="28"/>
      <c r="N951" s="28"/>
      <c r="O951" s="28"/>
      <c r="P951" s="28"/>
      <c r="Q951" s="28"/>
      <c r="R951" s="28"/>
      <c r="S951" s="28"/>
    </row>
    <row r="952" spans="1:19" ht="13.2">
      <c r="A952" s="28"/>
      <c r="B952" s="28"/>
      <c r="C952" s="28"/>
      <c r="D952" s="28"/>
      <c r="E952" s="28"/>
      <c r="F952" s="28"/>
      <c r="G952" s="28"/>
      <c r="H952" s="28"/>
      <c r="I952" s="28"/>
      <c r="J952" s="28"/>
      <c r="K952" s="28"/>
      <c r="L952" s="28"/>
      <c r="M952" s="28"/>
      <c r="N952" s="28"/>
      <c r="O952" s="28"/>
      <c r="P952" s="28"/>
      <c r="Q952" s="28"/>
      <c r="R952" s="28"/>
      <c r="S952" s="28"/>
    </row>
    <row r="953" spans="1:19" ht="13.2">
      <c r="A953" s="28"/>
      <c r="B953" s="28"/>
      <c r="C953" s="28"/>
      <c r="D953" s="28"/>
      <c r="E953" s="28"/>
      <c r="F953" s="28"/>
      <c r="G953" s="28"/>
      <c r="H953" s="28"/>
      <c r="I953" s="28"/>
      <c r="J953" s="28"/>
      <c r="K953" s="28"/>
      <c r="L953" s="28"/>
      <c r="M953" s="28"/>
      <c r="N953" s="28"/>
      <c r="O953" s="28"/>
      <c r="P953" s="28"/>
      <c r="Q953" s="28"/>
      <c r="R953" s="28"/>
      <c r="S953" s="28"/>
    </row>
    <row r="954" spans="1:19" ht="13.2">
      <c r="A954" s="28"/>
      <c r="B954" s="28"/>
      <c r="C954" s="28"/>
      <c r="D954" s="28"/>
      <c r="E954" s="28"/>
      <c r="F954" s="28"/>
      <c r="G954" s="28"/>
      <c r="H954" s="28"/>
      <c r="I954" s="28"/>
      <c r="J954" s="28"/>
      <c r="K954" s="28"/>
      <c r="L954" s="28"/>
      <c r="M954" s="28"/>
      <c r="N954" s="28"/>
      <c r="O954" s="28"/>
      <c r="P954" s="28"/>
      <c r="Q954" s="28"/>
      <c r="R954" s="28"/>
      <c r="S954" s="28"/>
    </row>
    <row r="955" spans="1:19" ht="13.2">
      <c r="A955" s="28"/>
      <c r="B955" s="28"/>
      <c r="C955" s="28"/>
      <c r="D955" s="28"/>
      <c r="E955" s="28"/>
      <c r="F955" s="28"/>
      <c r="G955" s="28"/>
      <c r="H955" s="28"/>
      <c r="I955" s="28"/>
      <c r="J955" s="28"/>
      <c r="K955" s="28"/>
      <c r="L955" s="28"/>
      <c r="M955" s="28"/>
      <c r="N955" s="28"/>
      <c r="O955" s="28"/>
      <c r="P955" s="28"/>
      <c r="Q955" s="28"/>
      <c r="R955" s="28"/>
      <c r="S955" s="28"/>
    </row>
    <row r="956" spans="1:19" ht="13.2">
      <c r="A956" s="28"/>
      <c r="B956" s="28"/>
      <c r="C956" s="28"/>
      <c r="D956" s="28"/>
      <c r="E956" s="28"/>
      <c r="F956" s="28"/>
      <c r="G956" s="28"/>
      <c r="H956" s="28"/>
      <c r="I956" s="28"/>
      <c r="J956" s="28"/>
      <c r="K956" s="28"/>
      <c r="L956" s="28"/>
      <c r="M956" s="28"/>
      <c r="N956" s="28"/>
      <c r="O956" s="28"/>
      <c r="P956" s="28"/>
      <c r="Q956" s="28"/>
      <c r="R956" s="28"/>
      <c r="S956" s="28"/>
    </row>
    <row r="957" spans="1:19" ht="13.2">
      <c r="A957" s="28"/>
      <c r="B957" s="28"/>
      <c r="C957" s="28"/>
      <c r="D957" s="28"/>
      <c r="E957" s="28"/>
      <c r="F957" s="28"/>
      <c r="G957" s="28"/>
      <c r="H957" s="28"/>
      <c r="I957" s="28"/>
      <c r="J957" s="28"/>
      <c r="K957" s="28"/>
      <c r="L957" s="28"/>
      <c r="M957" s="28"/>
      <c r="N957" s="28"/>
      <c r="O957" s="28"/>
      <c r="P957" s="28"/>
      <c r="Q957" s="28"/>
      <c r="R957" s="28"/>
      <c r="S957" s="28"/>
    </row>
    <row r="958" spans="1:19" ht="13.2">
      <c r="A958" s="28"/>
      <c r="B958" s="28"/>
      <c r="C958" s="28"/>
      <c r="D958" s="28"/>
      <c r="E958" s="28"/>
      <c r="F958" s="28"/>
      <c r="G958" s="28"/>
      <c r="H958" s="28"/>
      <c r="I958" s="28"/>
      <c r="J958" s="28"/>
      <c r="K958" s="28"/>
      <c r="L958" s="28"/>
      <c r="M958" s="28"/>
      <c r="N958" s="28"/>
      <c r="O958" s="28"/>
      <c r="P958" s="28"/>
      <c r="Q958" s="28"/>
      <c r="R958" s="28"/>
      <c r="S958" s="28"/>
    </row>
    <row r="959" spans="1:19" ht="13.2">
      <c r="A959" s="28"/>
      <c r="B959" s="28"/>
      <c r="C959" s="28"/>
      <c r="D959" s="28"/>
      <c r="E959" s="28"/>
      <c r="F959" s="28"/>
      <c r="G959" s="28"/>
      <c r="H959" s="28"/>
      <c r="I959" s="28"/>
      <c r="J959" s="28"/>
      <c r="K959" s="28"/>
      <c r="L959" s="28"/>
      <c r="M959" s="28"/>
      <c r="N959" s="28"/>
      <c r="O959" s="28"/>
      <c r="P959" s="28"/>
      <c r="Q959" s="28"/>
      <c r="R959" s="28"/>
      <c r="S959" s="28"/>
    </row>
    <row r="960" spans="1:19" ht="13.2">
      <c r="A960" s="28"/>
      <c r="B960" s="28"/>
      <c r="C960" s="28"/>
      <c r="D960" s="28"/>
      <c r="E960" s="28"/>
      <c r="F960" s="28"/>
      <c r="G960" s="28"/>
      <c r="H960" s="28"/>
      <c r="I960" s="28"/>
      <c r="J960" s="28"/>
      <c r="K960" s="28"/>
      <c r="L960" s="28"/>
      <c r="M960" s="28"/>
      <c r="N960" s="28"/>
      <c r="O960" s="28"/>
      <c r="P960" s="28"/>
      <c r="Q960" s="28"/>
      <c r="R960" s="28"/>
      <c r="S960" s="28"/>
    </row>
    <row r="961" spans="1:19" ht="13.2">
      <c r="A961" s="28"/>
      <c r="B961" s="28"/>
      <c r="C961" s="28"/>
      <c r="D961" s="28"/>
      <c r="E961" s="28"/>
      <c r="F961" s="28"/>
      <c r="G961" s="28"/>
      <c r="H961" s="28"/>
      <c r="I961" s="28"/>
      <c r="J961" s="28"/>
      <c r="K961" s="28"/>
      <c r="L961" s="28"/>
      <c r="M961" s="28"/>
      <c r="N961" s="28"/>
      <c r="O961" s="28"/>
      <c r="P961" s="28"/>
      <c r="Q961" s="28"/>
      <c r="R961" s="28"/>
      <c r="S961" s="28"/>
    </row>
    <row r="962" spans="1:19" ht="13.2">
      <c r="A962" s="28"/>
      <c r="B962" s="28"/>
      <c r="C962" s="28"/>
      <c r="D962" s="28"/>
      <c r="E962" s="28"/>
      <c r="F962" s="28"/>
      <c r="G962" s="28"/>
      <c r="H962" s="28"/>
      <c r="I962" s="28"/>
      <c r="J962" s="28"/>
      <c r="K962" s="28"/>
      <c r="L962" s="28"/>
      <c r="M962" s="28"/>
      <c r="N962" s="28"/>
      <c r="O962" s="28"/>
      <c r="P962" s="28"/>
      <c r="Q962" s="28"/>
      <c r="R962" s="28"/>
      <c r="S962" s="28"/>
    </row>
    <row r="963" spans="1:19" ht="13.2">
      <c r="A963" s="28"/>
      <c r="B963" s="28"/>
      <c r="C963" s="28"/>
      <c r="D963" s="28"/>
      <c r="E963" s="28"/>
      <c r="F963" s="28"/>
      <c r="G963" s="28"/>
      <c r="H963" s="28"/>
      <c r="I963" s="28"/>
      <c r="J963" s="28"/>
      <c r="K963" s="28"/>
      <c r="L963" s="28"/>
      <c r="M963" s="28"/>
      <c r="N963" s="28"/>
      <c r="O963" s="28"/>
      <c r="P963" s="28"/>
      <c r="Q963" s="28"/>
      <c r="R963" s="28"/>
      <c r="S963" s="28"/>
    </row>
    <row r="964" spans="1:19" ht="13.2">
      <c r="A964" s="28"/>
      <c r="B964" s="28"/>
      <c r="C964" s="28"/>
      <c r="D964" s="28"/>
      <c r="E964" s="28"/>
      <c r="F964" s="28"/>
      <c r="G964" s="28"/>
      <c r="H964" s="28"/>
      <c r="I964" s="28"/>
      <c r="J964" s="28"/>
      <c r="K964" s="28"/>
      <c r="L964" s="28"/>
      <c r="M964" s="28"/>
      <c r="N964" s="28"/>
      <c r="O964" s="28"/>
      <c r="P964" s="28"/>
      <c r="Q964" s="28"/>
      <c r="R964" s="28"/>
      <c r="S964" s="28"/>
    </row>
    <row r="965" spans="1:19" ht="13.2">
      <c r="A965" s="28"/>
      <c r="B965" s="28"/>
      <c r="C965" s="28"/>
      <c r="D965" s="28"/>
      <c r="E965" s="28"/>
      <c r="F965" s="28"/>
      <c r="G965" s="28"/>
      <c r="H965" s="28"/>
      <c r="I965" s="28"/>
      <c r="J965" s="28"/>
      <c r="K965" s="28"/>
      <c r="L965" s="28"/>
      <c r="M965" s="28"/>
      <c r="N965" s="28"/>
      <c r="O965" s="28"/>
      <c r="P965" s="28"/>
      <c r="Q965" s="28"/>
      <c r="R965" s="28"/>
      <c r="S965" s="28"/>
    </row>
    <row r="966" spans="1:19" ht="13.2">
      <c r="A966" s="28"/>
      <c r="B966" s="28"/>
      <c r="C966" s="28"/>
      <c r="D966" s="28"/>
      <c r="E966" s="28"/>
      <c r="F966" s="28"/>
      <c r="G966" s="28"/>
      <c r="H966" s="28"/>
      <c r="I966" s="28"/>
      <c r="J966" s="28"/>
      <c r="K966" s="28"/>
      <c r="L966" s="28"/>
      <c r="M966" s="28"/>
      <c r="N966" s="28"/>
      <c r="O966" s="28"/>
      <c r="P966" s="28"/>
      <c r="Q966" s="28"/>
      <c r="R966" s="28"/>
      <c r="S966" s="28"/>
    </row>
    <row r="967" spans="1:19" ht="13.2">
      <c r="A967" s="28"/>
      <c r="B967" s="28"/>
      <c r="C967" s="28"/>
      <c r="D967" s="28"/>
      <c r="E967" s="28"/>
      <c r="F967" s="28"/>
      <c r="G967" s="28"/>
      <c r="H967" s="28"/>
      <c r="I967" s="28"/>
      <c r="J967" s="28"/>
      <c r="K967" s="28"/>
      <c r="L967" s="28"/>
      <c r="M967" s="28"/>
      <c r="N967" s="28"/>
      <c r="O967" s="28"/>
      <c r="P967" s="28"/>
      <c r="Q967" s="28"/>
      <c r="R967" s="28"/>
      <c r="S967" s="28"/>
    </row>
    <row r="968" spans="1:19" ht="13.2">
      <c r="A968" s="28"/>
      <c r="B968" s="28"/>
      <c r="C968" s="28"/>
      <c r="D968" s="28"/>
      <c r="E968" s="28"/>
      <c r="F968" s="28"/>
      <c r="G968" s="28"/>
      <c r="H968" s="28"/>
      <c r="I968" s="28"/>
      <c r="J968" s="28"/>
      <c r="K968" s="28"/>
      <c r="L968" s="28"/>
      <c r="M968" s="28"/>
      <c r="N968" s="28"/>
      <c r="O968" s="28"/>
      <c r="P968" s="28"/>
      <c r="Q968" s="28"/>
      <c r="R968" s="28"/>
      <c r="S968" s="28"/>
    </row>
    <row r="969" spans="1:19" ht="13.2">
      <c r="A969" s="28"/>
      <c r="B969" s="28"/>
      <c r="C969" s="28"/>
      <c r="D969" s="28"/>
      <c r="E969" s="28"/>
      <c r="F969" s="28"/>
      <c r="G969" s="28"/>
      <c r="H969" s="28"/>
      <c r="I969" s="28"/>
      <c r="J969" s="28"/>
      <c r="K969" s="28"/>
      <c r="L969" s="28"/>
      <c r="M969" s="28"/>
      <c r="N969" s="28"/>
      <c r="O969" s="28"/>
      <c r="P969" s="28"/>
      <c r="Q969" s="28"/>
      <c r="R969" s="28"/>
      <c r="S969" s="28"/>
    </row>
    <row r="970" spans="1:19" ht="13.2">
      <c r="A970" s="28"/>
      <c r="B970" s="28"/>
      <c r="C970" s="28"/>
      <c r="D970" s="28"/>
      <c r="E970" s="28"/>
      <c r="F970" s="28"/>
      <c r="G970" s="28"/>
      <c r="H970" s="28"/>
      <c r="I970" s="28"/>
      <c r="J970" s="28"/>
      <c r="K970" s="28"/>
      <c r="L970" s="28"/>
      <c r="M970" s="28"/>
      <c r="N970" s="28"/>
      <c r="O970" s="28"/>
      <c r="P970" s="28"/>
      <c r="Q970" s="28"/>
      <c r="R970" s="28"/>
      <c r="S970" s="28"/>
    </row>
    <row r="971" spans="1:19" ht="13.2">
      <c r="A971" s="28"/>
      <c r="B971" s="28"/>
      <c r="C971" s="28"/>
      <c r="D971" s="28"/>
      <c r="E971" s="28"/>
      <c r="F971" s="28"/>
      <c r="G971" s="28"/>
      <c r="H971" s="28"/>
      <c r="I971" s="28"/>
      <c r="J971" s="28"/>
      <c r="K971" s="28"/>
      <c r="L971" s="28"/>
      <c r="M971" s="28"/>
      <c r="N971" s="28"/>
      <c r="O971" s="28"/>
      <c r="P971" s="28"/>
      <c r="Q971" s="28"/>
      <c r="R971" s="28"/>
      <c r="S971" s="28"/>
    </row>
    <row r="972" spans="1:19" ht="13.2">
      <c r="A972" s="28"/>
      <c r="B972" s="28"/>
      <c r="C972" s="28"/>
      <c r="D972" s="28"/>
      <c r="E972" s="28"/>
      <c r="F972" s="28"/>
      <c r="G972" s="28"/>
      <c r="H972" s="28"/>
      <c r="I972" s="28"/>
      <c r="J972" s="28"/>
      <c r="K972" s="28"/>
      <c r="L972" s="28"/>
      <c r="M972" s="28"/>
      <c r="N972" s="28"/>
      <c r="O972" s="28"/>
      <c r="P972" s="28"/>
      <c r="Q972" s="28"/>
      <c r="R972" s="28"/>
      <c r="S972" s="28"/>
    </row>
    <row r="973" spans="1:19" ht="13.2">
      <c r="A973" s="28"/>
      <c r="B973" s="28"/>
      <c r="C973" s="28"/>
      <c r="D973" s="28"/>
      <c r="E973" s="28"/>
      <c r="F973" s="28"/>
      <c r="G973" s="28"/>
      <c r="H973" s="28"/>
      <c r="I973" s="28"/>
      <c r="J973" s="28"/>
      <c r="K973" s="28"/>
      <c r="L973" s="28"/>
      <c r="M973" s="28"/>
      <c r="N973" s="28"/>
      <c r="O973" s="28"/>
      <c r="P973" s="28"/>
      <c r="Q973" s="28"/>
      <c r="R973" s="28"/>
      <c r="S973" s="28"/>
    </row>
    <row r="974" spans="1:19" ht="13.2">
      <c r="A974" s="28"/>
      <c r="B974" s="28"/>
      <c r="C974" s="28"/>
      <c r="D974" s="28"/>
      <c r="E974" s="28"/>
      <c r="F974" s="28"/>
      <c r="G974" s="28"/>
      <c r="H974" s="28"/>
      <c r="I974" s="28"/>
      <c r="J974" s="28"/>
      <c r="K974" s="28"/>
      <c r="L974" s="28"/>
      <c r="M974" s="28"/>
      <c r="N974" s="28"/>
      <c r="O974" s="28"/>
      <c r="P974" s="28"/>
      <c r="Q974" s="28"/>
      <c r="R974" s="28"/>
      <c r="S974" s="28"/>
    </row>
    <row r="975" spans="1:19" ht="13.2">
      <c r="A975" s="28"/>
      <c r="B975" s="28"/>
      <c r="C975" s="28"/>
      <c r="D975" s="28"/>
      <c r="E975" s="28"/>
      <c r="F975" s="28"/>
      <c r="G975" s="28"/>
      <c r="H975" s="28"/>
      <c r="I975" s="28"/>
      <c r="J975" s="28"/>
      <c r="K975" s="28"/>
      <c r="L975" s="28"/>
      <c r="M975" s="28"/>
      <c r="N975" s="28"/>
      <c r="O975" s="28"/>
      <c r="P975" s="28"/>
      <c r="Q975" s="28"/>
      <c r="R975" s="28"/>
      <c r="S975" s="28"/>
    </row>
    <row r="976" spans="1:19" ht="13.2">
      <c r="A976" s="28"/>
      <c r="B976" s="28"/>
      <c r="C976" s="28"/>
      <c r="D976" s="28"/>
      <c r="E976" s="28"/>
      <c r="F976" s="28"/>
      <c r="G976" s="28"/>
      <c r="H976" s="28"/>
      <c r="I976" s="28"/>
      <c r="J976" s="28"/>
      <c r="K976" s="28"/>
      <c r="L976" s="28"/>
      <c r="M976" s="28"/>
      <c r="N976" s="28"/>
      <c r="O976" s="28"/>
      <c r="P976" s="28"/>
      <c r="Q976" s="28"/>
      <c r="R976" s="28"/>
      <c r="S976" s="28"/>
    </row>
    <row r="977" spans="1:19" ht="13.2">
      <c r="A977" s="28"/>
      <c r="B977" s="28"/>
      <c r="C977" s="28"/>
      <c r="D977" s="28"/>
      <c r="E977" s="28"/>
      <c r="F977" s="28"/>
      <c r="G977" s="28"/>
      <c r="H977" s="28"/>
      <c r="I977" s="28"/>
      <c r="J977" s="28"/>
      <c r="K977" s="28"/>
      <c r="L977" s="28"/>
      <c r="M977" s="28"/>
      <c r="N977" s="28"/>
      <c r="O977" s="28"/>
      <c r="P977" s="28"/>
      <c r="Q977" s="28"/>
      <c r="R977" s="28"/>
      <c r="S977" s="28"/>
    </row>
    <row r="978" spans="1:19" ht="13.2">
      <c r="A978" s="28"/>
      <c r="B978" s="28"/>
      <c r="C978" s="28"/>
      <c r="D978" s="28"/>
      <c r="E978" s="28"/>
      <c r="F978" s="28"/>
      <c r="G978" s="28"/>
      <c r="H978" s="28"/>
      <c r="I978" s="28"/>
      <c r="J978" s="28"/>
      <c r="K978" s="28"/>
      <c r="L978" s="28"/>
      <c r="M978" s="28"/>
      <c r="N978" s="28"/>
      <c r="O978" s="28"/>
      <c r="P978" s="28"/>
      <c r="Q978" s="28"/>
      <c r="R978" s="28"/>
      <c r="S978" s="28"/>
    </row>
    <row r="979" spans="1:19" ht="13.2">
      <c r="A979" s="28"/>
      <c r="B979" s="28"/>
      <c r="C979" s="28"/>
      <c r="D979" s="28"/>
      <c r="E979" s="28"/>
      <c r="F979" s="28"/>
      <c r="G979" s="28"/>
      <c r="H979" s="28"/>
      <c r="I979" s="28"/>
      <c r="J979" s="28"/>
      <c r="K979" s="28"/>
      <c r="L979" s="28"/>
      <c r="M979" s="28"/>
      <c r="N979" s="28"/>
      <c r="O979" s="28"/>
      <c r="P979" s="28"/>
      <c r="Q979" s="28"/>
      <c r="R979" s="28"/>
      <c r="S979" s="28"/>
    </row>
    <row r="980" spans="1:19" ht="13.2">
      <c r="A980" s="28"/>
      <c r="B980" s="28"/>
      <c r="C980" s="28"/>
      <c r="D980" s="28"/>
      <c r="E980" s="28"/>
      <c r="F980" s="28"/>
      <c r="G980" s="28"/>
      <c r="H980" s="28"/>
      <c r="I980" s="28"/>
      <c r="J980" s="28"/>
      <c r="K980" s="28"/>
      <c r="L980" s="28"/>
      <c r="M980" s="28"/>
      <c r="N980" s="28"/>
      <c r="O980" s="28"/>
      <c r="P980" s="28"/>
      <c r="Q980" s="28"/>
      <c r="R980" s="28"/>
      <c r="S980" s="28"/>
    </row>
    <row r="981" spans="1:19" ht="13.2">
      <c r="A981" s="28"/>
      <c r="B981" s="28"/>
      <c r="C981" s="28"/>
      <c r="D981" s="28"/>
      <c r="E981" s="28"/>
      <c r="F981" s="28"/>
      <c r="G981" s="28"/>
      <c r="H981" s="28"/>
      <c r="I981" s="28"/>
      <c r="J981" s="28"/>
      <c r="K981" s="28"/>
      <c r="L981" s="28"/>
      <c r="M981" s="28"/>
      <c r="N981" s="28"/>
      <c r="O981" s="28"/>
      <c r="P981" s="28"/>
      <c r="Q981" s="28"/>
      <c r="R981" s="28"/>
      <c r="S981" s="28"/>
    </row>
    <row r="982" spans="1:19" ht="13.2">
      <c r="A982" s="28"/>
      <c r="B982" s="28"/>
      <c r="C982" s="28"/>
      <c r="D982" s="28"/>
      <c r="E982" s="28"/>
      <c r="F982" s="28"/>
      <c r="G982" s="28"/>
      <c r="H982" s="28"/>
      <c r="I982" s="28"/>
      <c r="J982" s="28"/>
      <c r="K982" s="28"/>
      <c r="L982" s="28"/>
      <c r="M982" s="28"/>
      <c r="N982" s="28"/>
      <c r="O982" s="28"/>
      <c r="P982" s="28"/>
      <c r="Q982" s="28"/>
      <c r="R982" s="28"/>
      <c r="S982" s="28"/>
    </row>
    <row r="983" spans="1:19" ht="13.2">
      <c r="A983" s="28"/>
      <c r="B983" s="28"/>
      <c r="C983" s="28"/>
      <c r="D983" s="28"/>
      <c r="E983" s="28"/>
      <c r="F983" s="28"/>
      <c r="G983" s="28"/>
      <c r="H983" s="28"/>
      <c r="I983" s="28"/>
      <c r="J983" s="28"/>
      <c r="K983" s="28"/>
      <c r="L983" s="28"/>
      <c r="M983" s="28"/>
      <c r="N983" s="28"/>
      <c r="O983" s="28"/>
      <c r="P983" s="28"/>
      <c r="Q983" s="28"/>
      <c r="R983" s="28"/>
      <c r="S983" s="28"/>
    </row>
    <row r="984" spans="1:19" ht="13.2">
      <c r="A984" s="28"/>
      <c r="B984" s="28"/>
      <c r="C984" s="28"/>
      <c r="D984" s="28"/>
      <c r="E984" s="28"/>
      <c r="F984" s="28"/>
      <c r="G984" s="28"/>
      <c r="H984" s="28"/>
      <c r="I984" s="28"/>
      <c r="J984" s="28"/>
      <c r="K984" s="28"/>
      <c r="L984" s="28"/>
      <c r="M984" s="28"/>
      <c r="N984" s="28"/>
      <c r="O984" s="28"/>
      <c r="P984" s="28"/>
      <c r="Q984" s="28"/>
      <c r="R984" s="28"/>
      <c r="S984" s="28"/>
    </row>
    <row r="985" spans="1:19" ht="13.2">
      <c r="A985" s="28"/>
      <c r="B985" s="28"/>
      <c r="C985" s="28"/>
      <c r="D985" s="28"/>
      <c r="E985" s="28"/>
      <c r="F985" s="28"/>
      <c r="G985" s="28"/>
      <c r="H985" s="28"/>
      <c r="I985" s="28"/>
      <c r="J985" s="28"/>
      <c r="K985" s="28"/>
      <c r="L985" s="28"/>
      <c r="M985" s="28"/>
      <c r="N985" s="28"/>
      <c r="O985" s="28"/>
      <c r="P985" s="28"/>
      <c r="Q985" s="28"/>
      <c r="R985" s="28"/>
      <c r="S985" s="28"/>
    </row>
    <row r="986" spans="1:19" ht="13.2">
      <c r="A986" s="28"/>
      <c r="B986" s="28"/>
      <c r="C986" s="28"/>
      <c r="D986" s="28"/>
      <c r="E986" s="28"/>
      <c r="F986" s="28"/>
      <c r="G986" s="28"/>
      <c r="H986" s="28"/>
      <c r="I986" s="28"/>
      <c r="J986" s="28"/>
      <c r="K986" s="28"/>
      <c r="L986" s="28"/>
      <c r="M986" s="28"/>
      <c r="N986" s="28"/>
      <c r="O986" s="28"/>
      <c r="P986" s="28"/>
      <c r="Q986" s="28"/>
      <c r="R986" s="28"/>
      <c r="S986" s="28"/>
    </row>
    <row r="987" spans="1:19" ht="13.2">
      <c r="A987" s="28"/>
      <c r="B987" s="28"/>
      <c r="C987" s="28"/>
      <c r="D987" s="28"/>
      <c r="E987" s="28"/>
      <c r="F987" s="28"/>
      <c r="G987" s="28"/>
      <c r="H987" s="28"/>
      <c r="I987" s="28"/>
      <c r="J987" s="28"/>
      <c r="K987" s="28"/>
      <c r="L987" s="28"/>
      <c r="M987" s="28"/>
      <c r="N987" s="28"/>
      <c r="O987" s="28"/>
      <c r="P987" s="28"/>
      <c r="Q987" s="28"/>
      <c r="R987" s="28"/>
      <c r="S987" s="28"/>
    </row>
    <row r="988" spans="1:19" ht="13.2">
      <c r="A988" s="28"/>
      <c r="B988" s="28"/>
      <c r="C988" s="28"/>
      <c r="D988" s="28"/>
      <c r="E988" s="28"/>
      <c r="F988" s="28"/>
      <c r="G988" s="28"/>
      <c r="H988" s="28"/>
      <c r="I988" s="28"/>
      <c r="J988" s="28"/>
      <c r="K988" s="28"/>
      <c r="L988" s="28"/>
      <c r="M988" s="28"/>
      <c r="N988" s="28"/>
      <c r="O988" s="28"/>
      <c r="P988" s="28"/>
      <c r="Q988" s="28"/>
      <c r="R988" s="28"/>
      <c r="S988" s="28"/>
    </row>
    <row r="989" spans="1:19" ht="13.2">
      <c r="A989" s="28"/>
      <c r="B989" s="28"/>
      <c r="C989" s="28"/>
      <c r="D989" s="28"/>
      <c r="E989" s="28"/>
      <c r="F989" s="28"/>
      <c r="G989" s="28"/>
      <c r="H989" s="28"/>
      <c r="I989" s="28"/>
      <c r="J989" s="28"/>
      <c r="K989" s="28"/>
      <c r="L989" s="28"/>
      <c r="M989" s="28"/>
      <c r="N989" s="28"/>
      <c r="O989" s="28"/>
      <c r="P989" s="28"/>
      <c r="Q989" s="28"/>
      <c r="R989" s="28"/>
      <c r="S989" s="28"/>
    </row>
    <row r="990" spans="1:19" ht="13.2">
      <c r="A990" s="28"/>
      <c r="B990" s="28"/>
      <c r="C990" s="28"/>
      <c r="D990" s="28"/>
      <c r="E990" s="28"/>
      <c r="F990" s="28"/>
      <c r="G990" s="28"/>
      <c r="H990" s="28"/>
      <c r="I990" s="28"/>
      <c r="J990" s="28"/>
      <c r="K990" s="28"/>
      <c r="L990" s="28"/>
      <c r="M990" s="28"/>
      <c r="N990" s="28"/>
      <c r="O990" s="28"/>
      <c r="P990" s="28"/>
      <c r="Q990" s="28"/>
      <c r="R990" s="28"/>
      <c r="S990" s="28"/>
    </row>
    <row r="991" spans="1:19" ht="13.2">
      <c r="A991" s="28"/>
      <c r="B991" s="28"/>
      <c r="C991" s="28"/>
      <c r="D991" s="28"/>
      <c r="E991" s="28"/>
      <c r="F991" s="28"/>
      <c r="G991" s="28"/>
      <c r="H991" s="28"/>
      <c r="I991" s="28"/>
      <c r="J991" s="28"/>
      <c r="K991" s="28"/>
      <c r="L991" s="28"/>
      <c r="M991" s="28"/>
      <c r="N991" s="28"/>
      <c r="O991" s="28"/>
      <c r="P991" s="28"/>
      <c r="Q991" s="28"/>
      <c r="R991" s="28"/>
      <c r="S991" s="28"/>
    </row>
    <row r="992" spans="1:19" ht="13.2">
      <c r="A992" s="28"/>
      <c r="B992" s="28"/>
      <c r="C992" s="28"/>
      <c r="D992" s="28"/>
      <c r="E992" s="28"/>
      <c r="F992" s="28"/>
      <c r="G992" s="28"/>
      <c r="H992" s="28"/>
      <c r="I992" s="28"/>
      <c r="J992" s="28"/>
      <c r="K992" s="28"/>
      <c r="L992" s="28"/>
      <c r="M992" s="28"/>
      <c r="N992" s="28"/>
      <c r="O992" s="28"/>
      <c r="P992" s="28"/>
      <c r="Q992" s="28"/>
      <c r="R992" s="28"/>
      <c r="S992" s="28"/>
    </row>
    <row r="993" spans="1:19" ht="13.2">
      <c r="A993" s="28"/>
      <c r="B993" s="28"/>
      <c r="C993" s="28"/>
      <c r="D993" s="28"/>
      <c r="E993" s="28"/>
      <c r="F993" s="28"/>
      <c r="G993" s="28"/>
      <c r="H993" s="28"/>
      <c r="I993" s="28"/>
      <c r="J993" s="28"/>
      <c r="K993" s="28"/>
      <c r="L993" s="28"/>
      <c r="M993" s="28"/>
      <c r="N993" s="28"/>
      <c r="O993" s="28"/>
      <c r="P993" s="28"/>
      <c r="Q993" s="28"/>
      <c r="R993" s="28"/>
      <c r="S993" s="28"/>
    </row>
    <row r="994" spans="1:19" ht="13.2">
      <c r="A994" s="28"/>
      <c r="B994" s="28"/>
      <c r="C994" s="28"/>
      <c r="D994" s="28"/>
      <c r="E994" s="28"/>
      <c r="F994" s="28"/>
      <c r="G994" s="28"/>
      <c r="H994" s="28"/>
      <c r="I994" s="28"/>
      <c r="J994" s="28"/>
      <c r="K994" s="28"/>
      <c r="L994" s="28"/>
      <c r="M994" s="28"/>
      <c r="N994" s="28"/>
      <c r="O994" s="28"/>
      <c r="P994" s="28"/>
      <c r="Q994" s="28"/>
      <c r="R994" s="28"/>
      <c r="S994" s="28"/>
    </row>
    <row r="995" spans="1:19" ht="13.2">
      <c r="A995" s="28"/>
      <c r="B995" s="28"/>
      <c r="C995" s="28"/>
      <c r="D995" s="28"/>
      <c r="E995" s="28"/>
      <c r="F995" s="28"/>
      <c r="G995" s="28"/>
      <c r="H995" s="28"/>
      <c r="I995" s="28"/>
      <c r="J995" s="28"/>
      <c r="K995" s="28"/>
      <c r="L995" s="28"/>
      <c r="M995" s="28"/>
      <c r="N995" s="28"/>
      <c r="O995" s="28"/>
      <c r="P995" s="28"/>
      <c r="Q995" s="28"/>
      <c r="R995" s="28"/>
      <c r="S995" s="28"/>
    </row>
    <row r="996" spans="1:19" ht="13.2">
      <c r="A996" s="28"/>
      <c r="B996" s="28"/>
      <c r="C996" s="28"/>
      <c r="D996" s="28"/>
      <c r="E996" s="28"/>
      <c r="F996" s="28"/>
      <c r="G996" s="28"/>
      <c r="H996" s="28"/>
      <c r="I996" s="28"/>
      <c r="J996" s="28"/>
      <c r="K996" s="28"/>
      <c r="L996" s="28"/>
      <c r="M996" s="28"/>
      <c r="N996" s="28"/>
      <c r="O996" s="28"/>
      <c r="P996" s="28"/>
      <c r="Q996" s="28"/>
      <c r="R996" s="28"/>
      <c r="S996" s="28"/>
    </row>
    <row r="997" spans="1:19" ht="13.2">
      <c r="A997" s="28"/>
      <c r="B997" s="28"/>
      <c r="C997" s="28"/>
      <c r="D997" s="28"/>
      <c r="E997" s="28"/>
      <c r="F997" s="28"/>
      <c r="G997" s="28"/>
      <c r="H997" s="28"/>
      <c r="I997" s="28"/>
      <c r="J997" s="28"/>
      <c r="K997" s="28"/>
      <c r="L997" s="28"/>
      <c r="M997" s="28"/>
      <c r="N997" s="28"/>
      <c r="O997" s="28"/>
      <c r="P997" s="28"/>
      <c r="Q997" s="28"/>
      <c r="R997" s="28"/>
      <c r="S997" s="28"/>
    </row>
    <row r="998" spans="1:19" ht="13.2">
      <c r="A998" s="28"/>
      <c r="B998" s="28"/>
      <c r="C998" s="28"/>
      <c r="D998" s="28"/>
      <c r="E998" s="28"/>
      <c r="F998" s="28"/>
      <c r="G998" s="28"/>
      <c r="H998" s="28"/>
      <c r="I998" s="28"/>
      <c r="J998" s="28"/>
      <c r="K998" s="28"/>
      <c r="L998" s="28"/>
      <c r="M998" s="28"/>
      <c r="N998" s="28"/>
      <c r="O998" s="28"/>
      <c r="P998" s="28"/>
      <c r="Q998" s="28"/>
      <c r="R998" s="28"/>
      <c r="S998" s="28"/>
    </row>
    <row r="999" spans="1:19" ht="13.2">
      <c r="A999" s="28"/>
      <c r="B999" s="28"/>
      <c r="C999" s="28"/>
      <c r="D999" s="28"/>
      <c r="E999" s="28"/>
      <c r="F999" s="28"/>
      <c r="G999" s="28"/>
      <c r="H999" s="28"/>
      <c r="I999" s="28"/>
      <c r="J999" s="28"/>
      <c r="K999" s="28"/>
      <c r="L999" s="28"/>
      <c r="M999" s="28"/>
      <c r="N999" s="28"/>
      <c r="O999" s="28"/>
      <c r="P999" s="28"/>
      <c r="Q999" s="28"/>
      <c r="R999" s="28"/>
      <c r="S999" s="28"/>
    </row>
    <row r="1000" spans="1:19" ht="13.2">
      <c r="A1000" s="28"/>
      <c r="B1000" s="28"/>
      <c r="C1000" s="28"/>
      <c r="D1000" s="28"/>
      <c r="E1000" s="28"/>
      <c r="F1000" s="28"/>
      <c r="G1000" s="28"/>
      <c r="H1000" s="28"/>
      <c r="I1000" s="28"/>
      <c r="J1000" s="28"/>
      <c r="K1000" s="28"/>
      <c r="L1000" s="28"/>
      <c r="M1000" s="28"/>
      <c r="N1000" s="28"/>
      <c r="O1000" s="28"/>
      <c r="P1000" s="28"/>
      <c r="Q1000" s="28"/>
      <c r="R1000" s="28"/>
      <c r="S1000" s="28"/>
    </row>
  </sheetData>
  <autoFilter ref="A1:S58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35"/>
  <sheetViews>
    <sheetView workbookViewId="0"/>
  </sheetViews>
  <sheetFormatPr defaultColWidth="12.6640625" defaultRowHeight="15.75" customHeight="1"/>
  <cols>
    <col min="9" max="9" width="15.33203125" customWidth="1"/>
    <col min="10" max="10" width="15.6640625" customWidth="1"/>
  </cols>
  <sheetData>
    <row r="1" spans="1:15" ht="13.2">
      <c r="A1" s="60" t="s">
        <v>4712</v>
      </c>
      <c r="B1" s="60" t="s">
        <v>4713</v>
      </c>
      <c r="C1" s="60" t="s">
        <v>4714</v>
      </c>
      <c r="D1" s="60" t="s">
        <v>4715</v>
      </c>
      <c r="E1" s="61" t="s">
        <v>4716</v>
      </c>
      <c r="F1" s="61" t="s">
        <v>4717</v>
      </c>
      <c r="G1" s="61" t="s">
        <v>4718</v>
      </c>
      <c r="H1" s="62" t="s">
        <v>4719</v>
      </c>
      <c r="I1" s="61" t="s">
        <v>4720</v>
      </c>
      <c r="J1" s="61" t="s">
        <v>4721</v>
      </c>
      <c r="K1" s="61" t="s">
        <v>4722</v>
      </c>
      <c r="L1" s="62" t="s">
        <v>4723</v>
      </c>
      <c r="M1" s="62" t="s">
        <v>4724</v>
      </c>
      <c r="N1" s="61" t="s">
        <v>4725</v>
      </c>
      <c r="O1" s="61" t="s">
        <v>4726</v>
      </c>
    </row>
    <row r="2" spans="1:15" ht="13.8">
      <c r="A2" s="63" t="s">
        <v>4727</v>
      </c>
      <c r="B2" s="64" t="s">
        <v>4728</v>
      </c>
      <c r="C2" s="64" t="s">
        <v>4729</v>
      </c>
      <c r="D2" s="64" t="s">
        <v>4729</v>
      </c>
      <c r="E2" s="64" t="s">
        <v>4730</v>
      </c>
      <c r="F2" s="64" t="s">
        <v>1820</v>
      </c>
      <c r="G2" s="64" t="s">
        <v>1462</v>
      </c>
      <c r="H2" s="65" t="s">
        <v>4731</v>
      </c>
      <c r="I2" s="66"/>
      <c r="J2" s="66"/>
      <c r="K2" s="67"/>
      <c r="L2" s="67"/>
      <c r="M2" s="63" t="s">
        <v>4732</v>
      </c>
      <c r="N2" s="67"/>
      <c r="O2" s="67"/>
    </row>
    <row r="3" spans="1:15" ht="13.8">
      <c r="A3" s="68" t="s">
        <v>4733</v>
      </c>
      <c r="B3" s="69" t="s">
        <v>4734</v>
      </c>
      <c r="C3" s="69" t="s">
        <v>566</v>
      </c>
      <c r="D3" s="69" t="s">
        <v>566</v>
      </c>
      <c r="E3" s="69" t="s">
        <v>4735</v>
      </c>
      <c r="F3" s="69" t="s">
        <v>1328</v>
      </c>
      <c r="G3" s="64" t="s">
        <v>1329</v>
      </c>
      <c r="H3" s="70" t="s">
        <v>4736</v>
      </c>
      <c r="I3" s="71">
        <v>45731</v>
      </c>
      <c r="J3" s="71">
        <v>46460</v>
      </c>
      <c r="K3" s="67"/>
      <c r="L3" s="67"/>
      <c r="M3" s="69" t="s">
        <v>4732</v>
      </c>
      <c r="N3" s="67"/>
      <c r="O3" s="67"/>
    </row>
    <row r="4" spans="1:15" ht="13.8">
      <c r="A4" s="68" t="s">
        <v>4737</v>
      </c>
      <c r="B4" s="69" t="s">
        <v>4738</v>
      </c>
      <c r="C4" s="69" t="s">
        <v>4739</v>
      </c>
      <c r="D4" s="69" t="s">
        <v>4739</v>
      </c>
      <c r="E4" s="64" t="s">
        <v>4740</v>
      </c>
      <c r="F4" s="69" t="s">
        <v>4741</v>
      </c>
      <c r="G4" s="64" t="s">
        <v>4742</v>
      </c>
      <c r="H4" s="70" t="s">
        <v>4743</v>
      </c>
      <c r="I4" s="71">
        <v>45731</v>
      </c>
      <c r="J4" s="71">
        <v>46826</v>
      </c>
      <c r="K4" s="67"/>
      <c r="L4" s="67"/>
      <c r="M4" s="69" t="s">
        <v>4732</v>
      </c>
      <c r="N4" s="67"/>
      <c r="O4" s="67"/>
    </row>
    <row r="5" spans="1:15" ht="13.8">
      <c r="A5" s="69" t="s">
        <v>4744</v>
      </c>
      <c r="B5" s="69" t="s">
        <v>4745</v>
      </c>
      <c r="C5" s="69" t="s">
        <v>1173</v>
      </c>
      <c r="D5" s="69" t="s">
        <v>1173</v>
      </c>
      <c r="E5" s="64" t="s">
        <v>4746</v>
      </c>
      <c r="F5" s="69" t="s">
        <v>2361</v>
      </c>
      <c r="G5" s="64" t="s">
        <v>1417</v>
      </c>
      <c r="H5" s="70" t="s">
        <v>4747</v>
      </c>
      <c r="I5" s="72">
        <v>45988</v>
      </c>
      <c r="J5" s="72">
        <v>47084</v>
      </c>
      <c r="K5" s="67"/>
      <c r="L5" s="67"/>
      <c r="M5" s="69" t="s">
        <v>4732</v>
      </c>
      <c r="N5" s="67"/>
      <c r="O5" s="67"/>
    </row>
    <row r="6" spans="1:15" ht="13.8">
      <c r="A6" s="69" t="s">
        <v>4748</v>
      </c>
      <c r="B6" s="69" t="s">
        <v>4749</v>
      </c>
      <c r="C6" s="69" t="s">
        <v>4750</v>
      </c>
      <c r="D6" s="69" t="s">
        <v>4750</v>
      </c>
      <c r="E6" s="64" t="s">
        <v>4751</v>
      </c>
      <c r="F6" s="69" t="s">
        <v>2361</v>
      </c>
      <c r="G6" s="64" t="s">
        <v>1417</v>
      </c>
      <c r="H6" s="70" t="s">
        <v>4752</v>
      </c>
      <c r="I6" s="72">
        <v>45988</v>
      </c>
      <c r="J6" s="72">
        <v>47084</v>
      </c>
      <c r="K6" s="67"/>
      <c r="L6" s="67"/>
      <c r="M6" s="69" t="s">
        <v>4732</v>
      </c>
      <c r="N6" s="67"/>
      <c r="O6" s="67"/>
    </row>
    <row r="7" spans="1:15" ht="13.8">
      <c r="A7" s="69" t="s">
        <v>4753</v>
      </c>
      <c r="B7" s="69" t="s">
        <v>4754</v>
      </c>
      <c r="C7" s="69" t="s">
        <v>4755</v>
      </c>
      <c r="D7" s="69" t="s">
        <v>4755</v>
      </c>
      <c r="E7" s="64" t="s">
        <v>4756</v>
      </c>
      <c r="F7" s="69" t="s">
        <v>1975</v>
      </c>
      <c r="G7" s="64" t="s">
        <v>1352</v>
      </c>
      <c r="H7" s="70" t="s">
        <v>4757</v>
      </c>
      <c r="I7" s="72">
        <v>45992</v>
      </c>
      <c r="J7" s="72">
        <v>47087</v>
      </c>
      <c r="K7" s="67"/>
      <c r="L7" s="67"/>
      <c r="M7" s="69" t="s">
        <v>4732</v>
      </c>
      <c r="N7" s="67"/>
      <c r="O7" s="67"/>
    </row>
    <row r="8" spans="1:15" ht="13.8">
      <c r="A8" s="69" t="s">
        <v>4758</v>
      </c>
      <c r="B8" s="69" t="s">
        <v>4759</v>
      </c>
      <c r="C8" s="69" t="s">
        <v>4760</v>
      </c>
      <c r="D8" s="69" t="s">
        <v>4760</v>
      </c>
      <c r="E8" s="64" t="s">
        <v>4761</v>
      </c>
      <c r="F8" s="69" t="s">
        <v>1820</v>
      </c>
      <c r="G8" s="64" t="s">
        <v>1462</v>
      </c>
      <c r="H8" s="70" t="s">
        <v>4762</v>
      </c>
      <c r="I8" s="72">
        <v>45988</v>
      </c>
      <c r="J8" s="72">
        <v>47084</v>
      </c>
      <c r="K8" s="67"/>
      <c r="L8" s="67"/>
      <c r="M8" s="69" t="s">
        <v>4732</v>
      </c>
      <c r="N8" s="67"/>
      <c r="O8" s="67"/>
    </row>
    <row r="9" spans="1:15" ht="13.8">
      <c r="A9" s="69" t="s">
        <v>4763</v>
      </c>
      <c r="B9" s="69" t="s">
        <v>4764</v>
      </c>
      <c r="C9" s="69" t="s">
        <v>4765</v>
      </c>
      <c r="D9" s="69" t="s">
        <v>4765</v>
      </c>
      <c r="E9" s="64" t="s">
        <v>4766</v>
      </c>
      <c r="F9" s="69" t="s">
        <v>1939</v>
      </c>
      <c r="G9" s="64" t="s">
        <v>1512</v>
      </c>
      <c r="H9" s="70" t="s">
        <v>4767</v>
      </c>
      <c r="I9" s="72">
        <v>45988</v>
      </c>
      <c r="J9" s="72">
        <v>47084</v>
      </c>
      <c r="K9" s="67"/>
      <c r="L9" s="67"/>
      <c r="M9" s="69" t="s">
        <v>4732</v>
      </c>
      <c r="N9" s="67"/>
      <c r="O9" s="67"/>
    </row>
    <row r="10" spans="1:15" ht="13.8">
      <c r="A10" s="69" t="s">
        <v>4768</v>
      </c>
      <c r="B10" s="69" t="s">
        <v>4769</v>
      </c>
      <c r="C10" s="69" t="s">
        <v>4770</v>
      </c>
      <c r="D10" s="69" t="s">
        <v>4770</v>
      </c>
      <c r="E10" s="64" t="s">
        <v>4771</v>
      </c>
      <c r="F10" s="69" t="s">
        <v>1975</v>
      </c>
      <c r="G10" s="64" t="s">
        <v>1352</v>
      </c>
      <c r="H10" s="70" t="s">
        <v>4772</v>
      </c>
      <c r="I10" s="72">
        <v>45992</v>
      </c>
      <c r="J10" s="72">
        <v>47087</v>
      </c>
      <c r="K10" s="67"/>
      <c r="L10" s="67"/>
      <c r="M10" s="69" t="s">
        <v>4732</v>
      </c>
      <c r="N10" s="67"/>
      <c r="O10" s="67"/>
    </row>
    <row r="11" spans="1:15" ht="15.75" customHeight="1">
      <c r="A11" s="73" t="s">
        <v>4773</v>
      </c>
      <c r="B11" s="73" t="s">
        <v>4774</v>
      </c>
      <c r="C11" s="69" t="s">
        <v>4775</v>
      </c>
      <c r="D11" s="69" t="s">
        <v>4775</v>
      </c>
      <c r="E11" s="64" t="s">
        <v>4776</v>
      </c>
      <c r="F11" s="69" t="s">
        <v>1975</v>
      </c>
      <c r="G11" s="64" t="s">
        <v>1352</v>
      </c>
      <c r="H11" s="70" t="s">
        <v>4777</v>
      </c>
      <c r="I11" s="74">
        <v>46021</v>
      </c>
      <c r="J11" s="74">
        <v>47116</v>
      </c>
      <c r="K11" s="67"/>
      <c r="L11" s="67"/>
      <c r="M11" s="69" t="s">
        <v>4732</v>
      </c>
      <c r="N11" s="67"/>
      <c r="O11" s="67"/>
    </row>
    <row r="12" spans="1:15" ht="15.75" customHeight="1">
      <c r="A12" s="73" t="s">
        <v>4778</v>
      </c>
      <c r="B12" s="73" t="s">
        <v>4779</v>
      </c>
      <c r="C12" s="69" t="s">
        <v>4780</v>
      </c>
      <c r="D12" s="69" t="s">
        <v>4780</v>
      </c>
      <c r="E12" s="64" t="s">
        <v>4781</v>
      </c>
      <c r="F12" s="69" t="s">
        <v>1975</v>
      </c>
      <c r="G12" s="64" t="s">
        <v>1352</v>
      </c>
      <c r="H12" s="70" t="s">
        <v>4782</v>
      </c>
      <c r="I12" s="74">
        <v>46021</v>
      </c>
      <c r="J12" s="74">
        <v>47116</v>
      </c>
      <c r="K12" s="67"/>
      <c r="L12" s="67"/>
      <c r="M12" s="69" t="s">
        <v>4732</v>
      </c>
      <c r="N12" s="67"/>
      <c r="O12" s="67"/>
    </row>
    <row r="13" spans="1:15" ht="15.75" customHeight="1">
      <c r="A13" s="73" t="s">
        <v>4783</v>
      </c>
      <c r="B13" s="73" t="s">
        <v>4784</v>
      </c>
      <c r="C13" s="69" t="s">
        <v>4785</v>
      </c>
      <c r="D13" s="69" t="s">
        <v>4785</v>
      </c>
      <c r="E13" s="64" t="s">
        <v>4786</v>
      </c>
      <c r="F13" s="69" t="s">
        <v>2158</v>
      </c>
      <c r="G13" s="64" t="s">
        <v>1393</v>
      </c>
      <c r="H13" s="70" t="s">
        <v>4787</v>
      </c>
      <c r="I13" s="74">
        <v>46021</v>
      </c>
      <c r="J13" s="74">
        <v>47116</v>
      </c>
      <c r="K13" s="67"/>
      <c r="L13" s="67"/>
      <c r="M13" s="69" t="s">
        <v>4732</v>
      </c>
      <c r="N13" s="67"/>
      <c r="O13" s="67"/>
    </row>
    <row r="14" spans="1:15" ht="15.75" customHeight="1">
      <c r="A14" s="73" t="s">
        <v>4788</v>
      </c>
      <c r="B14" s="73" t="s">
        <v>4789</v>
      </c>
      <c r="C14" s="69" t="s">
        <v>4790</v>
      </c>
      <c r="D14" s="69" t="s">
        <v>4790</v>
      </c>
      <c r="E14" s="64" t="s">
        <v>4791</v>
      </c>
      <c r="F14" s="69" t="s">
        <v>2158</v>
      </c>
      <c r="G14" s="64" t="s">
        <v>1393</v>
      </c>
      <c r="H14" s="70" t="s">
        <v>4792</v>
      </c>
      <c r="I14" s="74">
        <v>46021</v>
      </c>
      <c r="J14" s="74">
        <v>47116</v>
      </c>
      <c r="K14" s="67"/>
      <c r="L14" s="67"/>
      <c r="M14" s="69" t="s">
        <v>4732</v>
      </c>
      <c r="N14" s="67"/>
      <c r="O14" s="67"/>
    </row>
    <row r="15" spans="1:15" ht="15.75" customHeight="1">
      <c r="A15" s="73" t="s">
        <v>4793</v>
      </c>
      <c r="B15" s="73" t="s">
        <v>4794</v>
      </c>
      <c r="C15" s="69" t="s">
        <v>4795</v>
      </c>
      <c r="D15" s="69" t="s">
        <v>4795</v>
      </c>
      <c r="E15" s="64" t="s">
        <v>4796</v>
      </c>
      <c r="F15" s="69" t="s">
        <v>1820</v>
      </c>
      <c r="G15" s="64" t="s">
        <v>1462</v>
      </c>
      <c r="H15" s="70" t="s">
        <v>4797</v>
      </c>
      <c r="I15" s="74">
        <v>46016</v>
      </c>
      <c r="J15" s="74">
        <v>47111</v>
      </c>
      <c r="K15" s="67"/>
      <c r="L15" s="67"/>
      <c r="M15" s="69" t="s">
        <v>4732</v>
      </c>
      <c r="N15" s="67"/>
      <c r="O15" s="67"/>
    </row>
    <row r="16" spans="1:15" ht="15.75" customHeight="1">
      <c r="A16" s="69" t="s">
        <v>4798</v>
      </c>
      <c r="B16" s="69" t="s">
        <v>4799</v>
      </c>
      <c r="C16" s="69" t="s">
        <v>4800</v>
      </c>
      <c r="D16" s="69" t="s">
        <v>4800</v>
      </c>
      <c r="E16" s="64" t="s">
        <v>4801</v>
      </c>
      <c r="F16" s="69" t="s">
        <v>1820</v>
      </c>
      <c r="G16" s="64" t="s">
        <v>1462</v>
      </c>
      <c r="H16" s="70" t="s">
        <v>4802</v>
      </c>
      <c r="I16" s="74">
        <v>46016</v>
      </c>
      <c r="J16" s="74">
        <v>47111</v>
      </c>
      <c r="K16" s="67"/>
      <c r="L16" s="67"/>
      <c r="M16" s="69" t="s">
        <v>4732</v>
      </c>
      <c r="N16" s="67"/>
      <c r="O16" s="67"/>
    </row>
    <row r="17" spans="1:15" ht="13.8">
      <c r="A17" s="69" t="s">
        <v>4803</v>
      </c>
      <c r="B17" s="69" t="s">
        <v>4804</v>
      </c>
      <c r="C17" s="69" t="s">
        <v>4805</v>
      </c>
      <c r="D17" s="69" t="s">
        <v>4805</v>
      </c>
      <c r="E17" s="64" t="s">
        <v>4806</v>
      </c>
      <c r="F17" s="69" t="s">
        <v>2158</v>
      </c>
      <c r="G17" s="64" t="s">
        <v>1393</v>
      </c>
      <c r="H17" s="70" t="s">
        <v>4807</v>
      </c>
      <c r="I17" s="75">
        <v>45658</v>
      </c>
      <c r="J17" s="72">
        <v>46386</v>
      </c>
      <c r="K17" s="67"/>
      <c r="L17" s="67"/>
      <c r="M17" s="69" t="s">
        <v>4732</v>
      </c>
      <c r="N17" s="67"/>
      <c r="O17" s="67"/>
    </row>
    <row r="18" spans="1:15" ht="13.8">
      <c r="A18" s="69" t="s">
        <v>4808</v>
      </c>
      <c r="B18" s="69" t="s">
        <v>4809</v>
      </c>
      <c r="C18" s="69" t="s">
        <v>4810</v>
      </c>
      <c r="D18" s="69" t="s">
        <v>4810</v>
      </c>
      <c r="E18" s="64" t="s">
        <v>4811</v>
      </c>
      <c r="F18" s="69" t="s">
        <v>2361</v>
      </c>
      <c r="G18" s="64" t="s">
        <v>1417</v>
      </c>
      <c r="H18" s="70" t="s">
        <v>4812</v>
      </c>
      <c r="I18" s="75">
        <v>45658</v>
      </c>
      <c r="J18" s="72">
        <v>46386</v>
      </c>
      <c r="K18" s="67"/>
      <c r="L18" s="67"/>
      <c r="M18" s="69" t="s">
        <v>4732</v>
      </c>
      <c r="N18" s="67"/>
      <c r="O18" s="67"/>
    </row>
    <row r="19" spans="1:15" ht="13.8">
      <c r="A19" s="69" t="s">
        <v>4813</v>
      </c>
      <c r="B19" s="69" t="s">
        <v>4814</v>
      </c>
      <c r="C19" s="69" t="s">
        <v>4775</v>
      </c>
      <c r="D19" s="69" t="s">
        <v>4775</v>
      </c>
      <c r="E19" s="64" t="s">
        <v>4776</v>
      </c>
      <c r="F19" s="69" t="s">
        <v>1975</v>
      </c>
      <c r="G19" s="64" t="s">
        <v>1352</v>
      </c>
      <c r="H19" s="70" t="s">
        <v>4815</v>
      </c>
      <c r="I19" s="75">
        <v>45658</v>
      </c>
      <c r="J19" s="72">
        <v>46386</v>
      </c>
      <c r="K19" s="67"/>
      <c r="L19" s="67"/>
      <c r="M19" s="69" t="s">
        <v>4732</v>
      </c>
      <c r="N19" s="67"/>
      <c r="O19" s="67"/>
    </row>
    <row r="20" spans="1:15" ht="13.8">
      <c r="A20" s="69" t="s">
        <v>4816</v>
      </c>
      <c r="B20" s="69" t="s">
        <v>4817</v>
      </c>
      <c r="C20" s="69" t="s">
        <v>4755</v>
      </c>
      <c r="D20" s="69" t="s">
        <v>4755</v>
      </c>
      <c r="E20" s="64" t="s">
        <v>4756</v>
      </c>
      <c r="F20" s="69" t="s">
        <v>1975</v>
      </c>
      <c r="G20" s="64" t="s">
        <v>1352</v>
      </c>
      <c r="H20" s="70" t="s">
        <v>4818</v>
      </c>
      <c r="I20" s="75">
        <v>45658</v>
      </c>
      <c r="J20" s="72">
        <v>46386</v>
      </c>
      <c r="K20" s="67"/>
      <c r="L20" s="67"/>
      <c r="M20" s="69" t="s">
        <v>4732</v>
      </c>
      <c r="N20" s="67"/>
      <c r="O20" s="67"/>
    </row>
    <row r="21" spans="1:15" ht="13.8">
      <c r="A21" s="69" t="s">
        <v>4819</v>
      </c>
      <c r="B21" s="69" t="s">
        <v>4820</v>
      </c>
      <c r="C21" s="69" t="s">
        <v>4821</v>
      </c>
      <c r="D21" s="69" t="s">
        <v>4821</v>
      </c>
      <c r="E21" s="64" t="s">
        <v>4822</v>
      </c>
      <c r="F21" s="69" t="s">
        <v>1975</v>
      </c>
      <c r="G21" s="64" t="s">
        <v>1352</v>
      </c>
      <c r="H21" s="70" t="s">
        <v>4823</v>
      </c>
      <c r="I21" s="75">
        <v>45658</v>
      </c>
      <c r="J21" s="72">
        <v>46386</v>
      </c>
      <c r="K21" s="67"/>
      <c r="L21" s="67"/>
      <c r="M21" s="69" t="s">
        <v>4732</v>
      </c>
      <c r="N21" s="67"/>
      <c r="O21" s="67"/>
    </row>
    <row r="22" spans="1:15" ht="13.8">
      <c r="A22" s="69" t="s">
        <v>4824</v>
      </c>
      <c r="B22" s="69" t="s">
        <v>4825</v>
      </c>
      <c r="C22" s="69" t="s">
        <v>4826</v>
      </c>
      <c r="D22" s="69" t="s">
        <v>4826</v>
      </c>
      <c r="E22" s="64" t="s">
        <v>4827</v>
      </c>
      <c r="F22" s="69" t="s">
        <v>4828</v>
      </c>
      <c r="G22" s="64" t="s">
        <v>1512</v>
      </c>
      <c r="H22" s="70" t="s">
        <v>4829</v>
      </c>
      <c r="I22" s="72">
        <v>46006</v>
      </c>
      <c r="J22" s="72">
        <v>46735</v>
      </c>
      <c r="K22" s="67"/>
      <c r="L22" s="67"/>
      <c r="M22" s="69" t="s">
        <v>4732</v>
      </c>
      <c r="N22" s="67"/>
      <c r="O22" s="67"/>
    </row>
    <row r="23" spans="1:15" ht="13.8">
      <c r="A23" s="69" t="s">
        <v>4830</v>
      </c>
      <c r="B23" s="69" t="s">
        <v>4831</v>
      </c>
      <c r="C23" s="69" t="s">
        <v>4832</v>
      </c>
      <c r="D23" s="69" t="s">
        <v>4832</v>
      </c>
      <c r="E23" s="64" t="s">
        <v>4833</v>
      </c>
      <c r="F23" s="69" t="s">
        <v>4828</v>
      </c>
      <c r="G23" s="64" t="s">
        <v>1512</v>
      </c>
      <c r="H23" s="70" t="s">
        <v>4829</v>
      </c>
      <c r="I23" s="72">
        <v>46006</v>
      </c>
      <c r="J23" s="72">
        <v>46735</v>
      </c>
      <c r="K23" s="67"/>
      <c r="L23" s="67"/>
      <c r="M23" s="69" t="s">
        <v>4732</v>
      </c>
      <c r="N23" s="67"/>
      <c r="O23" s="67"/>
    </row>
    <row r="24" spans="1:15" ht="13.8">
      <c r="A24" s="69" t="s">
        <v>4834</v>
      </c>
      <c r="B24" s="69" t="s">
        <v>4835</v>
      </c>
      <c r="C24" s="69" t="s">
        <v>4790</v>
      </c>
      <c r="D24" s="69" t="s">
        <v>4790</v>
      </c>
      <c r="E24" s="64" t="s">
        <v>4791</v>
      </c>
      <c r="F24" s="69" t="s">
        <v>2158</v>
      </c>
      <c r="G24" s="64" t="s">
        <v>1393</v>
      </c>
      <c r="H24" s="70" t="s">
        <v>4829</v>
      </c>
      <c r="I24" s="72">
        <v>46006</v>
      </c>
      <c r="J24" s="72">
        <v>46735</v>
      </c>
      <c r="K24" s="67"/>
      <c r="L24" s="67"/>
      <c r="M24" s="69" t="s">
        <v>4732</v>
      </c>
      <c r="N24" s="67"/>
      <c r="O24" s="67"/>
    </row>
    <row r="25" spans="1:15" ht="13.8">
      <c r="A25" s="69" t="s">
        <v>4836</v>
      </c>
      <c r="B25" s="69" t="s">
        <v>4837</v>
      </c>
      <c r="C25" s="69" t="s">
        <v>4838</v>
      </c>
      <c r="D25" s="69" t="s">
        <v>4838</v>
      </c>
      <c r="E25" s="64" t="s">
        <v>4839</v>
      </c>
      <c r="F25" s="69" t="s">
        <v>2158</v>
      </c>
      <c r="G25" s="64" t="s">
        <v>1393</v>
      </c>
      <c r="H25" s="70" t="s">
        <v>4829</v>
      </c>
      <c r="I25" s="72">
        <v>46006</v>
      </c>
      <c r="J25" s="72">
        <v>46735</v>
      </c>
      <c r="K25" s="67"/>
      <c r="L25" s="67"/>
      <c r="M25" s="69" t="s">
        <v>4732</v>
      </c>
      <c r="N25" s="67"/>
      <c r="O25" s="67"/>
    </row>
    <row r="26" spans="1:15" ht="13.8">
      <c r="A26" s="69" t="s">
        <v>4840</v>
      </c>
      <c r="B26" s="69" t="s">
        <v>4841</v>
      </c>
      <c r="C26" s="69" t="s">
        <v>4842</v>
      </c>
      <c r="D26" s="69" t="s">
        <v>4842</v>
      </c>
      <c r="E26" s="64" t="s">
        <v>4843</v>
      </c>
      <c r="F26" s="69" t="s">
        <v>1478</v>
      </c>
      <c r="G26" s="64" t="s">
        <v>1437</v>
      </c>
      <c r="H26" s="70" t="s">
        <v>4829</v>
      </c>
      <c r="I26" s="72">
        <v>46006</v>
      </c>
      <c r="J26" s="72">
        <v>46735</v>
      </c>
      <c r="K26" s="67"/>
      <c r="L26" s="67"/>
      <c r="M26" s="69" t="s">
        <v>4732</v>
      </c>
      <c r="N26" s="67"/>
      <c r="O26" s="67"/>
    </row>
    <row r="27" spans="1:15" ht="13.8">
      <c r="A27" s="69" t="s">
        <v>4844</v>
      </c>
      <c r="B27" s="69" t="s">
        <v>4845</v>
      </c>
      <c r="C27" s="69" t="s">
        <v>4846</v>
      </c>
      <c r="D27" s="69" t="s">
        <v>4846</v>
      </c>
      <c r="E27" s="64" t="s">
        <v>4847</v>
      </c>
      <c r="F27" s="69" t="s">
        <v>1478</v>
      </c>
      <c r="G27" s="64" t="s">
        <v>1437</v>
      </c>
      <c r="H27" s="70" t="s">
        <v>4829</v>
      </c>
      <c r="I27" s="72">
        <v>46006</v>
      </c>
      <c r="J27" s="72">
        <v>46735</v>
      </c>
      <c r="K27" s="67"/>
      <c r="L27" s="67"/>
      <c r="M27" s="69" t="s">
        <v>4732</v>
      </c>
      <c r="N27" s="67"/>
      <c r="O27" s="67"/>
    </row>
    <row r="28" spans="1:15" ht="13.8">
      <c r="A28" s="69" t="s">
        <v>4848</v>
      </c>
      <c r="B28" s="69" t="s">
        <v>4849</v>
      </c>
      <c r="C28" s="69" t="s">
        <v>874</v>
      </c>
      <c r="D28" s="69" t="s">
        <v>4850</v>
      </c>
      <c r="E28" s="64" t="s">
        <v>4851</v>
      </c>
      <c r="F28" s="69" t="s">
        <v>2158</v>
      </c>
      <c r="G28" s="64" t="s">
        <v>1393</v>
      </c>
      <c r="H28" s="70" t="s">
        <v>4852</v>
      </c>
      <c r="I28" s="75">
        <v>45731</v>
      </c>
      <c r="J28" s="72">
        <v>46095</v>
      </c>
      <c r="K28" s="67"/>
      <c r="L28" s="67"/>
      <c r="M28" s="69" t="s">
        <v>4732</v>
      </c>
      <c r="N28" s="67"/>
      <c r="O28" s="67"/>
    </row>
    <row r="29" spans="1:15" ht="13.8">
      <c r="A29" s="69" t="s">
        <v>4853</v>
      </c>
      <c r="B29" s="69" t="s">
        <v>4854</v>
      </c>
      <c r="C29" s="69" t="s">
        <v>1009</v>
      </c>
      <c r="D29" s="69" t="s">
        <v>4855</v>
      </c>
      <c r="E29" s="64" t="s">
        <v>4856</v>
      </c>
      <c r="F29" s="69" t="s">
        <v>1820</v>
      </c>
      <c r="G29" s="64" t="s">
        <v>1462</v>
      </c>
      <c r="H29" s="70" t="s">
        <v>4857</v>
      </c>
      <c r="I29" s="75">
        <v>45731</v>
      </c>
      <c r="J29" s="72">
        <v>46095</v>
      </c>
      <c r="K29" s="67"/>
      <c r="L29" s="67"/>
      <c r="M29" s="69" t="s">
        <v>4732</v>
      </c>
      <c r="N29" s="67"/>
      <c r="O29" s="67"/>
    </row>
    <row r="30" spans="1:15" ht="13.8">
      <c r="A30" s="69" t="s">
        <v>4858</v>
      </c>
      <c r="B30" s="69" t="s">
        <v>4859</v>
      </c>
      <c r="C30" s="69" t="s">
        <v>4860</v>
      </c>
      <c r="D30" s="69" t="s">
        <v>4861</v>
      </c>
      <c r="E30" s="64" t="s">
        <v>4862</v>
      </c>
      <c r="F30" s="69" t="s">
        <v>2606</v>
      </c>
      <c r="G30" s="64" t="s">
        <v>1370</v>
      </c>
      <c r="H30" s="70" t="s">
        <v>4863</v>
      </c>
      <c r="I30" s="75">
        <v>45731</v>
      </c>
      <c r="J30" s="72">
        <v>46095</v>
      </c>
      <c r="K30" s="67"/>
      <c r="L30" s="67"/>
      <c r="M30" s="69" t="s">
        <v>4732</v>
      </c>
      <c r="N30" s="67"/>
      <c r="O30" s="67"/>
    </row>
    <row r="31" spans="1:15" ht="13.8">
      <c r="A31" s="69" t="s">
        <v>4864</v>
      </c>
      <c r="B31" s="69" t="s">
        <v>4865</v>
      </c>
      <c r="C31" s="69" t="s">
        <v>4866</v>
      </c>
      <c r="D31" s="69" t="s">
        <v>4867</v>
      </c>
      <c r="E31" s="64" t="s">
        <v>4735</v>
      </c>
      <c r="F31" s="69" t="s">
        <v>1328</v>
      </c>
      <c r="G31" s="64" t="s">
        <v>1329</v>
      </c>
      <c r="H31" s="70" t="s">
        <v>4857</v>
      </c>
      <c r="I31" s="75">
        <v>45731</v>
      </c>
      <c r="J31" s="72">
        <v>46095</v>
      </c>
      <c r="K31" s="67"/>
      <c r="L31" s="67"/>
      <c r="M31" s="69" t="s">
        <v>4732</v>
      </c>
      <c r="N31" s="67"/>
      <c r="O31" s="67"/>
    </row>
    <row r="32" spans="1:15" ht="13.8">
      <c r="A32" s="69" t="s">
        <v>4868</v>
      </c>
      <c r="B32" s="69" t="s">
        <v>4869</v>
      </c>
      <c r="C32" s="69" t="s">
        <v>4870</v>
      </c>
      <c r="D32" s="69" t="s">
        <v>4871</v>
      </c>
      <c r="E32" s="64" t="s">
        <v>4872</v>
      </c>
      <c r="F32" s="69" t="s">
        <v>1328</v>
      </c>
      <c r="G32" s="64" t="s">
        <v>1329</v>
      </c>
      <c r="H32" s="70" t="s">
        <v>4873</v>
      </c>
      <c r="I32" s="75">
        <v>45731</v>
      </c>
      <c r="J32" s="72">
        <v>46095</v>
      </c>
      <c r="K32" s="67"/>
      <c r="L32" s="67"/>
      <c r="M32" s="69" t="s">
        <v>4732</v>
      </c>
      <c r="N32" s="67"/>
      <c r="O32" s="67"/>
    </row>
    <row r="33" spans="1:15" ht="13.8">
      <c r="A33" s="69" t="s">
        <v>4874</v>
      </c>
      <c r="B33" s="69" t="s">
        <v>4875</v>
      </c>
      <c r="C33" s="69" t="s">
        <v>4876</v>
      </c>
      <c r="D33" s="69" t="s">
        <v>4877</v>
      </c>
      <c r="E33" s="64" t="s">
        <v>4878</v>
      </c>
      <c r="F33" s="69" t="s">
        <v>2361</v>
      </c>
      <c r="G33" s="64" t="s">
        <v>1417</v>
      </c>
      <c r="H33" s="70" t="s">
        <v>4873</v>
      </c>
      <c r="I33" s="75">
        <v>45731</v>
      </c>
      <c r="J33" s="72">
        <v>46095</v>
      </c>
      <c r="K33" s="67"/>
      <c r="L33" s="67"/>
      <c r="M33" s="69" t="s">
        <v>4732</v>
      </c>
      <c r="N33" s="67"/>
      <c r="O33" s="67"/>
    </row>
    <row r="34" spans="1:15" ht="13.8">
      <c r="A34" s="69" t="s">
        <v>4879</v>
      </c>
      <c r="B34" s="69" t="s">
        <v>4880</v>
      </c>
      <c r="C34" s="69" t="s">
        <v>4881</v>
      </c>
      <c r="D34" s="69" t="s">
        <v>4882</v>
      </c>
      <c r="E34" s="69" t="s">
        <v>4883</v>
      </c>
      <c r="F34" s="69" t="s">
        <v>4828</v>
      </c>
      <c r="G34" s="64" t="s">
        <v>1512</v>
      </c>
      <c r="H34" s="70" t="s">
        <v>4873</v>
      </c>
      <c r="I34" s="75">
        <v>45731</v>
      </c>
      <c r="J34" s="72">
        <v>46095</v>
      </c>
      <c r="K34" s="67"/>
      <c r="L34" s="67"/>
      <c r="M34" s="69" t="s">
        <v>4732</v>
      </c>
      <c r="N34" s="67"/>
      <c r="O34" s="67"/>
    </row>
    <row r="35" spans="1:15" ht="13.8">
      <c r="A35" s="69" t="s">
        <v>4884</v>
      </c>
      <c r="B35" s="69" t="s">
        <v>4885</v>
      </c>
      <c r="C35" s="69" t="s">
        <v>4886</v>
      </c>
      <c r="D35" s="69" t="s">
        <v>4887</v>
      </c>
      <c r="E35" s="69" t="s">
        <v>4888</v>
      </c>
      <c r="F35" s="69" t="s">
        <v>2361</v>
      </c>
      <c r="G35" s="64" t="s">
        <v>1417</v>
      </c>
      <c r="H35" s="70" t="s">
        <v>4873</v>
      </c>
      <c r="I35" s="75">
        <v>45731</v>
      </c>
      <c r="J35" s="72">
        <v>46095</v>
      </c>
      <c r="K35" s="67"/>
      <c r="L35" s="67"/>
      <c r="M35" s="69" t="s">
        <v>4732</v>
      </c>
      <c r="N35" s="67"/>
      <c r="O35" s="6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017"/>
  <sheetViews>
    <sheetView workbookViewId="0"/>
  </sheetViews>
  <sheetFormatPr defaultColWidth="12.6640625" defaultRowHeight="15.75" customHeight="1"/>
  <sheetData>
    <row r="1" spans="1:17" ht="13.2">
      <c r="A1" s="76" t="s">
        <v>4889</v>
      </c>
      <c r="B1" s="76" t="s">
        <v>4890</v>
      </c>
      <c r="C1" s="76" t="s">
        <v>4891</v>
      </c>
      <c r="D1" s="76" t="s">
        <v>4892</v>
      </c>
      <c r="E1" s="76" t="s">
        <v>2648</v>
      </c>
      <c r="F1" s="76" t="s">
        <v>4893</v>
      </c>
      <c r="G1" s="76" t="s">
        <v>4894</v>
      </c>
      <c r="H1" s="77" t="s">
        <v>4895</v>
      </c>
      <c r="I1" s="78" t="s">
        <v>4896</v>
      </c>
      <c r="J1" s="79"/>
      <c r="K1" s="79"/>
      <c r="L1" s="79"/>
      <c r="M1" s="79"/>
      <c r="N1" s="79"/>
      <c r="O1" s="79"/>
      <c r="P1" s="79"/>
      <c r="Q1" s="79"/>
    </row>
    <row r="2" spans="1:17" ht="13.8">
      <c r="A2" s="80">
        <v>1</v>
      </c>
      <c r="B2" s="80" t="s">
        <v>4897</v>
      </c>
      <c r="C2" s="81"/>
      <c r="D2" s="82" t="s">
        <v>4898</v>
      </c>
      <c r="E2" s="82" t="s">
        <v>4899</v>
      </c>
      <c r="F2" s="80" t="s">
        <v>4900</v>
      </c>
      <c r="G2" s="80" t="s">
        <v>4901</v>
      </c>
      <c r="H2" s="83">
        <v>2025</v>
      </c>
      <c r="I2" s="84"/>
      <c r="J2" s="79"/>
      <c r="K2" s="79"/>
      <c r="L2" s="79"/>
      <c r="M2" s="79"/>
      <c r="N2" s="79"/>
      <c r="O2" s="79"/>
      <c r="P2" s="79"/>
      <c r="Q2" s="79"/>
    </row>
    <row r="3" spans="1:17" ht="15.75" customHeight="1">
      <c r="A3" s="80">
        <v>2</v>
      </c>
      <c r="B3" s="80" t="s">
        <v>4897</v>
      </c>
      <c r="C3" s="85">
        <v>3110117001</v>
      </c>
      <c r="D3" s="81"/>
      <c r="E3" s="86"/>
      <c r="F3" s="81"/>
      <c r="G3" s="80" t="s">
        <v>4902</v>
      </c>
      <c r="H3" s="83">
        <v>2025</v>
      </c>
      <c r="I3" s="84"/>
      <c r="J3" s="79"/>
      <c r="K3" s="79"/>
      <c r="L3" s="79"/>
      <c r="M3" s="79"/>
      <c r="N3" s="79"/>
      <c r="O3" s="79"/>
      <c r="P3" s="79"/>
      <c r="Q3" s="79"/>
    </row>
    <row r="4" spans="1:17" ht="15.75" customHeight="1">
      <c r="A4" s="80">
        <v>3</v>
      </c>
      <c r="B4" s="80" t="s">
        <v>4897</v>
      </c>
      <c r="C4" s="85">
        <v>3110117002</v>
      </c>
      <c r="D4" s="81"/>
      <c r="E4" s="86"/>
      <c r="F4" s="81"/>
      <c r="G4" s="80" t="s">
        <v>4902</v>
      </c>
      <c r="H4" s="83">
        <v>2025</v>
      </c>
      <c r="I4" s="84"/>
      <c r="J4" s="79"/>
      <c r="K4" s="79"/>
      <c r="L4" s="79"/>
      <c r="M4" s="79"/>
      <c r="N4" s="79"/>
      <c r="O4" s="79"/>
      <c r="P4" s="79"/>
      <c r="Q4" s="79"/>
    </row>
    <row r="5" spans="1:17" ht="15.75" customHeight="1">
      <c r="A5" s="80">
        <v>4</v>
      </c>
      <c r="B5" s="80" t="s">
        <v>4897</v>
      </c>
      <c r="C5" s="85">
        <v>3110117003</v>
      </c>
      <c r="D5" s="81"/>
      <c r="E5" s="86"/>
      <c r="F5" s="81"/>
      <c r="G5" s="80" t="s">
        <v>4902</v>
      </c>
      <c r="H5" s="83">
        <v>2025</v>
      </c>
      <c r="I5" s="84"/>
      <c r="J5" s="79"/>
      <c r="K5" s="79"/>
      <c r="L5" s="79"/>
      <c r="M5" s="79"/>
      <c r="N5" s="79"/>
      <c r="O5" s="79"/>
      <c r="P5" s="79"/>
      <c r="Q5" s="79"/>
    </row>
    <row r="6" spans="1:17" ht="15.75" customHeight="1">
      <c r="A6" s="80">
        <v>5</v>
      </c>
      <c r="B6" s="80" t="s">
        <v>4903</v>
      </c>
      <c r="C6" s="87"/>
      <c r="D6" s="80" t="s">
        <v>4904</v>
      </c>
      <c r="E6" s="82" t="s">
        <v>4899</v>
      </c>
      <c r="F6" s="80" t="s">
        <v>4900</v>
      </c>
      <c r="G6" s="80" t="s">
        <v>4901</v>
      </c>
      <c r="H6" s="83">
        <v>2025</v>
      </c>
      <c r="I6" s="84"/>
      <c r="J6" s="79"/>
      <c r="K6" s="79"/>
      <c r="L6" s="79"/>
      <c r="M6" s="79"/>
      <c r="N6" s="79"/>
      <c r="O6" s="79"/>
      <c r="P6" s="79"/>
      <c r="Q6" s="79"/>
    </row>
    <row r="7" spans="1:17" ht="13.8">
      <c r="A7" s="80">
        <v>6</v>
      </c>
      <c r="B7" s="80" t="s">
        <v>4903</v>
      </c>
      <c r="C7" s="80">
        <v>3110117004</v>
      </c>
      <c r="D7" s="86"/>
      <c r="E7" s="86"/>
      <c r="F7" s="81"/>
      <c r="G7" s="80" t="s">
        <v>4902</v>
      </c>
      <c r="H7" s="83">
        <v>2025</v>
      </c>
      <c r="I7" s="84"/>
      <c r="J7" s="79"/>
      <c r="K7" s="79"/>
      <c r="L7" s="79"/>
      <c r="M7" s="79"/>
      <c r="N7" s="79"/>
      <c r="O7" s="79"/>
      <c r="P7" s="79"/>
      <c r="Q7" s="79"/>
    </row>
    <row r="8" spans="1:17" ht="15.75" customHeight="1">
      <c r="A8" s="80">
        <v>7</v>
      </c>
      <c r="B8" s="80" t="s">
        <v>4903</v>
      </c>
      <c r="C8" s="85">
        <v>3110117005</v>
      </c>
      <c r="D8" s="81"/>
      <c r="E8" s="86"/>
      <c r="F8" s="81"/>
      <c r="G8" s="80" t="s">
        <v>4902</v>
      </c>
      <c r="H8" s="83">
        <v>2025</v>
      </c>
      <c r="I8" s="84"/>
      <c r="J8" s="79"/>
      <c r="K8" s="79"/>
      <c r="L8" s="79"/>
      <c r="M8" s="79"/>
      <c r="N8" s="79"/>
      <c r="O8" s="79"/>
      <c r="P8" s="79"/>
      <c r="Q8" s="79"/>
    </row>
    <row r="9" spans="1:17" ht="15.75" customHeight="1">
      <c r="A9" s="80">
        <v>8</v>
      </c>
      <c r="B9" s="80" t="s">
        <v>4903</v>
      </c>
      <c r="C9" s="85">
        <v>3110117006</v>
      </c>
      <c r="D9" s="81"/>
      <c r="E9" s="86"/>
      <c r="F9" s="81"/>
      <c r="G9" s="80" t="s">
        <v>4902</v>
      </c>
      <c r="H9" s="83">
        <v>2025</v>
      </c>
      <c r="I9" s="84"/>
      <c r="J9" s="79"/>
      <c r="K9" s="79"/>
      <c r="L9" s="79"/>
      <c r="M9" s="79"/>
      <c r="N9" s="79"/>
      <c r="O9" s="79"/>
      <c r="P9" s="79"/>
      <c r="Q9" s="79"/>
    </row>
    <row r="10" spans="1:17" ht="15.75" customHeight="1">
      <c r="A10" s="80">
        <v>9</v>
      </c>
      <c r="B10" s="80" t="s">
        <v>4905</v>
      </c>
      <c r="C10" s="87"/>
      <c r="D10" s="80" t="s">
        <v>4806</v>
      </c>
      <c r="E10" s="82" t="s">
        <v>4899</v>
      </c>
      <c r="F10" s="80" t="s">
        <v>4900</v>
      </c>
      <c r="G10" s="80" t="s">
        <v>4901</v>
      </c>
      <c r="H10" s="83">
        <v>2025</v>
      </c>
      <c r="I10" s="84"/>
      <c r="J10" s="79"/>
      <c r="K10" s="79"/>
      <c r="L10" s="79"/>
      <c r="M10" s="79"/>
      <c r="N10" s="79"/>
      <c r="O10" s="79"/>
      <c r="P10" s="79"/>
      <c r="Q10" s="79"/>
    </row>
    <row r="11" spans="1:17" ht="15.75" customHeight="1">
      <c r="A11" s="80">
        <v>10</v>
      </c>
      <c r="B11" s="80" t="s">
        <v>4905</v>
      </c>
      <c r="C11" s="85">
        <v>3110117007</v>
      </c>
      <c r="D11" s="81"/>
      <c r="E11" s="86"/>
      <c r="F11" s="81"/>
      <c r="G11" s="80" t="s">
        <v>4902</v>
      </c>
      <c r="H11" s="83">
        <v>2025</v>
      </c>
      <c r="I11" s="84"/>
      <c r="J11" s="79"/>
      <c r="K11" s="79"/>
      <c r="L11" s="79"/>
      <c r="M11" s="79"/>
      <c r="N11" s="79"/>
      <c r="O11" s="79"/>
      <c r="P11" s="79"/>
      <c r="Q11" s="79"/>
    </row>
    <row r="12" spans="1:17" ht="15.75" customHeight="1">
      <c r="A12" s="80">
        <v>11</v>
      </c>
      <c r="B12" s="80" t="s">
        <v>4905</v>
      </c>
      <c r="C12" s="85">
        <v>3110117008</v>
      </c>
      <c r="D12" s="81"/>
      <c r="E12" s="86"/>
      <c r="F12" s="81"/>
      <c r="G12" s="80" t="s">
        <v>4902</v>
      </c>
      <c r="H12" s="83">
        <v>2025</v>
      </c>
      <c r="I12" s="84"/>
      <c r="J12" s="79"/>
      <c r="K12" s="79"/>
      <c r="L12" s="79"/>
      <c r="M12" s="79"/>
      <c r="N12" s="79"/>
      <c r="O12" s="79"/>
      <c r="P12" s="79"/>
      <c r="Q12" s="79"/>
    </row>
    <row r="13" spans="1:17" ht="13.8">
      <c r="A13" s="80">
        <v>12</v>
      </c>
      <c r="B13" s="80" t="s">
        <v>4905</v>
      </c>
      <c r="C13" s="80">
        <v>3110117009</v>
      </c>
      <c r="D13" s="86"/>
      <c r="E13" s="86"/>
      <c r="F13" s="81"/>
      <c r="G13" s="80" t="s">
        <v>4902</v>
      </c>
      <c r="H13" s="83">
        <v>2025</v>
      </c>
      <c r="I13" s="84"/>
      <c r="J13" s="79"/>
      <c r="K13" s="79"/>
      <c r="L13" s="79"/>
      <c r="M13" s="79"/>
      <c r="N13" s="79"/>
      <c r="O13" s="79"/>
      <c r="P13" s="79"/>
      <c r="Q13" s="79"/>
    </row>
    <row r="14" spans="1:17" ht="15.75" customHeight="1">
      <c r="A14" s="80">
        <v>13</v>
      </c>
      <c r="B14" s="80" t="s">
        <v>4906</v>
      </c>
      <c r="C14" s="87"/>
      <c r="D14" s="80" t="s">
        <v>4907</v>
      </c>
      <c r="E14" s="82" t="s">
        <v>4899</v>
      </c>
      <c r="F14" s="80" t="s">
        <v>4900</v>
      </c>
      <c r="G14" s="80" t="s">
        <v>4901</v>
      </c>
      <c r="H14" s="83">
        <v>2025</v>
      </c>
      <c r="I14" s="84"/>
      <c r="J14" s="79"/>
      <c r="K14" s="79"/>
      <c r="L14" s="79"/>
      <c r="M14" s="79"/>
      <c r="N14" s="79"/>
      <c r="O14" s="79"/>
      <c r="P14" s="79"/>
      <c r="Q14" s="79"/>
    </row>
    <row r="15" spans="1:17" ht="15.75" customHeight="1">
      <c r="A15" s="80">
        <v>14</v>
      </c>
      <c r="B15" s="80" t="s">
        <v>4906</v>
      </c>
      <c r="C15" s="85">
        <v>3110117010</v>
      </c>
      <c r="D15" s="81"/>
      <c r="E15" s="86"/>
      <c r="F15" s="81"/>
      <c r="G15" s="80" t="s">
        <v>4902</v>
      </c>
      <c r="H15" s="83">
        <v>2025</v>
      </c>
      <c r="I15" s="84"/>
      <c r="J15" s="79"/>
      <c r="K15" s="79"/>
      <c r="L15" s="79"/>
      <c r="M15" s="79"/>
      <c r="N15" s="79"/>
      <c r="O15" s="79"/>
      <c r="P15" s="79"/>
      <c r="Q15" s="79"/>
    </row>
    <row r="16" spans="1:17" ht="15.75" customHeight="1">
      <c r="A16" s="80">
        <v>15</v>
      </c>
      <c r="B16" s="80" t="s">
        <v>4906</v>
      </c>
      <c r="C16" s="85">
        <v>3110117011</v>
      </c>
      <c r="D16" s="81"/>
      <c r="E16" s="86"/>
      <c r="F16" s="81"/>
      <c r="G16" s="80" t="s">
        <v>4902</v>
      </c>
      <c r="H16" s="83">
        <v>2025</v>
      </c>
      <c r="I16" s="84"/>
      <c r="J16" s="79"/>
      <c r="K16" s="79"/>
      <c r="L16" s="79"/>
      <c r="M16" s="79"/>
      <c r="N16" s="79"/>
      <c r="O16" s="79"/>
      <c r="P16" s="79"/>
      <c r="Q16" s="79"/>
    </row>
    <row r="17" spans="1:17" ht="15.75" customHeight="1">
      <c r="A17" s="80">
        <v>16</v>
      </c>
      <c r="B17" s="80" t="s">
        <v>4906</v>
      </c>
      <c r="C17" s="85">
        <v>3110117012</v>
      </c>
      <c r="D17" s="81"/>
      <c r="E17" s="86"/>
      <c r="F17" s="81"/>
      <c r="G17" s="80" t="s">
        <v>4902</v>
      </c>
      <c r="H17" s="83">
        <v>2025</v>
      </c>
      <c r="I17" s="84"/>
      <c r="J17" s="79"/>
      <c r="K17" s="79"/>
      <c r="L17" s="79"/>
      <c r="M17" s="79"/>
      <c r="N17" s="79"/>
      <c r="O17" s="79"/>
      <c r="P17" s="79"/>
      <c r="Q17" s="79"/>
    </row>
    <row r="18" spans="1:17" ht="13.8">
      <c r="A18" s="80">
        <v>17</v>
      </c>
      <c r="B18" s="80" t="s">
        <v>4908</v>
      </c>
      <c r="C18" s="81"/>
      <c r="D18" s="82" t="s">
        <v>4909</v>
      </c>
      <c r="E18" s="82" t="s">
        <v>4910</v>
      </c>
      <c r="F18" s="80" t="s">
        <v>4911</v>
      </c>
      <c r="G18" s="80" t="s">
        <v>4901</v>
      </c>
      <c r="H18" s="83">
        <v>2025</v>
      </c>
      <c r="I18" s="84"/>
      <c r="J18" s="79"/>
      <c r="K18" s="79"/>
      <c r="L18" s="79"/>
      <c r="M18" s="79"/>
      <c r="N18" s="79"/>
      <c r="O18" s="79"/>
      <c r="P18" s="79"/>
      <c r="Q18" s="79"/>
    </row>
    <row r="19" spans="1:17" ht="13.8">
      <c r="A19" s="80">
        <v>18</v>
      </c>
      <c r="B19" s="80" t="s">
        <v>4908</v>
      </c>
      <c r="C19" s="80">
        <v>3110117013</v>
      </c>
      <c r="D19" s="86"/>
      <c r="E19" s="86"/>
      <c r="F19" s="81"/>
      <c r="G19" s="80" t="s">
        <v>4902</v>
      </c>
      <c r="H19" s="83">
        <v>2025</v>
      </c>
      <c r="I19" s="84"/>
      <c r="J19" s="79"/>
      <c r="K19" s="79"/>
      <c r="L19" s="79"/>
      <c r="M19" s="79"/>
      <c r="N19" s="79"/>
      <c r="O19" s="79"/>
      <c r="P19" s="79"/>
      <c r="Q19" s="79"/>
    </row>
    <row r="20" spans="1:17" ht="15.75" customHeight="1">
      <c r="A20" s="80">
        <v>19</v>
      </c>
      <c r="B20" s="80" t="s">
        <v>4908</v>
      </c>
      <c r="C20" s="85">
        <v>3110117014</v>
      </c>
      <c r="D20" s="81"/>
      <c r="E20" s="86"/>
      <c r="F20" s="81"/>
      <c r="G20" s="80" t="s">
        <v>4902</v>
      </c>
      <c r="H20" s="83">
        <v>2025</v>
      </c>
      <c r="I20" s="84"/>
      <c r="J20" s="79"/>
      <c r="K20" s="79"/>
      <c r="L20" s="79"/>
      <c r="M20" s="79"/>
      <c r="N20" s="79"/>
      <c r="O20" s="79"/>
      <c r="P20" s="79"/>
      <c r="Q20" s="79"/>
    </row>
    <row r="21" spans="1:17" ht="15.75" customHeight="1">
      <c r="A21" s="80">
        <v>20</v>
      </c>
      <c r="B21" s="80" t="s">
        <v>4908</v>
      </c>
      <c r="C21" s="85">
        <v>3110117015</v>
      </c>
      <c r="D21" s="81"/>
      <c r="E21" s="86"/>
      <c r="F21" s="81"/>
      <c r="G21" s="80" t="s">
        <v>4902</v>
      </c>
      <c r="H21" s="83">
        <v>2025</v>
      </c>
      <c r="I21" s="84"/>
      <c r="J21" s="79"/>
      <c r="K21" s="79"/>
      <c r="L21" s="79"/>
      <c r="M21" s="79"/>
      <c r="N21" s="79"/>
      <c r="O21" s="79"/>
      <c r="P21" s="79"/>
      <c r="Q21" s="79"/>
    </row>
    <row r="22" spans="1:17" ht="13.8">
      <c r="A22" s="80">
        <v>21</v>
      </c>
      <c r="B22" s="80" t="s">
        <v>4912</v>
      </c>
      <c r="C22" s="81"/>
      <c r="D22" s="82" t="s">
        <v>4913</v>
      </c>
      <c r="E22" s="82" t="s">
        <v>4910</v>
      </c>
      <c r="F22" s="80" t="s">
        <v>4911</v>
      </c>
      <c r="G22" s="80" t="s">
        <v>4901</v>
      </c>
      <c r="H22" s="83">
        <v>2025</v>
      </c>
      <c r="I22" s="84"/>
      <c r="J22" s="79"/>
      <c r="K22" s="79"/>
      <c r="L22" s="79"/>
      <c r="M22" s="79"/>
      <c r="N22" s="79"/>
      <c r="O22" s="79"/>
      <c r="P22" s="79"/>
      <c r="Q22" s="79"/>
    </row>
    <row r="23" spans="1:17" ht="15.75" customHeight="1">
      <c r="A23" s="80">
        <v>22</v>
      </c>
      <c r="B23" s="80" t="s">
        <v>4912</v>
      </c>
      <c r="C23" s="85">
        <v>3110117001</v>
      </c>
      <c r="D23" s="81"/>
      <c r="E23" s="86"/>
      <c r="F23" s="81"/>
      <c r="G23" s="80" t="s">
        <v>4902</v>
      </c>
      <c r="H23" s="83">
        <v>2025</v>
      </c>
      <c r="I23" s="84"/>
      <c r="J23" s="79"/>
      <c r="K23" s="79"/>
      <c r="L23" s="79"/>
      <c r="M23" s="79"/>
      <c r="N23" s="79"/>
      <c r="O23" s="79"/>
      <c r="P23" s="79"/>
      <c r="Q23" s="79"/>
    </row>
    <row r="24" spans="1:17" ht="15.75" customHeight="1">
      <c r="A24" s="80">
        <v>23</v>
      </c>
      <c r="B24" s="80" t="s">
        <v>4912</v>
      </c>
      <c r="C24" s="85">
        <v>3110117002</v>
      </c>
      <c r="D24" s="81"/>
      <c r="E24" s="86"/>
      <c r="F24" s="81"/>
      <c r="G24" s="80" t="s">
        <v>4902</v>
      </c>
      <c r="H24" s="83">
        <v>2025</v>
      </c>
      <c r="I24" s="84"/>
      <c r="J24" s="79"/>
      <c r="K24" s="79"/>
      <c r="L24" s="79"/>
      <c r="M24" s="79"/>
      <c r="N24" s="79"/>
      <c r="O24" s="79"/>
      <c r="P24" s="79"/>
      <c r="Q24" s="79"/>
    </row>
    <row r="25" spans="1:17" ht="13.8">
      <c r="A25" s="80">
        <v>24</v>
      </c>
      <c r="B25" s="80" t="s">
        <v>4912</v>
      </c>
      <c r="C25" s="80">
        <v>3110117003</v>
      </c>
      <c r="D25" s="86"/>
      <c r="E25" s="86"/>
      <c r="F25" s="81"/>
      <c r="G25" s="80" t="s">
        <v>4902</v>
      </c>
      <c r="H25" s="83">
        <v>2025</v>
      </c>
      <c r="I25" s="84"/>
      <c r="J25" s="79"/>
      <c r="K25" s="79"/>
      <c r="L25" s="79"/>
      <c r="M25" s="79"/>
      <c r="N25" s="79"/>
      <c r="O25" s="79"/>
      <c r="P25" s="79"/>
      <c r="Q25" s="79"/>
    </row>
    <row r="26" spans="1:17" ht="15.75" customHeight="1">
      <c r="A26" s="80">
        <v>25</v>
      </c>
      <c r="B26" s="80" t="s">
        <v>4914</v>
      </c>
      <c r="C26" s="87"/>
      <c r="D26" s="80" t="s">
        <v>4915</v>
      </c>
      <c r="E26" s="82" t="s">
        <v>4910</v>
      </c>
      <c r="F26" s="80" t="s">
        <v>4911</v>
      </c>
      <c r="G26" s="80" t="s">
        <v>4901</v>
      </c>
      <c r="H26" s="83">
        <v>2025</v>
      </c>
      <c r="I26" s="84"/>
      <c r="J26" s="79"/>
      <c r="K26" s="79"/>
      <c r="L26" s="79"/>
      <c r="M26" s="79"/>
      <c r="N26" s="79"/>
      <c r="O26" s="79"/>
      <c r="P26" s="79"/>
      <c r="Q26" s="79"/>
    </row>
    <row r="27" spans="1:17" ht="15.75" customHeight="1">
      <c r="A27" s="80">
        <v>26</v>
      </c>
      <c r="B27" s="80" t="s">
        <v>4914</v>
      </c>
      <c r="C27" s="85">
        <v>3110117004</v>
      </c>
      <c r="D27" s="81"/>
      <c r="E27" s="86"/>
      <c r="F27" s="81"/>
      <c r="G27" s="80" t="s">
        <v>4902</v>
      </c>
      <c r="H27" s="83">
        <v>2025</v>
      </c>
      <c r="I27" s="84"/>
      <c r="J27" s="79"/>
      <c r="K27" s="79"/>
      <c r="L27" s="79"/>
      <c r="M27" s="79"/>
      <c r="N27" s="79"/>
      <c r="O27" s="79"/>
      <c r="P27" s="79"/>
      <c r="Q27" s="79"/>
    </row>
    <row r="28" spans="1:17" ht="13.8">
      <c r="A28" s="83">
        <v>27</v>
      </c>
      <c r="B28" s="83" t="s">
        <v>4914</v>
      </c>
      <c r="C28" s="83">
        <v>3110117005</v>
      </c>
      <c r="D28" s="88"/>
      <c r="E28" s="86"/>
      <c r="F28" s="81"/>
      <c r="G28" s="83" t="s">
        <v>4902</v>
      </c>
      <c r="H28" s="83">
        <v>2025</v>
      </c>
      <c r="I28" s="84"/>
      <c r="J28" s="79"/>
      <c r="K28" s="79"/>
      <c r="L28" s="79"/>
      <c r="M28" s="79"/>
      <c r="N28" s="79"/>
      <c r="O28" s="79"/>
      <c r="P28" s="79"/>
      <c r="Q28" s="79"/>
    </row>
    <row r="29" spans="1:17" ht="13.8">
      <c r="A29" s="83">
        <v>28</v>
      </c>
      <c r="B29" s="83" t="s">
        <v>4914</v>
      </c>
      <c r="C29" s="83">
        <v>3110117006</v>
      </c>
      <c r="D29" s="88"/>
      <c r="E29" s="86"/>
      <c r="F29" s="81"/>
      <c r="G29" s="83" t="s">
        <v>4902</v>
      </c>
      <c r="H29" s="83">
        <v>2025</v>
      </c>
      <c r="I29" s="84"/>
      <c r="J29" s="79"/>
      <c r="K29" s="79"/>
      <c r="L29" s="79"/>
      <c r="M29" s="79"/>
      <c r="N29" s="79"/>
      <c r="O29" s="79"/>
      <c r="P29" s="79"/>
      <c r="Q29" s="79"/>
    </row>
    <row r="30" spans="1:17" ht="13.8">
      <c r="A30" s="83">
        <v>29</v>
      </c>
      <c r="B30" s="83" t="s">
        <v>4916</v>
      </c>
      <c r="C30" s="88"/>
      <c r="D30" s="83" t="s">
        <v>4917</v>
      </c>
      <c r="E30" s="82" t="s">
        <v>4910</v>
      </c>
      <c r="F30" s="80" t="s">
        <v>4911</v>
      </c>
      <c r="G30" s="83" t="s">
        <v>4901</v>
      </c>
      <c r="H30" s="83">
        <v>2025</v>
      </c>
      <c r="I30" s="84"/>
      <c r="J30" s="79"/>
      <c r="K30" s="79"/>
      <c r="L30" s="79"/>
      <c r="M30" s="79"/>
      <c r="N30" s="79"/>
      <c r="O30" s="79"/>
      <c r="P30" s="79"/>
      <c r="Q30" s="79"/>
    </row>
    <row r="31" spans="1:17" ht="13.8">
      <c r="A31" s="83">
        <v>30</v>
      </c>
      <c r="B31" s="83" t="s">
        <v>4916</v>
      </c>
      <c r="C31" s="83">
        <v>3110117007</v>
      </c>
      <c r="D31" s="88"/>
      <c r="E31" s="86"/>
      <c r="F31" s="81"/>
      <c r="G31" s="83" t="s">
        <v>4902</v>
      </c>
      <c r="H31" s="83">
        <v>2025</v>
      </c>
      <c r="I31" s="84"/>
      <c r="J31" s="79"/>
      <c r="K31" s="79"/>
      <c r="L31" s="79"/>
      <c r="M31" s="79"/>
      <c r="N31" s="79"/>
      <c r="O31" s="79"/>
      <c r="P31" s="79"/>
      <c r="Q31" s="79"/>
    </row>
    <row r="32" spans="1:17" ht="13.8">
      <c r="A32" s="83">
        <v>31</v>
      </c>
      <c r="B32" s="83" t="s">
        <v>4916</v>
      </c>
      <c r="C32" s="83">
        <v>3110117008</v>
      </c>
      <c r="D32" s="88"/>
      <c r="E32" s="86"/>
      <c r="F32" s="81"/>
      <c r="G32" s="83" t="s">
        <v>4902</v>
      </c>
      <c r="H32" s="83">
        <v>2025</v>
      </c>
      <c r="I32" s="84"/>
      <c r="J32" s="79"/>
      <c r="K32" s="79"/>
      <c r="L32" s="79"/>
      <c r="M32" s="79"/>
      <c r="N32" s="79"/>
      <c r="O32" s="79"/>
      <c r="P32" s="79"/>
      <c r="Q32" s="79"/>
    </row>
    <row r="33" spans="1:17" ht="13.8">
      <c r="A33" s="83">
        <v>32</v>
      </c>
      <c r="B33" s="83" t="s">
        <v>4916</v>
      </c>
      <c r="C33" s="83">
        <v>3110117009</v>
      </c>
      <c r="D33" s="88"/>
      <c r="E33" s="86"/>
      <c r="F33" s="81"/>
      <c r="G33" s="83" t="s">
        <v>4902</v>
      </c>
      <c r="H33" s="83">
        <v>2025</v>
      </c>
      <c r="I33" s="84"/>
      <c r="J33" s="79"/>
      <c r="K33" s="79"/>
      <c r="L33" s="79"/>
      <c r="M33" s="79"/>
      <c r="N33" s="79"/>
      <c r="O33" s="79"/>
      <c r="P33" s="79"/>
      <c r="Q33" s="79"/>
    </row>
    <row r="34" spans="1:17" ht="13.8">
      <c r="A34" s="83">
        <v>33</v>
      </c>
      <c r="B34" s="83" t="s">
        <v>4918</v>
      </c>
      <c r="C34" s="88"/>
      <c r="D34" s="83" t="s">
        <v>4919</v>
      </c>
      <c r="E34" s="82" t="s">
        <v>4910</v>
      </c>
      <c r="F34" s="80" t="s">
        <v>4911</v>
      </c>
      <c r="G34" s="83" t="s">
        <v>4901</v>
      </c>
      <c r="H34" s="83">
        <v>2025</v>
      </c>
      <c r="I34" s="84"/>
      <c r="J34" s="79"/>
      <c r="K34" s="79"/>
      <c r="L34" s="79"/>
      <c r="M34" s="79"/>
      <c r="N34" s="79"/>
      <c r="O34" s="79"/>
      <c r="P34" s="79"/>
      <c r="Q34" s="79"/>
    </row>
    <row r="35" spans="1:17" ht="13.8">
      <c r="A35" s="83">
        <v>34</v>
      </c>
      <c r="B35" s="83" t="s">
        <v>4918</v>
      </c>
      <c r="C35" s="83">
        <v>3110117010</v>
      </c>
      <c r="D35" s="88"/>
      <c r="E35" s="86"/>
      <c r="F35" s="81"/>
      <c r="G35" s="83" t="s">
        <v>4902</v>
      </c>
      <c r="H35" s="83">
        <v>2025</v>
      </c>
      <c r="I35" s="84"/>
      <c r="J35" s="79"/>
      <c r="K35" s="79"/>
      <c r="L35" s="79"/>
      <c r="M35" s="79"/>
      <c r="N35" s="79"/>
      <c r="O35" s="79"/>
      <c r="P35" s="79"/>
      <c r="Q35" s="79"/>
    </row>
    <row r="36" spans="1:17" ht="13.8">
      <c r="A36" s="83">
        <v>35</v>
      </c>
      <c r="B36" s="83" t="s">
        <v>4918</v>
      </c>
      <c r="C36" s="83">
        <v>3110117011</v>
      </c>
      <c r="D36" s="88"/>
      <c r="E36" s="86"/>
      <c r="F36" s="81"/>
      <c r="G36" s="83" t="s">
        <v>4902</v>
      </c>
      <c r="H36" s="83">
        <v>2025</v>
      </c>
      <c r="I36" s="84"/>
      <c r="J36" s="79"/>
      <c r="K36" s="79"/>
      <c r="L36" s="79"/>
      <c r="M36" s="79"/>
      <c r="N36" s="79"/>
      <c r="O36" s="79"/>
      <c r="P36" s="79"/>
      <c r="Q36" s="79"/>
    </row>
    <row r="37" spans="1:17" ht="13.8">
      <c r="A37" s="83">
        <v>36</v>
      </c>
      <c r="B37" s="83" t="s">
        <v>4918</v>
      </c>
      <c r="C37" s="83">
        <v>3110117012</v>
      </c>
      <c r="D37" s="88"/>
      <c r="E37" s="86"/>
      <c r="F37" s="81"/>
      <c r="G37" s="83" t="s">
        <v>4902</v>
      </c>
      <c r="H37" s="83">
        <v>2025</v>
      </c>
      <c r="I37" s="84"/>
      <c r="J37" s="79"/>
      <c r="K37" s="79"/>
      <c r="L37" s="79"/>
      <c r="M37" s="79"/>
      <c r="N37" s="79"/>
      <c r="O37" s="79"/>
      <c r="P37" s="79"/>
      <c r="Q37" s="79"/>
    </row>
    <row r="38" spans="1:17" ht="13.8">
      <c r="A38" s="83">
        <v>37</v>
      </c>
      <c r="B38" s="83" t="s">
        <v>4920</v>
      </c>
      <c r="C38" s="88"/>
      <c r="D38" s="83" t="s">
        <v>4921</v>
      </c>
      <c r="E38" s="82" t="s">
        <v>4910</v>
      </c>
      <c r="F38" s="80" t="s">
        <v>4911</v>
      </c>
      <c r="G38" s="83" t="s">
        <v>4901</v>
      </c>
      <c r="H38" s="83">
        <v>2025</v>
      </c>
      <c r="I38" s="84"/>
      <c r="J38" s="79"/>
      <c r="K38" s="79"/>
      <c r="L38" s="79"/>
      <c r="M38" s="79"/>
      <c r="N38" s="79"/>
      <c r="O38" s="79"/>
      <c r="P38" s="79"/>
      <c r="Q38" s="79"/>
    </row>
    <row r="39" spans="1:17" ht="13.8">
      <c r="A39" s="83">
        <v>38</v>
      </c>
      <c r="B39" s="83" t="s">
        <v>4920</v>
      </c>
      <c r="C39" s="83">
        <v>3110117013</v>
      </c>
      <c r="D39" s="88"/>
      <c r="E39" s="86"/>
      <c r="F39" s="81"/>
      <c r="G39" s="83" t="s">
        <v>4902</v>
      </c>
      <c r="H39" s="83">
        <v>2025</v>
      </c>
      <c r="I39" s="84"/>
      <c r="J39" s="79"/>
      <c r="K39" s="79"/>
      <c r="L39" s="79"/>
      <c r="M39" s="79"/>
      <c r="N39" s="79"/>
      <c r="O39" s="79"/>
      <c r="P39" s="79"/>
      <c r="Q39" s="79"/>
    </row>
    <row r="40" spans="1:17" ht="13.8">
      <c r="A40" s="83">
        <v>39</v>
      </c>
      <c r="B40" s="83" t="s">
        <v>4920</v>
      </c>
      <c r="C40" s="83">
        <v>3110117014</v>
      </c>
      <c r="D40" s="88"/>
      <c r="E40" s="86"/>
      <c r="F40" s="81"/>
      <c r="G40" s="83" t="s">
        <v>4902</v>
      </c>
      <c r="H40" s="83">
        <v>2025</v>
      </c>
      <c r="I40" s="84"/>
      <c r="J40" s="79"/>
      <c r="K40" s="79"/>
      <c r="L40" s="79"/>
      <c r="M40" s="79"/>
      <c r="N40" s="79"/>
      <c r="O40" s="79"/>
      <c r="P40" s="79"/>
      <c r="Q40" s="79"/>
    </row>
    <row r="41" spans="1:17" ht="13.8">
      <c r="A41" s="83">
        <v>40</v>
      </c>
      <c r="B41" s="83" t="s">
        <v>4920</v>
      </c>
      <c r="C41" s="83">
        <v>3110117015</v>
      </c>
      <c r="D41" s="88"/>
      <c r="E41" s="86"/>
      <c r="F41" s="81"/>
      <c r="G41" s="83" t="s">
        <v>4902</v>
      </c>
      <c r="H41" s="83">
        <v>2025</v>
      </c>
      <c r="I41" s="84"/>
      <c r="J41" s="79"/>
      <c r="K41" s="79"/>
      <c r="L41" s="79"/>
      <c r="M41" s="79"/>
      <c r="N41" s="79"/>
      <c r="O41" s="79"/>
      <c r="P41" s="79"/>
      <c r="Q41" s="79"/>
    </row>
    <row r="42" spans="1:17" ht="13.8">
      <c r="A42" s="83">
        <v>41</v>
      </c>
      <c r="B42" s="83" t="s">
        <v>4922</v>
      </c>
      <c r="C42" s="88"/>
      <c r="D42" s="83" t="s">
        <v>4923</v>
      </c>
      <c r="E42" s="82" t="s">
        <v>4910</v>
      </c>
      <c r="F42" s="80" t="s">
        <v>4911</v>
      </c>
      <c r="G42" s="83" t="s">
        <v>4901</v>
      </c>
      <c r="H42" s="83">
        <v>2025</v>
      </c>
      <c r="I42" s="84"/>
      <c r="J42" s="79"/>
      <c r="K42" s="79"/>
      <c r="L42" s="79"/>
      <c r="M42" s="79"/>
      <c r="N42" s="79"/>
      <c r="O42" s="79"/>
      <c r="P42" s="79"/>
      <c r="Q42" s="79"/>
    </row>
    <row r="43" spans="1:17" ht="13.8">
      <c r="A43" s="83">
        <v>42</v>
      </c>
      <c r="B43" s="83" t="s">
        <v>4922</v>
      </c>
      <c r="C43" s="83">
        <v>3110117001</v>
      </c>
      <c r="D43" s="88"/>
      <c r="E43" s="86"/>
      <c r="F43" s="81"/>
      <c r="G43" s="83" t="s">
        <v>4902</v>
      </c>
      <c r="H43" s="83">
        <v>2025</v>
      </c>
      <c r="I43" s="84"/>
      <c r="J43" s="79"/>
      <c r="K43" s="79"/>
      <c r="L43" s="79"/>
      <c r="M43" s="79"/>
      <c r="N43" s="79"/>
      <c r="O43" s="79"/>
      <c r="P43" s="79"/>
      <c r="Q43" s="79"/>
    </row>
    <row r="44" spans="1:17" ht="13.8">
      <c r="A44" s="83">
        <v>43</v>
      </c>
      <c r="B44" s="83" t="s">
        <v>4922</v>
      </c>
      <c r="C44" s="83">
        <v>3110117002</v>
      </c>
      <c r="D44" s="88"/>
      <c r="E44" s="86"/>
      <c r="F44" s="81"/>
      <c r="G44" s="83" t="s">
        <v>4902</v>
      </c>
      <c r="H44" s="83">
        <v>2025</v>
      </c>
      <c r="I44" s="84"/>
      <c r="J44" s="79"/>
      <c r="K44" s="79"/>
      <c r="L44" s="79"/>
      <c r="M44" s="79"/>
      <c r="N44" s="79"/>
      <c r="O44" s="79"/>
      <c r="P44" s="79"/>
      <c r="Q44" s="79"/>
    </row>
    <row r="45" spans="1:17" ht="13.8">
      <c r="A45" s="83">
        <v>44</v>
      </c>
      <c r="B45" s="83" t="s">
        <v>4922</v>
      </c>
      <c r="C45" s="83">
        <v>3110117003</v>
      </c>
      <c r="D45" s="88"/>
      <c r="E45" s="86"/>
      <c r="F45" s="81"/>
      <c r="G45" s="83" t="s">
        <v>4902</v>
      </c>
      <c r="H45" s="83">
        <v>2025</v>
      </c>
      <c r="I45" s="84"/>
      <c r="J45" s="79"/>
      <c r="K45" s="79"/>
      <c r="L45" s="79"/>
      <c r="M45" s="79"/>
      <c r="N45" s="79"/>
      <c r="O45" s="79"/>
      <c r="P45" s="79"/>
      <c r="Q45" s="79"/>
    </row>
    <row r="46" spans="1:17" ht="13.8">
      <c r="A46" s="83">
        <v>45</v>
      </c>
      <c r="B46" s="83" t="s">
        <v>4924</v>
      </c>
      <c r="C46" s="88"/>
      <c r="D46" s="83" t="s">
        <v>4925</v>
      </c>
      <c r="E46" s="82" t="s">
        <v>4910</v>
      </c>
      <c r="F46" s="80" t="s">
        <v>4911</v>
      </c>
      <c r="G46" s="83" t="s">
        <v>4901</v>
      </c>
      <c r="H46" s="83">
        <v>2025</v>
      </c>
      <c r="I46" s="84"/>
      <c r="J46" s="79"/>
      <c r="K46" s="79"/>
      <c r="L46" s="79"/>
      <c r="M46" s="79"/>
      <c r="N46" s="79"/>
      <c r="O46" s="79"/>
      <c r="P46" s="79"/>
      <c r="Q46" s="79"/>
    </row>
    <row r="47" spans="1:17" ht="13.8">
      <c r="A47" s="83">
        <v>46</v>
      </c>
      <c r="B47" s="83" t="s">
        <v>4924</v>
      </c>
      <c r="C47" s="83">
        <v>3110117004</v>
      </c>
      <c r="D47" s="88"/>
      <c r="E47" s="86"/>
      <c r="F47" s="81"/>
      <c r="G47" s="83" t="s">
        <v>4902</v>
      </c>
      <c r="H47" s="83">
        <v>2025</v>
      </c>
      <c r="I47" s="84"/>
      <c r="J47" s="79"/>
      <c r="K47" s="79"/>
      <c r="L47" s="79"/>
      <c r="M47" s="79"/>
      <c r="N47" s="79"/>
      <c r="O47" s="79"/>
      <c r="P47" s="79"/>
      <c r="Q47" s="79"/>
    </row>
    <row r="48" spans="1:17" ht="13.8">
      <c r="A48" s="83">
        <v>47</v>
      </c>
      <c r="B48" s="83" t="s">
        <v>4924</v>
      </c>
      <c r="C48" s="83">
        <v>3110117005</v>
      </c>
      <c r="D48" s="88"/>
      <c r="E48" s="86"/>
      <c r="F48" s="81"/>
      <c r="G48" s="83" t="s">
        <v>4902</v>
      </c>
      <c r="H48" s="83">
        <v>2025</v>
      </c>
      <c r="I48" s="84"/>
      <c r="J48" s="79"/>
      <c r="K48" s="79"/>
      <c r="L48" s="79"/>
      <c r="M48" s="79"/>
      <c r="N48" s="79"/>
      <c r="O48" s="79"/>
      <c r="P48" s="79"/>
      <c r="Q48" s="79"/>
    </row>
    <row r="49" spans="1:17" ht="13.8">
      <c r="A49" s="83">
        <v>48</v>
      </c>
      <c r="B49" s="83" t="s">
        <v>4924</v>
      </c>
      <c r="C49" s="83">
        <v>3110117006</v>
      </c>
      <c r="D49" s="88"/>
      <c r="E49" s="86"/>
      <c r="F49" s="81"/>
      <c r="G49" s="83" t="s">
        <v>4902</v>
      </c>
      <c r="H49" s="83">
        <v>2025</v>
      </c>
      <c r="I49" s="84"/>
      <c r="J49" s="79"/>
      <c r="K49" s="79"/>
      <c r="L49" s="79"/>
      <c r="M49" s="79"/>
      <c r="N49" s="79"/>
      <c r="O49" s="79"/>
      <c r="P49" s="79"/>
      <c r="Q49" s="79"/>
    </row>
    <row r="50" spans="1:17" ht="13.8">
      <c r="A50" s="83">
        <v>49</v>
      </c>
      <c r="B50" s="83" t="s">
        <v>4926</v>
      </c>
      <c r="C50" s="88"/>
      <c r="D50" s="83" t="s">
        <v>4927</v>
      </c>
      <c r="E50" s="82" t="s">
        <v>4910</v>
      </c>
      <c r="F50" s="80" t="s">
        <v>4911</v>
      </c>
      <c r="G50" s="83" t="s">
        <v>4901</v>
      </c>
      <c r="H50" s="83">
        <v>2025</v>
      </c>
      <c r="I50" s="84"/>
      <c r="J50" s="79"/>
      <c r="K50" s="79"/>
      <c r="L50" s="79"/>
      <c r="M50" s="79"/>
      <c r="N50" s="79"/>
      <c r="O50" s="79"/>
      <c r="P50" s="79"/>
      <c r="Q50" s="79"/>
    </row>
    <row r="51" spans="1:17" ht="13.8">
      <c r="A51" s="83">
        <v>50</v>
      </c>
      <c r="B51" s="83" t="s">
        <v>4926</v>
      </c>
      <c r="C51" s="83">
        <v>3110117007</v>
      </c>
      <c r="D51" s="88"/>
      <c r="E51" s="86"/>
      <c r="F51" s="81"/>
      <c r="G51" s="83" t="s">
        <v>4902</v>
      </c>
      <c r="H51" s="83">
        <v>2025</v>
      </c>
      <c r="I51" s="84"/>
      <c r="J51" s="79"/>
      <c r="K51" s="79"/>
      <c r="L51" s="79"/>
      <c r="M51" s="79"/>
      <c r="N51" s="79"/>
      <c r="O51" s="79"/>
      <c r="P51" s="79"/>
      <c r="Q51" s="79"/>
    </row>
    <row r="52" spans="1:17" ht="13.8">
      <c r="A52" s="83">
        <v>51</v>
      </c>
      <c r="B52" s="83" t="s">
        <v>4926</v>
      </c>
      <c r="C52" s="83">
        <v>3110117008</v>
      </c>
      <c r="D52" s="88"/>
      <c r="E52" s="86"/>
      <c r="F52" s="81"/>
      <c r="G52" s="83" t="s">
        <v>4902</v>
      </c>
      <c r="H52" s="83">
        <v>2025</v>
      </c>
      <c r="I52" s="84"/>
      <c r="J52" s="79"/>
      <c r="K52" s="79"/>
      <c r="L52" s="79"/>
      <c r="M52" s="79"/>
      <c r="N52" s="79"/>
      <c r="O52" s="79"/>
      <c r="P52" s="79"/>
      <c r="Q52" s="79"/>
    </row>
    <row r="53" spans="1:17" ht="13.8">
      <c r="A53" s="83">
        <v>52</v>
      </c>
      <c r="B53" s="83" t="s">
        <v>4926</v>
      </c>
      <c r="C53" s="83">
        <v>3110117009</v>
      </c>
      <c r="D53" s="88"/>
      <c r="E53" s="86"/>
      <c r="F53" s="81"/>
      <c r="G53" s="83" t="s">
        <v>4902</v>
      </c>
      <c r="H53" s="83">
        <v>2025</v>
      </c>
      <c r="I53" s="84"/>
      <c r="J53" s="79"/>
      <c r="K53" s="79"/>
      <c r="L53" s="79"/>
      <c r="M53" s="79"/>
      <c r="N53" s="79"/>
      <c r="O53" s="79"/>
      <c r="P53" s="79"/>
      <c r="Q53" s="79"/>
    </row>
    <row r="54" spans="1:17" ht="13.8">
      <c r="A54" s="83">
        <v>53</v>
      </c>
      <c r="B54" s="83" t="s">
        <v>4928</v>
      </c>
      <c r="C54" s="88"/>
      <c r="D54" s="83" t="s">
        <v>4929</v>
      </c>
      <c r="E54" s="82" t="s">
        <v>4910</v>
      </c>
      <c r="F54" s="80" t="s">
        <v>4911</v>
      </c>
      <c r="G54" s="83" t="s">
        <v>4901</v>
      </c>
      <c r="H54" s="83">
        <v>2025</v>
      </c>
      <c r="I54" s="84"/>
      <c r="J54" s="79"/>
      <c r="K54" s="79"/>
      <c r="L54" s="79"/>
      <c r="M54" s="79"/>
      <c r="N54" s="79"/>
      <c r="O54" s="79"/>
      <c r="P54" s="79"/>
      <c r="Q54" s="79"/>
    </row>
    <row r="55" spans="1:17" ht="13.8">
      <c r="A55" s="83">
        <v>54</v>
      </c>
      <c r="B55" s="83" t="s">
        <v>4928</v>
      </c>
      <c r="C55" s="83">
        <v>3110117010</v>
      </c>
      <c r="D55" s="88"/>
      <c r="E55" s="86"/>
      <c r="F55" s="81"/>
      <c r="G55" s="83" t="s">
        <v>4902</v>
      </c>
      <c r="H55" s="83">
        <v>2025</v>
      </c>
      <c r="I55" s="84"/>
      <c r="J55" s="79"/>
      <c r="K55" s="79"/>
      <c r="L55" s="79"/>
      <c r="M55" s="79"/>
      <c r="N55" s="79"/>
      <c r="O55" s="79"/>
      <c r="P55" s="79"/>
      <c r="Q55" s="79"/>
    </row>
    <row r="56" spans="1:17" ht="13.8">
      <c r="A56" s="83">
        <v>55</v>
      </c>
      <c r="B56" s="83" t="s">
        <v>4928</v>
      </c>
      <c r="C56" s="83">
        <v>3110117011</v>
      </c>
      <c r="D56" s="88"/>
      <c r="E56" s="86"/>
      <c r="F56" s="81"/>
      <c r="G56" s="83" t="s">
        <v>4902</v>
      </c>
      <c r="H56" s="83">
        <v>2025</v>
      </c>
      <c r="I56" s="84"/>
      <c r="J56" s="79"/>
      <c r="K56" s="79"/>
      <c r="L56" s="79"/>
      <c r="M56" s="79"/>
      <c r="N56" s="79"/>
      <c r="O56" s="79"/>
      <c r="P56" s="79"/>
      <c r="Q56" s="79"/>
    </row>
    <row r="57" spans="1:17" ht="13.8">
      <c r="A57" s="83">
        <v>56</v>
      </c>
      <c r="B57" s="83" t="s">
        <v>4928</v>
      </c>
      <c r="C57" s="83">
        <v>3110117012</v>
      </c>
      <c r="D57" s="88"/>
      <c r="E57" s="86"/>
      <c r="F57" s="81"/>
      <c r="G57" s="83" t="s">
        <v>4902</v>
      </c>
      <c r="H57" s="83">
        <v>2025</v>
      </c>
      <c r="I57" s="84"/>
      <c r="J57" s="79"/>
      <c r="K57" s="79"/>
      <c r="L57" s="79"/>
      <c r="M57" s="79"/>
      <c r="N57" s="79"/>
      <c r="O57" s="79"/>
      <c r="P57" s="79"/>
      <c r="Q57" s="79"/>
    </row>
    <row r="58" spans="1:17" ht="13.8">
      <c r="A58" s="83">
        <v>57</v>
      </c>
      <c r="B58" s="83" t="s">
        <v>4930</v>
      </c>
      <c r="C58" s="88"/>
      <c r="D58" s="83" t="s">
        <v>4931</v>
      </c>
      <c r="E58" s="82" t="s">
        <v>4910</v>
      </c>
      <c r="F58" s="80" t="s">
        <v>4911</v>
      </c>
      <c r="G58" s="83" t="s">
        <v>4901</v>
      </c>
      <c r="H58" s="83">
        <v>2025</v>
      </c>
      <c r="I58" s="84"/>
      <c r="J58" s="79"/>
      <c r="K58" s="79"/>
      <c r="L58" s="79"/>
      <c r="M58" s="79"/>
      <c r="N58" s="79"/>
      <c r="O58" s="79"/>
      <c r="P58" s="79"/>
      <c r="Q58" s="79"/>
    </row>
    <row r="59" spans="1:17" ht="13.8">
      <c r="A59" s="83">
        <v>58</v>
      </c>
      <c r="B59" s="83" t="s">
        <v>4930</v>
      </c>
      <c r="C59" s="83">
        <v>3110117013</v>
      </c>
      <c r="D59" s="88"/>
      <c r="E59" s="86"/>
      <c r="F59" s="81"/>
      <c r="G59" s="83" t="s">
        <v>4902</v>
      </c>
      <c r="H59" s="83">
        <v>2025</v>
      </c>
      <c r="I59" s="84"/>
      <c r="J59" s="79"/>
      <c r="K59" s="79"/>
      <c r="L59" s="79"/>
      <c r="M59" s="79"/>
      <c r="N59" s="79"/>
      <c r="O59" s="79"/>
      <c r="P59" s="79"/>
      <c r="Q59" s="79"/>
    </row>
    <row r="60" spans="1:17" ht="13.8">
      <c r="A60" s="83">
        <v>59</v>
      </c>
      <c r="B60" s="83" t="s">
        <v>4930</v>
      </c>
      <c r="C60" s="83">
        <v>3110117014</v>
      </c>
      <c r="D60" s="88"/>
      <c r="E60" s="86"/>
      <c r="F60" s="81"/>
      <c r="G60" s="83" t="s">
        <v>4902</v>
      </c>
      <c r="H60" s="83">
        <v>2025</v>
      </c>
      <c r="I60" s="84"/>
      <c r="J60" s="79"/>
      <c r="K60" s="79"/>
      <c r="L60" s="79"/>
      <c r="M60" s="79"/>
      <c r="N60" s="79"/>
      <c r="O60" s="79"/>
      <c r="P60" s="79"/>
      <c r="Q60" s="79"/>
    </row>
    <row r="61" spans="1:17" ht="13.8">
      <c r="A61" s="83">
        <v>60</v>
      </c>
      <c r="B61" s="83" t="s">
        <v>4930</v>
      </c>
      <c r="C61" s="83">
        <v>3110117015</v>
      </c>
      <c r="D61" s="88"/>
      <c r="E61" s="86"/>
      <c r="F61" s="81"/>
      <c r="G61" s="83" t="s">
        <v>4902</v>
      </c>
      <c r="H61" s="83">
        <v>2025</v>
      </c>
      <c r="I61" s="84"/>
      <c r="J61" s="79"/>
      <c r="K61" s="79"/>
      <c r="L61" s="79"/>
      <c r="M61" s="79"/>
      <c r="N61" s="79"/>
      <c r="O61" s="79"/>
      <c r="P61" s="79"/>
      <c r="Q61" s="79"/>
    </row>
    <row r="62" spans="1:17" ht="13.8">
      <c r="A62" s="83">
        <v>61</v>
      </c>
      <c r="B62" s="83" t="s">
        <v>4932</v>
      </c>
      <c r="C62" s="88"/>
      <c r="D62" s="83" t="s">
        <v>4933</v>
      </c>
      <c r="E62" s="82" t="s">
        <v>4910</v>
      </c>
      <c r="F62" s="80" t="s">
        <v>4911</v>
      </c>
      <c r="G62" s="83" t="s">
        <v>4901</v>
      </c>
      <c r="H62" s="83">
        <v>2025</v>
      </c>
      <c r="I62" s="84"/>
      <c r="J62" s="79"/>
      <c r="K62" s="79"/>
      <c r="L62" s="79"/>
      <c r="M62" s="79"/>
      <c r="N62" s="79"/>
      <c r="O62" s="79"/>
      <c r="P62" s="79"/>
      <c r="Q62" s="79"/>
    </row>
    <row r="63" spans="1:17" ht="13.8">
      <c r="A63" s="83">
        <v>62</v>
      </c>
      <c r="B63" s="83" t="s">
        <v>4932</v>
      </c>
      <c r="C63" s="83">
        <v>3110117001</v>
      </c>
      <c r="D63" s="88"/>
      <c r="E63" s="86"/>
      <c r="F63" s="81"/>
      <c r="G63" s="83" t="s">
        <v>4902</v>
      </c>
      <c r="H63" s="83">
        <v>2025</v>
      </c>
      <c r="I63" s="84"/>
      <c r="J63" s="79"/>
      <c r="K63" s="79"/>
      <c r="L63" s="79"/>
      <c r="M63" s="79"/>
      <c r="N63" s="79"/>
      <c r="O63" s="79"/>
      <c r="P63" s="79"/>
      <c r="Q63" s="79"/>
    </row>
    <row r="64" spans="1:17" ht="13.8">
      <c r="A64" s="83">
        <v>63</v>
      </c>
      <c r="B64" s="83" t="s">
        <v>4932</v>
      </c>
      <c r="C64" s="83">
        <v>3110117002</v>
      </c>
      <c r="D64" s="88"/>
      <c r="E64" s="86"/>
      <c r="F64" s="81"/>
      <c r="G64" s="83" t="s">
        <v>4902</v>
      </c>
      <c r="H64" s="83">
        <v>2025</v>
      </c>
      <c r="I64" s="84"/>
      <c r="J64" s="79"/>
      <c r="K64" s="79"/>
      <c r="L64" s="79"/>
      <c r="M64" s="79"/>
      <c r="N64" s="79"/>
      <c r="O64" s="79"/>
      <c r="P64" s="79"/>
      <c r="Q64" s="79"/>
    </row>
    <row r="65" spans="1:17" ht="13.8">
      <c r="A65" s="83">
        <v>64</v>
      </c>
      <c r="B65" s="83" t="s">
        <v>4932</v>
      </c>
      <c r="C65" s="83">
        <v>3110117003</v>
      </c>
      <c r="D65" s="88"/>
      <c r="E65" s="86"/>
      <c r="F65" s="81"/>
      <c r="G65" s="83" t="s">
        <v>4902</v>
      </c>
      <c r="H65" s="83">
        <v>2025</v>
      </c>
      <c r="I65" s="84"/>
      <c r="J65" s="79"/>
      <c r="K65" s="79"/>
      <c r="L65" s="79"/>
      <c r="M65" s="79"/>
      <c r="N65" s="79"/>
      <c r="O65" s="79"/>
      <c r="P65" s="79"/>
      <c r="Q65" s="79"/>
    </row>
    <row r="66" spans="1:17" ht="13.8">
      <c r="A66" s="83">
        <v>65</v>
      </c>
      <c r="B66" s="83" t="s">
        <v>4934</v>
      </c>
      <c r="C66" s="88"/>
      <c r="D66" s="83" t="s">
        <v>4935</v>
      </c>
      <c r="E66" s="82" t="s">
        <v>4910</v>
      </c>
      <c r="F66" s="80" t="s">
        <v>4911</v>
      </c>
      <c r="G66" s="83" t="s">
        <v>4901</v>
      </c>
      <c r="H66" s="83">
        <v>2025</v>
      </c>
      <c r="I66" s="84"/>
      <c r="J66" s="79"/>
      <c r="K66" s="79"/>
      <c r="L66" s="79"/>
      <c r="M66" s="79"/>
      <c r="N66" s="79"/>
      <c r="O66" s="79"/>
      <c r="P66" s="79"/>
      <c r="Q66" s="79"/>
    </row>
    <row r="67" spans="1:17" ht="13.8">
      <c r="A67" s="83">
        <v>66</v>
      </c>
      <c r="B67" s="83" t="s">
        <v>4934</v>
      </c>
      <c r="C67" s="83">
        <v>3110117004</v>
      </c>
      <c r="D67" s="88"/>
      <c r="E67" s="86"/>
      <c r="F67" s="81"/>
      <c r="G67" s="83" t="s">
        <v>4902</v>
      </c>
      <c r="H67" s="83">
        <v>2025</v>
      </c>
      <c r="I67" s="84"/>
      <c r="J67" s="79"/>
      <c r="K67" s="79"/>
      <c r="L67" s="79"/>
      <c r="M67" s="79"/>
      <c r="N67" s="79"/>
      <c r="O67" s="79"/>
      <c r="P67" s="79"/>
      <c r="Q67" s="79"/>
    </row>
    <row r="68" spans="1:17" ht="13.8">
      <c r="A68" s="83">
        <v>67</v>
      </c>
      <c r="B68" s="83" t="s">
        <v>4934</v>
      </c>
      <c r="C68" s="83">
        <v>3110117005</v>
      </c>
      <c r="D68" s="88"/>
      <c r="E68" s="86"/>
      <c r="F68" s="81"/>
      <c r="G68" s="83" t="s">
        <v>4902</v>
      </c>
      <c r="H68" s="83">
        <v>2025</v>
      </c>
      <c r="I68" s="84"/>
      <c r="J68" s="79"/>
      <c r="K68" s="79"/>
      <c r="L68" s="79"/>
      <c r="M68" s="79"/>
      <c r="N68" s="79"/>
      <c r="O68" s="79"/>
      <c r="P68" s="79"/>
      <c r="Q68" s="79"/>
    </row>
    <row r="69" spans="1:17" ht="13.8">
      <c r="A69" s="83">
        <v>68</v>
      </c>
      <c r="B69" s="83" t="s">
        <v>4934</v>
      </c>
      <c r="C69" s="83">
        <v>3110117006</v>
      </c>
      <c r="D69" s="88"/>
      <c r="E69" s="86"/>
      <c r="F69" s="81"/>
      <c r="G69" s="83" t="s">
        <v>4902</v>
      </c>
      <c r="H69" s="83">
        <v>2025</v>
      </c>
      <c r="I69" s="84"/>
      <c r="J69" s="79"/>
      <c r="K69" s="79"/>
      <c r="L69" s="79"/>
      <c r="M69" s="79"/>
      <c r="N69" s="79"/>
      <c r="O69" s="79"/>
      <c r="P69" s="79"/>
      <c r="Q69" s="79"/>
    </row>
    <row r="70" spans="1:17" ht="13.8">
      <c r="A70" s="83">
        <v>69</v>
      </c>
      <c r="B70" s="83" t="s">
        <v>4936</v>
      </c>
      <c r="C70" s="88"/>
      <c r="D70" s="83" t="s">
        <v>4937</v>
      </c>
      <c r="E70" s="82" t="s">
        <v>4910</v>
      </c>
      <c r="F70" s="80" t="s">
        <v>4911</v>
      </c>
      <c r="G70" s="83" t="s">
        <v>4901</v>
      </c>
      <c r="H70" s="83">
        <v>2025</v>
      </c>
      <c r="I70" s="84"/>
      <c r="J70" s="79"/>
      <c r="K70" s="79"/>
      <c r="L70" s="79"/>
      <c r="M70" s="79"/>
      <c r="N70" s="79"/>
      <c r="O70" s="79"/>
      <c r="P70" s="79"/>
      <c r="Q70" s="79"/>
    </row>
    <row r="71" spans="1:17" ht="13.8">
      <c r="A71" s="83">
        <v>70</v>
      </c>
      <c r="B71" s="83" t="s">
        <v>4936</v>
      </c>
      <c r="C71" s="83">
        <v>3110117007</v>
      </c>
      <c r="D71" s="88"/>
      <c r="E71" s="86"/>
      <c r="F71" s="81"/>
      <c r="G71" s="83" t="s">
        <v>4902</v>
      </c>
      <c r="H71" s="83">
        <v>2025</v>
      </c>
      <c r="I71" s="84"/>
      <c r="J71" s="79"/>
      <c r="K71" s="79"/>
      <c r="L71" s="79"/>
      <c r="M71" s="79"/>
      <c r="N71" s="79"/>
      <c r="O71" s="79"/>
      <c r="P71" s="79"/>
      <c r="Q71" s="79"/>
    </row>
    <row r="72" spans="1:17" ht="13.8">
      <c r="A72" s="83">
        <v>71</v>
      </c>
      <c r="B72" s="83" t="s">
        <v>4936</v>
      </c>
      <c r="C72" s="83">
        <v>3110117008</v>
      </c>
      <c r="D72" s="88"/>
      <c r="E72" s="86"/>
      <c r="F72" s="81"/>
      <c r="G72" s="83" t="s">
        <v>4902</v>
      </c>
      <c r="H72" s="83">
        <v>2025</v>
      </c>
      <c r="I72" s="84"/>
      <c r="J72" s="79"/>
      <c r="K72" s="79"/>
      <c r="L72" s="79"/>
      <c r="M72" s="79"/>
      <c r="N72" s="79"/>
      <c r="O72" s="79"/>
      <c r="P72" s="79"/>
      <c r="Q72" s="79"/>
    </row>
    <row r="73" spans="1:17" ht="13.8">
      <c r="A73" s="83">
        <v>72</v>
      </c>
      <c r="B73" s="83" t="s">
        <v>4936</v>
      </c>
      <c r="C73" s="83">
        <v>3110117009</v>
      </c>
      <c r="D73" s="88"/>
      <c r="E73" s="86"/>
      <c r="F73" s="81"/>
      <c r="G73" s="83" t="s">
        <v>4902</v>
      </c>
      <c r="H73" s="83">
        <v>2025</v>
      </c>
      <c r="I73" s="84"/>
      <c r="J73" s="79"/>
      <c r="K73" s="79"/>
      <c r="L73" s="79"/>
      <c r="M73" s="79"/>
      <c r="N73" s="79"/>
      <c r="O73" s="79"/>
      <c r="P73" s="79"/>
      <c r="Q73" s="79"/>
    </row>
    <row r="74" spans="1:17" ht="13.8">
      <c r="A74" s="83">
        <v>73</v>
      </c>
      <c r="B74" s="83" t="s">
        <v>4938</v>
      </c>
      <c r="C74" s="88"/>
      <c r="D74" s="83" t="s">
        <v>4939</v>
      </c>
      <c r="E74" s="82" t="s">
        <v>4910</v>
      </c>
      <c r="F74" s="80" t="s">
        <v>4911</v>
      </c>
      <c r="G74" s="83" t="s">
        <v>4901</v>
      </c>
      <c r="H74" s="83">
        <v>2025</v>
      </c>
      <c r="I74" s="84"/>
      <c r="J74" s="79"/>
      <c r="K74" s="79"/>
      <c r="L74" s="79"/>
      <c r="M74" s="79"/>
      <c r="N74" s="79"/>
      <c r="O74" s="79"/>
      <c r="P74" s="79"/>
      <c r="Q74" s="79"/>
    </row>
    <row r="75" spans="1:17" ht="13.8">
      <c r="A75" s="83">
        <v>74</v>
      </c>
      <c r="B75" s="83" t="s">
        <v>4938</v>
      </c>
      <c r="C75" s="83">
        <v>3110117010</v>
      </c>
      <c r="D75" s="88"/>
      <c r="E75" s="86"/>
      <c r="F75" s="81"/>
      <c r="G75" s="83" t="s">
        <v>4902</v>
      </c>
      <c r="H75" s="83">
        <v>2025</v>
      </c>
      <c r="I75" s="84"/>
      <c r="J75" s="79"/>
      <c r="K75" s="79"/>
      <c r="L75" s="79"/>
      <c r="M75" s="79"/>
      <c r="N75" s="79"/>
      <c r="O75" s="79"/>
      <c r="P75" s="79"/>
      <c r="Q75" s="79"/>
    </row>
    <row r="76" spans="1:17" ht="13.8">
      <c r="A76" s="83">
        <v>75</v>
      </c>
      <c r="B76" s="83" t="s">
        <v>4938</v>
      </c>
      <c r="C76" s="83">
        <v>3110117011</v>
      </c>
      <c r="D76" s="88"/>
      <c r="E76" s="86"/>
      <c r="F76" s="81"/>
      <c r="G76" s="83" t="s">
        <v>4902</v>
      </c>
      <c r="H76" s="83">
        <v>2025</v>
      </c>
      <c r="I76" s="84"/>
      <c r="J76" s="79"/>
      <c r="K76" s="79"/>
      <c r="L76" s="79"/>
      <c r="M76" s="79"/>
      <c r="N76" s="79"/>
      <c r="O76" s="79"/>
      <c r="P76" s="79"/>
      <c r="Q76" s="79"/>
    </row>
    <row r="77" spans="1:17" ht="13.8">
      <c r="A77" s="83">
        <v>76</v>
      </c>
      <c r="B77" s="83" t="s">
        <v>4938</v>
      </c>
      <c r="C77" s="83">
        <v>3110117012</v>
      </c>
      <c r="D77" s="88"/>
      <c r="E77" s="86"/>
      <c r="F77" s="81"/>
      <c r="G77" s="83" t="s">
        <v>4902</v>
      </c>
      <c r="H77" s="83">
        <v>2025</v>
      </c>
      <c r="I77" s="84"/>
      <c r="J77" s="79"/>
      <c r="K77" s="79"/>
      <c r="L77" s="79"/>
      <c r="M77" s="79"/>
      <c r="N77" s="79"/>
      <c r="O77" s="79"/>
      <c r="P77" s="79"/>
      <c r="Q77" s="79"/>
    </row>
    <row r="78" spans="1:17" ht="13.8">
      <c r="A78" s="83">
        <v>77</v>
      </c>
      <c r="B78" s="83" t="s">
        <v>4940</v>
      </c>
      <c r="C78" s="88"/>
      <c r="D78" s="83" t="s">
        <v>4941</v>
      </c>
      <c r="E78" s="82" t="s">
        <v>4910</v>
      </c>
      <c r="F78" s="80" t="s">
        <v>4911</v>
      </c>
      <c r="G78" s="83" t="s">
        <v>4901</v>
      </c>
      <c r="H78" s="83">
        <v>2025</v>
      </c>
      <c r="I78" s="84"/>
      <c r="J78" s="79"/>
      <c r="K78" s="79"/>
      <c r="L78" s="79"/>
      <c r="M78" s="79"/>
      <c r="N78" s="79"/>
      <c r="O78" s="79"/>
      <c r="P78" s="79"/>
      <c r="Q78" s="79"/>
    </row>
    <row r="79" spans="1:17" ht="13.8">
      <c r="A79" s="83">
        <v>78</v>
      </c>
      <c r="B79" s="83" t="s">
        <v>4940</v>
      </c>
      <c r="C79" s="83">
        <v>3110117013</v>
      </c>
      <c r="D79" s="88"/>
      <c r="E79" s="86"/>
      <c r="F79" s="81"/>
      <c r="G79" s="83" t="s">
        <v>4902</v>
      </c>
      <c r="H79" s="83">
        <v>2025</v>
      </c>
      <c r="I79" s="84"/>
      <c r="J79" s="79"/>
      <c r="K79" s="79"/>
      <c r="L79" s="79"/>
      <c r="M79" s="79"/>
      <c r="N79" s="79"/>
      <c r="O79" s="79"/>
      <c r="P79" s="79"/>
      <c r="Q79" s="79"/>
    </row>
    <row r="80" spans="1:17" ht="13.8">
      <c r="A80" s="83">
        <v>79</v>
      </c>
      <c r="B80" s="83" t="s">
        <v>4940</v>
      </c>
      <c r="C80" s="83">
        <v>3110117014</v>
      </c>
      <c r="D80" s="88"/>
      <c r="E80" s="86"/>
      <c r="F80" s="81"/>
      <c r="G80" s="83" t="s">
        <v>4902</v>
      </c>
      <c r="H80" s="83">
        <v>2025</v>
      </c>
      <c r="I80" s="84"/>
      <c r="J80" s="79"/>
      <c r="K80" s="79"/>
      <c r="L80" s="79"/>
      <c r="M80" s="79"/>
      <c r="N80" s="79"/>
      <c r="O80" s="79"/>
      <c r="P80" s="79"/>
      <c r="Q80" s="79"/>
    </row>
    <row r="81" spans="1:17" ht="13.8">
      <c r="A81" s="83">
        <v>80</v>
      </c>
      <c r="B81" s="83" t="s">
        <v>4940</v>
      </c>
      <c r="C81" s="83">
        <v>3110117015</v>
      </c>
      <c r="D81" s="88"/>
      <c r="E81" s="86"/>
      <c r="F81" s="81"/>
      <c r="G81" s="83" t="s">
        <v>4902</v>
      </c>
      <c r="H81" s="83">
        <v>2025</v>
      </c>
      <c r="I81" s="84"/>
      <c r="J81" s="79"/>
      <c r="K81" s="79"/>
      <c r="L81" s="79"/>
      <c r="M81" s="79"/>
      <c r="N81" s="79"/>
      <c r="O81" s="79"/>
      <c r="P81" s="79"/>
      <c r="Q81" s="79"/>
    </row>
    <row r="82" spans="1:17" ht="13.8">
      <c r="A82" s="83">
        <v>81</v>
      </c>
      <c r="B82" s="83" t="s">
        <v>4942</v>
      </c>
      <c r="C82" s="88"/>
      <c r="D82" s="83" t="s">
        <v>4943</v>
      </c>
      <c r="E82" s="82" t="s">
        <v>4910</v>
      </c>
      <c r="F82" s="80" t="s">
        <v>4911</v>
      </c>
      <c r="G82" s="83" t="s">
        <v>4901</v>
      </c>
      <c r="H82" s="83">
        <v>2025</v>
      </c>
      <c r="I82" s="84"/>
      <c r="J82" s="79"/>
      <c r="K82" s="79"/>
      <c r="L82" s="79"/>
      <c r="M82" s="79"/>
      <c r="N82" s="79"/>
      <c r="O82" s="79"/>
      <c r="P82" s="79"/>
      <c r="Q82" s="79"/>
    </row>
    <row r="83" spans="1:17" ht="13.8">
      <c r="A83" s="83">
        <v>82</v>
      </c>
      <c r="B83" s="83" t="s">
        <v>4942</v>
      </c>
      <c r="C83" s="83">
        <v>3110117001</v>
      </c>
      <c r="D83" s="88"/>
      <c r="E83" s="86"/>
      <c r="F83" s="81"/>
      <c r="G83" s="83" t="s">
        <v>4902</v>
      </c>
      <c r="H83" s="83">
        <v>2025</v>
      </c>
      <c r="I83" s="84"/>
      <c r="J83" s="79"/>
      <c r="K83" s="79"/>
      <c r="L83" s="79"/>
      <c r="M83" s="79"/>
      <c r="N83" s="79"/>
      <c r="O83" s="79"/>
      <c r="P83" s="79"/>
      <c r="Q83" s="79"/>
    </row>
    <row r="84" spans="1:17" ht="13.8">
      <c r="A84" s="83">
        <v>83</v>
      </c>
      <c r="B84" s="83" t="s">
        <v>4942</v>
      </c>
      <c r="C84" s="83">
        <v>3110117002</v>
      </c>
      <c r="D84" s="88"/>
      <c r="E84" s="86"/>
      <c r="F84" s="81"/>
      <c r="G84" s="83" t="s">
        <v>4902</v>
      </c>
      <c r="H84" s="83">
        <v>2025</v>
      </c>
      <c r="I84" s="84"/>
      <c r="J84" s="79"/>
      <c r="K84" s="79"/>
      <c r="L84" s="79"/>
      <c r="M84" s="79"/>
      <c r="N84" s="79"/>
      <c r="O84" s="79"/>
      <c r="P84" s="79"/>
      <c r="Q84" s="79"/>
    </row>
    <row r="85" spans="1:17" ht="13.8">
      <c r="A85" s="83">
        <v>84</v>
      </c>
      <c r="B85" s="83" t="s">
        <v>4942</v>
      </c>
      <c r="C85" s="83">
        <v>3110117003</v>
      </c>
      <c r="D85" s="88"/>
      <c r="E85" s="86"/>
      <c r="F85" s="81"/>
      <c r="G85" s="83" t="s">
        <v>4902</v>
      </c>
      <c r="H85" s="83">
        <v>2025</v>
      </c>
      <c r="I85" s="84"/>
      <c r="J85" s="79"/>
      <c r="K85" s="79"/>
      <c r="L85" s="79"/>
      <c r="M85" s="79"/>
      <c r="N85" s="79"/>
      <c r="O85" s="79"/>
      <c r="P85" s="79"/>
      <c r="Q85" s="79"/>
    </row>
    <row r="86" spans="1:17" ht="13.8">
      <c r="A86" s="83">
        <v>85</v>
      </c>
      <c r="B86" s="83" t="s">
        <v>4944</v>
      </c>
      <c r="C86" s="88"/>
      <c r="D86" s="83" t="s">
        <v>4945</v>
      </c>
      <c r="E86" s="82" t="s">
        <v>4946</v>
      </c>
      <c r="F86" s="80" t="s">
        <v>4947</v>
      </c>
      <c r="G86" s="83" t="s">
        <v>4901</v>
      </c>
      <c r="H86" s="83">
        <v>2025</v>
      </c>
      <c r="I86" s="84"/>
      <c r="J86" s="79"/>
      <c r="K86" s="79"/>
      <c r="L86" s="79"/>
      <c r="M86" s="79"/>
      <c r="N86" s="79"/>
      <c r="O86" s="79"/>
      <c r="P86" s="79"/>
      <c r="Q86" s="79"/>
    </row>
    <row r="87" spans="1:17" ht="13.8">
      <c r="A87" s="83">
        <v>86</v>
      </c>
      <c r="B87" s="83" t="s">
        <v>4944</v>
      </c>
      <c r="C87" s="83">
        <v>3110117004</v>
      </c>
      <c r="D87" s="88"/>
      <c r="E87" s="86"/>
      <c r="F87" s="81"/>
      <c r="G87" s="83" t="s">
        <v>4902</v>
      </c>
      <c r="H87" s="83">
        <v>2025</v>
      </c>
      <c r="I87" s="84"/>
      <c r="J87" s="79"/>
      <c r="K87" s="79"/>
      <c r="L87" s="79"/>
      <c r="M87" s="79"/>
      <c r="N87" s="79"/>
      <c r="O87" s="79"/>
      <c r="P87" s="79"/>
      <c r="Q87" s="79"/>
    </row>
    <row r="88" spans="1:17" ht="13.8">
      <c r="A88" s="83">
        <v>87</v>
      </c>
      <c r="B88" s="83" t="s">
        <v>4944</v>
      </c>
      <c r="C88" s="83">
        <v>3110117005</v>
      </c>
      <c r="D88" s="88"/>
      <c r="E88" s="86"/>
      <c r="F88" s="81"/>
      <c r="G88" s="83" t="s">
        <v>4902</v>
      </c>
      <c r="H88" s="83">
        <v>2025</v>
      </c>
      <c r="I88" s="84"/>
      <c r="J88" s="79"/>
      <c r="K88" s="79"/>
      <c r="L88" s="79"/>
      <c r="M88" s="79"/>
      <c r="N88" s="79"/>
      <c r="O88" s="79"/>
      <c r="P88" s="79"/>
      <c r="Q88" s="79"/>
    </row>
    <row r="89" spans="1:17" ht="13.8">
      <c r="A89" s="83">
        <v>88</v>
      </c>
      <c r="B89" s="83" t="s">
        <v>4944</v>
      </c>
      <c r="C89" s="83">
        <v>3110117006</v>
      </c>
      <c r="D89" s="88"/>
      <c r="E89" s="86"/>
      <c r="F89" s="81"/>
      <c r="G89" s="83" t="s">
        <v>4902</v>
      </c>
      <c r="H89" s="83">
        <v>2025</v>
      </c>
      <c r="I89" s="84"/>
      <c r="J89" s="79"/>
      <c r="K89" s="79"/>
      <c r="L89" s="79"/>
      <c r="M89" s="79"/>
      <c r="N89" s="79"/>
      <c r="O89" s="79"/>
      <c r="P89" s="79"/>
      <c r="Q89" s="79"/>
    </row>
    <row r="90" spans="1:17" ht="13.8">
      <c r="A90" s="83">
        <v>89</v>
      </c>
      <c r="B90" s="83" t="s">
        <v>4948</v>
      </c>
      <c r="C90" s="88"/>
      <c r="D90" s="83" t="s">
        <v>4949</v>
      </c>
      <c r="E90" s="82" t="s">
        <v>4946</v>
      </c>
      <c r="F90" s="80" t="s">
        <v>4947</v>
      </c>
      <c r="G90" s="83" t="s">
        <v>4901</v>
      </c>
      <c r="H90" s="83">
        <v>2025</v>
      </c>
      <c r="I90" s="84"/>
      <c r="J90" s="79"/>
      <c r="K90" s="79"/>
      <c r="L90" s="79"/>
      <c r="M90" s="79"/>
      <c r="N90" s="79"/>
      <c r="O90" s="79"/>
      <c r="P90" s="79"/>
      <c r="Q90" s="79"/>
    </row>
    <row r="91" spans="1:17" ht="13.8">
      <c r="A91" s="83">
        <v>90</v>
      </c>
      <c r="B91" s="83" t="s">
        <v>4948</v>
      </c>
      <c r="C91" s="83">
        <v>3110117007</v>
      </c>
      <c r="D91" s="88"/>
      <c r="E91" s="86"/>
      <c r="F91" s="81"/>
      <c r="G91" s="83" t="s">
        <v>4902</v>
      </c>
      <c r="H91" s="83">
        <v>2025</v>
      </c>
      <c r="I91" s="84"/>
      <c r="J91" s="79"/>
      <c r="K91" s="79"/>
      <c r="L91" s="79"/>
      <c r="M91" s="79"/>
      <c r="N91" s="79"/>
      <c r="O91" s="79"/>
      <c r="P91" s="79"/>
      <c r="Q91" s="79"/>
    </row>
    <row r="92" spans="1:17" ht="13.8">
      <c r="A92" s="83">
        <v>91</v>
      </c>
      <c r="B92" s="83" t="s">
        <v>4948</v>
      </c>
      <c r="C92" s="83">
        <v>3110117008</v>
      </c>
      <c r="D92" s="88"/>
      <c r="E92" s="86"/>
      <c r="F92" s="81"/>
      <c r="G92" s="83" t="s">
        <v>4902</v>
      </c>
      <c r="H92" s="83">
        <v>2025</v>
      </c>
      <c r="I92" s="84"/>
      <c r="J92" s="79"/>
      <c r="K92" s="79"/>
      <c r="L92" s="79"/>
      <c r="M92" s="79"/>
      <c r="N92" s="79"/>
      <c r="O92" s="79"/>
      <c r="P92" s="79"/>
      <c r="Q92" s="79"/>
    </row>
    <row r="93" spans="1:17" ht="13.8">
      <c r="A93" s="83">
        <v>92</v>
      </c>
      <c r="B93" s="83" t="s">
        <v>4948</v>
      </c>
      <c r="C93" s="83">
        <v>3110117009</v>
      </c>
      <c r="D93" s="88"/>
      <c r="E93" s="86"/>
      <c r="F93" s="81"/>
      <c r="G93" s="83" t="s">
        <v>4902</v>
      </c>
      <c r="H93" s="83">
        <v>2025</v>
      </c>
      <c r="I93" s="84"/>
      <c r="J93" s="79"/>
      <c r="K93" s="79"/>
      <c r="L93" s="79"/>
      <c r="M93" s="79"/>
      <c r="N93" s="79"/>
      <c r="O93" s="79"/>
      <c r="P93" s="79"/>
      <c r="Q93" s="79"/>
    </row>
    <row r="94" spans="1:17" ht="13.8">
      <c r="A94" s="83">
        <v>93</v>
      </c>
      <c r="B94" s="83" t="s">
        <v>4950</v>
      </c>
      <c r="C94" s="88"/>
      <c r="D94" s="83" t="s">
        <v>4951</v>
      </c>
      <c r="E94" s="82" t="s">
        <v>4946</v>
      </c>
      <c r="F94" s="80" t="s">
        <v>4947</v>
      </c>
      <c r="G94" s="83" t="s">
        <v>4901</v>
      </c>
      <c r="H94" s="83">
        <v>2025</v>
      </c>
      <c r="I94" s="84"/>
      <c r="J94" s="79"/>
      <c r="K94" s="79"/>
      <c r="L94" s="79"/>
      <c r="M94" s="79"/>
      <c r="N94" s="79"/>
      <c r="O94" s="79"/>
      <c r="P94" s="79"/>
      <c r="Q94" s="79"/>
    </row>
    <row r="95" spans="1:17" ht="13.8">
      <c r="A95" s="83">
        <v>94</v>
      </c>
      <c r="B95" s="83" t="s">
        <v>4950</v>
      </c>
      <c r="C95" s="83">
        <v>3110117010</v>
      </c>
      <c r="D95" s="88"/>
      <c r="E95" s="86"/>
      <c r="F95" s="81"/>
      <c r="G95" s="83" t="s">
        <v>4902</v>
      </c>
      <c r="H95" s="83">
        <v>2025</v>
      </c>
      <c r="I95" s="84"/>
      <c r="J95" s="79"/>
      <c r="K95" s="79"/>
      <c r="L95" s="79"/>
      <c r="M95" s="79"/>
      <c r="N95" s="79"/>
      <c r="O95" s="79"/>
      <c r="P95" s="79"/>
      <c r="Q95" s="79"/>
    </row>
    <row r="96" spans="1:17" ht="13.8">
      <c r="A96" s="83">
        <v>95</v>
      </c>
      <c r="B96" s="83" t="s">
        <v>4950</v>
      </c>
      <c r="C96" s="83">
        <v>3110117011</v>
      </c>
      <c r="D96" s="88"/>
      <c r="E96" s="86"/>
      <c r="F96" s="81"/>
      <c r="G96" s="83" t="s">
        <v>4902</v>
      </c>
      <c r="H96" s="83">
        <v>2025</v>
      </c>
      <c r="I96" s="84"/>
      <c r="J96" s="79"/>
      <c r="K96" s="79"/>
      <c r="L96" s="79"/>
      <c r="M96" s="79"/>
      <c r="N96" s="79"/>
      <c r="O96" s="79"/>
      <c r="P96" s="79"/>
      <c r="Q96" s="79"/>
    </row>
    <row r="97" spans="1:17" ht="13.8">
      <c r="A97" s="83">
        <v>96</v>
      </c>
      <c r="B97" s="83" t="s">
        <v>4950</v>
      </c>
      <c r="C97" s="83">
        <v>3110117012</v>
      </c>
      <c r="D97" s="88"/>
      <c r="E97" s="86"/>
      <c r="F97" s="81"/>
      <c r="G97" s="83" t="s">
        <v>4902</v>
      </c>
      <c r="H97" s="83">
        <v>2025</v>
      </c>
      <c r="I97" s="84"/>
      <c r="J97" s="79"/>
      <c r="K97" s="79"/>
      <c r="L97" s="79"/>
      <c r="M97" s="79"/>
      <c r="N97" s="79"/>
      <c r="O97" s="79"/>
      <c r="P97" s="79"/>
      <c r="Q97" s="79"/>
    </row>
    <row r="98" spans="1:17" ht="13.8">
      <c r="A98" s="83">
        <v>97</v>
      </c>
      <c r="B98" s="83" t="s">
        <v>4952</v>
      </c>
      <c r="C98" s="88"/>
      <c r="D98" s="83" t="s">
        <v>4953</v>
      </c>
      <c r="E98" s="82" t="s">
        <v>4946</v>
      </c>
      <c r="F98" s="80" t="s">
        <v>4947</v>
      </c>
      <c r="G98" s="83" t="s">
        <v>4901</v>
      </c>
      <c r="H98" s="83">
        <v>2025</v>
      </c>
      <c r="I98" s="84"/>
      <c r="J98" s="79"/>
      <c r="K98" s="79"/>
      <c r="L98" s="79"/>
      <c r="M98" s="79"/>
      <c r="N98" s="79"/>
      <c r="O98" s="79"/>
      <c r="P98" s="79"/>
      <c r="Q98" s="79"/>
    </row>
    <row r="99" spans="1:17" ht="13.8">
      <c r="A99" s="83">
        <v>98</v>
      </c>
      <c r="B99" s="83" t="s">
        <v>4952</v>
      </c>
      <c r="C99" s="83">
        <v>3110117013</v>
      </c>
      <c r="D99" s="88"/>
      <c r="E99" s="86"/>
      <c r="F99" s="81"/>
      <c r="G99" s="83" t="s">
        <v>4902</v>
      </c>
      <c r="H99" s="83">
        <v>2025</v>
      </c>
      <c r="I99" s="84"/>
      <c r="J99" s="79"/>
      <c r="K99" s="79"/>
      <c r="L99" s="79"/>
      <c r="M99" s="79"/>
      <c r="N99" s="79"/>
      <c r="O99" s="79"/>
      <c r="P99" s="79"/>
      <c r="Q99" s="79"/>
    </row>
    <row r="100" spans="1:17" ht="13.8">
      <c r="A100" s="83">
        <v>99</v>
      </c>
      <c r="B100" s="83" t="s">
        <v>4952</v>
      </c>
      <c r="C100" s="83">
        <v>3110117014</v>
      </c>
      <c r="D100" s="88"/>
      <c r="E100" s="86"/>
      <c r="F100" s="81"/>
      <c r="G100" s="83" t="s">
        <v>4902</v>
      </c>
      <c r="H100" s="83">
        <v>2025</v>
      </c>
      <c r="I100" s="84"/>
      <c r="J100" s="79"/>
      <c r="K100" s="79"/>
      <c r="L100" s="79"/>
      <c r="M100" s="79"/>
      <c r="N100" s="79"/>
      <c r="O100" s="79"/>
      <c r="P100" s="79"/>
      <c r="Q100" s="79"/>
    </row>
    <row r="101" spans="1:17" ht="13.8">
      <c r="A101" s="83">
        <v>100</v>
      </c>
      <c r="B101" s="83" t="s">
        <v>4952</v>
      </c>
      <c r="C101" s="83">
        <v>3110117015</v>
      </c>
      <c r="D101" s="88"/>
      <c r="E101" s="86"/>
      <c r="F101" s="81"/>
      <c r="G101" s="83" t="s">
        <v>4902</v>
      </c>
      <c r="H101" s="83">
        <v>2025</v>
      </c>
      <c r="I101" s="84"/>
      <c r="J101" s="79"/>
      <c r="K101" s="79"/>
      <c r="L101" s="79"/>
      <c r="M101" s="79"/>
      <c r="N101" s="79"/>
      <c r="O101" s="79"/>
      <c r="P101" s="79"/>
      <c r="Q101" s="79"/>
    </row>
    <row r="102" spans="1:17" ht="13.8">
      <c r="A102" s="83">
        <v>101</v>
      </c>
      <c r="B102" s="83" t="s">
        <v>4954</v>
      </c>
      <c r="C102" s="88"/>
      <c r="D102" s="83" t="s">
        <v>4955</v>
      </c>
      <c r="E102" s="82" t="s">
        <v>4946</v>
      </c>
      <c r="F102" s="80" t="s">
        <v>4947</v>
      </c>
      <c r="G102" s="83" t="s">
        <v>4901</v>
      </c>
      <c r="H102" s="83">
        <v>2025</v>
      </c>
      <c r="I102" s="84"/>
      <c r="J102" s="79"/>
      <c r="K102" s="79"/>
      <c r="L102" s="79"/>
      <c r="M102" s="79"/>
      <c r="N102" s="79"/>
      <c r="O102" s="79"/>
      <c r="P102" s="79"/>
      <c r="Q102" s="79"/>
    </row>
    <row r="103" spans="1:17" ht="13.8">
      <c r="A103" s="83">
        <v>102</v>
      </c>
      <c r="B103" s="83" t="s">
        <v>4954</v>
      </c>
      <c r="C103" s="83">
        <v>3110117001</v>
      </c>
      <c r="D103" s="88"/>
      <c r="E103" s="86"/>
      <c r="F103" s="81"/>
      <c r="G103" s="83" t="s">
        <v>4902</v>
      </c>
      <c r="H103" s="83">
        <v>2025</v>
      </c>
      <c r="I103" s="84"/>
      <c r="J103" s="79"/>
      <c r="K103" s="79"/>
      <c r="L103" s="79"/>
      <c r="M103" s="79"/>
      <c r="N103" s="79"/>
      <c r="O103" s="79"/>
      <c r="P103" s="79"/>
      <c r="Q103" s="79"/>
    </row>
    <row r="104" spans="1:17" ht="13.8">
      <c r="A104" s="83">
        <v>103</v>
      </c>
      <c r="B104" s="83" t="s">
        <v>4954</v>
      </c>
      <c r="C104" s="83">
        <v>3110117002</v>
      </c>
      <c r="D104" s="88"/>
      <c r="E104" s="86"/>
      <c r="F104" s="81"/>
      <c r="G104" s="83" t="s">
        <v>4902</v>
      </c>
      <c r="H104" s="83">
        <v>2025</v>
      </c>
      <c r="I104" s="84"/>
      <c r="J104" s="79"/>
      <c r="K104" s="79"/>
      <c r="L104" s="79"/>
      <c r="M104" s="79"/>
      <c r="N104" s="79"/>
      <c r="O104" s="79"/>
      <c r="P104" s="79"/>
      <c r="Q104" s="79"/>
    </row>
    <row r="105" spans="1:17" ht="13.8">
      <c r="A105" s="83">
        <v>104</v>
      </c>
      <c r="B105" s="83" t="s">
        <v>4954</v>
      </c>
      <c r="C105" s="83">
        <v>3110117003</v>
      </c>
      <c r="D105" s="88"/>
      <c r="E105" s="86"/>
      <c r="F105" s="81"/>
      <c r="G105" s="83" t="s">
        <v>4902</v>
      </c>
      <c r="H105" s="83">
        <v>2025</v>
      </c>
      <c r="I105" s="84"/>
      <c r="J105" s="79"/>
      <c r="K105" s="79"/>
      <c r="L105" s="79"/>
      <c r="M105" s="79"/>
      <c r="N105" s="79"/>
      <c r="O105" s="79"/>
      <c r="P105" s="79"/>
      <c r="Q105" s="79"/>
    </row>
    <row r="106" spans="1:17" ht="13.8">
      <c r="A106" s="83">
        <v>105</v>
      </c>
      <c r="B106" s="83" t="s">
        <v>4956</v>
      </c>
      <c r="C106" s="88"/>
      <c r="D106" s="83" t="s">
        <v>4957</v>
      </c>
      <c r="E106" s="82" t="s">
        <v>4946</v>
      </c>
      <c r="F106" s="80" t="s">
        <v>4947</v>
      </c>
      <c r="G106" s="83" t="s">
        <v>4901</v>
      </c>
      <c r="H106" s="83">
        <v>2025</v>
      </c>
      <c r="I106" s="84"/>
      <c r="J106" s="79"/>
      <c r="K106" s="79"/>
      <c r="L106" s="79"/>
      <c r="M106" s="79"/>
      <c r="N106" s="79"/>
      <c r="O106" s="79"/>
      <c r="P106" s="79"/>
      <c r="Q106" s="79"/>
    </row>
    <row r="107" spans="1:17" ht="13.8">
      <c r="A107" s="83">
        <v>106</v>
      </c>
      <c r="B107" s="83" t="s">
        <v>4956</v>
      </c>
      <c r="C107" s="83">
        <v>3110117004</v>
      </c>
      <c r="D107" s="88"/>
      <c r="E107" s="86"/>
      <c r="F107" s="81"/>
      <c r="G107" s="83" t="s">
        <v>4902</v>
      </c>
      <c r="H107" s="83">
        <v>2025</v>
      </c>
      <c r="I107" s="84"/>
      <c r="J107" s="79"/>
      <c r="K107" s="79"/>
      <c r="L107" s="79"/>
      <c r="M107" s="79"/>
      <c r="N107" s="79"/>
      <c r="O107" s="79"/>
      <c r="P107" s="79"/>
      <c r="Q107" s="79"/>
    </row>
    <row r="108" spans="1:17" ht="13.8">
      <c r="A108" s="83">
        <v>107</v>
      </c>
      <c r="B108" s="83" t="s">
        <v>4956</v>
      </c>
      <c r="C108" s="83">
        <v>3110117005</v>
      </c>
      <c r="D108" s="88"/>
      <c r="E108" s="86"/>
      <c r="F108" s="81"/>
      <c r="G108" s="83" t="s">
        <v>4902</v>
      </c>
      <c r="H108" s="83">
        <v>2025</v>
      </c>
      <c r="I108" s="84"/>
      <c r="J108" s="79"/>
      <c r="K108" s="79"/>
      <c r="L108" s="79"/>
      <c r="M108" s="79"/>
      <c r="N108" s="79"/>
      <c r="O108" s="79"/>
      <c r="P108" s="79"/>
      <c r="Q108" s="79"/>
    </row>
    <row r="109" spans="1:17" ht="13.8">
      <c r="A109" s="83">
        <v>108</v>
      </c>
      <c r="B109" s="83" t="s">
        <v>4956</v>
      </c>
      <c r="C109" s="83">
        <v>3110117006</v>
      </c>
      <c r="D109" s="88"/>
      <c r="E109" s="86"/>
      <c r="F109" s="81"/>
      <c r="G109" s="83" t="s">
        <v>4902</v>
      </c>
      <c r="H109" s="83">
        <v>2025</v>
      </c>
      <c r="I109" s="84"/>
      <c r="J109" s="79"/>
      <c r="K109" s="79"/>
      <c r="L109" s="79"/>
      <c r="M109" s="79"/>
      <c r="N109" s="79"/>
      <c r="O109" s="79"/>
      <c r="P109" s="79"/>
      <c r="Q109" s="79"/>
    </row>
    <row r="110" spans="1:17" ht="13.8">
      <c r="A110" s="83">
        <v>109</v>
      </c>
      <c r="B110" s="83" t="s">
        <v>4958</v>
      </c>
      <c r="C110" s="88"/>
      <c r="D110" s="83" t="s">
        <v>4959</v>
      </c>
      <c r="E110" s="82" t="s">
        <v>4946</v>
      </c>
      <c r="F110" s="80" t="s">
        <v>4947</v>
      </c>
      <c r="G110" s="83" t="s">
        <v>4901</v>
      </c>
      <c r="H110" s="83">
        <v>2025</v>
      </c>
      <c r="I110" s="84"/>
      <c r="J110" s="79"/>
      <c r="K110" s="79"/>
      <c r="L110" s="79"/>
      <c r="M110" s="79"/>
      <c r="N110" s="79"/>
      <c r="O110" s="79"/>
      <c r="P110" s="79"/>
      <c r="Q110" s="79"/>
    </row>
    <row r="111" spans="1:17" ht="13.8">
      <c r="A111" s="83">
        <v>110</v>
      </c>
      <c r="B111" s="83" t="s">
        <v>4958</v>
      </c>
      <c r="C111" s="83">
        <v>3110117007</v>
      </c>
      <c r="D111" s="88"/>
      <c r="E111" s="86"/>
      <c r="F111" s="81"/>
      <c r="G111" s="83" t="s">
        <v>4902</v>
      </c>
      <c r="H111" s="83">
        <v>2025</v>
      </c>
      <c r="I111" s="84"/>
      <c r="J111" s="79"/>
      <c r="K111" s="79"/>
      <c r="L111" s="79"/>
      <c r="M111" s="79"/>
      <c r="N111" s="79"/>
      <c r="O111" s="79"/>
      <c r="P111" s="79"/>
      <c r="Q111" s="79"/>
    </row>
    <row r="112" spans="1:17" ht="13.8">
      <c r="A112" s="83">
        <v>111</v>
      </c>
      <c r="B112" s="83" t="s">
        <v>4958</v>
      </c>
      <c r="C112" s="83">
        <v>3110117008</v>
      </c>
      <c r="D112" s="88"/>
      <c r="E112" s="86"/>
      <c r="F112" s="81"/>
      <c r="G112" s="83" t="s">
        <v>4902</v>
      </c>
      <c r="H112" s="83">
        <v>2025</v>
      </c>
      <c r="I112" s="84"/>
      <c r="J112" s="79"/>
      <c r="K112" s="79"/>
      <c r="L112" s="79"/>
      <c r="M112" s="79"/>
      <c r="N112" s="79"/>
      <c r="O112" s="79"/>
      <c r="P112" s="79"/>
      <c r="Q112" s="79"/>
    </row>
    <row r="113" spans="1:17" ht="13.8">
      <c r="A113" s="83">
        <v>112</v>
      </c>
      <c r="B113" s="83" t="s">
        <v>4958</v>
      </c>
      <c r="C113" s="83">
        <v>3110117009</v>
      </c>
      <c r="D113" s="88"/>
      <c r="E113" s="86"/>
      <c r="F113" s="81"/>
      <c r="G113" s="83" t="s">
        <v>4902</v>
      </c>
      <c r="H113" s="83">
        <v>2025</v>
      </c>
      <c r="I113" s="84"/>
      <c r="J113" s="79"/>
      <c r="K113" s="79"/>
      <c r="L113" s="79"/>
      <c r="M113" s="79"/>
      <c r="N113" s="79"/>
      <c r="O113" s="79"/>
      <c r="P113" s="79"/>
      <c r="Q113" s="79"/>
    </row>
    <row r="114" spans="1:17" ht="13.8">
      <c r="A114" s="83">
        <v>113</v>
      </c>
      <c r="B114" s="83" t="s">
        <v>4960</v>
      </c>
      <c r="C114" s="88"/>
      <c r="D114" s="83" t="s">
        <v>4961</v>
      </c>
      <c r="E114" s="82" t="s">
        <v>4946</v>
      </c>
      <c r="F114" s="80" t="s">
        <v>4947</v>
      </c>
      <c r="G114" s="83" t="s">
        <v>4901</v>
      </c>
      <c r="H114" s="83">
        <v>2025</v>
      </c>
      <c r="I114" s="84"/>
      <c r="J114" s="79"/>
      <c r="K114" s="79"/>
      <c r="L114" s="79"/>
      <c r="M114" s="79"/>
      <c r="N114" s="79"/>
      <c r="O114" s="79"/>
      <c r="P114" s="79"/>
      <c r="Q114" s="79"/>
    </row>
    <row r="115" spans="1:17" ht="13.8">
      <c r="A115" s="83">
        <v>114</v>
      </c>
      <c r="B115" s="83" t="s">
        <v>4960</v>
      </c>
      <c r="C115" s="83">
        <v>3110117010</v>
      </c>
      <c r="D115" s="88"/>
      <c r="E115" s="86"/>
      <c r="F115" s="81"/>
      <c r="G115" s="83" t="s">
        <v>4902</v>
      </c>
      <c r="H115" s="83">
        <v>2025</v>
      </c>
      <c r="I115" s="84"/>
      <c r="J115" s="79"/>
      <c r="K115" s="79"/>
      <c r="L115" s="79"/>
      <c r="M115" s="79"/>
      <c r="N115" s="79"/>
      <c r="O115" s="79"/>
      <c r="P115" s="79"/>
      <c r="Q115" s="79"/>
    </row>
    <row r="116" spans="1:17" ht="13.8">
      <c r="A116" s="83">
        <v>115</v>
      </c>
      <c r="B116" s="83" t="s">
        <v>4960</v>
      </c>
      <c r="C116" s="83">
        <v>3110117011</v>
      </c>
      <c r="D116" s="88"/>
      <c r="E116" s="86"/>
      <c r="F116" s="81"/>
      <c r="G116" s="83" t="s">
        <v>4902</v>
      </c>
      <c r="H116" s="83">
        <v>2025</v>
      </c>
      <c r="I116" s="84"/>
      <c r="J116" s="79"/>
      <c r="K116" s="79"/>
      <c r="L116" s="79"/>
      <c r="M116" s="79"/>
      <c r="N116" s="79"/>
      <c r="O116" s="79"/>
      <c r="P116" s="79"/>
      <c r="Q116" s="79"/>
    </row>
    <row r="117" spans="1:17" ht="13.8">
      <c r="A117" s="83">
        <v>116</v>
      </c>
      <c r="B117" s="83" t="s">
        <v>4960</v>
      </c>
      <c r="C117" s="83">
        <v>3110117012</v>
      </c>
      <c r="D117" s="88"/>
      <c r="E117" s="86"/>
      <c r="F117" s="81"/>
      <c r="G117" s="83" t="s">
        <v>4902</v>
      </c>
      <c r="H117" s="83">
        <v>2025</v>
      </c>
      <c r="I117" s="84"/>
      <c r="J117" s="79"/>
      <c r="K117" s="79"/>
      <c r="L117" s="79"/>
      <c r="M117" s="79"/>
      <c r="N117" s="79"/>
      <c r="O117" s="79"/>
      <c r="P117" s="79"/>
      <c r="Q117" s="79"/>
    </row>
    <row r="118" spans="1:17" ht="13.8">
      <c r="A118" s="83">
        <v>117</v>
      </c>
      <c r="B118" s="83" t="s">
        <v>4962</v>
      </c>
      <c r="C118" s="88"/>
      <c r="D118" s="83" t="s">
        <v>4963</v>
      </c>
      <c r="E118" s="82" t="s">
        <v>4946</v>
      </c>
      <c r="F118" s="80" t="s">
        <v>4947</v>
      </c>
      <c r="G118" s="83" t="s">
        <v>4901</v>
      </c>
      <c r="H118" s="83">
        <v>2025</v>
      </c>
      <c r="I118" s="84"/>
      <c r="J118" s="79"/>
      <c r="K118" s="79"/>
      <c r="L118" s="79"/>
      <c r="M118" s="79"/>
      <c r="N118" s="79"/>
      <c r="O118" s="79"/>
      <c r="P118" s="79"/>
      <c r="Q118" s="79"/>
    </row>
    <row r="119" spans="1:17" ht="13.8">
      <c r="A119" s="83">
        <v>118</v>
      </c>
      <c r="B119" s="83" t="s">
        <v>4962</v>
      </c>
      <c r="C119" s="83">
        <v>3110117013</v>
      </c>
      <c r="D119" s="88"/>
      <c r="E119" s="86"/>
      <c r="F119" s="81"/>
      <c r="G119" s="83" t="s">
        <v>4902</v>
      </c>
      <c r="H119" s="83">
        <v>2025</v>
      </c>
      <c r="I119" s="84"/>
      <c r="J119" s="79"/>
      <c r="K119" s="79"/>
      <c r="L119" s="79"/>
      <c r="M119" s="79"/>
      <c r="N119" s="79"/>
      <c r="O119" s="79"/>
      <c r="P119" s="79"/>
      <c r="Q119" s="79"/>
    </row>
    <row r="120" spans="1:17" ht="13.8">
      <c r="A120" s="83">
        <v>119</v>
      </c>
      <c r="B120" s="83" t="s">
        <v>4962</v>
      </c>
      <c r="C120" s="83">
        <v>3110117014</v>
      </c>
      <c r="D120" s="88"/>
      <c r="E120" s="86"/>
      <c r="F120" s="81"/>
      <c r="G120" s="83" t="s">
        <v>4902</v>
      </c>
      <c r="H120" s="83">
        <v>2025</v>
      </c>
      <c r="I120" s="84"/>
      <c r="J120" s="79"/>
      <c r="K120" s="79"/>
      <c r="L120" s="79"/>
      <c r="M120" s="79"/>
      <c r="N120" s="79"/>
      <c r="O120" s="79"/>
      <c r="P120" s="79"/>
      <c r="Q120" s="79"/>
    </row>
    <row r="121" spans="1:17" ht="13.8">
      <c r="A121" s="83">
        <v>120</v>
      </c>
      <c r="B121" s="83" t="s">
        <v>4962</v>
      </c>
      <c r="C121" s="83">
        <v>3110117015</v>
      </c>
      <c r="D121" s="88"/>
      <c r="E121" s="86"/>
      <c r="F121" s="81"/>
      <c r="G121" s="83" t="s">
        <v>4902</v>
      </c>
      <c r="H121" s="83">
        <v>2025</v>
      </c>
      <c r="I121" s="84"/>
      <c r="J121" s="79"/>
      <c r="K121" s="79"/>
      <c r="L121" s="79"/>
      <c r="M121" s="79"/>
      <c r="N121" s="79"/>
      <c r="O121" s="79"/>
      <c r="P121" s="79"/>
      <c r="Q121" s="79"/>
    </row>
    <row r="122" spans="1:17" ht="13.8">
      <c r="A122" s="83">
        <v>121</v>
      </c>
      <c r="B122" s="83" t="s">
        <v>4964</v>
      </c>
      <c r="C122" s="88"/>
      <c r="D122" s="83" t="s">
        <v>4965</v>
      </c>
      <c r="E122" s="82" t="s">
        <v>4966</v>
      </c>
      <c r="F122" s="80" t="s">
        <v>4967</v>
      </c>
      <c r="G122" s="83" t="s">
        <v>4901</v>
      </c>
      <c r="H122" s="83">
        <v>2025</v>
      </c>
      <c r="I122" s="84"/>
      <c r="J122" s="79"/>
      <c r="K122" s="79"/>
      <c r="L122" s="79"/>
      <c r="M122" s="79"/>
      <c r="N122" s="79"/>
      <c r="O122" s="79"/>
      <c r="P122" s="79"/>
      <c r="Q122" s="79"/>
    </row>
    <row r="123" spans="1:17" ht="13.8">
      <c r="A123" s="83">
        <v>122</v>
      </c>
      <c r="B123" s="83" t="s">
        <v>4964</v>
      </c>
      <c r="C123" s="83">
        <v>3110117001</v>
      </c>
      <c r="D123" s="88"/>
      <c r="E123" s="86"/>
      <c r="F123" s="81"/>
      <c r="G123" s="83" t="s">
        <v>4902</v>
      </c>
      <c r="H123" s="83">
        <v>2025</v>
      </c>
      <c r="I123" s="84"/>
      <c r="J123" s="79"/>
      <c r="K123" s="79"/>
      <c r="L123" s="79"/>
      <c r="M123" s="79"/>
      <c r="N123" s="79"/>
      <c r="O123" s="79"/>
      <c r="P123" s="79"/>
      <c r="Q123" s="79"/>
    </row>
    <row r="124" spans="1:17" ht="13.8">
      <c r="A124" s="83">
        <v>123</v>
      </c>
      <c r="B124" s="83" t="s">
        <v>4964</v>
      </c>
      <c r="C124" s="83">
        <v>3110117002</v>
      </c>
      <c r="D124" s="88"/>
      <c r="E124" s="86"/>
      <c r="F124" s="81"/>
      <c r="G124" s="83" t="s">
        <v>4902</v>
      </c>
      <c r="H124" s="83">
        <v>2025</v>
      </c>
      <c r="I124" s="84"/>
      <c r="J124" s="79"/>
      <c r="K124" s="79"/>
      <c r="L124" s="79"/>
      <c r="M124" s="79"/>
      <c r="N124" s="79"/>
      <c r="O124" s="79"/>
      <c r="P124" s="79"/>
      <c r="Q124" s="79"/>
    </row>
    <row r="125" spans="1:17" ht="13.8">
      <c r="A125" s="83">
        <v>124</v>
      </c>
      <c r="B125" s="83" t="s">
        <v>4964</v>
      </c>
      <c r="C125" s="83">
        <v>3110117003</v>
      </c>
      <c r="D125" s="88"/>
      <c r="E125" s="86"/>
      <c r="F125" s="81"/>
      <c r="G125" s="83" t="s">
        <v>4902</v>
      </c>
      <c r="H125" s="83">
        <v>2025</v>
      </c>
      <c r="I125" s="84"/>
      <c r="J125" s="79"/>
      <c r="K125" s="79"/>
      <c r="L125" s="79"/>
      <c r="M125" s="79"/>
      <c r="N125" s="79"/>
      <c r="O125" s="79"/>
      <c r="P125" s="79"/>
      <c r="Q125" s="79"/>
    </row>
    <row r="126" spans="1:17" ht="13.8">
      <c r="A126" s="83">
        <v>125</v>
      </c>
      <c r="B126" s="83" t="s">
        <v>4968</v>
      </c>
      <c r="C126" s="88"/>
      <c r="D126" s="83" t="s">
        <v>4969</v>
      </c>
      <c r="E126" s="82" t="s">
        <v>4966</v>
      </c>
      <c r="F126" s="80" t="s">
        <v>4967</v>
      </c>
      <c r="G126" s="83" t="s">
        <v>4901</v>
      </c>
      <c r="H126" s="83">
        <v>2025</v>
      </c>
      <c r="I126" s="84"/>
      <c r="J126" s="79"/>
      <c r="K126" s="79"/>
      <c r="L126" s="79"/>
      <c r="M126" s="79"/>
      <c r="N126" s="79"/>
      <c r="O126" s="79"/>
      <c r="P126" s="79"/>
      <c r="Q126" s="79"/>
    </row>
    <row r="127" spans="1:17" ht="13.8">
      <c r="A127" s="83">
        <v>126</v>
      </c>
      <c r="B127" s="83" t="s">
        <v>4968</v>
      </c>
      <c r="C127" s="83">
        <v>3110117004</v>
      </c>
      <c r="D127" s="88"/>
      <c r="E127" s="86"/>
      <c r="F127" s="81"/>
      <c r="G127" s="83" t="s">
        <v>4902</v>
      </c>
      <c r="H127" s="83">
        <v>2025</v>
      </c>
      <c r="I127" s="84"/>
      <c r="J127" s="79"/>
      <c r="K127" s="79"/>
      <c r="L127" s="79"/>
      <c r="M127" s="79"/>
      <c r="N127" s="79"/>
      <c r="O127" s="79"/>
      <c r="P127" s="79"/>
      <c r="Q127" s="79"/>
    </row>
    <row r="128" spans="1:17" ht="13.8">
      <c r="A128" s="83">
        <v>127</v>
      </c>
      <c r="B128" s="83" t="s">
        <v>4968</v>
      </c>
      <c r="C128" s="83">
        <v>3110117005</v>
      </c>
      <c r="D128" s="88"/>
      <c r="E128" s="86"/>
      <c r="F128" s="81"/>
      <c r="G128" s="83" t="s">
        <v>4902</v>
      </c>
      <c r="H128" s="83">
        <v>2025</v>
      </c>
      <c r="I128" s="84"/>
      <c r="J128" s="79"/>
      <c r="K128" s="79"/>
      <c r="L128" s="79"/>
      <c r="M128" s="79"/>
      <c r="N128" s="79"/>
      <c r="O128" s="79"/>
      <c r="P128" s="79"/>
      <c r="Q128" s="79"/>
    </row>
    <row r="129" spans="1:17" ht="13.8">
      <c r="A129" s="83">
        <v>128</v>
      </c>
      <c r="B129" s="83" t="s">
        <v>4968</v>
      </c>
      <c r="C129" s="83">
        <v>3110117006</v>
      </c>
      <c r="D129" s="88"/>
      <c r="E129" s="86"/>
      <c r="F129" s="81"/>
      <c r="G129" s="83" t="s">
        <v>4902</v>
      </c>
      <c r="H129" s="83">
        <v>2025</v>
      </c>
      <c r="I129" s="84"/>
      <c r="J129" s="79"/>
      <c r="K129" s="79"/>
      <c r="L129" s="79"/>
      <c r="M129" s="79"/>
      <c r="N129" s="79"/>
      <c r="O129" s="79"/>
      <c r="P129" s="79"/>
      <c r="Q129" s="79"/>
    </row>
    <row r="130" spans="1:17" ht="13.8">
      <c r="A130" s="83">
        <v>129</v>
      </c>
      <c r="B130" s="83" t="s">
        <v>4970</v>
      </c>
      <c r="C130" s="88"/>
      <c r="D130" s="83" t="s">
        <v>4971</v>
      </c>
      <c r="E130" s="82" t="s">
        <v>4966</v>
      </c>
      <c r="F130" s="80" t="s">
        <v>4967</v>
      </c>
      <c r="G130" s="83" t="s">
        <v>4901</v>
      </c>
      <c r="H130" s="83">
        <v>2025</v>
      </c>
      <c r="I130" s="84"/>
      <c r="J130" s="79"/>
      <c r="K130" s="79"/>
      <c r="L130" s="79"/>
      <c r="M130" s="79"/>
      <c r="N130" s="79"/>
      <c r="O130" s="79"/>
      <c r="P130" s="79"/>
      <c r="Q130" s="79"/>
    </row>
    <row r="131" spans="1:17" ht="13.8">
      <c r="A131" s="83">
        <v>130</v>
      </c>
      <c r="B131" s="83" t="s">
        <v>4970</v>
      </c>
      <c r="C131" s="83">
        <v>3110117007</v>
      </c>
      <c r="D131" s="88"/>
      <c r="E131" s="86"/>
      <c r="F131" s="81"/>
      <c r="G131" s="83" t="s">
        <v>4902</v>
      </c>
      <c r="H131" s="83">
        <v>2025</v>
      </c>
      <c r="I131" s="84"/>
      <c r="J131" s="79"/>
      <c r="K131" s="79"/>
      <c r="L131" s="79"/>
      <c r="M131" s="79"/>
      <c r="N131" s="79"/>
      <c r="O131" s="79"/>
      <c r="P131" s="79"/>
      <c r="Q131" s="79"/>
    </row>
    <row r="132" spans="1:17" ht="13.8">
      <c r="A132" s="83">
        <v>131</v>
      </c>
      <c r="B132" s="83" t="s">
        <v>4970</v>
      </c>
      <c r="C132" s="83">
        <v>3110117008</v>
      </c>
      <c r="D132" s="88"/>
      <c r="E132" s="86"/>
      <c r="F132" s="81"/>
      <c r="G132" s="83" t="s">
        <v>4902</v>
      </c>
      <c r="H132" s="83">
        <v>2025</v>
      </c>
      <c r="I132" s="84"/>
      <c r="J132" s="79"/>
      <c r="K132" s="79"/>
      <c r="L132" s="79"/>
      <c r="M132" s="79"/>
      <c r="N132" s="79"/>
      <c r="O132" s="79"/>
      <c r="P132" s="79"/>
      <c r="Q132" s="79"/>
    </row>
    <row r="133" spans="1:17" ht="13.8">
      <c r="A133" s="83">
        <v>132</v>
      </c>
      <c r="B133" s="83" t="s">
        <v>4970</v>
      </c>
      <c r="C133" s="83">
        <v>3110117009</v>
      </c>
      <c r="D133" s="88"/>
      <c r="E133" s="86"/>
      <c r="F133" s="81"/>
      <c r="G133" s="83" t="s">
        <v>4902</v>
      </c>
      <c r="H133" s="83">
        <v>2025</v>
      </c>
      <c r="I133" s="84"/>
      <c r="J133" s="79"/>
      <c r="K133" s="79"/>
      <c r="L133" s="79"/>
      <c r="M133" s="79"/>
      <c r="N133" s="79"/>
      <c r="O133" s="79"/>
      <c r="P133" s="79"/>
      <c r="Q133" s="79"/>
    </row>
    <row r="134" spans="1:17" ht="13.8">
      <c r="A134" s="83">
        <v>133</v>
      </c>
      <c r="B134" s="83" t="s">
        <v>4972</v>
      </c>
      <c r="C134" s="88"/>
      <c r="D134" s="83" t="s">
        <v>4973</v>
      </c>
      <c r="E134" s="82" t="s">
        <v>4966</v>
      </c>
      <c r="F134" s="80" t="s">
        <v>4967</v>
      </c>
      <c r="G134" s="83" t="s">
        <v>4901</v>
      </c>
      <c r="H134" s="83">
        <v>2025</v>
      </c>
      <c r="I134" s="84"/>
      <c r="J134" s="79"/>
      <c r="K134" s="79"/>
      <c r="L134" s="79"/>
      <c r="M134" s="79"/>
      <c r="N134" s="79"/>
      <c r="O134" s="79"/>
      <c r="P134" s="79"/>
      <c r="Q134" s="79"/>
    </row>
    <row r="135" spans="1:17" ht="13.8">
      <c r="A135" s="83">
        <v>134</v>
      </c>
      <c r="B135" s="83" t="s">
        <v>4972</v>
      </c>
      <c r="C135" s="83">
        <v>3110117010</v>
      </c>
      <c r="D135" s="88"/>
      <c r="E135" s="86"/>
      <c r="F135" s="81"/>
      <c r="G135" s="83" t="s">
        <v>4902</v>
      </c>
      <c r="H135" s="83">
        <v>2025</v>
      </c>
      <c r="I135" s="84"/>
      <c r="J135" s="79"/>
      <c r="K135" s="79"/>
      <c r="L135" s="79"/>
      <c r="M135" s="79"/>
      <c r="N135" s="79"/>
      <c r="O135" s="79"/>
      <c r="P135" s="79"/>
      <c r="Q135" s="79"/>
    </row>
    <row r="136" spans="1:17" ht="13.8">
      <c r="A136" s="83">
        <v>135</v>
      </c>
      <c r="B136" s="83" t="s">
        <v>4972</v>
      </c>
      <c r="C136" s="83">
        <v>3110117011</v>
      </c>
      <c r="D136" s="88"/>
      <c r="E136" s="86"/>
      <c r="F136" s="81"/>
      <c r="G136" s="83" t="s">
        <v>4902</v>
      </c>
      <c r="H136" s="83">
        <v>2025</v>
      </c>
      <c r="I136" s="84"/>
      <c r="J136" s="79"/>
      <c r="K136" s="79"/>
      <c r="L136" s="79"/>
      <c r="M136" s="79"/>
      <c r="N136" s="79"/>
      <c r="O136" s="79"/>
      <c r="P136" s="79"/>
      <c r="Q136" s="79"/>
    </row>
    <row r="137" spans="1:17" ht="13.8">
      <c r="A137" s="83">
        <v>136</v>
      </c>
      <c r="B137" s="83" t="s">
        <v>4972</v>
      </c>
      <c r="C137" s="83">
        <v>3110117012</v>
      </c>
      <c r="D137" s="88"/>
      <c r="E137" s="86"/>
      <c r="F137" s="81"/>
      <c r="G137" s="83" t="s">
        <v>4902</v>
      </c>
      <c r="H137" s="83">
        <v>2025</v>
      </c>
      <c r="I137" s="84"/>
      <c r="J137" s="79"/>
      <c r="K137" s="79"/>
      <c r="L137" s="79"/>
      <c r="M137" s="79"/>
      <c r="N137" s="79"/>
      <c r="O137" s="79"/>
      <c r="P137" s="79"/>
      <c r="Q137" s="79"/>
    </row>
    <row r="138" spans="1:17" ht="13.8">
      <c r="A138" s="83">
        <v>137</v>
      </c>
      <c r="B138" s="83" t="s">
        <v>4974</v>
      </c>
      <c r="C138" s="88"/>
      <c r="D138" s="83" t="s">
        <v>4975</v>
      </c>
      <c r="E138" s="82" t="s">
        <v>4966</v>
      </c>
      <c r="F138" s="80" t="s">
        <v>4967</v>
      </c>
      <c r="G138" s="83" t="s">
        <v>4901</v>
      </c>
      <c r="H138" s="83">
        <v>2025</v>
      </c>
      <c r="I138" s="84"/>
      <c r="J138" s="79"/>
      <c r="K138" s="79"/>
      <c r="L138" s="79"/>
      <c r="M138" s="79"/>
      <c r="N138" s="79"/>
      <c r="O138" s="79"/>
      <c r="P138" s="79"/>
      <c r="Q138" s="79"/>
    </row>
    <row r="139" spans="1:17" ht="13.8">
      <c r="A139" s="83">
        <v>138</v>
      </c>
      <c r="B139" s="83" t="s">
        <v>4974</v>
      </c>
      <c r="C139" s="83">
        <v>3110117013</v>
      </c>
      <c r="D139" s="88"/>
      <c r="E139" s="86"/>
      <c r="F139" s="81"/>
      <c r="G139" s="83" t="s">
        <v>4902</v>
      </c>
      <c r="H139" s="83">
        <v>2025</v>
      </c>
      <c r="I139" s="84"/>
      <c r="J139" s="79"/>
      <c r="K139" s="79"/>
      <c r="L139" s="79"/>
      <c r="M139" s="79"/>
      <c r="N139" s="79"/>
      <c r="O139" s="79"/>
      <c r="P139" s="79"/>
      <c r="Q139" s="79"/>
    </row>
    <row r="140" spans="1:17" ht="13.8">
      <c r="A140" s="83">
        <v>139</v>
      </c>
      <c r="B140" s="83" t="s">
        <v>4974</v>
      </c>
      <c r="C140" s="83">
        <v>3110117014</v>
      </c>
      <c r="D140" s="88"/>
      <c r="E140" s="86"/>
      <c r="F140" s="81"/>
      <c r="G140" s="83" t="s">
        <v>4902</v>
      </c>
      <c r="H140" s="83">
        <v>2025</v>
      </c>
      <c r="I140" s="84"/>
      <c r="J140" s="79"/>
      <c r="K140" s="79"/>
      <c r="L140" s="79"/>
      <c r="M140" s="79"/>
      <c r="N140" s="79"/>
      <c r="O140" s="79"/>
      <c r="P140" s="79"/>
      <c r="Q140" s="79"/>
    </row>
    <row r="141" spans="1:17" ht="13.8">
      <c r="A141" s="83">
        <v>140</v>
      </c>
      <c r="B141" s="83" t="s">
        <v>4974</v>
      </c>
      <c r="C141" s="83">
        <v>3110117015</v>
      </c>
      <c r="D141" s="88"/>
      <c r="E141" s="86"/>
      <c r="F141" s="81"/>
      <c r="G141" s="83" t="s">
        <v>4902</v>
      </c>
      <c r="H141" s="83">
        <v>2025</v>
      </c>
      <c r="I141" s="84"/>
      <c r="J141" s="79"/>
      <c r="K141" s="79"/>
      <c r="L141" s="79"/>
      <c r="M141" s="79"/>
      <c r="N141" s="79"/>
      <c r="O141" s="79"/>
      <c r="P141" s="79"/>
      <c r="Q141" s="79"/>
    </row>
    <row r="142" spans="1:17" ht="13.8">
      <c r="A142" s="83">
        <v>141</v>
      </c>
      <c r="B142" s="83" t="s">
        <v>4976</v>
      </c>
      <c r="C142" s="88"/>
      <c r="D142" s="83" t="s">
        <v>4977</v>
      </c>
      <c r="E142" s="82" t="s">
        <v>4966</v>
      </c>
      <c r="F142" s="80" t="s">
        <v>4967</v>
      </c>
      <c r="G142" s="83" t="s">
        <v>4901</v>
      </c>
      <c r="H142" s="83">
        <v>2025</v>
      </c>
      <c r="I142" s="84"/>
      <c r="J142" s="79"/>
      <c r="K142" s="79"/>
      <c r="L142" s="79"/>
      <c r="M142" s="79"/>
      <c r="N142" s="79"/>
      <c r="O142" s="79"/>
      <c r="P142" s="79"/>
      <c r="Q142" s="79"/>
    </row>
    <row r="143" spans="1:17" ht="13.8">
      <c r="A143" s="83">
        <v>142</v>
      </c>
      <c r="B143" s="83" t="s">
        <v>4976</v>
      </c>
      <c r="C143" s="83">
        <v>3110117001</v>
      </c>
      <c r="D143" s="88"/>
      <c r="E143" s="86"/>
      <c r="F143" s="81"/>
      <c r="G143" s="83" t="s">
        <v>4902</v>
      </c>
      <c r="H143" s="83">
        <v>2025</v>
      </c>
      <c r="I143" s="84"/>
      <c r="J143" s="79"/>
      <c r="K143" s="79"/>
      <c r="L143" s="79"/>
      <c r="M143" s="79"/>
      <c r="N143" s="79"/>
      <c r="O143" s="79"/>
      <c r="P143" s="79"/>
      <c r="Q143" s="79"/>
    </row>
    <row r="144" spans="1:17" ht="13.8">
      <c r="A144" s="83">
        <v>143</v>
      </c>
      <c r="B144" s="83" t="s">
        <v>4976</v>
      </c>
      <c r="C144" s="83">
        <v>3110117002</v>
      </c>
      <c r="D144" s="88"/>
      <c r="E144" s="86"/>
      <c r="F144" s="81"/>
      <c r="G144" s="83" t="s">
        <v>4902</v>
      </c>
      <c r="H144" s="83">
        <v>2025</v>
      </c>
      <c r="I144" s="84"/>
      <c r="J144" s="79"/>
      <c r="K144" s="79"/>
      <c r="L144" s="79"/>
      <c r="M144" s="79"/>
      <c r="N144" s="79"/>
      <c r="O144" s="79"/>
      <c r="P144" s="79"/>
      <c r="Q144" s="79"/>
    </row>
    <row r="145" spans="1:17" ht="13.8">
      <c r="A145" s="83">
        <v>144</v>
      </c>
      <c r="B145" s="83" t="s">
        <v>4976</v>
      </c>
      <c r="C145" s="83">
        <v>3110117003</v>
      </c>
      <c r="D145" s="88"/>
      <c r="E145" s="86"/>
      <c r="F145" s="81"/>
      <c r="G145" s="83" t="s">
        <v>4902</v>
      </c>
      <c r="H145" s="83">
        <v>2025</v>
      </c>
      <c r="I145" s="84"/>
      <c r="J145" s="79"/>
      <c r="K145" s="79"/>
      <c r="L145" s="79"/>
      <c r="M145" s="79"/>
      <c r="N145" s="79"/>
      <c r="O145" s="79"/>
      <c r="P145" s="79"/>
      <c r="Q145" s="79"/>
    </row>
    <row r="146" spans="1:17" ht="13.8">
      <c r="A146" s="83">
        <v>145</v>
      </c>
      <c r="B146" s="83" t="s">
        <v>4978</v>
      </c>
      <c r="C146" s="88"/>
      <c r="D146" s="83" t="s">
        <v>4979</v>
      </c>
      <c r="E146" s="82" t="s">
        <v>4966</v>
      </c>
      <c r="F146" s="80" t="s">
        <v>4967</v>
      </c>
      <c r="G146" s="83" t="s">
        <v>4901</v>
      </c>
      <c r="H146" s="83">
        <v>2025</v>
      </c>
      <c r="I146" s="84"/>
      <c r="J146" s="79"/>
      <c r="K146" s="79"/>
      <c r="L146" s="79"/>
      <c r="M146" s="79"/>
      <c r="N146" s="79"/>
      <c r="O146" s="79"/>
      <c r="P146" s="79"/>
      <c r="Q146" s="79"/>
    </row>
    <row r="147" spans="1:17" ht="13.8">
      <c r="A147" s="83">
        <v>146</v>
      </c>
      <c r="B147" s="83" t="s">
        <v>4978</v>
      </c>
      <c r="C147" s="83">
        <v>3110117004</v>
      </c>
      <c r="D147" s="88"/>
      <c r="E147" s="86"/>
      <c r="F147" s="81"/>
      <c r="G147" s="83" t="s">
        <v>4902</v>
      </c>
      <c r="H147" s="83">
        <v>2025</v>
      </c>
      <c r="I147" s="84"/>
      <c r="J147" s="79"/>
      <c r="K147" s="79"/>
      <c r="L147" s="79"/>
      <c r="M147" s="79"/>
      <c r="N147" s="79"/>
      <c r="O147" s="79"/>
      <c r="P147" s="79"/>
      <c r="Q147" s="79"/>
    </row>
    <row r="148" spans="1:17" ht="13.8">
      <c r="A148" s="83">
        <v>147</v>
      </c>
      <c r="B148" s="83" t="s">
        <v>4978</v>
      </c>
      <c r="C148" s="83">
        <v>3110117005</v>
      </c>
      <c r="D148" s="88"/>
      <c r="E148" s="86"/>
      <c r="F148" s="81"/>
      <c r="G148" s="83" t="s">
        <v>4902</v>
      </c>
      <c r="H148" s="83">
        <v>2025</v>
      </c>
      <c r="I148" s="84"/>
      <c r="J148" s="79"/>
      <c r="K148" s="79"/>
      <c r="L148" s="79"/>
      <c r="M148" s="79"/>
      <c r="N148" s="79"/>
      <c r="O148" s="79"/>
      <c r="P148" s="79"/>
      <c r="Q148" s="79"/>
    </row>
    <row r="149" spans="1:17" ht="13.8">
      <c r="A149" s="83">
        <v>148</v>
      </c>
      <c r="B149" s="83" t="s">
        <v>4978</v>
      </c>
      <c r="C149" s="83">
        <v>3110117006</v>
      </c>
      <c r="D149" s="88"/>
      <c r="E149" s="86"/>
      <c r="F149" s="81"/>
      <c r="G149" s="83" t="s">
        <v>4902</v>
      </c>
      <c r="H149" s="83">
        <v>2025</v>
      </c>
      <c r="I149" s="84"/>
      <c r="J149" s="79"/>
      <c r="K149" s="79"/>
      <c r="L149" s="79"/>
      <c r="M149" s="79"/>
      <c r="N149" s="79"/>
      <c r="O149" s="79"/>
      <c r="P149" s="79"/>
      <c r="Q149" s="79"/>
    </row>
    <row r="150" spans="1:17" ht="13.8">
      <c r="A150" s="83">
        <v>149</v>
      </c>
      <c r="B150" s="83" t="s">
        <v>4980</v>
      </c>
      <c r="C150" s="88"/>
      <c r="D150" s="83" t="s">
        <v>4981</v>
      </c>
      <c r="E150" s="82" t="s">
        <v>4966</v>
      </c>
      <c r="F150" s="80" t="s">
        <v>4967</v>
      </c>
      <c r="G150" s="83" t="s">
        <v>4901</v>
      </c>
      <c r="H150" s="83">
        <v>2025</v>
      </c>
      <c r="I150" s="84"/>
      <c r="J150" s="79"/>
      <c r="K150" s="79"/>
      <c r="L150" s="79"/>
      <c r="M150" s="79"/>
      <c r="N150" s="79"/>
      <c r="O150" s="79"/>
      <c r="P150" s="79"/>
      <c r="Q150" s="79"/>
    </row>
    <row r="151" spans="1:17" ht="13.8">
      <c r="A151" s="83">
        <v>150</v>
      </c>
      <c r="B151" s="83" t="s">
        <v>4980</v>
      </c>
      <c r="C151" s="83">
        <v>3110117007</v>
      </c>
      <c r="D151" s="88"/>
      <c r="E151" s="86"/>
      <c r="F151" s="81"/>
      <c r="G151" s="83" t="s">
        <v>4902</v>
      </c>
      <c r="H151" s="83">
        <v>2025</v>
      </c>
      <c r="I151" s="84"/>
      <c r="J151" s="79"/>
      <c r="K151" s="79"/>
      <c r="L151" s="79"/>
      <c r="M151" s="79"/>
      <c r="N151" s="79"/>
      <c r="O151" s="79"/>
      <c r="P151" s="79"/>
      <c r="Q151" s="79"/>
    </row>
    <row r="152" spans="1:17" ht="13.8">
      <c r="A152" s="83">
        <v>151</v>
      </c>
      <c r="B152" s="83" t="s">
        <v>4980</v>
      </c>
      <c r="C152" s="83">
        <v>3110117008</v>
      </c>
      <c r="D152" s="88"/>
      <c r="E152" s="86"/>
      <c r="F152" s="81"/>
      <c r="G152" s="83" t="s">
        <v>4902</v>
      </c>
      <c r="H152" s="83">
        <v>2025</v>
      </c>
      <c r="I152" s="84"/>
      <c r="J152" s="79"/>
      <c r="K152" s="79"/>
      <c r="L152" s="79"/>
      <c r="M152" s="79"/>
      <c r="N152" s="79"/>
      <c r="O152" s="79"/>
      <c r="P152" s="79"/>
      <c r="Q152" s="79"/>
    </row>
    <row r="153" spans="1:17" ht="13.8">
      <c r="A153" s="83">
        <v>152</v>
      </c>
      <c r="B153" s="83" t="s">
        <v>4980</v>
      </c>
      <c r="C153" s="83">
        <v>3110117009</v>
      </c>
      <c r="D153" s="88"/>
      <c r="E153" s="86"/>
      <c r="F153" s="81"/>
      <c r="G153" s="83" t="s">
        <v>4902</v>
      </c>
      <c r="H153" s="83">
        <v>2025</v>
      </c>
      <c r="I153" s="84"/>
      <c r="J153" s="79"/>
      <c r="K153" s="79"/>
      <c r="L153" s="79"/>
      <c r="M153" s="79"/>
      <c r="N153" s="79"/>
      <c r="O153" s="79"/>
      <c r="P153" s="79"/>
      <c r="Q153" s="79"/>
    </row>
    <row r="154" spans="1:17" ht="13.8">
      <c r="A154" s="83">
        <v>153</v>
      </c>
      <c r="B154" s="83" t="s">
        <v>4982</v>
      </c>
      <c r="C154" s="88"/>
      <c r="D154" s="83" t="s">
        <v>4983</v>
      </c>
      <c r="E154" s="82" t="s">
        <v>4966</v>
      </c>
      <c r="F154" s="80" t="s">
        <v>4967</v>
      </c>
      <c r="G154" s="83" t="s">
        <v>4901</v>
      </c>
      <c r="H154" s="83">
        <v>2025</v>
      </c>
      <c r="I154" s="84"/>
      <c r="J154" s="79"/>
      <c r="K154" s="79"/>
      <c r="L154" s="79"/>
      <c r="M154" s="79"/>
      <c r="N154" s="79"/>
      <c r="O154" s="79"/>
      <c r="P154" s="79"/>
      <c r="Q154" s="79"/>
    </row>
    <row r="155" spans="1:17" ht="13.8">
      <c r="A155" s="83">
        <v>154</v>
      </c>
      <c r="B155" s="83" t="s">
        <v>4982</v>
      </c>
      <c r="C155" s="83">
        <v>3110117010</v>
      </c>
      <c r="D155" s="88"/>
      <c r="E155" s="86"/>
      <c r="F155" s="81"/>
      <c r="G155" s="83" t="s">
        <v>4902</v>
      </c>
      <c r="H155" s="83">
        <v>2025</v>
      </c>
      <c r="I155" s="84"/>
      <c r="J155" s="79"/>
      <c r="K155" s="79"/>
      <c r="L155" s="79"/>
      <c r="M155" s="79"/>
      <c r="N155" s="79"/>
      <c r="O155" s="79"/>
      <c r="P155" s="79"/>
      <c r="Q155" s="79"/>
    </row>
    <row r="156" spans="1:17" ht="13.8">
      <c r="A156" s="83">
        <v>155</v>
      </c>
      <c r="B156" s="83" t="s">
        <v>4982</v>
      </c>
      <c r="C156" s="83">
        <v>3110117011</v>
      </c>
      <c r="D156" s="88"/>
      <c r="E156" s="86"/>
      <c r="F156" s="81"/>
      <c r="G156" s="83" t="s">
        <v>4902</v>
      </c>
      <c r="H156" s="83">
        <v>2025</v>
      </c>
      <c r="I156" s="84"/>
      <c r="J156" s="79"/>
      <c r="K156" s="79"/>
      <c r="L156" s="79"/>
      <c r="M156" s="79"/>
      <c r="N156" s="79"/>
      <c r="O156" s="79"/>
      <c r="P156" s="79"/>
      <c r="Q156" s="79"/>
    </row>
    <row r="157" spans="1:17" ht="13.8">
      <c r="A157" s="83">
        <v>156</v>
      </c>
      <c r="B157" s="83" t="s">
        <v>4982</v>
      </c>
      <c r="C157" s="83">
        <v>3110117012</v>
      </c>
      <c r="D157" s="88"/>
      <c r="E157" s="86"/>
      <c r="F157" s="81"/>
      <c r="G157" s="83" t="s">
        <v>4902</v>
      </c>
      <c r="H157" s="83">
        <v>2025</v>
      </c>
      <c r="I157" s="84"/>
      <c r="J157" s="79"/>
      <c r="K157" s="79"/>
      <c r="L157" s="79"/>
      <c r="M157" s="79"/>
      <c r="N157" s="79"/>
      <c r="O157" s="79"/>
      <c r="P157" s="79"/>
      <c r="Q157" s="79"/>
    </row>
    <row r="158" spans="1:17" ht="13.8">
      <c r="A158" s="83">
        <v>157</v>
      </c>
      <c r="B158" s="83" t="s">
        <v>4984</v>
      </c>
      <c r="C158" s="88"/>
      <c r="D158" s="83" t="s">
        <v>4985</v>
      </c>
      <c r="E158" s="82" t="s">
        <v>4966</v>
      </c>
      <c r="F158" s="80" t="s">
        <v>4967</v>
      </c>
      <c r="G158" s="83" t="s">
        <v>4901</v>
      </c>
      <c r="H158" s="83">
        <v>2025</v>
      </c>
      <c r="I158" s="84"/>
      <c r="J158" s="79"/>
      <c r="K158" s="79"/>
      <c r="L158" s="79"/>
      <c r="M158" s="79"/>
      <c r="N158" s="79"/>
      <c r="O158" s="79"/>
      <c r="P158" s="79"/>
      <c r="Q158" s="79"/>
    </row>
    <row r="159" spans="1:17" ht="13.8">
      <c r="A159" s="83">
        <v>158</v>
      </c>
      <c r="B159" s="83" t="s">
        <v>4984</v>
      </c>
      <c r="C159" s="83">
        <v>3110117013</v>
      </c>
      <c r="D159" s="88"/>
      <c r="E159" s="86"/>
      <c r="F159" s="81"/>
      <c r="G159" s="83" t="s">
        <v>4902</v>
      </c>
      <c r="H159" s="83">
        <v>2025</v>
      </c>
      <c r="I159" s="84"/>
      <c r="J159" s="79"/>
      <c r="K159" s="79"/>
      <c r="L159" s="79"/>
      <c r="M159" s="79"/>
      <c r="N159" s="79"/>
      <c r="O159" s="79"/>
      <c r="P159" s="79"/>
      <c r="Q159" s="79"/>
    </row>
    <row r="160" spans="1:17" ht="13.8">
      <c r="A160" s="83">
        <v>159</v>
      </c>
      <c r="B160" s="83" t="s">
        <v>4984</v>
      </c>
      <c r="C160" s="83">
        <v>3110117014</v>
      </c>
      <c r="D160" s="88"/>
      <c r="E160" s="86"/>
      <c r="F160" s="81"/>
      <c r="G160" s="83" t="s">
        <v>4902</v>
      </c>
      <c r="H160" s="83">
        <v>2025</v>
      </c>
      <c r="I160" s="84"/>
      <c r="J160" s="79"/>
      <c r="K160" s="79"/>
      <c r="L160" s="79"/>
      <c r="M160" s="79"/>
      <c r="N160" s="79"/>
      <c r="O160" s="79"/>
      <c r="P160" s="79"/>
      <c r="Q160" s="79"/>
    </row>
    <row r="161" spans="1:17" ht="13.8">
      <c r="A161" s="83">
        <v>160</v>
      </c>
      <c r="B161" s="83" t="s">
        <v>4984</v>
      </c>
      <c r="C161" s="83">
        <v>3110117015</v>
      </c>
      <c r="D161" s="88"/>
      <c r="E161" s="86"/>
      <c r="F161" s="81"/>
      <c r="G161" s="83" t="s">
        <v>4902</v>
      </c>
      <c r="H161" s="83">
        <v>2025</v>
      </c>
      <c r="I161" s="84"/>
      <c r="J161" s="79"/>
      <c r="K161" s="79"/>
      <c r="L161" s="79"/>
      <c r="M161" s="79"/>
      <c r="N161" s="79"/>
      <c r="O161" s="79"/>
      <c r="P161" s="79"/>
      <c r="Q161" s="79"/>
    </row>
    <row r="162" spans="1:17" ht="13.8">
      <c r="A162" s="83">
        <v>161</v>
      </c>
      <c r="B162" s="83" t="s">
        <v>4986</v>
      </c>
      <c r="C162" s="88"/>
      <c r="D162" s="83" t="s">
        <v>4987</v>
      </c>
      <c r="E162" s="82" t="s">
        <v>4966</v>
      </c>
      <c r="F162" s="80" t="s">
        <v>4967</v>
      </c>
      <c r="G162" s="83" t="s">
        <v>4901</v>
      </c>
      <c r="H162" s="83">
        <v>2025</v>
      </c>
      <c r="I162" s="84"/>
      <c r="J162" s="79"/>
      <c r="K162" s="79"/>
      <c r="L162" s="79"/>
      <c r="M162" s="79"/>
      <c r="N162" s="79"/>
      <c r="O162" s="79"/>
      <c r="P162" s="79"/>
      <c r="Q162" s="79"/>
    </row>
    <row r="163" spans="1:17" ht="13.8">
      <c r="A163" s="83">
        <v>162</v>
      </c>
      <c r="B163" s="83" t="s">
        <v>4986</v>
      </c>
      <c r="C163" s="83">
        <v>3110117001</v>
      </c>
      <c r="D163" s="88"/>
      <c r="E163" s="86"/>
      <c r="F163" s="81"/>
      <c r="G163" s="83" t="s">
        <v>4902</v>
      </c>
      <c r="H163" s="83">
        <v>2025</v>
      </c>
      <c r="I163" s="84"/>
      <c r="J163" s="79"/>
      <c r="K163" s="79"/>
      <c r="L163" s="79"/>
      <c r="M163" s="79"/>
      <c r="N163" s="79"/>
      <c r="O163" s="79"/>
      <c r="P163" s="79"/>
      <c r="Q163" s="79"/>
    </row>
    <row r="164" spans="1:17" ht="13.8">
      <c r="A164" s="83">
        <v>163</v>
      </c>
      <c r="B164" s="83" t="s">
        <v>4986</v>
      </c>
      <c r="C164" s="83">
        <v>3110117002</v>
      </c>
      <c r="D164" s="88"/>
      <c r="E164" s="86"/>
      <c r="F164" s="81"/>
      <c r="G164" s="83" t="s">
        <v>4902</v>
      </c>
      <c r="H164" s="83">
        <v>2025</v>
      </c>
      <c r="I164" s="84"/>
      <c r="J164" s="79"/>
      <c r="K164" s="79"/>
      <c r="L164" s="79"/>
      <c r="M164" s="79"/>
      <c r="N164" s="79"/>
      <c r="O164" s="79"/>
      <c r="P164" s="79"/>
      <c r="Q164" s="79"/>
    </row>
    <row r="165" spans="1:17" ht="13.8">
      <c r="A165" s="83">
        <v>164</v>
      </c>
      <c r="B165" s="83" t="s">
        <v>4986</v>
      </c>
      <c r="C165" s="83">
        <v>3110117003</v>
      </c>
      <c r="D165" s="88"/>
      <c r="E165" s="86"/>
      <c r="F165" s="81"/>
      <c r="G165" s="83" t="s">
        <v>4902</v>
      </c>
      <c r="H165" s="83">
        <v>2025</v>
      </c>
      <c r="I165" s="84"/>
      <c r="J165" s="79"/>
      <c r="K165" s="79"/>
      <c r="L165" s="79"/>
      <c r="M165" s="79"/>
      <c r="N165" s="79"/>
      <c r="O165" s="79"/>
      <c r="P165" s="79"/>
      <c r="Q165" s="79"/>
    </row>
    <row r="166" spans="1:17" ht="13.8">
      <c r="A166" s="83">
        <v>165</v>
      </c>
      <c r="B166" s="83" t="s">
        <v>4988</v>
      </c>
      <c r="C166" s="88"/>
      <c r="D166" s="83" t="s">
        <v>4989</v>
      </c>
      <c r="E166" s="82" t="s">
        <v>4966</v>
      </c>
      <c r="F166" s="80" t="s">
        <v>4967</v>
      </c>
      <c r="G166" s="83" t="s">
        <v>4901</v>
      </c>
      <c r="H166" s="83">
        <v>2025</v>
      </c>
      <c r="I166" s="84"/>
      <c r="J166" s="79"/>
      <c r="K166" s="79"/>
      <c r="L166" s="79"/>
      <c r="M166" s="79"/>
      <c r="N166" s="79"/>
      <c r="O166" s="79"/>
      <c r="P166" s="79"/>
      <c r="Q166" s="79"/>
    </row>
    <row r="167" spans="1:17" ht="13.8">
      <c r="A167" s="83">
        <v>166</v>
      </c>
      <c r="B167" s="83" t="s">
        <v>4988</v>
      </c>
      <c r="C167" s="83">
        <v>3110117004</v>
      </c>
      <c r="D167" s="88"/>
      <c r="E167" s="86"/>
      <c r="F167" s="81"/>
      <c r="G167" s="83" t="s">
        <v>4902</v>
      </c>
      <c r="H167" s="83">
        <v>2025</v>
      </c>
      <c r="I167" s="84"/>
      <c r="J167" s="79"/>
      <c r="K167" s="79"/>
      <c r="L167" s="79"/>
      <c r="M167" s="79"/>
      <c r="N167" s="79"/>
      <c r="O167" s="79"/>
      <c r="P167" s="79"/>
      <c r="Q167" s="79"/>
    </row>
    <row r="168" spans="1:17" ht="13.8">
      <c r="A168" s="83">
        <v>167</v>
      </c>
      <c r="B168" s="83" t="s">
        <v>4988</v>
      </c>
      <c r="C168" s="83">
        <v>3110117005</v>
      </c>
      <c r="D168" s="88"/>
      <c r="E168" s="86"/>
      <c r="F168" s="81"/>
      <c r="G168" s="83" t="s">
        <v>4902</v>
      </c>
      <c r="H168" s="83">
        <v>2025</v>
      </c>
      <c r="I168" s="84"/>
      <c r="J168" s="79"/>
      <c r="K168" s="79"/>
      <c r="L168" s="79"/>
      <c r="M168" s="79"/>
      <c r="N168" s="79"/>
      <c r="O168" s="79"/>
      <c r="P168" s="79"/>
      <c r="Q168" s="79"/>
    </row>
    <row r="169" spans="1:17" ht="13.8">
      <c r="A169" s="83">
        <v>168</v>
      </c>
      <c r="B169" s="83" t="s">
        <v>4988</v>
      </c>
      <c r="C169" s="83">
        <v>3110117006</v>
      </c>
      <c r="D169" s="88"/>
      <c r="E169" s="86"/>
      <c r="F169" s="81"/>
      <c r="G169" s="83" t="s">
        <v>4902</v>
      </c>
      <c r="H169" s="83">
        <v>2025</v>
      </c>
      <c r="I169" s="84"/>
      <c r="J169" s="79"/>
      <c r="K169" s="79"/>
      <c r="L169" s="79"/>
      <c r="M169" s="79"/>
      <c r="N169" s="79"/>
      <c r="O169" s="79"/>
      <c r="P169" s="79"/>
      <c r="Q169" s="79"/>
    </row>
    <row r="170" spans="1:17" ht="13.8">
      <c r="A170" s="83">
        <v>169</v>
      </c>
      <c r="B170" s="83" t="s">
        <v>4990</v>
      </c>
      <c r="C170" s="88"/>
      <c r="D170" s="83" t="s">
        <v>4991</v>
      </c>
      <c r="E170" s="82" t="s">
        <v>4966</v>
      </c>
      <c r="F170" s="80" t="s">
        <v>4967</v>
      </c>
      <c r="G170" s="83" t="s">
        <v>4901</v>
      </c>
      <c r="H170" s="83">
        <v>2025</v>
      </c>
      <c r="I170" s="84"/>
      <c r="J170" s="79"/>
      <c r="K170" s="79"/>
      <c r="L170" s="79"/>
      <c r="M170" s="79"/>
      <c r="N170" s="79"/>
      <c r="O170" s="79"/>
      <c r="P170" s="79"/>
      <c r="Q170" s="79"/>
    </row>
    <row r="171" spans="1:17" ht="13.8">
      <c r="A171" s="83">
        <v>170</v>
      </c>
      <c r="B171" s="83" t="s">
        <v>4990</v>
      </c>
      <c r="C171" s="83">
        <v>3110117007</v>
      </c>
      <c r="D171" s="88"/>
      <c r="E171" s="86"/>
      <c r="F171" s="81"/>
      <c r="G171" s="83" t="s">
        <v>4902</v>
      </c>
      <c r="H171" s="83">
        <v>2025</v>
      </c>
      <c r="I171" s="84"/>
      <c r="J171" s="79"/>
      <c r="K171" s="79"/>
      <c r="L171" s="79"/>
      <c r="M171" s="79"/>
      <c r="N171" s="79"/>
      <c r="O171" s="79"/>
      <c r="P171" s="79"/>
      <c r="Q171" s="79"/>
    </row>
    <row r="172" spans="1:17" ht="13.8">
      <c r="A172" s="83">
        <v>171</v>
      </c>
      <c r="B172" s="83" t="s">
        <v>4990</v>
      </c>
      <c r="C172" s="83">
        <v>3110117008</v>
      </c>
      <c r="D172" s="88"/>
      <c r="E172" s="86"/>
      <c r="F172" s="81"/>
      <c r="G172" s="83" t="s">
        <v>4902</v>
      </c>
      <c r="H172" s="83">
        <v>2025</v>
      </c>
      <c r="I172" s="84"/>
      <c r="J172" s="79"/>
      <c r="K172" s="79"/>
      <c r="L172" s="79"/>
      <c r="M172" s="79"/>
      <c r="N172" s="79"/>
      <c r="O172" s="79"/>
      <c r="P172" s="79"/>
      <c r="Q172" s="79"/>
    </row>
    <row r="173" spans="1:17" ht="13.8">
      <c r="A173" s="83">
        <v>172</v>
      </c>
      <c r="B173" s="83" t="s">
        <v>4990</v>
      </c>
      <c r="C173" s="83">
        <v>3110117009</v>
      </c>
      <c r="D173" s="88"/>
      <c r="E173" s="86"/>
      <c r="F173" s="81"/>
      <c r="G173" s="83" t="s">
        <v>4902</v>
      </c>
      <c r="H173" s="83">
        <v>2025</v>
      </c>
      <c r="I173" s="84"/>
      <c r="J173" s="79"/>
      <c r="K173" s="79"/>
      <c r="L173" s="79"/>
      <c r="M173" s="79"/>
      <c r="N173" s="79"/>
      <c r="O173" s="79"/>
      <c r="P173" s="79"/>
      <c r="Q173" s="79"/>
    </row>
    <row r="174" spans="1:17" ht="13.8">
      <c r="A174" s="83">
        <v>173</v>
      </c>
      <c r="B174" s="83" t="s">
        <v>4992</v>
      </c>
      <c r="C174" s="88"/>
      <c r="D174" s="83" t="s">
        <v>4993</v>
      </c>
      <c r="E174" s="82" t="s">
        <v>4966</v>
      </c>
      <c r="F174" s="80" t="s">
        <v>4967</v>
      </c>
      <c r="G174" s="83" t="s">
        <v>4901</v>
      </c>
      <c r="H174" s="83">
        <v>2025</v>
      </c>
      <c r="I174" s="84"/>
      <c r="J174" s="79"/>
      <c r="K174" s="79"/>
      <c r="L174" s="79"/>
      <c r="M174" s="79"/>
      <c r="N174" s="79"/>
      <c r="O174" s="79"/>
      <c r="P174" s="79"/>
      <c r="Q174" s="79"/>
    </row>
    <row r="175" spans="1:17" ht="13.8">
      <c r="A175" s="83">
        <v>174</v>
      </c>
      <c r="B175" s="83" t="s">
        <v>4992</v>
      </c>
      <c r="C175" s="83">
        <v>3110117010</v>
      </c>
      <c r="D175" s="88"/>
      <c r="E175" s="86"/>
      <c r="F175" s="81"/>
      <c r="G175" s="83" t="s">
        <v>4902</v>
      </c>
      <c r="H175" s="83">
        <v>2025</v>
      </c>
      <c r="I175" s="84"/>
      <c r="J175" s="79"/>
      <c r="K175" s="79"/>
      <c r="L175" s="79"/>
      <c r="M175" s="79"/>
      <c r="N175" s="79"/>
      <c r="O175" s="79"/>
      <c r="P175" s="79"/>
      <c r="Q175" s="79"/>
    </row>
    <row r="176" spans="1:17" ht="13.8">
      <c r="A176" s="83">
        <v>175</v>
      </c>
      <c r="B176" s="83" t="s">
        <v>4992</v>
      </c>
      <c r="C176" s="83">
        <v>3110117011</v>
      </c>
      <c r="D176" s="88"/>
      <c r="E176" s="86"/>
      <c r="F176" s="81"/>
      <c r="G176" s="83" t="s">
        <v>4902</v>
      </c>
      <c r="H176" s="83">
        <v>2025</v>
      </c>
      <c r="I176" s="84"/>
      <c r="J176" s="79"/>
      <c r="K176" s="79"/>
      <c r="L176" s="79"/>
      <c r="M176" s="79"/>
      <c r="N176" s="79"/>
      <c r="O176" s="79"/>
      <c r="P176" s="79"/>
      <c r="Q176" s="79"/>
    </row>
    <row r="177" spans="1:17" ht="13.8">
      <c r="A177" s="83">
        <v>176</v>
      </c>
      <c r="B177" s="83" t="s">
        <v>4992</v>
      </c>
      <c r="C177" s="83">
        <v>3110117012</v>
      </c>
      <c r="D177" s="88"/>
      <c r="E177" s="86"/>
      <c r="F177" s="81"/>
      <c r="G177" s="83" t="s">
        <v>4902</v>
      </c>
      <c r="H177" s="83">
        <v>2025</v>
      </c>
      <c r="I177" s="84"/>
      <c r="J177" s="79"/>
      <c r="K177" s="79"/>
      <c r="L177" s="79"/>
      <c r="M177" s="79"/>
      <c r="N177" s="79"/>
      <c r="O177" s="79"/>
      <c r="P177" s="79"/>
      <c r="Q177" s="79"/>
    </row>
    <row r="178" spans="1:17" ht="13.8">
      <c r="A178" s="83">
        <v>177</v>
      </c>
      <c r="B178" s="83" t="s">
        <v>4994</v>
      </c>
      <c r="C178" s="88"/>
      <c r="D178" s="83" t="s">
        <v>4995</v>
      </c>
      <c r="E178" s="82" t="s">
        <v>1328</v>
      </c>
      <c r="F178" s="80" t="s">
        <v>1329</v>
      </c>
      <c r="G178" s="83" t="s">
        <v>4901</v>
      </c>
      <c r="H178" s="83">
        <v>2025</v>
      </c>
      <c r="I178" s="84"/>
      <c r="J178" s="79"/>
      <c r="K178" s="79"/>
      <c r="L178" s="79"/>
      <c r="M178" s="79"/>
      <c r="N178" s="79"/>
      <c r="O178" s="79"/>
      <c r="P178" s="79"/>
      <c r="Q178" s="79"/>
    </row>
    <row r="179" spans="1:17" ht="13.8">
      <c r="A179" s="83">
        <v>178</v>
      </c>
      <c r="B179" s="83" t="s">
        <v>4994</v>
      </c>
      <c r="C179" s="83">
        <v>3110117013</v>
      </c>
      <c r="D179" s="88"/>
      <c r="E179" s="86"/>
      <c r="F179" s="81"/>
      <c r="G179" s="83" t="s">
        <v>4902</v>
      </c>
      <c r="H179" s="83">
        <v>2025</v>
      </c>
      <c r="I179" s="84"/>
      <c r="J179" s="79"/>
      <c r="K179" s="79"/>
      <c r="L179" s="79"/>
      <c r="M179" s="79"/>
      <c r="N179" s="79"/>
      <c r="O179" s="79"/>
      <c r="P179" s="79"/>
      <c r="Q179" s="79"/>
    </row>
    <row r="180" spans="1:17" ht="13.8">
      <c r="A180" s="83">
        <v>179</v>
      </c>
      <c r="B180" s="83" t="s">
        <v>4994</v>
      </c>
      <c r="C180" s="83">
        <v>3110117014</v>
      </c>
      <c r="D180" s="88"/>
      <c r="E180" s="86"/>
      <c r="F180" s="81"/>
      <c r="G180" s="83" t="s">
        <v>4902</v>
      </c>
      <c r="H180" s="83">
        <v>2025</v>
      </c>
      <c r="I180" s="84"/>
      <c r="J180" s="79"/>
      <c r="K180" s="79"/>
      <c r="L180" s="79"/>
      <c r="M180" s="79"/>
      <c r="N180" s="79"/>
      <c r="O180" s="79"/>
      <c r="P180" s="79"/>
      <c r="Q180" s="79"/>
    </row>
    <row r="181" spans="1:17" ht="13.8">
      <c r="A181" s="83">
        <v>180</v>
      </c>
      <c r="B181" s="83" t="s">
        <v>4994</v>
      </c>
      <c r="C181" s="83">
        <v>3110117015</v>
      </c>
      <c r="D181" s="88"/>
      <c r="E181" s="86"/>
      <c r="F181" s="81"/>
      <c r="G181" s="83" t="s">
        <v>4902</v>
      </c>
      <c r="H181" s="83">
        <v>2025</v>
      </c>
      <c r="I181" s="84"/>
      <c r="J181" s="79"/>
      <c r="K181" s="79"/>
      <c r="L181" s="79"/>
      <c r="M181" s="79"/>
      <c r="N181" s="79"/>
      <c r="O181" s="79"/>
      <c r="P181" s="79"/>
      <c r="Q181" s="79"/>
    </row>
    <row r="182" spans="1:17" ht="13.8">
      <c r="A182" s="83">
        <v>181</v>
      </c>
      <c r="B182" s="83" t="s">
        <v>4996</v>
      </c>
      <c r="C182" s="88"/>
      <c r="D182" s="83" t="s">
        <v>4997</v>
      </c>
      <c r="E182" s="82" t="s">
        <v>1328</v>
      </c>
      <c r="F182" s="80" t="s">
        <v>1329</v>
      </c>
      <c r="G182" s="83" t="s">
        <v>4901</v>
      </c>
      <c r="H182" s="83">
        <v>2025</v>
      </c>
      <c r="I182" s="84"/>
      <c r="J182" s="79"/>
      <c r="K182" s="79"/>
      <c r="L182" s="79"/>
      <c r="M182" s="79"/>
      <c r="N182" s="79"/>
      <c r="O182" s="79"/>
      <c r="P182" s="79"/>
      <c r="Q182" s="79"/>
    </row>
    <row r="183" spans="1:17" ht="13.8">
      <c r="A183" s="83">
        <v>182</v>
      </c>
      <c r="B183" s="83" t="s">
        <v>4996</v>
      </c>
      <c r="C183" s="83">
        <v>3110117001</v>
      </c>
      <c r="D183" s="88"/>
      <c r="E183" s="86"/>
      <c r="F183" s="81"/>
      <c r="G183" s="83" t="s">
        <v>4902</v>
      </c>
      <c r="H183" s="83">
        <v>2025</v>
      </c>
      <c r="I183" s="84"/>
      <c r="J183" s="79"/>
      <c r="K183" s="79"/>
      <c r="L183" s="79"/>
      <c r="M183" s="79"/>
      <c r="N183" s="79"/>
      <c r="O183" s="79"/>
      <c r="P183" s="79"/>
      <c r="Q183" s="79"/>
    </row>
    <row r="184" spans="1:17" ht="13.8">
      <c r="A184" s="83">
        <v>183</v>
      </c>
      <c r="B184" s="83" t="s">
        <v>4996</v>
      </c>
      <c r="C184" s="83">
        <v>3110117002</v>
      </c>
      <c r="D184" s="88"/>
      <c r="E184" s="86"/>
      <c r="F184" s="81"/>
      <c r="G184" s="83" t="s">
        <v>4902</v>
      </c>
      <c r="H184" s="83">
        <v>2025</v>
      </c>
      <c r="I184" s="84"/>
      <c r="J184" s="79"/>
      <c r="K184" s="79"/>
      <c r="L184" s="79"/>
      <c r="M184" s="79"/>
      <c r="N184" s="79"/>
      <c r="O184" s="79"/>
      <c r="P184" s="79"/>
      <c r="Q184" s="79"/>
    </row>
    <row r="185" spans="1:17" ht="13.8">
      <c r="A185" s="83">
        <v>184</v>
      </c>
      <c r="B185" s="83" t="s">
        <v>4996</v>
      </c>
      <c r="C185" s="83">
        <v>3110117003</v>
      </c>
      <c r="D185" s="88"/>
      <c r="E185" s="86"/>
      <c r="F185" s="81"/>
      <c r="G185" s="83" t="s">
        <v>4902</v>
      </c>
      <c r="H185" s="83">
        <v>2025</v>
      </c>
      <c r="I185" s="84"/>
      <c r="J185" s="79"/>
      <c r="K185" s="79"/>
      <c r="L185" s="79"/>
      <c r="M185" s="79"/>
      <c r="N185" s="79"/>
      <c r="O185" s="79"/>
      <c r="P185" s="79"/>
      <c r="Q185" s="79"/>
    </row>
    <row r="186" spans="1:17" ht="13.8">
      <c r="A186" s="83">
        <v>185</v>
      </c>
      <c r="B186" s="83" t="s">
        <v>4998</v>
      </c>
      <c r="C186" s="88"/>
      <c r="D186" s="83" t="s">
        <v>4999</v>
      </c>
      <c r="E186" s="82" t="s">
        <v>1328</v>
      </c>
      <c r="F186" s="80" t="s">
        <v>1329</v>
      </c>
      <c r="G186" s="83" t="s">
        <v>4901</v>
      </c>
      <c r="H186" s="83">
        <v>2025</v>
      </c>
      <c r="I186" s="84"/>
      <c r="J186" s="79"/>
      <c r="K186" s="79"/>
      <c r="L186" s="79"/>
      <c r="M186" s="79"/>
      <c r="N186" s="79"/>
      <c r="O186" s="79"/>
      <c r="P186" s="79"/>
      <c r="Q186" s="79"/>
    </row>
    <row r="187" spans="1:17" ht="13.8">
      <c r="A187" s="83">
        <v>186</v>
      </c>
      <c r="B187" s="83" t="s">
        <v>4998</v>
      </c>
      <c r="C187" s="83">
        <v>3110117004</v>
      </c>
      <c r="D187" s="88"/>
      <c r="E187" s="86"/>
      <c r="F187" s="81"/>
      <c r="G187" s="83" t="s">
        <v>4902</v>
      </c>
      <c r="H187" s="83">
        <v>2025</v>
      </c>
      <c r="I187" s="84"/>
      <c r="J187" s="79"/>
      <c r="K187" s="79"/>
      <c r="L187" s="79"/>
      <c r="M187" s="79"/>
      <c r="N187" s="79"/>
      <c r="O187" s="79"/>
      <c r="P187" s="79"/>
      <c r="Q187" s="79"/>
    </row>
    <row r="188" spans="1:17" ht="13.8">
      <c r="A188" s="83">
        <v>187</v>
      </c>
      <c r="B188" s="83" t="s">
        <v>4998</v>
      </c>
      <c r="C188" s="83">
        <v>3110117005</v>
      </c>
      <c r="D188" s="88"/>
      <c r="E188" s="86"/>
      <c r="F188" s="81"/>
      <c r="G188" s="83" t="s">
        <v>4902</v>
      </c>
      <c r="H188" s="83">
        <v>2025</v>
      </c>
      <c r="I188" s="84"/>
      <c r="J188" s="79"/>
      <c r="K188" s="79"/>
      <c r="L188" s="79"/>
      <c r="M188" s="79"/>
      <c r="N188" s="79"/>
      <c r="O188" s="79"/>
      <c r="P188" s="79"/>
      <c r="Q188" s="79"/>
    </row>
    <row r="189" spans="1:17" ht="13.8">
      <c r="A189" s="83">
        <v>188</v>
      </c>
      <c r="B189" s="83" t="s">
        <v>4998</v>
      </c>
      <c r="C189" s="83">
        <v>3110117006</v>
      </c>
      <c r="D189" s="88"/>
      <c r="E189" s="86"/>
      <c r="F189" s="81"/>
      <c r="G189" s="83" t="s">
        <v>4902</v>
      </c>
      <c r="H189" s="83">
        <v>2025</v>
      </c>
      <c r="I189" s="84"/>
      <c r="J189" s="79"/>
      <c r="K189" s="79"/>
      <c r="L189" s="79"/>
      <c r="M189" s="79"/>
      <c r="N189" s="79"/>
      <c r="O189" s="79"/>
      <c r="P189" s="79"/>
      <c r="Q189" s="79"/>
    </row>
    <row r="190" spans="1:17" ht="13.8">
      <c r="A190" s="83">
        <v>189</v>
      </c>
      <c r="B190" s="83" t="s">
        <v>5000</v>
      </c>
      <c r="C190" s="88"/>
      <c r="D190" s="83" t="s">
        <v>5001</v>
      </c>
      <c r="E190" s="82" t="s">
        <v>1328</v>
      </c>
      <c r="F190" s="80" t="s">
        <v>1329</v>
      </c>
      <c r="G190" s="83" t="s">
        <v>4901</v>
      </c>
      <c r="H190" s="83">
        <v>2025</v>
      </c>
      <c r="I190" s="84"/>
      <c r="J190" s="79"/>
      <c r="K190" s="79"/>
      <c r="L190" s="79"/>
      <c r="M190" s="79"/>
      <c r="N190" s="79"/>
      <c r="O190" s="79"/>
      <c r="P190" s="79"/>
      <c r="Q190" s="79"/>
    </row>
    <row r="191" spans="1:17" ht="13.8">
      <c r="A191" s="83">
        <v>190</v>
      </c>
      <c r="B191" s="83" t="s">
        <v>5000</v>
      </c>
      <c r="C191" s="83">
        <v>3110117007</v>
      </c>
      <c r="D191" s="88"/>
      <c r="E191" s="86"/>
      <c r="F191" s="81"/>
      <c r="G191" s="83" t="s">
        <v>4902</v>
      </c>
      <c r="H191" s="83">
        <v>2025</v>
      </c>
      <c r="I191" s="84"/>
      <c r="J191" s="79"/>
      <c r="K191" s="79"/>
      <c r="L191" s="79"/>
      <c r="M191" s="79"/>
      <c r="N191" s="79"/>
      <c r="O191" s="79"/>
      <c r="P191" s="79"/>
      <c r="Q191" s="79"/>
    </row>
    <row r="192" spans="1:17" ht="13.8">
      <c r="A192" s="83">
        <v>191</v>
      </c>
      <c r="B192" s="83" t="s">
        <v>5000</v>
      </c>
      <c r="C192" s="83">
        <v>3110117008</v>
      </c>
      <c r="D192" s="88"/>
      <c r="E192" s="86"/>
      <c r="F192" s="81"/>
      <c r="G192" s="83" t="s">
        <v>4902</v>
      </c>
      <c r="H192" s="83">
        <v>2025</v>
      </c>
      <c r="I192" s="84"/>
      <c r="J192" s="79"/>
      <c r="K192" s="79"/>
      <c r="L192" s="79"/>
      <c r="M192" s="79"/>
      <c r="N192" s="79"/>
      <c r="O192" s="79"/>
      <c r="P192" s="79"/>
      <c r="Q192" s="79"/>
    </row>
    <row r="193" spans="1:17" ht="13.8">
      <c r="A193" s="83">
        <v>192</v>
      </c>
      <c r="B193" s="83" t="s">
        <v>5000</v>
      </c>
      <c r="C193" s="83">
        <v>3110117009</v>
      </c>
      <c r="D193" s="88"/>
      <c r="E193" s="86"/>
      <c r="F193" s="81"/>
      <c r="G193" s="83" t="s">
        <v>4902</v>
      </c>
      <c r="H193" s="83">
        <v>2025</v>
      </c>
      <c r="I193" s="84"/>
      <c r="J193" s="79"/>
      <c r="K193" s="79"/>
      <c r="L193" s="79"/>
      <c r="M193" s="79"/>
      <c r="N193" s="79"/>
      <c r="O193" s="79"/>
      <c r="P193" s="79"/>
      <c r="Q193" s="79"/>
    </row>
    <row r="194" spans="1:17" ht="13.8">
      <c r="A194" s="83">
        <v>193</v>
      </c>
      <c r="B194" s="83" t="s">
        <v>5002</v>
      </c>
      <c r="C194" s="88"/>
      <c r="D194" s="83" t="s">
        <v>5003</v>
      </c>
      <c r="E194" s="82" t="s">
        <v>1328</v>
      </c>
      <c r="F194" s="80" t="s">
        <v>1329</v>
      </c>
      <c r="G194" s="83" t="s">
        <v>4901</v>
      </c>
      <c r="H194" s="83">
        <v>2025</v>
      </c>
      <c r="I194" s="84"/>
      <c r="J194" s="79"/>
      <c r="K194" s="79"/>
      <c r="L194" s="79"/>
      <c r="M194" s="79"/>
      <c r="N194" s="79"/>
      <c r="O194" s="79"/>
      <c r="P194" s="79"/>
      <c r="Q194" s="79"/>
    </row>
    <row r="195" spans="1:17" ht="13.8">
      <c r="A195" s="83">
        <v>194</v>
      </c>
      <c r="B195" s="83" t="s">
        <v>5002</v>
      </c>
      <c r="C195" s="83">
        <v>3110117010</v>
      </c>
      <c r="D195" s="88"/>
      <c r="E195" s="86"/>
      <c r="F195" s="81"/>
      <c r="G195" s="83" t="s">
        <v>4902</v>
      </c>
      <c r="H195" s="83">
        <v>2025</v>
      </c>
      <c r="I195" s="84"/>
      <c r="J195" s="79"/>
      <c r="K195" s="79"/>
      <c r="L195" s="79"/>
      <c r="M195" s="79"/>
      <c r="N195" s="79"/>
      <c r="O195" s="79"/>
      <c r="P195" s="79"/>
      <c r="Q195" s="79"/>
    </row>
    <row r="196" spans="1:17" ht="13.8">
      <c r="A196" s="83">
        <v>195</v>
      </c>
      <c r="B196" s="83" t="s">
        <v>5002</v>
      </c>
      <c r="C196" s="83">
        <v>3110117011</v>
      </c>
      <c r="D196" s="88"/>
      <c r="E196" s="86"/>
      <c r="F196" s="81"/>
      <c r="G196" s="83" t="s">
        <v>4902</v>
      </c>
      <c r="H196" s="83">
        <v>2025</v>
      </c>
      <c r="I196" s="84"/>
      <c r="J196" s="79"/>
      <c r="K196" s="79"/>
      <c r="L196" s="79"/>
      <c r="M196" s="79"/>
      <c r="N196" s="79"/>
      <c r="O196" s="79"/>
      <c r="P196" s="79"/>
      <c r="Q196" s="79"/>
    </row>
    <row r="197" spans="1:17" ht="13.8">
      <c r="A197" s="83">
        <v>196</v>
      </c>
      <c r="B197" s="83" t="s">
        <v>5002</v>
      </c>
      <c r="C197" s="83">
        <v>3110117012</v>
      </c>
      <c r="D197" s="88"/>
      <c r="E197" s="86"/>
      <c r="F197" s="81"/>
      <c r="G197" s="83" t="s">
        <v>4902</v>
      </c>
      <c r="H197" s="83">
        <v>2025</v>
      </c>
      <c r="I197" s="84"/>
      <c r="J197" s="79"/>
      <c r="K197" s="79"/>
      <c r="L197" s="79"/>
      <c r="M197" s="79"/>
      <c r="N197" s="79"/>
      <c r="O197" s="79"/>
      <c r="P197" s="79"/>
      <c r="Q197" s="79"/>
    </row>
    <row r="198" spans="1:17" ht="13.8">
      <c r="A198" s="83">
        <v>197</v>
      </c>
      <c r="B198" s="83" t="s">
        <v>5004</v>
      </c>
      <c r="C198" s="88"/>
      <c r="D198" s="83" t="s">
        <v>5005</v>
      </c>
      <c r="E198" s="82" t="s">
        <v>1328</v>
      </c>
      <c r="F198" s="80" t="s">
        <v>1329</v>
      </c>
      <c r="G198" s="83" t="s">
        <v>4901</v>
      </c>
      <c r="H198" s="83">
        <v>2025</v>
      </c>
      <c r="I198" s="84"/>
      <c r="J198" s="79"/>
      <c r="K198" s="79"/>
      <c r="L198" s="79"/>
      <c r="M198" s="79"/>
      <c r="N198" s="79"/>
      <c r="O198" s="79"/>
      <c r="P198" s="79"/>
      <c r="Q198" s="79"/>
    </row>
    <row r="199" spans="1:17" ht="13.8">
      <c r="A199" s="83">
        <v>198</v>
      </c>
      <c r="B199" s="83" t="s">
        <v>5004</v>
      </c>
      <c r="C199" s="83">
        <v>3110117013</v>
      </c>
      <c r="D199" s="88"/>
      <c r="E199" s="86"/>
      <c r="F199" s="81"/>
      <c r="G199" s="83" t="s">
        <v>4902</v>
      </c>
      <c r="H199" s="83">
        <v>2025</v>
      </c>
      <c r="I199" s="84"/>
      <c r="J199" s="79"/>
      <c r="K199" s="79"/>
      <c r="L199" s="79"/>
      <c r="M199" s="79"/>
      <c r="N199" s="79"/>
      <c r="O199" s="79"/>
      <c r="P199" s="79"/>
      <c r="Q199" s="79"/>
    </row>
    <row r="200" spans="1:17" ht="13.8">
      <c r="A200" s="83">
        <v>199</v>
      </c>
      <c r="B200" s="83" t="s">
        <v>5004</v>
      </c>
      <c r="C200" s="83">
        <v>3110117014</v>
      </c>
      <c r="D200" s="88"/>
      <c r="E200" s="86"/>
      <c r="F200" s="81"/>
      <c r="G200" s="83" t="s">
        <v>4902</v>
      </c>
      <c r="H200" s="83">
        <v>2025</v>
      </c>
      <c r="I200" s="84"/>
      <c r="J200" s="79"/>
      <c r="K200" s="79"/>
      <c r="L200" s="79"/>
      <c r="M200" s="79"/>
      <c r="N200" s="79"/>
      <c r="O200" s="79"/>
      <c r="P200" s="79"/>
      <c r="Q200" s="79"/>
    </row>
    <row r="201" spans="1:17" ht="13.8">
      <c r="A201" s="83">
        <v>200</v>
      </c>
      <c r="B201" s="83" t="s">
        <v>5004</v>
      </c>
      <c r="C201" s="83">
        <v>3110117015</v>
      </c>
      <c r="D201" s="88"/>
      <c r="E201" s="86"/>
      <c r="F201" s="81"/>
      <c r="G201" s="83" t="s">
        <v>4902</v>
      </c>
      <c r="H201" s="83">
        <v>2025</v>
      </c>
      <c r="I201" s="84"/>
      <c r="J201" s="79"/>
      <c r="K201" s="79"/>
      <c r="L201" s="79"/>
      <c r="M201" s="79"/>
      <c r="N201" s="79"/>
      <c r="O201" s="79"/>
      <c r="P201" s="79"/>
      <c r="Q201" s="79"/>
    </row>
    <row r="202" spans="1:17" ht="13.2">
      <c r="A202" s="79"/>
      <c r="B202" s="79"/>
      <c r="C202" s="79"/>
      <c r="D202" s="79"/>
      <c r="E202" s="79"/>
      <c r="F202" s="79"/>
      <c r="G202" s="79"/>
      <c r="H202" s="79"/>
      <c r="I202" s="79"/>
      <c r="J202" s="79"/>
      <c r="K202" s="79"/>
      <c r="L202" s="79"/>
      <c r="M202" s="79"/>
      <c r="N202" s="79"/>
      <c r="O202" s="79"/>
      <c r="P202" s="79"/>
      <c r="Q202" s="79"/>
    </row>
    <row r="203" spans="1:17" ht="13.2">
      <c r="A203" s="79"/>
      <c r="B203" s="79"/>
      <c r="C203" s="79"/>
      <c r="D203" s="79"/>
      <c r="E203" s="79"/>
      <c r="F203" s="79"/>
      <c r="G203" s="79"/>
      <c r="H203" s="79"/>
      <c r="I203" s="79"/>
      <c r="J203" s="79"/>
      <c r="K203" s="79"/>
      <c r="L203" s="79"/>
      <c r="M203" s="79"/>
      <c r="N203" s="79"/>
      <c r="O203" s="79"/>
      <c r="P203" s="79"/>
      <c r="Q203" s="79"/>
    </row>
    <row r="204" spans="1:17" ht="13.2">
      <c r="A204" s="79"/>
      <c r="B204" s="79"/>
      <c r="C204" s="79"/>
      <c r="D204" s="79"/>
      <c r="E204" s="79"/>
      <c r="F204" s="79"/>
      <c r="G204" s="79"/>
      <c r="H204" s="79"/>
      <c r="I204" s="79"/>
      <c r="J204" s="79"/>
      <c r="K204" s="79"/>
      <c r="L204" s="79"/>
      <c r="M204" s="79"/>
      <c r="N204" s="79"/>
      <c r="O204" s="79"/>
      <c r="P204" s="79"/>
      <c r="Q204" s="79"/>
    </row>
    <row r="205" spans="1:17" ht="13.2">
      <c r="A205" s="79"/>
      <c r="B205" s="79"/>
      <c r="C205" s="79"/>
      <c r="D205" s="79"/>
      <c r="E205" s="79"/>
      <c r="F205" s="79"/>
      <c r="G205" s="79"/>
      <c r="H205" s="79"/>
      <c r="I205" s="79"/>
      <c r="J205" s="79"/>
      <c r="K205" s="79"/>
      <c r="L205" s="79"/>
      <c r="M205" s="79"/>
      <c r="N205" s="79"/>
      <c r="O205" s="79"/>
      <c r="P205" s="79"/>
      <c r="Q205" s="79"/>
    </row>
    <row r="206" spans="1:17" ht="13.2">
      <c r="A206" s="79"/>
      <c r="B206" s="79"/>
      <c r="C206" s="79"/>
      <c r="D206" s="79"/>
      <c r="E206" s="79"/>
      <c r="F206" s="79"/>
      <c r="G206" s="79"/>
      <c r="H206" s="79"/>
      <c r="I206" s="79"/>
      <c r="J206" s="79"/>
      <c r="K206" s="79"/>
      <c r="L206" s="79"/>
      <c r="M206" s="79"/>
      <c r="N206" s="79"/>
      <c r="O206" s="79"/>
      <c r="P206" s="79"/>
      <c r="Q206" s="79"/>
    </row>
    <row r="207" spans="1:17" ht="13.2">
      <c r="A207" s="79"/>
      <c r="B207" s="79"/>
      <c r="C207" s="79"/>
      <c r="D207" s="79"/>
      <c r="E207" s="79"/>
      <c r="F207" s="79"/>
      <c r="G207" s="79"/>
      <c r="H207" s="79"/>
      <c r="I207" s="79"/>
      <c r="J207" s="79"/>
      <c r="K207" s="79"/>
      <c r="L207" s="79"/>
      <c r="M207" s="79"/>
      <c r="N207" s="79"/>
      <c r="O207" s="79"/>
      <c r="P207" s="79"/>
      <c r="Q207" s="79"/>
    </row>
    <row r="208" spans="1:17" ht="13.2">
      <c r="A208" s="79"/>
      <c r="B208" s="79"/>
      <c r="C208" s="79"/>
      <c r="D208" s="79"/>
      <c r="E208" s="79"/>
      <c r="F208" s="79"/>
      <c r="G208" s="79"/>
      <c r="H208" s="79"/>
      <c r="I208" s="79"/>
      <c r="J208" s="79"/>
      <c r="K208" s="79"/>
      <c r="L208" s="79"/>
      <c r="M208" s="79"/>
      <c r="N208" s="79"/>
      <c r="O208" s="79"/>
      <c r="P208" s="79"/>
      <c r="Q208" s="79"/>
    </row>
    <row r="209" spans="1:17" ht="13.2">
      <c r="A209" s="79"/>
      <c r="B209" s="79"/>
      <c r="C209" s="79"/>
      <c r="D209" s="79"/>
      <c r="E209" s="79"/>
      <c r="F209" s="79"/>
      <c r="G209" s="79"/>
      <c r="H209" s="79"/>
      <c r="I209" s="79"/>
      <c r="J209" s="79"/>
      <c r="K209" s="79"/>
      <c r="L209" s="79"/>
      <c r="M209" s="79"/>
      <c r="N209" s="79"/>
      <c r="O209" s="79"/>
      <c r="P209" s="79"/>
      <c r="Q209" s="79"/>
    </row>
    <row r="210" spans="1:17" ht="13.2">
      <c r="A210" s="79"/>
      <c r="B210" s="79"/>
      <c r="C210" s="79"/>
      <c r="D210" s="79"/>
      <c r="E210" s="79"/>
      <c r="F210" s="79"/>
      <c r="G210" s="79"/>
      <c r="H210" s="79"/>
      <c r="I210" s="79"/>
      <c r="J210" s="79"/>
      <c r="K210" s="79"/>
      <c r="L210" s="79"/>
      <c r="M210" s="79"/>
      <c r="N210" s="79"/>
      <c r="O210" s="79"/>
      <c r="P210" s="79"/>
      <c r="Q210" s="79"/>
    </row>
    <row r="211" spans="1:17" ht="13.2">
      <c r="A211" s="79"/>
      <c r="B211" s="79"/>
      <c r="C211" s="79"/>
      <c r="D211" s="79"/>
      <c r="E211" s="79"/>
      <c r="F211" s="79"/>
      <c r="G211" s="79"/>
      <c r="H211" s="79"/>
      <c r="I211" s="79"/>
      <c r="J211" s="79"/>
      <c r="K211" s="79"/>
      <c r="L211" s="79"/>
      <c r="M211" s="79"/>
      <c r="N211" s="79"/>
      <c r="O211" s="79"/>
      <c r="P211" s="79"/>
      <c r="Q211" s="79"/>
    </row>
    <row r="212" spans="1:17" ht="13.2">
      <c r="A212" s="79"/>
      <c r="B212" s="79"/>
      <c r="C212" s="79"/>
      <c r="D212" s="79"/>
      <c r="E212" s="79"/>
      <c r="F212" s="79"/>
      <c r="G212" s="79"/>
      <c r="H212" s="79"/>
      <c r="I212" s="79"/>
      <c r="J212" s="79"/>
      <c r="K212" s="79"/>
      <c r="L212" s="79"/>
      <c r="M212" s="79"/>
      <c r="N212" s="79"/>
      <c r="O212" s="79"/>
      <c r="P212" s="79"/>
      <c r="Q212" s="79"/>
    </row>
    <row r="213" spans="1:17" ht="13.2">
      <c r="A213" s="79"/>
      <c r="B213" s="79"/>
      <c r="C213" s="79"/>
      <c r="D213" s="79"/>
      <c r="E213" s="79"/>
      <c r="F213" s="79"/>
      <c r="G213" s="79"/>
      <c r="H213" s="79"/>
      <c r="I213" s="79"/>
      <c r="J213" s="79"/>
      <c r="K213" s="79"/>
      <c r="L213" s="79"/>
      <c r="M213" s="79"/>
      <c r="N213" s="79"/>
      <c r="O213" s="79"/>
      <c r="P213" s="79"/>
      <c r="Q213" s="79"/>
    </row>
    <row r="214" spans="1:17" ht="13.2">
      <c r="A214" s="79"/>
      <c r="B214" s="79"/>
      <c r="C214" s="79"/>
      <c r="D214" s="79"/>
      <c r="E214" s="79"/>
      <c r="F214" s="79"/>
      <c r="G214" s="79"/>
      <c r="H214" s="79"/>
      <c r="I214" s="79"/>
      <c r="J214" s="79"/>
      <c r="K214" s="79"/>
      <c r="L214" s="79"/>
      <c r="M214" s="79"/>
      <c r="N214" s="79"/>
      <c r="O214" s="79"/>
      <c r="P214" s="79"/>
      <c r="Q214" s="79"/>
    </row>
    <row r="215" spans="1:17" ht="13.2">
      <c r="A215" s="79"/>
      <c r="B215" s="79"/>
      <c r="C215" s="79"/>
      <c r="D215" s="79"/>
      <c r="E215" s="79"/>
      <c r="F215" s="79"/>
      <c r="G215" s="79"/>
      <c r="H215" s="79"/>
      <c r="I215" s="79"/>
      <c r="J215" s="79"/>
      <c r="K215" s="79"/>
      <c r="L215" s="79"/>
      <c r="M215" s="79"/>
      <c r="N215" s="79"/>
      <c r="O215" s="79"/>
      <c r="P215" s="79"/>
      <c r="Q215" s="79"/>
    </row>
    <row r="216" spans="1:17" ht="13.2">
      <c r="A216" s="79"/>
      <c r="B216" s="79"/>
      <c r="C216" s="79"/>
      <c r="D216" s="79"/>
      <c r="E216" s="79"/>
      <c r="F216" s="79"/>
      <c r="G216" s="79"/>
      <c r="H216" s="79"/>
      <c r="I216" s="79"/>
      <c r="J216" s="79"/>
      <c r="K216" s="79"/>
      <c r="L216" s="79"/>
      <c r="M216" s="79"/>
      <c r="N216" s="79"/>
      <c r="O216" s="79"/>
      <c r="P216" s="79"/>
      <c r="Q216" s="79"/>
    </row>
    <row r="217" spans="1:17" ht="13.2">
      <c r="A217" s="79"/>
      <c r="B217" s="79"/>
      <c r="C217" s="79"/>
      <c r="D217" s="79"/>
      <c r="E217" s="79"/>
      <c r="F217" s="79"/>
      <c r="G217" s="79"/>
      <c r="H217" s="79"/>
      <c r="I217" s="79"/>
      <c r="J217" s="79"/>
      <c r="K217" s="79"/>
      <c r="L217" s="79"/>
      <c r="M217" s="79"/>
      <c r="N217" s="79"/>
      <c r="O217" s="79"/>
      <c r="P217" s="79"/>
      <c r="Q217" s="79"/>
    </row>
    <row r="218" spans="1:17" ht="13.2">
      <c r="A218" s="79"/>
      <c r="B218" s="79"/>
      <c r="C218" s="79"/>
      <c r="D218" s="79"/>
      <c r="E218" s="79"/>
      <c r="F218" s="79"/>
      <c r="G218" s="79"/>
      <c r="H218" s="79"/>
      <c r="I218" s="79"/>
      <c r="J218" s="79"/>
      <c r="K218" s="79"/>
      <c r="L218" s="79"/>
      <c r="M218" s="79"/>
      <c r="N218" s="79"/>
      <c r="O218" s="79"/>
      <c r="P218" s="79"/>
      <c r="Q218" s="79"/>
    </row>
    <row r="219" spans="1:17" ht="13.2">
      <c r="A219" s="79"/>
      <c r="B219" s="79"/>
      <c r="C219" s="79"/>
      <c r="D219" s="79"/>
      <c r="E219" s="79"/>
      <c r="F219" s="79"/>
      <c r="G219" s="79"/>
      <c r="H219" s="79"/>
      <c r="I219" s="79"/>
      <c r="J219" s="79"/>
      <c r="K219" s="79"/>
      <c r="L219" s="79"/>
      <c r="M219" s="79"/>
      <c r="N219" s="79"/>
      <c r="O219" s="79"/>
      <c r="P219" s="79"/>
      <c r="Q219" s="79"/>
    </row>
    <row r="220" spans="1:17" ht="13.2">
      <c r="A220" s="79"/>
      <c r="B220" s="79"/>
      <c r="C220" s="79"/>
      <c r="D220" s="79"/>
      <c r="E220" s="79"/>
      <c r="F220" s="79"/>
      <c r="G220" s="79"/>
      <c r="H220" s="79"/>
      <c r="I220" s="79"/>
      <c r="J220" s="79"/>
      <c r="K220" s="79"/>
      <c r="L220" s="79"/>
      <c r="M220" s="79"/>
      <c r="N220" s="79"/>
      <c r="O220" s="79"/>
      <c r="P220" s="79"/>
      <c r="Q220" s="79"/>
    </row>
    <row r="221" spans="1:17" ht="13.2">
      <c r="A221" s="79"/>
      <c r="B221" s="79"/>
      <c r="C221" s="79"/>
      <c r="D221" s="79"/>
      <c r="E221" s="79"/>
      <c r="F221" s="79"/>
      <c r="G221" s="79"/>
      <c r="H221" s="79"/>
      <c r="I221" s="79"/>
      <c r="J221" s="79"/>
      <c r="K221" s="79"/>
      <c r="L221" s="79"/>
      <c r="M221" s="79"/>
      <c r="N221" s="79"/>
      <c r="O221" s="79"/>
      <c r="P221" s="79"/>
      <c r="Q221" s="79"/>
    </row>
    <row r="222" spans="1:17" ht="13.2">
      <c r="A222" s="79"/>
      <c r="B222" s="79"/>
      <c r="C222" s="79"/>
      <c r="D222" s="79"/>
      <c r="E222" s="79"/>
      <c r="F222" s="79"/>
      <c r="G222" s="79"/>
      <c r="H222" s="79"/>
      <c r="I222" s="79"/>
      <c r="J222" s="79"/>
      <c r="K222" s="79"/>
      <c r="L222" s="79"/>
      <c r="M222" s="79"/>
      <c r="N222" s="79"/>
      <c r="O222" s="79"/>
      <c r="P222" s="79"/>
      <c r="Q222" s="79"/>
    </row>
    <row r="223" spans="1:17" ht="13.2">
      <c r="A223" s="79"/>
      <c r="B223" s="79"/>
      <c r="C223" s="79"/>
      <c r="D223" s="79"/>
      <c r="E223" s="79"/>
      <c r="F223" s="79"/>
      <c r="G223" s="79"/>
      <c r="H223" s="79"/>
      <c r="I223" s="79"/>
      <c r="J223" s="79"/>
      <c r="K223" s="79"/>
      <c r="L223" s="79"/>
      <c r="M223" s="79"/>
      <c r="N223" s="79"/>
      <c r="O223" s="79"/>
      <c r="P223" s="79"/>
      <c r="Q223" s="79"/>
    </row>
    <row r="224" spans="1:17" ht="13.2">
      <c r="A224" s="79"/>
      <c r="B224" s="79"/>
      <c r="C224" s="79"/>
      <c r="D224" s="79"/>
      <c r="E224" s="79"/>
      <c r="F224" s="79"/>
      <c r="G224" s="79"/>
      <c r="H224" s="79"/>
      <c r="I224" s="79"/>
      <c r="J224" s="79"/>
      <c r="K224" s="79"/>
      <c r="L224" s="79"/>
      <c r="M224" s="79"/>
      <c r="N224" s="79"/>
      <c r="O224" s="79"/>
      <c r="P224" s="79"/>
      <c r="Q224" s="79"/>
    </row>
    <row r="225" spans="1:17" ht="13.2">
      <c r="A225" s="79"/>
      <c r="B225" s="79"/>
      <c r="C225" s="79"/>
      <c r="D225" s="79"/>
      <c r="E225" s="79"/>
      <c r="F225" s="79"/>
      <c r="G225" s="79"/>
      <c r="H225" s="79"/>
      <c r="I225" s="79"/>
      <c r="J225" s="79"/>
      <c r="K225" s="79"/>
      <c r="L225" s="79"/>
      <c r="M225" s="79"/>
      <c r="N225" s="79"/>
      <c r="O225" s="79"/>
      <c r="P225" s="79"/>
      <c r="Q225" s="79"/>
    </row>
    <row r="226" spans="1:17" ht="13.2">
      <c r="A226" s="79"/>
      <c r="B226" s="79"/>
      <c r="C226" s="79"/>
      <c r="D226" s="79"/>
      <c r="E226" s="79"/>
      <c r="F226" s="79"/>
      <c r="G226" s="79"/>
      <c r="H226" s="79"/>
      <c r="I226" s="79"/>
      <c r="J226" s="79"/>
      <c r="K226" s="79"/>
      <c r="L226" s="79"/>
      <c r="M226" s="79"/>
      <c r="N226" s="79"/>
      <c r="O226" s="79"/>
      <c r="P226" s="79"/>
      <c r="Q226" s="79"/>
    </row>
    <row r="227" spans="1:17" ht="13.2">
      <c r="A227" s="79"/>
      <c r="B227" s="79"/>
      <c r="C227" s="79"/>
      <c r="D227" s="79"/>
      <c r="E227" s="79"/>
      <c r="F227" s="79"/>
      <c r="G227" s="79"/>
      <c r="H227" s="79"/>
      <c r="I227" s="79"/>
      <c r="J227" s="79"/>
      <c r="K227" s="79"/>
      <c r="L227" s="79"/>
      <c r="M227" s="79"/>
      <c r="N227" s="79"/>
      <c r="O227" s="79"/>
      <c r="P227" s="79"/>
      <c r="Q227" s="79"/>
    </row>
    <row r="228" spans="1:17" ht="13.2">
      <c r="A228" s="79"/>
      <c r="B228" s="79"/>
      <c r="C228" s="79"/>
      <c r="D228" s="79"/>
      <c r="E228" s="79"/>
      <c r="F228" s="79"/>
      <c r="G228" s="79"/>
      <c r="H228" s="79"/>
      <c r="I228" s="79"/>
      <c r="J228" s="79"/>
      <c r="K228" s="79"/>
      <c r="L228" s="79"/>
      <c r="M228" s="79"/>
      <c r="N228" s="79"/>
      <c r="O228" s="79"/>
      <c r="P228" s="79"/>
      <c r="Q228" s="79"/>
    </row>
    <row r="229" spans="1:17" ht="13.2">
      <c r="A229" s="79"/>
      <c r="B229" s="79"/>
      <c r="C229" s="79"/>
      <c r="D229" s="79"/>
      <c r="E229" s="79"/>
      <c r="F229" s="79"/>
      <c r="G229" s="79"/>
      <c r="H229" s="79"/>
      <c r="I229" s="79"/>
      <c r="J229" s="79"/>
      <c r="K229" s="79"/>
      <c r="L229" s="79"/>
      <c r="M229" s="79"/>
      <c r="N229" s="79"/>
      <c r="O229" s="79"/>
      <c r="P229" s="79"/>
      <c r="Q229" s="79"/>
    </row>
    <row r="230" spans="1:17" ht="13.2">
      <c r="A230" s="79"/>
      <c r="B230" s="79"/>
      <c r="C230" s="79"/>
      <c r="D230" s="79"/>
      <c r="E230" s="79"/>
      <c r="F230" s="79"/>
      <c r="G230" s="79"/>
      <c r="H230" s="79"/>
      <c r="I230" s="79"/>
      <c r="J230" s="79"/>
      <c r="K230" s="79"/>
      <c r="L230" s="79"/>
      <c r="M230" s="79"/>
      <c r="N230" s="79"/>
      <c r="O230" s="79"/>
      <c r="P230" s="79"/>
      <c r="Q230" s="79"/>
    </row>
    <row r="231" spans="1:17" ht="13.2">
      <c r="A231" s="79"/>
      <c r="B231" s="79"/>
      <c r="C231" s="79"/>
      <c r="D231" s="79"/>
      <c r="E231" s="79"/>
      <c r="F231" s="79"/>
      <c r="G231" s="79"/>
      <c r="H231" s="79"/>
      <c r="I231" s="79"/>
      <c r="J231" s="79"/>
      <c r="K231" s="79"/>
      <c r="L231" s="79"/>
      <c r="M231" s="79"/>
      <c r="N231" s="79"/>
      <c r="O231" s="79"/>
      <c r="P231" s="79"/>
      <c r="Q231" s="79"/>
    </row>
    <row r="232" spans="1:17" ht="13.2">
      <c r="A232" s="79"/>
      <c r="B232" s="79"/>
      <c r="C232" s="79"/>
      <c r="D232" s="79"/>
      <c r="E232" s="79"/>
      <c r="F232" s="79"/>
      <c r="G232" s="79"/>
      <c r="H232" s="79"/>
      <c r="I232" s="79"/>
      <c r="J232" s="79"/>
      <c r="K232" s="79"/>
      <c r="L232" s="79"/>
      <c r="M232" s="79"/>
      <c r="N232" s="79"/>
      <c r="O232" s="79"/>
      <c r="P232" s="79"/>
      <c r="Q232" s="79"/>
    </row>
    <row r="233" spans="1:17" ht="13.2">
      <c r="A233" s="79"/>
      <c r="B233" s="79"/>
      <c r="C233" s="79"/>
      <c r="D233" s="79"/>
      <c r="E233" s="79"/>
      <c r="F233" s="79"/>
      <c r="G233" s="79"/>
      <c r="H233" s="79"/>
      <c r="I233" s="79"/>
      <c r="J233" s="79"/>
      <c r="K233" s="79"/>
      <c r="L233" s="79"/>
      <c r="M233" s="79"/>
      <c r="N233" s="79"/>
      <c r="O233" s="79"/>
      <c r="P233" s="79"/>
      <c r="Q233" s="79"/>
    </row>
    <row r="234" spans="1:17" ht="13.2">
      <c r="A234" s="79"/>
      <c r="B234" s="79"/>
      <c r="C234" s="79"/>
      <c r="D234" s="79"/>
      <c r="E234" s="79"/>
      <c r="F234" s="79"/>
      <c r="G234" s="79"/>
      <c r="H234" s="79"/>
      <c r="I234" s="79"/>
      <c r="J234" s="79"/>
      <c r="K234" s="79"/>
      <c r="L234" s="79"/>
      <c r="M234" s="79"/>
      <c r="N234" s="79"/>
      <c r="O234" s="79"/>
      <c r="P234" s="79"/>
      <c r="Q234" s="79"/>
    </row>
    <row r="235" spans="1:17" ht="13.2">
      <c r="A235" s="79"/>
      <c r="B235" s="79"/>
      <c r="C235" s="79"/>
      <c r="D235" s="79"/>
      <c r="E235" s="79"/>
      <c r="F235" s="79"/>
      <c r="G235" s="79"/>
      <c r="H235" s="79"/>
      <c r="I235" s="79"/>
      <c r="J235" s="79"/>
      <c r="K235" s="79"/>
      <c r="L235" s="79"/>
      <c r="M235" s="79"/>
      <c r="N235" s="79"/>
      <c r="O235" s="79"/>
      <c r="P235" s="79"/>
      <c r="Q235" s="79"/>
    </row>
    <row r="236" spans="1:17" ht="13.2">
      <c r="A236" s="79"/>
      <c r="B236" s="79"/>
      <c r="C236" s="79"/>
      <c r="D236" s="79"/>
      <c r="E236" s="79"/>
      <c r="F236" s="79"/>
      <c r="G236" s="79"/>
      <c r="H236" s="79"/>
      <c r="I236" s="79"/>
      <c r="J236" s="79"/>
      <c r="K236" s="79"/>
      <c r="L236" s="79"/>
      <c r="M236" s="79"/>
      <c r="N236" s="79"/>
      <c r="O236" s="79"/>
      <c r="P236" s="79"/>
      <c r="Q236" s="79"/>
    </row>
    <row r="237" spans="1:17" ht="13.2">
      <c r="A237" s="79"/>
      <c r="B237" s="79"/>
      <c r="C237" s="79"/>
      <c r="D237" s="79"/>
      <c r="E237" s="79"/>
      <c r="F237" s="79"/>
      <c r="G237" s="79"/>
      <c r="H237" s="79"/>
      <c r="I237" s="79"/>
      <c r="J237" s="79"/>
      <c r="K237" s="79"/>
      <c r="L237" s="79"/>
      <c r="M237" s="79"/>
      <c r="N237" s="79"/>
      <c r="O237" s="79"/>
      <c r="P237" s="79"/>
      <c r="Q237" s="79"/>
    </row>
    <row r="238" spans="1:17" ht="13.2">
      <c r="A238" s="79"/>
      <c r="B238" s="79"/>
      <c r="C238" s="79"/>
      <c r="D238" s="79"/>
      <c r="E238" s="79"/>
      <c r="F238" s="79"/>
      <c r="G238" s="79"/>
      <c r="H238" s="79"/>
      <c r="I238" s="79"/>
      <c r="J238" s="79"/>
      <c r="K238" s="79"/>
      <c r="L238" s="79"/>
      <c r="M238" s="79"/>
      <c r="N238" s="79"/>
      <c r="O238" s="79"/>
      <c r="P238" s="79"/>
      <c r="Q238" s="79"/>
    </row>
    <row r="239" spans="1:17" ht="13.2">
      <c r="A239" s="79"/>
      <c r="B239" s="79"/>
      <c r="C239" s="79"/>
      <c r="D239" s="79"/>
      <c r="E239" s="79"/>
      <c r="F239" s="79"/>
      <c r="G239" s="79"/>
      <c r="H239" s="79"/>
      <c r="I239" s="79"/>
      <c r="J239" s="79"/>
      <c r="K239" s="79"/>
      <c r="L239" s="79"/>
      <c r="M239" s="79"/>
      <c r="N239" s="79"/>
      <c r="O239" s="79"/>
      <c r="P239" s="79"/>
      <c r="Q239" s="79"/>
    </row>
    <row r="240" spans="1:17" ht="13.2">
      <c r="A240" s="79"/>
      <c r="B240" s="79"/>
      <c r="C240" s="79"/>
      <c r="D240" s="79"/>
      <c r="E240" s="79"/>
      <c r="F240" s="79"/>
      <c r="G240" s="79"/>
      <c r="H240" s="79"/>
      <c r="I240" s="79"/>
      <c r="J240" s="79"/>
      <c r="K240" s="79"/>
      <c r="L240" s="79"/>
      <c r="M240" s="79"/>
      <c r="N240" s="79"/>
      <c r="O240" s="79"/>
      <c r="P240" s="79"/>
      <c r="Q240" s="79"/>
    </row>
    <row r="241" spans="1:17" ht="13.2">
      <c r="A241" s="79"/>
      <c r="B241" s="79"/>
      <c r="C241" s="79"/>
      <c r="D241" s="79"/>
      <c r="E241" s="79"/>
      <c r="F241" s="79"/>
      <c r="G241" s="79"/>
      <c r="H241" s="79"/>
      <c r="I241" s="79"/>
      <c r="J241" s="79"/>
      <c r="K241" s="79"/>
      <c r="L241" s="79"/>
      <c r="M241" s="79"/>
      <c r="N241" s="79"/>
      <c r="O241" s="79"/>
      <c r="P241" s="79"/>
      <c r="Q241" s="79"/>
    </row>
    <row r="242" spans="1:17" ht="13.2">
      <c r="A242" s="79"/>
      <c r="B242" s="79"/>
      <c r="C242" s="79"/>
      <c r="D242" s="79"/>
      <c r="E242" s="79"/>
      <c r="F242" s="79"/>
      <c r="G242" s="79"/>
      <c r="H242" s="79"/>
      <c r="I242" s="79"/>
      <c r="J242" s="79"/>
      <c r="K242" s="79"/>
      <c r="L242" s="79"/>
      <c r="M242" s="79"/>
      <c r="N242" s="79"/>
      <c r="O242" s="79"/>
      <c r="P242" s="79"/>
      <c r="Q242" s="79"/>
    </row>
    <row r="243" spans="1:17" ht="13.2">
      <c r="A243" s="79"/>
      <c r="B243" s="79"/>
      <c r="C243" s="79"/>
      <c r="D243" s="79"/>
      <c r="E243" s="79"/>
      <c r="F243" s="79"/>
      <c r="G243" s="79"/>
      <c r="H243" s="79"/>
      <c r="I243" s="79"/>
      <c r="J243" s="79"/>
      <c r="K243" s="79"/>
      <c r="L243" s="79"/>
      <c r="M243" s="79"/>
      <c r="N243" s="79"/>
      <c r="O243" s="79"/>
      <c r="P243" s="79"/>
      <c r="Q243" s="79"/>
    </row>
    <row r="244" spans="1:17" ht="13.2">
      <c r="A244" s="79"/>
      <c r="B244" s="79"/>
      <c r="C244" s="79"/>
      <c r="D244" s="79"/>
      <c r="E244" s="79"/>
      <c r="F244" s="79"/>
      <c r="G244" s="79"/>
      <c r="H244" s="79"/>
      <c r="I244" s="79"/>
      <c r="J244" s="79"/>
      <c r="K244" s="79"/>
      <c r="L244" s="79"/>
      <c r="M244" s="79"/>
      <c r="N244" s="79"/>
      <c r="O244" s="79"/>
      <c r="P244" s="79"/>
      <c r="Q244" s="79"/>
    </row>
    <row r="245" spans="1:17" ht="13.2">
      <c r="A245" s="79"/>
      <c r="B245" s="79"/>
      <c r="C245" s="79"/>
      <c r="D245" s="79"/>
      <c r="E245" s="79"/>
      <c r="F245" s="79"/>
      <c r="G245" s="79"/>
      <c r="H245" s="79"/>
      <c r="I245" s="79"/>
      <c r="J245" s="79"/>
      <c r="K245" s="79"/>
      <c r="L245" s="79"/>
      <c r="M245" s="79"/>
      <c r="N245" s="79"/>
      <c r="O245" s="79"/>
      <c r="P245" s="79"/>
      <c r="Q245" s="79"/>
    </row>
    <row r="246" spans="1:17" ht="13.2">
      <c r="A246" s="79"/>
      <c r="B246" s="79"/>
      <c r="C246" s="79"/>
      <c r="D246" s="79"/>
      <c r="E246" s="79"/>
      <c r="F246" s="79"/>
      <c r="G246" s="79"/>
      <c r="H246" s="79"/>
      <c r="I246" s="79"/>
      <c r="J246" s="79"/>
      <c r="K246" s="79"/>
      <c r="L246" s="79"/>
      <c r="M246" s="79"/>
      <c r="N246" s="79"/>
      <c r="O246" s="79"/>
      <c r="P246" s="79"/>
      <c r="Q246" s="79"/>
    </row>
    <row r="247" spans="1:17" ht="13.2">
      <c r="A247" s="79"/>
      <c r="B247" s="79"/>
      <c r="C247" s="79"/>
      <c r="D247" s="79"/>
      <c r="E247" s="79"/>
      <c r="F247" s="79"/>
      <c r="G247" s="79"/>
      <c r="H247" s="79"/>
      <c r="I247" s="79"/>
      <c r="J247" s="79"/>
      <c r="K247" s="79"/>
      <c r="L247" s="79"/>
      <c r="M247" s="79"/>
      <c r="N247" s="79"/>
      <c r="O247" s="79"/>
      <c r="P247" s="79"/>
      <c r="Q247" s="79"/>
    </row>
    <row r="248" spans="1:17" ht="13.2">
      <c r="A248" s="79"/>
      <c r="B248" s="79"/>
      <c r="C248" s="79"/>
      <c r="D248" s="79"/>
      <c r="E248" s="79"/>
      <c r="F248" s="79"/>
      <c r="G248" s="79"/>
      <c r="H248" s="79"/>
      <c r="I248" s="79"/>
      <c r="J248" s="79"/>
      <c r="K248" s="79"/>
      <c r="L248" s="79"/>
      <c r="M248" s="79"/>
      <c r="N248" s="79"/>
      <c r="O248" s="79"/>
      <c r="P248" s="79"/>
      <c r="Q248" s="79"/>
    </row>
    <row r="249" spans="1:17" ht="13.2">
      <c r="A249" s="79"/>
      <c r="B249" s="79"/>
      <c r="C249" s="79"/>
      <c r="D249" s="79"/>
      <c r="E249" s="79"/>
      <c r="F249" s="79"/>
      <c r="G249" s="79"/>
      <c r="H249" s="79"/>
      <c r="I249" s="79"/>
      <c r="J249" s="79"/>
      <c r="K249" s="79"/>
      <c r="L249" s="79"/>
      <c r="M249" s="79"/>
      <c r="N249" s="79"/>
      <c r="O249" s="79"/>
      <c r="P249" s="79"/>
      <c r="Q249" s="79"/>
    </row>
    <row r="250" spans="1:17" ht="13.2">
      <c r="A250" s="79"/>
      <c r="B250" s="79"/>
      <c r="C250" s="79"/>
      <c r="D250" s="79"/>
      <c r="E250" s="79"/>
      <c r="F250" s="79"/>
      <c r="G250" s="79"/>
      <c r="H250" s="79"/>
      <c r="I250" s="79"/>
      <c r="J250" s="79"/>
      <c r="K250" s="79"/>
      <c r="L250" s="79"/>
      <c r="M250" s="79"/>
      <c r="N250" s="79"/>
      <c r="O250" s="79"/>
      <c r="P250" s="79"/>
      <c r="Q250" s="79"/>
    </row>
    <row r="251" spans="1:17" ht="13.2">
      <c r="A251" s="79"/>
      <c r="B251" s="79"/>
      <c r="C251" s="79"/>
      <c r="D251" s="79"/>
      <c r="E251" s="79"/>
      <c r="F251" s="79"/>
      <c r="G251" s="79"/>
      <c r="H251" s="79"/>
      <c r="I251" s="79"/>
      <c r="J251" s="79"/>
      <c r="K251" s="79"/>
      <c r="L251" s="79"/>
      <c r="M251" s="79"/>
      <c r="N251" s="79"/>
      <c r="O251" s="79"/>
      <c r="P251" s="79"/>
      <c r="Q251" s="79"/>
    </row>
    <row r="252" spans="1:17" ht="13.2">
      <c r="A252" s="79"/>
      <c r="B252" s="79"/>
      <c r="C252" s="79"/>
      <c r="D252" s="79"/>
      <c r="E252" s="79"/>
      <c r="F252" s="79"/>
      <c r="G252" s="79"/>
      <c r="H252" s="79"/>
      <c r="I252" s="79"/>
      <c r="J252" s="79"/>
      <c r="K252" s="79"/>
      <c r="L252" s="79"/>
      <c r="M252" s="79"/>
      <c r="N252" s="79"/>
      <c r="O252" s="79"/>
      <c r="P252" s="79"/>
      <c r="Q252" s="79"/>
    </row>
    <row r="253" spans="1:17" ht="13.2">
      <c r="A253" s="79"/>
      <c r="B253" s="79"/>
      <c r="C253" s="79"/>
      <c r="D253" s="79"/>
      <c r="E253" s="79"/>
      <c r="F253" s="79"/>
      <c r="G253" s="79"/>
      <c r="H253" s="79"/>
      <c r="I253" s="79"/>
      <c r="J253" s="79"/>
      <c r="K253" s="79"/>
      <c r="L253" s="79"/>
      <c r="M253" s="79"/>
      <c r="N253" s="79"/>
      <c r="O253" s="79"/>
      <c r="P253" s="79"/>
      <c r="Q253" s="79"/>
    </row>
    <row r="254" spans="1:17" ht="13.2">
      <c r="A254" s="79"/>
      <c r="B254" s="79"/>
      <c r="C254" s="79"/>
      <c r="D254" s="79"/>
      <c r="E254" s="79"/>
      <c r="F254" s="79"/>
      <c r="G254" s="79"/>
      <c r="H254" s="79"/>
      <c r="I254" s="79"/>
      <c r="J254" s="79"/>
      <c r="K254" s="79"/>
      <c r="L254" s="79"/>
      <c r="M254" s="79"/>
      <c r="N254" s="79"/>
      <c r="O254" s="79"/>
      <c r="P254" s="79"/>
      <c r="Q254" s="79"/>
    </row>
    <row r="255" spans="1:17" ht="13.2">
      <c r="A255" s="79"/>
      <c r="B255" s="79"/>
      <c r="C255" s="79"/>
      <c r="D255" s="79"/>
      <c r="E255" s="79"/>
      <c r="F255" s="79"/>
      <c r="G255" s="79"/>
      <c r="H255" s="79"/>
      <c r="I255" s="79"/>
      <c r="J255" s="79"/>
      <c r="K255" s="79"/>
      <c r="L255" s="79"/>
      <c r="M255" s="79"/>
      <c r="N255" s="79"/>
      <c r="O255" s="79"/>
      <c r="P255" s="79"/>
      <c r="Q255" s="79"/>
    </row>
    <row r="256" spans="1:17" ht="13.2">
      <c r="A256" s="79"/>
      <c r="B256" s="79"/>
      <c r="C256" s="79"/>
      <c r="D256" s="79"/>
      <c r="E256" s="79"/>
      <c r="F256" s="79"/>
      <c r="G256" s="79"/>
      <c r="H256" s="79"/>
      <c r="I256" s="79"/>
      <c r="J256" s="79"/>
      <c r="K256" s="79"/>
      <c r="L256" s="79"/>
      <c r="M256" s="79"/>
      <c r="N256" s="79"/>
      <c r="O256" s="79"/>
      <c r="P256" s="79"/>
      <c r="Q256" s="79"/>
    </row>
    <row r="257" spans="1:17" ht="13.2">
      <c r="A257" s="79"/>
      <c r="B257" s="79"/>
      <c r="C257" s="79"/>
      <c r="D257" s="79"/>
      <c r="E257" s="79"/>
      <c r="F257" s="79"/>
      <c r="G257" s="79"/>
      <c r="H257" s="79"/>
      <c r="I257" s="79"/>
      <c r="J257" s="79"/>
      <c r="K257" s="79"/>
      <c r="L257" s="79"/>
      <c r="M257" s="79"/>
      <c r="N257" s="79"/>
      <c r="O257" s="79"/>
      <c r="P257" s="79"/>
      <c r="Q257" s="79"/>
    </row>
    <row r="258" spans="1:17" ht="13.2">
      <c r="A258" s="79"/>
      <c r="B258" s="79"/>
      <c r="C258" s="79"/>
      <c r="D258" s="79"/>
      <c r="E258" s="79"/>
      <c r="F258" s="79"/>
      <c r="G258" s="79"/>
      <c r="H258" s="79"/>
      <c r="I258" s="79"/>
      <c r="J258" s="79"/>
      <c r="K258" s="79"/>
      <c r="L258" s="79"/>
      <c r="M258" s="79"/>
      <c r="N258" s="79"/>
      <c r="O258" s="79"/>
      <c r="P258" s="79"/>
      <c r="Q258" s="79"/>
    </row>
    <row r="259" spans="1:17" ht="13.2">
      <c r="A259" s="79"/>
      <c r="B259" s="79"/>
      <c r="C259" s="79"/>
      <c r="D259" s="79"/>
      <c r="E259" s="79"/>
      <c r="F259" s="79"/>
      <c r="G259" s="79"/>
      <c r="H259" s="79"/>
      <c r="I259" s="79"/>
      <c r="J259" s="79"/>
      <c r="K259" s="79"/>
      <c r="L259" s="79"/>
      <c r="M259" s="79"/>
      <c r="N259" s="79"/>
      <c r="O259" s="79"/>
      <c r="P259" s="79"/>
      <c r="Q259" s="79"/>
    </row>
    <row r="260" spans="1:17" ht="13.2">
      <c r="A260" s="79"/>
      <c r="B260" s="79"/>
      <c r="C260" s="79"/>
      <c r="D260" s="79"/>
      <c r="E260" s="79"/>
      <c r="F260" s="79"/>
      <c r="G260" s="79"/>
      <c r="H260" s="79"/>
      <c r="I260" s="79"/>
      <c r="J260" s="79"/>
      <c r="K260" s="79"/>
      <c r="L260" s="79"/>
      <c r="M260" s="79"/>
      <c r="N260" s="79"/>
      <c r="O260" s="79"/>
      <c r="P260" s="79"/>
      <c r="Q260" s="79"/>
    </row>
    <row r="261" spans="1:17" ht="13.2">
      <c r="A261" s="79"/>
      <c r="B261" s="79"/>
      <c r="C261" s="79"/>
      <c r="D261" s="79"/>
      <c r="E261" s="79"/>
      <c r="F261" s="79"/>
      <c r="G261" s="79"/>
      <c r="H261" s="79"/>
      <c r="I261" s="79"/>
      <c r="J261" s="79"/>
      <c r="K261" s="79"/>
      <c r="L261" s="79"/>
      <c r="M261" s="79"/>
      <c r="N261" s="79"/>
      <c r="O261" s="79"/>
      <c r="P261" s="79"/>
      <c r="Q261" s="79"/>
    </row>
    <row r="262" spans="1:17" ht="13.2">
      <c r="A262" s="79"/>
      <c r="B262" s="79"/>
      <c r="C262" s="79"/>
      <c r="D262" s="79"/>
      <c r="E262" s="79"/>
      <c r="F262" s="79"/>
      <c r="G262" s="79"/>
      <c r="H262" s="79"/>
      <c r="I262" s="79"/>
      <c r="J262" s="79"/>
      <c r="K262" s="79"/>
      <c r="L262" s="79"/>
      <c r="M262" s="79"/>
      <c r="N262" s="79"/>
      <c r="O262" s="79"/>
      <c r="P262" s="79"/>
      <c r="Q262" s="79"/>
    </row>
    <row r="263" spans="1:17" ht="13.2">
      <c r="A263" s="79"/>
      <c r="B263" s="79"/>
      <c r="C263" s="79"/>
      <c r="D263" s="79"/>
      <c r="E263" s="79"/>
      <c r="F263" s="79"/>
      <c r="G263" s="79"/>
      <c r="H263" s="79"/>
      <c r="I263" s="79"/>
      <c r="J263" s="79"/>
      <c r="K263" s="79"/>
      <c r="L263" s="79"/>
      <c r="M263" s="79"/>
      <c r="N263" s="79"/>
      <c r="O263" s="79"/>
      <c r="P263" s="79"/>
      <c r="Q263" s="79"/>
    </row>
    <row r="264" spans="1:17" ht="13.2">
      <c r="A264" s="79"/>
      <c r="B264" s="79"/>
      <c r="C264" s="79"/>
      <c r="D264" s="79"/>
      <c r="E264" s="79"/>
      <c r="F264" s="79"/>
      <c r="G264" s="79"/>
      <c r="H264" s="79"/>
      <c r="I264" s="79"/>
      <c r="J264" s="79"/>
      <c r="K264" s="79"/>
      <c r="L264" s="79"/>
      <c r="M264" s="79"/>
      <c r="N264" s="79"/>
      <c r="O264" s="79"/>
      <c r="P264" s="79"/>
      <c r="Q264" s="79"/>
    </row>
    <row r="265" spans="1:17" ht="13.2">
      <c r="A265" s="79"/>
      <c r="B265" s="79"/>
      <c r="C265" s="79"/>
      <c r="D265" s="79"/>
      <c r="E265" s="79"/>
      <c r="F265" s="79"/>
      <c r="G265" s="79"/>
      <c r="H265" s="79"/>
      <c r="I265" s="79"/>
      <c r="J265" s="79"/>
      <c r="K265" s="79"/>
      <c r="L265" s="79"/>
      <c r="M265" s="79"/>
      <c r="N265" s="79"/>
      <c r="O265" s="79"/>
      <c r="P265" s="79"/>
      <c r="Q265" s="79"/>
    </row>
    <row r="266" spans="1:17" ht="13.2">
      <c r="A266" s="79"/>
      <c r="B266" s="79"/>
      <c r="C266" s="79"/>
      <c r="D266" s="79"/>
      <c r="E266" s="79"/>
      <c r="F266" s="79"/>
      <c r="G266" s="79"/>
      <c r="H266" s="79"/>
      <c r="I266" s="79"/>
      <c r="J266" s="79"/>
      <c r="K266" s="79"/>
      <c r="L266" s="79"/>
      <c r="M266" s="79"/>
      <c r="N266" s="79"/>
      <c r="O266" s="79"/>
      <c r="P266" s="79"/>
      <c r="Q266" s="79"/>
    </row>
    <row r="267" spans="1:17" ht="13.2">
      <c r="A267" s="79"/>
      <c r="B267" s="79"/>
      <c r="C267" s="79"/>
      <c r="D267" s="79"/>
      <c r="E267" s="79"/>
      <c r="F267" s="79"/>
      <c r="G267" s="79"/>
      <c r="H267" s="79"/>
      <c r="I267" s="79"/>
      <c r="J267" s="79"/>
      <c r="K267" s="79"/>
      <c r="L267" s="79"/>
      <c r="M267" s="79"/>
      <c r="N267" s="79"/>
      <c r="O267" s="79"/>
      <c r="P267" s="79"/>
      <c r="Q267" s="79"/>
    </row>
    <row r="268" spans="1:17" ht="13.2">
      <c r="A268" s="79"/>
      <c r="B268" s="79"/>
      <c r="C268" s="79"/>
      <c r="D268" s="79"/>
      <c r="E268" s="79"/>
      <c r="F268" s="79"/>
      <c r="G268" s="79"/>
      <c r="H268" s="79"/>
      <c r="I268" s="79"/>
      <c r="J268" s="79"/>
      <c r="K268" s="79"/>
      <c r="L268" s="79"/>
      <c r="M268" s="79"/>
      <c r="N268" s="79"/>
      <c r="O268" s="79"/>
      <c r="P268" s="79"/>
      <c r="Q268" s="79"/>
    </row>
    <row r="269" spans="1:17" ht="13.2">
      <c r="A269" s="79"/>
      <c r="B269" s="79"/>
      <c r="C269" s="79"/>
      <c r="D269" s="79"/>
      <c r="E269" s="79"/>
      <c r="F269" s="79"/>
      <c r="G269" s="79"/>
      <c r="H269" s="79"/>
      <c r="I269" s="79"/>
      <c r="J269" s="79"/>
      <c r="K269" s="79"/>
      <c r="L269" s="79"/>
      <c r="M269" s="79"/>
      <c r="N269" s="79"/>
      <c r="O269" s="79"/>
      <c r="P269" s="79"/>
      <c r="Q269" s="79"/>
    </row>
    <row r="270" spans="1:17" ht="13.2">
      <c r="A270" s="79"/>
      <c r="B270" s="79"/>
      <c r="C270" s="79"/>
      <c r="D270" s="79"/>
      <c r="E270" s="79"/>
      <c r="F270" s="79"/>
      <c r="G270" s="79"/>
      <c r="H270" s="79"/>
      <c r="I270" s="79"/>
      <c r="J270" s="79"/>
      <c r="K270" s="79"/>
      <c r="L270" s="79"/>
      <c r="M270" s="79"/>
      <c r="N270" s="79"/>
      <c r="O270" s="79"/>
      <c r="P270" s="79"/>
      <c r="Q270" s="79"/>
    </row>
    <row r="271" spans="1:17" ht="13.2">
      <c r="A271" s="79"/>
      <c r="B271" s="79"/>
      <c r="C271" s="79"/>
      <c r="D271" s="79"/>
      <c r="E271" s="79"/>
      <c r="F271" s="79"/>
      <c r="G271" s="79"/>
      <c r="H271" s="79"/>
      <c r="I271" s="79"/>
      <c r="J271" s="79"/>
      <c r="K271" s="79"/>
      <c r="L271" s="79"/>
      <c r="M271" s="79"/>
      <c r="N271" s="79"/>
      <c r="O271" s="79"/>
      <c r="P271" s="79"/>
      <c r="Q271" s="79"/>
    </row>
    <row r="272" spans="1:17" ht="13.2">
      <c r="A272" s="79"/>
      <c r="B272" s="79"/>
      <c r="C272" s="79"/>
      <c r="D272" s="79"/>
      <c r="E272" s="79"/>
      <c r="F272" s="79"/>
      <c r="G272" s="79"/>
      <c r="H272" s="79"/>
      <c r="I272" s="79"/>
      <c r="J272" s="79"/>
      <c r="K272" s="79"/>
      <c r="L272" s="79"/>
      <c r="M272" s="79"/>
      <c r="N272" s="79"/>
      <c r="O272" s="79"/>
      <c r="P272" s="79"/>
      <c r="Q272" s="79"/>
    </row>
    <row r="273" spans="1:17" ht="13.2">
      <c r="A273" s="79"/>
      <c r="B273" s="79"/>
      <c r="C273" s="79"/>
      <c r="D273" s="79"/>
      <c r="E273" s="79"/>
      <c r="F273" s="79"/>
      <c r="G273" s="79"/>
      <c r="H273" s="79"/>
      <c r="I273" s="79"/>
      <c r="J273" s="79"/>
      <c r="K273" s="79"/>
      <c r="L273" s="79"/>
      <c r="M273" s="79"/>
      <c r="N273" s="79"/>
      <c r="O273" s="79"/>
      <c r="P273" s="79"/>
      <c r="Q273" s="79"/>
    </row>
    <row r="274" spans="1:17" ht="13.2">
      <c r="A274" s="79"/>
      <c r="B274" s="79"/>
      <c r="C274" s="79"/>
      <c r="D274" s="79"/>
      <c r="E274" s="79"/>
      <c r="F274" s="79"/>
      <c r="G274" s="79"/>
      <c r="H274" s="79"/>
      <c r="I274" s="79"/>
      <c r="J274" s="79"/>
      <c r="K274" s="79"/>
      <c r="L274" s="79"/>
      <c r="M274" s="79"/>
      <c r="N274" s="79"/>
      <c r="O274" s="79"/>
      <c r="P274" s="79"/>
      <c r="Q274" s="79"/>
    </row>
    <row r="275" spans="1:17" ht="13.2">
      <c r="A275" s="79"/>
      <c r="B275" s="79"/>
      <c r="C275" s="79"/>
      <c r="D275" s="79"/>
      <c r="E275" s="79"/>
      <c r="F275" s="79"/>
      <c r="G275" s="79"/>
      <c r="H275" s="79"/>
      <c r="I275" s="79"/>
      <c r="J275" s="79"/>
      <c r="K275" s="79"/>
      <c r="L275" s="79"/>
      <c r="M275" s="79"/>
      <c r="N275" s="79"/>
      <c r="O275" s="79"/>
      <c r="P275" s="79"/>
      <c r="Q275" s="79"/>
    </row>
    <row r="276" spans="1:17" ht="13.2">
      <c r="A276" s="79"/>
      <c r="B276" s="79"/>
      <c r="C276" s="79"/>
      <c r="D276" s="79"/>
      <c r="E276" s="79"/>
      <c r="F276" s="79"/>
      <c r="G276" s="79"/>
      <c r="H276" s="79"/>
      <c r="I276" s="79"/>
      <c r="J276" s="79"/>
      <c r="K276" s="79"/>
      <c r="L276" s="79"/>
      <c r="M276" s="79"/>
      <c r="N276" s="79"/>
      <c r="O276" s="79"/>
      <c r="P276" s="79"/>
      <c r="Q276" s="79"/>
    </row>
    <row r="277" spans="1:17" ht="13.2">
      <c r="A277" s="79"/>
      <c r="B277" s="79"/>
      <c r="C277" s="79"/>
      <c r="D277" s="79"/>
      <c r="E277" s="79"/>
      <c r="F277" s="79"/>
      <c r="G277" s="79"/>
      <c r="H277" s="79"/>
      <c r="I277" s="79"/>
      <c r="J277" s="79"/>
      <c r="K277" s="79"/>
      <c r="L277" s="79"/>
      <c r="M277" s="79"/>
      <c r="N277" s="79"/>
      <c r="O277" s="79"/>
      <c r="P277" s="79"/>
      <c r="Q277" s="79"/>
    </row>
    <row r="278" spans="1:17" ht="13.2">
      <c r="A278" s="79"/>
      <c r="B278" s="79"/>
      <c r="C278" s="79"/>
      <c r="D278" s="79"/>
      <c r="E278" s="79"/>
      <c r="F278" s="79"/>
      <c r="G278" s="79"/>
      <c r="H278" s="79"/>
      <c r="I278" s="79"/>
      <c r="J278" s="79"/>
      <c r="K278" s="79"/>
      <c r="L278" s="79"/>
      <c r="M278" s="79"/>
      <c r="N278" s="79"/>
      <c r="O278" s="79"/>
      <c r="P278" s="79"/>
      <c r="Q278" s="79"/>
    </row>
    <row r="279" spans="1:17" ht="13.2">
      <c r="A279" s="79"/>
      <c r="B279" s="79"/>
      <c r="C279" s="79"/>
      <c r="D279" s="79"/>
      <c r="E279" s="79"/>
      <c r="F279" s="79"/>
      <c r="G279" s="79"/>
      <c r="H279" s="79"/>
      <c r="I279" s="79"/>
      <c r="J279" s="79"/>
      <c r="K279" s="79"/>
      <c r="L279" s="79"/>
      <c r="M279" s="79"/>
      <c r="N279" s="79"/>
      <c r="O279" s="79"/>
      <c r="P279" s="79"/>
      <c r="Q279" s="79"/>
    </row>
    <row r="280" spans="1:17" ht="13.2">
      <c r="A280" s="79"/>
      <c r="B280" s="79"/>
      <c r="C280" s="79"/>
      <c r="D280" s="79"/>
      <c r="E280" s="79"/>
      <c r="F280" s="79"/>
      <c r="G280" s="79"/>
      <c r="H280" s="79"/>
      <c r="I280" s="79"/>
      <c r="J280" s="79"/>
      <c r="K280" s="79"/>
      <c r="L280" s="79"/>
      <c r="M280" s="79"/>
      <c r="N280" s="79"/>
      <c r="O280" s="79"/>
      <c r="P280" s="79"/>
      <c r="Q280" s="79"/>
    </row>
    <row r="281" spans="1:17" ht="13.2">
      <c r="A281" s="79"/>
      <c r="B281" s="79"/>
      <c r="C281" s="79"/>
      <c r="D281" s="79"/>
      <c r="E281" s="79"/>
      <c r="F281" s="79"/>
      <c r="G281" s="79"/>
      <c r="H281" s="79"/>
      <c r="I281" s="79"/>
      <c r="J281" s="79"/>
      <c r="K281" s="79"/>
      <c r="L281" s="79"/>
      <c r="M281" s="79"/>
      <c r="N281" s="79"/>
      <c r="O281" s="79"/>
      <c r="P281" s="79"/>
      <c r="Q281" s="79"/>
    </row>
    <row r="282" spans="1:17" ht="13.2">
      <c r="A282" s="79"/>
      <c r="B282" s="79"/>
      <c r="C282" s="79"/>
      <c r="D282" s="79"/>
      <c r="E282" s="79"/>
      <c r="F282" s="79"/>
      <c r="G282" s="79"/>
      <c r="H282" s="79"/>
      <c r="I282" s="79"/>
      <c r="J282" s="79"/>
      <c r="K282" s="79"/>
      <c r="L282" s="79"/>
      <c r="M282" s="79"/>
      <c r="N282" s="79"/>
      <c r="O282" s="79"/>
      <c r="P282" s="79"/>
      <c r="Q282" s="79"/>
    </row>
    <row r="283" spans="1:17" ht="13.2">
      <c r="A283" s="79"/>
      <c r="B283" s="79"/>
      <c r="C283" s="79"/>
      <c r="D283" s="79"/>
      <c r="E283" s="79"/>
      <c r="F283" s="79"/>
      <c r="G283" s="79"/>
      <c r="H283" s="79"/>
      <c r="I283" s="79"/>
      <c r="J283" s="79"/>
      <c r="K283" s="79"/>
      <c r="L283" s="79"/>
      <c r="M283" s="79"/>
      <c r="N283" s="79"/>
      <c r="O283" s="79"/>
      <c r="P283" s="79"/>
      <c r="Q283" s="79"/>
    </row>
    <row r="284" spans="1:17" ht="13.2">
      <c r="A284" s="79"/>
      <c r="B284" s="79"/>
      <c r="C284" s="79"/>
      <c r="D284" s="79"/>
      <c r="E284" s="79"/>
      <c r="F284" s="79"/>
      <c r="G284" s="79"/>
      <c r="H284" s="79"/>
      <c r="I284" s="79"/>
      <c r="J284" s="79"/>
      <c r="K284" s="79"/>
      <c r="L284" s="79"/>
      <c r="M284" s="79"/>
      <c r="N284" s="79"/>
      <c r="O284" s="79"/>
      <c r="P284" s="79"/>
      <c r="Q284" s="79"/>
    </row>
    <row r="285" spans="1:17" ht="13.2">
      <c r="A285" s="79"/>
      <c r="B285" s="79"/>
      <c r="C285" s="79"/>
      <c r="D285" s="79"/>
      <c r="E285" s="79"/>
      <c r="F285" s="79"/>
      <c r="G285" s="79"/>
      <c r="H285" s="79"/>
      <c r="I285" s="79"/>
      <c r="J285" s="79"/>
      <c r="K285" s="79"/>
      <c r="L285" s="79"/>
      <c r="M285" s="79"/>
      <c r="N285" s="79"/>
      <c r="O285" s="79"/>
      <c r="P285" s="79"/>
      <c r="Q285" s="79"/>
    </row>
    <row r="286" spans="1:17" ht="13.2">
      <c r="A286" s="79"/>
      <c r="B286" s="79"/>
      <c r="C286" s="79"/>
      <c r="D286" s="79"/>
      <c r="E286" s="79"/>
      <c r="F286" s="79"/>
      <c r="G286" s="79"/>
      <c r="H286" s="79"/>
      <c r="I286" s="79"/>
      <c r="J286" s="79"/>
      <c r="K286" s="79"/>
      <c r="L286" s="79"/>
      <c r="M286" s="79"/>
      <c r="N286" s="79"/>
      <c r="O286" s="79"/>
      <c r="P286" s="79"/>
      <c r="Q286" s="79"/>
    </row>
    <row r="287" spans="1:17" ht="13.2">
      <c r="A287" s="79"/>
      <c r="B287" s="79"/>
      <c r="C287" s="79"/>
      <c r="D287" s="79"/>
      <c r="E287" s="79"/>
      <c r="F287" s="79"/>
      <c r="G287" s="79"/>
      <c r="H287" s="79"/>
      <c r="I287" s="79"/>
      <c r="J287" s="79"/>
      <c r="K287" s="79"/>
      <c r="L287" s="79"/>
      <c r="M287" s="79"/>
      <c r="N287" s="79"/>
      <c r="O287" s="79"/>
      <c r="P287" s="79"/>
      <c r="Q287" s="79"/>
    </row>
    <row r="288" spans="1:17" ht="13.2">
      <c r="A288" s="79"/>
      <c r="B288" s="79"/>
      <c r="C288" s="79"/>
      <c r="D288" s="79"/>
      <c r="E288" s="79"/>
      <c r="F288" s="79"/>
      <c r="G288" s="79"/>
      <c r="H288" s="79"/>
      <c r="I288" s="79"/>
      <c r="J288" s="79"/>
      <c r="K288" s="79"/>
      <c r="L288" s="79"/>
      <c r="M288" s="79"/>
      <c r="N288" s="79"/>
      <c r="O288" s="79"/>
      <c r="P288" s="79"/>
      <c r="Q288" s="79"/>
    </row>
    <row r="289" spans="1:17" ht="13.2">
      <c r="A289" s="79"/>
      <c r="B289" s="79"/>
      <c r="C289" s="79"/>
      <c r="D289" s="79"/>
      <c r="E289" s="79"/>
      <c r="F289" s="79"/>
      <c r="G289" s="79"/>
      <c r="H289" s="79"/>
      <c r="I289" s="79"/>
      <c r="J289" s="79"/>
      <c r="K289" s="79"/>
      <c r="L289" s="79"/>
      <c r="M289" s="79"/>
      <c r="N289" s="79"/>
      <c r="O289" s="79"/>
      <c r="P289" s="79"/>
      <c r="Q289" s="79"/>
    </row>
    <row r="290" spans="1:17" ht="13.2">
      <c r="A290" s="79"/>
      <c r="B290" s="79"/>
      <c r="C290" s="79"/>
      <c r="D290" s="79"/>
      <c r="E290" s="79"/>
      <c r="F290" s="79"/>
      <c r="G290" s="79"/>
      <c r="H290" s="79"/>
      <c r="I290" s="79"/>
      <c r="J290" s="79"/>
      <c r="K290" s="79"/>
      <c r="L290" s="79"/>
      <c r="M290" s="79"/>
      <c r="N290" s="79"/>
      <c r="O290" s="79"/>
      <c r="P290" s="79"/>
      <c r="Q290" s="79"/>
    </row>
    <row r="291" spans="1:17" ht="13.2">
      <c r="A291" s="79"/>
      <c r="B291" s="79"/>
      <c r="C291" s="79"/>
      <c r="D291" s="79"/>
      <c r="E291" s="79"/>
      <c r="F291" s="79"/>
      <c r="G291" s="79"/>
      <c r="H291" s="79"/>
      <c r="I291" s="79"/>
      <c r="J291" s="79"/>
      <c r="K291" s="79"/>
      <c r="L291" s="79"/>
      <c r="M291" s="79"/>
      <c r="N291" s="79"/>
      <c r="O291" s="79"/>
      <c r="P291" s="79"/>
      <c r="Q291" s="79"/>
    </row>
    <row r="292" spans="1:17" ht="13.2">
      <c r="A292" s="79"/>
      <c r="B292" s="79"/>
      <c r="C292" s="79"/>
      <c r="D292" s="79"/>
      <c r="E292" s="79"/>
      <c r="F292" s="79"/>
      <c r="G292" s="79"/>
      <c r="H292" s="79"/>
      <c r="I292" s="79"/>
      <c r="J292" s="79"/>
      <c r="K292" s="79"/>
      <c r="L292" s="79"/>
      <c r="M292" s="79"/>
      <c r="N292" s="79"/>
      <c r="O292" s="79"/>
      <c r="P292" s="79"/>
      <c r="Q292" s="79"/>
    </row>
    <row r="293" spans="1:17" ht="13.2">
      <c r="A293" s="79"/>
      <c r="B293" s="79"/>
      <c r="C293" s="79"/>
      <c r="D293" s="79"/>
      <c r="E293" s="79"/>
      <c r="F293" s="79"/>
      <c r="G293" s="79"/>
      <c r="H293" s="79"/>
      <c r="I293" s="79"/>
      <c r="J293" s="79"/>
      <c r="K293" s="79"/>
      <c r="L293" s="79"/>
      <c r="M293" s="79"/>
      <c r="N293" s="79"/>
      <c r="O293" s="79"/>
      <c r="P293" s="79"/>
      <c r="Q293" s="79"/>
    </row>
    <row r="294" spans="1:17" ht="13.2">
      <c r="A294" s="79"/>
      <c r="B294" s="79"/>
      <c r="C294" s="79"/>
      <c r="D294" s="79"/>
      <c r="E294" s="79"/>
      <c r="F294" s="79"/>
      <c r="G294" s="79"/>
      <c r="H294" s="79"/>
      <c r="I294" s="79"/>
      <c r="J294" s="79"/>
      <c r="K294" s="79"/>
      <c r="L294" s="79"/>
      <c r="M294" s="79"/>
      <c r="N294" s="79"/>
      <c r="O294" s="79"/>
      <c r="P294" s="79"/>
      <c r="Q294" s="79"/>
    </row>
    <row r="295" spans="1:17" ht="13.2">
      <c r="A295" s="79"/>
      <c r="B295" s="79"/>
      <c r="C295" s="79"/>
      <c r="D295" s="79"/>
      <c r="E295" s="79"/>
      <c r="F295" s="79"/>
      <c r="G295" s="79"/>
      <c r="H295" s="79"/>
      <c r="I295" s="79"/>
      <c r="J295" s="79"/>
      <c r="K295" s="79"/>
      <c r="L295" s="79"/>
      <c r="M295" s="79"/>
      <c r="N295" s="79"/>
      <c r="O295" s="79"/>
      <c r="P295" s="79"/>
      <c r="Q295" s="79"/>
    </row>
    <row r="296" spans="1:17" ht="13.2">
      <c r="A296" s="79"/>
      <c r="B296" s="79"/>
      <c r="C296" s="79"/>
      <c r="D296" s="79"/>
      <c r="E296" s="79"/>
      <c r="F296" s="79"/>
      <c r="G296" s="79"/>
      <c r="H296" s="79"/>
      <c r="I296" s="79"/>
      <c r="J296" s="79"/>
      <c r="K296" s="79"/>
      <c r="L296" s="79"/>
      <c r="M296" s="79"/>
      <c r="N296" s="79"/>
      <c r="O296" s="79"/>
      <c r="P296" s="79"/>
      <c r="Q296" s="79"/>
    </row>
    <row r="297" spans="1:17" ht="13.2">
      <c r="A297" s="79"/>
      <c r="B297" s="79"/>
      <c r="C297" s="79"/>
      <c r="D297" s="79"/>
      <c r="E297" s="79"/>
      <c r="F297" s="79"/>
      <c r="G297" s="79"/>
      <c r="H297" s="79"/>
      <c r="I297" s="79"/>
      <c r="J297" s="79"/>
      <c r="K297" s="79"/>
      <c r="L297" s="79"/>
      <c r="M297" s="79"/>
      <c r="N297" s="79"/>
      <c r="O297" s="79"/>
      <c r="P297" s="79"/>
      <c r="Q297" s="79"/>
    </row>
    <row r="298" spans="1:17" ht="13.2">
      <c r="A298" s="79"/>
      <c r="B298" s="79"/>
      <c r="C298" s="79"/>
      <c r="D298" s="79"/>
      <c r="E298" s="79"/>
      <c r="F298" s="79"/>
      <c r="G298" s="79"/>
      <c r="H298" s="79"/>
      <c r="I298" s="79"/>
      <c r="J298" s="79"/>
      <c r="K298" s="79"/>
      <c r="L298" s="79"/>
      <c r="M298" s="79"/>
      <c r="N298" s="79"/>
      <c r="O298" s="79"/>
      <c r="P298" s="79"/>
      <c r="Q298" s="79"/>
    </row>
    <row r="299" spans="1:17" ht="13.2">
      <c r="A299" s="79"/>
      <c r="B299" s="79"/>
      <c r="C299" s="79"/>
      <c r="D299" s="79"/>
      <c r="E299" s="79"/>
      <c r="F299" s="79"/>
      <c r="G299" s="79"/>
      <c r="H299" s="79"/>
      <c r="I299" s="79"/>
      <c r="J299" s="79"/>
      <c r="K299" s="79"/>
      <c r="L299" s="79"/>
      <c r="M299" s="79"/>
      <c r="N299" s="79"/>
      <c r="O299" s="79"/>
      <c r="P299" s="79"/>
      <c r="Q299" s="79"/>
    </row>
    <row r="300" spans="1:17" ht="13.2">
      <c r="A300" s="79"/>
      <c r="B300" s="79"/>
      <c r="C300" s="79"/>
      <c r="D300" s="79"/>
      <c r="E300" s="79"/>
      <c r="F300" s="79"/>
      <c r="G300" s="79"/>
      <c r="H300" s="79"/>
      <c r="I300" s="79"/>
      <c r="J300" s="79"/>
      <c r="K300" s="79"/>
      <c r="L300" s="79"/>
      <c r="M300" s="79"/>
      <c r="N300" s="79"/>
      <c r="O300" s="79"/>
      <c r="P300" s="79"/>
      <c r="Q300" s="79"/>
    </row>
    <row r="301" spans="1:17" ht="13.2">
      <c r="A301" s="79"/>
      <c r="B301" s="79"/>
      <c r="C301" s="79"/>
      <c r="D301" s="79"/>
      <c r="E301" s="79"/>
      <c r="F301" s="79"/>
      <c r="G301" s="79"/>
      <c r="H301" s="79"/>
      <c r="I301" s="79"/>
      <c r="J301" s="79"/>
      <c r="K301" s="79"/>
      <c r="L301" s="79"/>
      <c r="M301" s="79"/>
      <c r="N301" s="79"/>
      <c r="O301" s="79"/>
      <c r="P301" s="79"/>
      <c r="Q301" s="79"/>
    </row>
    <row r="302" spans="1:17" ht="13.2">
      <c r="A302" s="79"/>
      <c r="B302" s="79"/>
      <c r="C302" s="79"/>
      <c r="D302" s="79"/>
      <c r="E302" s="79"/>
      <c r="F302" s="79"/>
      <c r="G302" s="79"/>
      <c r="H302" s="79"/>
      <c r="I302" s="79"/>
      <c r="J302" s="79"/>
      <c r="K302" s="79"/>
      <c r="L302" s="79"/>
      <c r="M302" s="79"/>
      <c r="N302" s="79"/>
      <c r="O302" s="79"/>
      <c r="P302" s="79"/>
      <c r="Q302" s="79"/>
    </row>
    <row r="303" spans="1:17" ht="13.2">
      <c r="A303" s="79"/>
      <c r="B303" s="79"/>
      <c r="C303" s="79"/>
      <c r="D303" s="79"/>
      <c r="E303" s="79"/>
      <c r="F303" s="79"/>
      <c r="G303" s="79"/>
      <c r="H303" s="79"/>
      <c r="I303" s="79"/>
      <c r="J303" s="79"/>
      <c r="K303" s="79"/>
      <c r="L303" s="79"/>
      <c r="M303" s="79"/>
      <c r="N303" s="79"/>
      <c r="O303" s="79"/>
      <c r="P303" s="79"/>
      <c r="Q303" s="79"/>
    </row>
    <row r="304" spans="1:17" ht="13.2">
      <c r="A304" s="79"/>
      <c r="B304" s="79"/>
      <c r="C304" s="79"/>
      <c r="D304" s="79"/>
      <c r="E304" s="79"/>
      <c r="F304" s="79"/>
      <c r="G304" s="79"/>
      <c r="H304" s="79"/>
      <c r="I304" s="79"/>
      <c r="J304" s="79"/>
      <c r="K304" s="79"/>
      <c r="L304" s="79"/>
      <c r="M304" s="79"/>
      <c r="N304" s="79"/>
      <c r="O304" s="79"/>
      <c r="P304" s="79"/>
      <c r="Q304" s="79"/>
    </row>
    <row r="305" spans="1:17" ht="13.2">
      <c r="A305" s="79"/>
      <c r="B305" s="79"/>
      <c r="C305" s="79"/>
      <c r="D305" s="79"/>
      <c r="E305" s="79"/>
      <c r="F305" s="79"/>
      <c r="G305" s="79"/>
      <c r="H305" s="79"/>
      <c r="I305" s="79"/>
      <c r="J305" s="79"/>
      <c r="K305" s="79"/>
      <c r="L305" s="79"/>
      <c r="M305" s="79"/>
      <c r="N305" s="79"/>
      <c r="O305" s="79"/>
      <c r="P305" s="79"/>
      <c r="Q305" s="79"/>
    </row>
    <row r="306" spans="1:17" ht="13.2">
      <c r="A306" s="79"/>
      <c r="B306" s="79"/>
      <c r="C306" s="79"/>
      <c r="D306" s="79"/>
      <c r="E306" s="79"/>
      <c r="F306" s="79"/>
      <c r="G306" s="79"/>
      <c r="H306" s="79"/>
      <c r="I306" s="79"/>
      <c r="J306" s="79"/>
      <c r="K306" s="79"/>
      <c r="L306" s="79"/>
      <c r="M306" s="79"/>
      <c r="N306" s="79"/>
      <c r="O306" s="79"/>
      <c r="P306" s="79"/>
      <c r="Q306" s="79"/>
    </row>
    <row r="307" spans="1:17" ht="13.2">
      <c r="A307" s="79"/>
      <c r="B307" s="79"/>
      <c r="C307" s="79"/>
      <c r="D307" s="79"/>
      <c r="E307" s="79"/>
      <c r="F307" s="79"/>
      <c r="G307" s="79"/>
      <c r="H307" s="79"/>
      <c r="I307" s="79"/>
      <c r="J307" s="79"/>
      <c r="K307" s="79"/>
      <c r="L307" s="79"/>
      <c r="M307" s="79"/>
      <c r="N307" s="79"/>
      <c r="O307" s="79"/>
      <c r="P307" s="79"/>
      <c r="Q307" s="79"/>
    </row>
    <row r="308" spans="1:17" ht="13.2">
      <c r="A308" s="79"/>
      <c r="B308" s="79"/>
      <c r="C308" s="79"/>
      <c r="D308" s="79"/>
      <c r="E308" s="79"/>
      <c r="F308" s="79"/>
      <c r="G308" s="79"/>
      <c r="H308" s="79"/>
      <c r="I308" s="79"/>
      <c r="J308" s="79"/>
      <c r="K308" s="79"/>
      <c r="L308" s="79"/>
      <c r="M308" s="79"/>
      <c r="N308" s="79"/>
      <c r="O308" s="79"/>
      <c r="P308" s="79"/>
      <c r="Q308" s="79"/>
    </row>
    <row r="309" spans="1:17" ht="13.2">
      <c r="A309" s="79"/>
      <c r="B309" s="79"/>
      <c r="C309" s="79"/>
      <c r="D309" s="79"/>
      <c r="E309" s="79"/>
      <c r="F309" s="79"/>
      <c r="G309" s="79"/>
      <c r="H309" s="79"/>
      <c r="I309" s="79"/>
      <c r="J309" s="79"/>
      <c r="K309" s="79"/>
      <c r="L309" s="79"/>
      <c r="M309" s="79"/>
      <c r="N309" s="79"/>
      <c r="O309" s="79"/>
      <c r="P309" s="79"/>
      <c r="Q309" s="79"/>
    </row>
    <row r="310" spans="1:17" ht="13.2">
      <c r="A310" s="79"/>
      <c r="B310" s="79"/>
      <c r="C310" s="79"/>
      <c r="D310" s="79"/>
      <c r="E310" s="79"/>
      <c r="F310" s="79"/>
      <c r="G310" s="79"/>
      <c r="H310" s="79"/>
      <c r="I310" s="79"/>
      <c r="J310" s="79"/>
      <c r="K310" s="79"/>
      <c r="L310" s="79"/>
      <c r="M310" s="79"/>
      <c r="N310" s="79"/>
      <c r="O310" s="79"/>
      <c r="P310" s="79"/>
      <c r="Q310" s="79"/>
    </row>
    <row r="311" spans="1:17" ht="13.2">
      <c r="A311" s="79"/>
      <c r="B311" s="79"/>
      <c r="C311" s="79"/>
      <c r="D311" s="79"/>
      <c r="E311" s="79"/>
      <c r="F311" s="79"/>
      <c r="G311" s="79"/>
      <c r="H311" s="79"/>
      <c r="I311" s="79"/>
      <c r="J311" s="79"/>
      <c r="K311" s="79"/>
      <c r="L311" s="79"/>
      <c r="M311" s="79"/>
      <c r="N311" s="79"/>
      <c r="O311" s="79"/>
      <c r="P311" s="79"/>
      <c r="Q311" s="79"/>
    </row>
    <row r="312" spans="1:17" ht="13.2">
      <c r="A312" s="79"/>
      <c r="B312" s="79"/>
      <c r="C312" s="79"/>
      <c r="D312" s="79"/>
      <c r="E312" s="79"/>
      <c r="F312" s="79"/>
      <c r="G312" s="79"/>
      <c r="H312" s="79"/>
      <c r="I312" s="79"/>
      <c r="J312" s="79"/>
      <c r="K312" s="79"/>
      <c r="L312" s="79"/>
      <c r="M312" s="79"/>
      <c r="N312" s="79"/>
      <c r="O312" s="79"/>
      <c r="P312" s="79"/>
      <c r="Q312" s="79"/>
    </row>
    <row r="313" spans="1:17" ht="13.2">
      <c r="A313" s="79"/>
      <c r="B313" s="79"/>
      <c r="C313" s="79"/>
      <c r="D313" s="79"/>
      <c r="E313" s="79"/>
      <c r="F313" s="79"/>
      <c r="G313" s="79"/>
      <c r="H313" s="79"/>
      <c r="I313" s="79"/>
      <c r="J313" s="79"/>
      <c r="K313" s="79"/>
      <c r="L313" s="79"/>
      <c r="M313" s="79"/>
      <c r="N313" s="79"/>
      <c r="O313" s="79"/>
      <c r="P313" s="79"/>
      <c r="Q313" s="79"/>
    </row>
    <row r="314" spans="1:17" ht="13.2">
      <c r="A314" s="79"/>
      <c r="B314" s="79"/>
      <c r="C314" s="79"/>
      <c r="D314" s="79"/>
      <c r="E314" s="79"/>
      <c r="F314" s="79"/>
      <c r="G314" s="79"/>
      <c r="H314" s="79"/>
      <c r="I314" s="79"/>
      <c r="J314" s="79"/>
      <c r="K314" s="79"/>
      <c r="L314" s="79"/>
      <c r="M314" s="79"/>
      <c r="N314" s="79"/>
      <c r="O314" s="79"/>
      <c r="P314" s="79"/>
      <c r="Q314" s="79"/>
    </row>
    <row r="315" spans="1:17" ht="13.2">
      <c r="A315" s="79"/>
      <c r="B315" s="79"/>
      <c r="C315" s="79"/>
      <c r="D315" s="79"/>
      <c r="E315" s="79"/>
      <c r="F315" s="79"/>
      <c r="G315" s="79"/>
      <c r="H315" s="79"/>
      <c r="I315" s="79"/>
      <c r="J315" s="79"/>
      <c r="K315" s="79"/>
      <c r="L315" s="79"/>
      <c r="M315" s="79"/>
      <c r="N315" s="79"/>
      <c r="O315" s="79"/>
      <c r="P315" s="79"/>
      <c r="Q315" s="79"/>
    </row>
    <row r="316" spans="1:17" ht="13.2">
      <c r="A316" s="79"/>
      <c r="B316" s="79"/>
      <c r="C316" s="79"/>
      <c r="D316" s="79"/>
      <c r="E316" s="79"/>
      <c r="F316" s="79"/>
      <c r="G316" s="79"/>
      <c r="H316" s="79"/>
      <c r="I316" s="79"/>
      <c r="J316" s="79"/>
      <c r="K316" s="79"/>
      <c r="L316" s="79"/>
      <c r="M316" s="79"/>
      <c r="N316" s="79"/>
      <c r="O316" s="79"/>
      <c r="P316" s="79"/>
      <c r="Q316" s="79"/>
    </row>
    <row r="317" spans="1:17" ht="13.2">
      <c r="A317" s="79"/>
      <c r="B317" s="79"/>
      <c r="C317" s="79"/>
      <c r="D317" s="79"/>
      <c r="E317" s="79"/>
      <c r="F317" s="79"/>
      <c r="G317" s="79"/>
      <c r="H317" s="79"/>
      <c r="I317" s="79"/>
      <c r="J317" s="79"/>
      <c r="K317" s="79"/>
      <c r="L317" s="79"/>
      <c r="M317" s="79"/>
      <c r="N317" s="79"/>
      <c r="O317" s="79"/>
      <c r="P317" s="79"/>
      <c r="Q317" s="79"/>
    </row>
    <row r="318" spans="1:17" ht="13.2">
      <c r="A318" s="79"/>
      <c r="B318" s="79"/>
      <c r="C318" s="79"/>
      <c r="D318" s="79"/>
      <c r="E318" s="79"/>
      <c r="F318" s="79"/>
      <c r="G318" s="79"/>
      <c r="H318" s="79"/>
      <c r="I318" s="79"/>
      <c r="J318" s="79"/>
      <c r="K318" s="79"/>
      <c r="L318" s="79"/>
      <c r="M318" s="79"/>
      <c r="N318" s="79"/>
      <c r="O318" s="79"/>
      <c r="P318" s="79"/>
      <c r="Q318" s="79"/>
    </row>
    <row r="319" spans="1:17" ht="13.2">
      <c r="A319" s="79"/>
      <c r="B319" s="79"/>
      <c r="C319" s="79"/>
      <c r="D319" s="79"/>
      <c r="E319" s="79"/>
      <c r="F319" s="79"/>
      <c r="G319" s="79"/>
      <c r="H319" s="79"/>
      <c r="I319" s="79"/>
      <c r="J319" s="79"/>
      <c r="K319" s="79"/>
      <c r="L319" s="79"/>
      <c r="M319" s="79"/>
      <c r="N319" s="79"/>
      <c r="O319" s="79"/>
      <c r="P319" s="79"/>
      <c r="Q319" s="79"/>
    </row>
    <row r="320" spans="1:17" ht="13.2">
      <c r="A320" s="79"/>
      <c r="B320" s="79"/>
      <c r="C320" s="79"/>
      <c r="D320" s="79"/>
      <c r="E320" s="79"/>
      <c r="F320" s="79"/>
      <c r="G320" s="79"/>
      <c r="H320" s="79"/>
      <c r="I320" s="79"/>
      <c r="J320" s="79"/>
      <c r="K320" s="79"/>
      <c r="L320" s="79"/>
      <c r="M320" s="79"/>
      <c r="N320" s="79"/>
      <c r="O320" s="79"/>
      <c r="P320" s="79"/>
      <c r="Q320" s="79"/>
    </row>
    <row r="321" spans="1:17" ht="13.2">
      <c r="A321" s="79"/>
      <c r="B321" s="79"/>
      <c r="C321" s="79"/>
      <c r="D321" s="79"/>
      <c r="E321" s="79"/>
      <c r="F321" s="79"/>
      <c r="G321" s="79"/>
      <c r="H321" s="79"/>
      <c r="I321" s="79"/>
      <c r="J321" s="79"/>
      <c r="K321" s="79"/>
      <c r="L321" s="79"/>
      <c r="M321" s="79"/>
      <c r="N321" s="79"/>
      <c r="O321" s="79"/>
      <c r="P321" s="79"/>
      <c r="Q321" s="79"/>
    </row>
    <row r="322" spans="1:17" ht="13.2">
      <c r="A322" s="79"/>
      <c r="B322" s="79"/>
      <c r="C322" s="79"/>
      <c r="D322" s="79"/>
      <c r="E322" s="79"/>
      <c r="F322" s="79"/>
      <c r="G322" s="79"/>
      <c r="H322" s="79"/>
      <c r="I322" s="79"/>
      <c r="J322" s="79"/>
      <c r="K322" s="79"/>
      <c r="L322" s="79"/>
      <c r="M322" s="79"/>
      <c r="N322" s="79"/>
      <c r="O322" s="79"/>
      <c r="P322" s="79"/>
      <c r="Q322" s="79"/>
    </row>
    <row r="323" spans="1:17" ht="13.2">
      <c r="A323" s="79"/>
      <c r="B323" s="79"/>
      <c r="C323" s="79"/>
      <c r="D323" s="79"/>
      <c r="E323" s="79"/>
      <c r="F323" s="79"/>
      <c r="G323" s="79"/>
      <c r="H323" s="79"/>
      <c r="I323" s="79"/>
      <c r="J323" s="79"/>
      <c r="K323" s="79"/>
      <c r="L323" s="79"/>
      <c r="M323" s="79"/>
      <c r="N323" s="79"/>
      <c r="O323" s="79"/>
      <c r="P323" s="79"/>
      <c r="Q323" s="79"/>
    </row>
    <row r="324" spans="1:17" ht="13.2">
      <c r="A324" s="79"/>
      <c r="B324" s="79"/>
      <c r="C324" s="79"/>
      <c r="D324" s="79"/>
      <c r="E324" s="79"/>
      <c r="F324" s="79"/>
      <c r="G324" s="79"/>
      <c r="H324" s="79"/>
      <c r="I324" s="79"/>
      <c r="J324" s="79"/>
      <c r="K324" s="79"/>
      <c r="L324" s="79"/>
      <c r="M324" s="79"/>
      <c r="N324" s="79"/>
      <c r="O324" s="79"/>
      <c r="P324" s="79"/>
      <c r="Q324" s="79"/>
    </row>
    <row r="325" spans="1:17" ht="13.2">
      <c r="A325" s="79"/>
      <c r="B325" s="79"/>
      <c r="C325" s="79"/>
      <c r="D325" s="79"/>
      <c r="E325" s="79"/>
      <c r="F325" s="79"/>
      <c r="G325" s="79"/>
      <c r="H325" s="79"/>
      <c r="I325" s="79"/>
      <c r="J325" s="79"/>
      <c r="K325" s="79"/>
      <c r="L325" s="79"/>
      <c r="M325" s="79"/>
      <c r="N325" s="79"/>
      <c r="O325" s="79"/>
      <c r="P325" s="79"/>
      <c r="Q325" s="79"/>
    </row>
    <row r="326" spans="1:17" ht="13.2">
      <c r="A326" s="79"/>
      <c r="B326" s="79"/>
      <c r="C326" s="79"/>
      <c r="D326" s="79"/>
      <c r="E326" s="79"/>
      <c r="F326" s="79"/>
      <c r="G326" s="79"/>
      <c r="H326" s="79"/>
      <c r="I326" s="79"/>
      <c r="J326" s="79"/>
      <c r="K326" s="79"/>
      <c r="L326" s="79"/>
      <c r="M326" s="79"/>
      <c r="N326" s="79"/>
      <c r="O326" s="79"/>
      <c r="P326" s="79"/>
      <c r="Q326" s="79"/>
    </row>
    <row r="327" spans="1:17" ht="13.2">
      <c r="A327" s="79"/>
      <c r="B327" s="79"/>
      <c r="C327" s="79"/>
      <c r="D327" s="79"/>
      <c r="E327" s="79"/>
      <c r="F327" s="79"/>
      <c r="G327" s="79"/>
      <c r="H327" s="79"/>
      <c r="I327" s="79"/>
      <c r="J327" s="79"/>
      <c r="K327" s="79"/>
      <c r="L327" s="79"/>
      <c r="M327" s="79"/>
      <c r="N327" s="79"/>
      <c r="O327" s="79"/>
      <c r="P327" s="79"/>
      <c r="Q327" s="79"/>
    </row>
    <row r="328" spans="1:17" ht="13.2">
      <c r="A328" s="79"/>
      <c r="B328" s="79"/>
      <c r="C328" s="79"/>
      <c r="D328" s="79"/>
      <c r="E328" s="79"/>
      <c r="F328" s="79"/>
      <c r="G328" s="79"/>
      <c r="H328" s="79"/>
      <c r="I328" s="79"/>
      <c r="J328" s="79"/>
      <c r="K328" s="79"/>
      <c r="L328" s="79"/>
      <c r="M328" s="79"/>
      <c r="N328" s="79"/>
      <c r="O328" s="79"/>
      <c r="P328" s="79"/>
      <c r="Q328" s="79"/>
    </row>
    <row r="329" spans="1:17" ht="13.2">
      <c r="A329" s="79"/>
      <c r="B329" s="79"/>
      <c r="C329" s="79"/>
      <c r="D329" s="79"/>
      <c r="E329" s="79"/>
      <c r="F329" s="79"/>
      <c r="G329" s="79"/>
      <c r="H329" s="79"/>
      <c r="I329" s="79"/>
      <c r="J329" s="79"/>
      <c r="K329" s="79"/>
      <c r="L329" s="79"/>
      <c r="M329" s="79"/>
      <c r="N329" s="79"/>
      <c r="O329" s="79"/>
      <c r="P329" s="79"/>
      <c r="Q329" s="79"/>
    </row>
    <row r="330" spans="1:17" ht="13.2">
      <c r="A330" s="79"/>
      <c r="B330" s="79"/>
      <c r="C330" s="79"/>
      <c r="D330" s="79"/>
      <c r="E330" s="79"/>
      <c r="F330" s="79"/>
      <c r="G330" s="79"/>
      <c r="H330" s="79"/>
      <c r="I330" s="79"/>
      <c r="J330" s="79"/>
      <c r="K330" s="79"/>
      <c r="L330" s="79"/>
      <c r="M330" s="79"/>
      <c r="N330" s="79"/>
      <c r="O330" s="79"/>
      <c r="P330" s="79"/>
      <c r="Q330" s="79"/>
    </row>
    <row r="331" spans="1:17" ht="13.2">
      <c r="A331" s="79"/>
      <c r="B331" s="79"/>
      <c r="C331" s="79"/>
      <c r="D331" s="79"/>
      <c r="E331" s="79"/>
      <c r="F331" s="79"/>
      <c r="G331" s="79"/>
      <c r="H331" s="79"/>
      <c r="I331" s="79"/>
      <c r="J331" s="79"/>
      <c r="K331" s="79"/>
      <c r="L331" s="79"/>
      <c r="M331" s="79"/>
      <c r="N331" s="79"/>
      <c r="O331" s="79"/>
      <c r="P331" s="79"/>
      <c r="Q331" s="79"/>
    </row>
    <row r="332" spans="1:17" ht="13.2">
      <c r="A332" s="79"/>
      <c r="B332" s="79"/>
      <c r="C332" s="79"/>
      <c r="D332" s="79"/>
      <c r="E332" s="79"/>
      <c r="F332" s="79"/>
      <c r="G332" s="79"/>
      <c r="H332" s="79"/>
      <c r="I332" s="79"/>
      <c r="J332" s="79"/>
      <c r="K332" s="79"/>
      <c r="L332" s="79"/>
      <c r="M332" s="79"/>
      <c r="N332" s="79"/>
      <c r="O332" s="79"/>
      <c r="P332" s="79"/>
      <c r="Q332" s="79"/>
    </row>
    <row r="333" spans="1:17" ht="13.2">
      <c r="A333" s="79"/>
      <c r="B333" s="79"/>
      <c r="C333" s="79"/>
      <c r="D333" s="79"/>
      <c r="E333" s="79"/>
      <c r="F333" s="79"/>
      <c r="G333" s="79"/>
      <c r="H333" s="79"/>
      <c r="I333" s="79"/>
      <c r="J333" s="79"/>
      <c r="K333" s="79"/>
      <c r="L333" s="79"/>
      <c r="M333" s="79"/>
      <c r="N333" s="79"/>
      <c r="O333" s="79"/>
      <c r="P333" s="79"/>
      <c r="Q333" s="79"/>
    </row>
    <row r="334" spans="1:17" ht="13.2">
      <c r="A334" s="79"/>
      <c r="B334" s="79"/>
      <c r="C334" s="79"/>
      <c r="D334" s="79"/>
      <c r="E334" s="79"/>
      <c r="F334" s="79"/>
      <c r="G334" s="79"/>
      <c r="H334" s="79"/>
      <c r="I334" s="79"/>
      <c r="J334" s="79"/>
      <c r="K334" s="79"/>
      <c r="L334" s="79"/>
      <c r="M334" s="79"/>
      <c r="N334" s="79"/>
      <c r="O334" s="79"/>
      <c r="P334" s="79"/>
      <c r="Q334" s="79"/>
    </row>
    <row r="335" spans="1:17" ht="13.2">
      <c r="A335" s="79"/>
      <c r="B335" s="79"/>
      <c r="C335" s="79"/>
      <c r="D335" s="79"/>
      <c r="E335" s="79"/>
      <c r="F335" s="79"/>
      <c r="G335" s="79"/>
      <c r="H335" s="79"/>
      <c r="I335" s="79"/>
      <c r="J335" s="79"/>
      <c r="K335" s="79"/>
      <c r="L335" s="79"/>
      <c r="M335" s="79"/>
      <c r="N335" s="79"/>
      <c r="O335" s="79"/>
      <c r="P335" s="79"/>
      <c r="Q335" s="79"/>
    </row>
    <row r="336" spans="1:17" ht="13.2">
      <c r="A336" s="79"/>
      <c r="B336" s="79"/>
      <c r="C336" s="79"/>
      <c r="D336" s="79"/>
      <c r="E336" s="79"/>
      <c r="F336" s="79"/>
      <c r="G336" s="79"/>
      <c r="H336" s="79"/>
      <c r="I336" s="79"/>
      <c r="J336" s="79"/>
      <c r="K336" s="79"/>
      <c r="L336" s="79"/>
      <c r="M336" s="79"/>
      <c r="N336" s="79"/>
      <c r="O336" s="79"/>
      <c r="P336" s="79"/>
      <c r="Q336" s="79"/>
    </row>
    <row r="337" spans="1:17" ht="13.2">
      <c r="A337" s="79"/>
      <c r="B337" s="79"/>
      <c r="C337" s="79"/>
      <c r="D337" s="79"/>
      <c r="E337" s="79"/>
      <c r="F337" s="79"/>
      <c r="G337" s="79"/>
      <c r="H337" s="79"/>
      <c r="I337" s="79"/>
      <c r="J337" s="79"/>
      <c r="K337" s="79"/>
      <c r="L337" s="79"/>
      <c r="M337" s="79"/>
      <c r="N337" s="79"/>
      <c r="O337" s="79"/>
      <c r="P337" s="79"/>
      <c r="Q337" s="79"/>
    </row>
    <row r="338" spans="1:17" ht="13.2">
      <c r="A338" s="79"/>
      <c r="B338" s="79"/>
      <c r="C338" s="79"/>
      <c r="D338" s="79"/>
      <c r="E338" s="79"/>
      <c r="F338" s="79"/>
      <c r="G338" s="79"/>
      <c r="H338" s="79"/>
      <c r="I338" s="79"/>
      <c r="J338" s="79"/>
      <c r="K338" s="79"/>
      <c r="L338" s="79"/>
      <c r="M338" s="79"/>
      <c r="N338" s="79"/>
      <c r="O338" s="79"/>
      <c r="P338" s="79"/>
      <c r="Q338" s="79"/>
    </row>
    <row r="339" spans="1:17" ht="13.2">
      <c r="A339" s="79"/>
      <c r="B339" s="79"/>
      <c r="C339" s="79"/>
      <c r="D339" s="79"/>
      <c r="E339" s="79"/>
      <c r="F339" s="79"/>
      <c r="G339" s="79"/>
      <c r="H339" s="79"/>
      <c r="I339" s="79"/>
      <c r="J339" s="79"/>
      <c r="K339" s="79"/>
      <c r="L339" s="79"/>
      <c r="M339" s="79"/>
      <c r="N339" s="79"/>
      <c r="O339" s="79"/>
      <c r="P339" s="79"/>
      <c r="Q339" s="79"/>
    </row>
    <row r="340" spans="1:17" ht="13.2">
      <c r="A340" s="79"/>
      <c r="B340" s="79"/>
      <c r="C340" s="79"/>
      <c r="D340" s="79"/>
      <c r="E340" s="79"/>
      <c r="F340" s="79"/>
      <c r="G340" s="79"/>
      <c r="H340" s="79"/>
      <c r="I340" s="79"/>
      <c r="J340" s="79"/>
      <c r="K340" s="79"/>
      <c r="L340" s="79"/>
      <c r="M340" s="79"/>
      <c r="N340" s="79"/>
      <c r="O340" s="79"/>
      <c r="P340" s="79"/>
      <c r="Q340" s="79"/>
    </row>
    <row r="341" spans="1:17" ht="13.2">
      <c r="A341" s="79"/>
      <c r="B341" s="79"/>
      <c r="C341" s="79"/>
      <c r="D341" s="79"/>
      <c r="E341" s="79"/>
      <c r="F341" s="79"/>
      <c r="G341" s="79"/>
      <c r="H341" s="79"/>
      <c r="I341" s="79"/>
      <c r="J341" s="79"/>
      <c r="K341" s="79"/>
      <c r="L341" s="79"/>
      <c r="M341" s="79"/>
      <c r="N341" s="79"/>
      <c r="O341" s="79"/>
      <c r="P341" s="79"/>
      <c r="Q341" s="79"/>
    </row>
    <row r="342" spans="1:17" ht="13.2">
      <c r="A342" s="79"/>
      <c r="B342" s="79"/>
      <c r="C342" s="79"/>
      <c r="D342" s="79"/>
      <c r="E342" s="79"/>
      <c r="F342" s="79"/>
      <c r="G342" s="79"/>
      <c r="H342" s="79"/>
      <c r="I342" s="79"/>
      <c r="J342" s="79"/>
      <c r="K342" s="79"/>
      <c r="L342" s="79"/>
      <c r="M342" s="79"/>
      <c r="N342" s="79"/>
      <c r="O342" s="79"/>
      <c r="P342" s="79"/>
      <c r="Q342" s="79"/>
    </row>
    <row r="343" spans="1:17" ht="13.2">
      <c r="A343" s="79"/>
      <c r="B343" s="79"/>
      <c r="C343" s="79"/>
      <c r="D343" s="79"/>
      <c r="E343" s="79"/>
      <c r="F343" s="79"/>
      <c r="G343" s="79"/>
      <c r="H343" s="79"/>
      <c r="I343" s="79"/>
      <c r="J343" s="79"/>
      <c r="K343" s="79"/>
      <c r="L343" s="79"/>
      <c r="M343" s="79"/>
      <c r="N343" s="79"/>
      <c r="O343" s="79"/>
      <c r="P343" s="79"/>
      <c r="Q343" s="79"/>
    </row>
    <row r="344" spans="1:17" ht="13.2">
      <c r="A344" s="79"/>
      <c r="B344" s="79"/>
      <c r="C344" s="79"/>
      <c r="D344" s="79"/>
      <c r="E344" s="79"/>
      <c r="F344" s="79"/>
      <c r="G344" s="79"/>
      <c r="H344" s="79"/>
      <c r="I344" s="79"/>
      <c r="J344" s="79"/>
      <c r="K344" s="79"/>
      <c r="L344" s="79"/>
      <c r="M344" s="79"/>
      <c r="N344" s="79"/>
      <c r="O344" s="79"/>
      <c r="P344" s="79"/>
      <c r="Q344" s="79"/>
    </row>
    <row r="345" spans="1:17" ht="13.2">
      <c r="A345" s="79"/>
      <c r="B345" s="79"/>
      <c r="C345" s="79"/>
      <c r="D345" s="79"/>
      <c r="E345" s="79"/>
      <c r="F345" s="79"/>
      <c r="G345" s="79"/>
      <c r="H345" s="79"/>
      <c r="I345" s="79"/>
      <c r="J345" s="79"/>
      <c r="K345" s="79"/>
      <c r="L345" s="79"/>
      <c r="M345" s="79"/>
      <c r="N345" s="79"/>
      <c r="O345" s="79"/>
      <c r="P345" s="79"/>
      <c r="Q345" s="79"/>
    </row>
    <row r="346" spans="1:17" ht="13.2">
      <c r="A346" s="79"/>
      <c r="B346" s="79"/>
      <c r="C346" s="79"/>
      <c r="D346" s="79"/>
      <c r="E346" s="79"/>
      <c r="F346" s="79"/>
      <c r="G346" s="79"/>
      <c r="H346" s="79"/>
      <c r="I346" s="79"/>
      <c r="J346" s="79"/>
      <c r="K346" s="79"/>
      <c r="L346" s="79"/>
      <c r="M346" s="79"/>
      <c r="N346" s="79"/>
      <c r="O346" s="79"/>
      <c r="P346" s="79"/>
      <c r="Q346" s="79"/>
    </row>
    <row r="347" spans="1:17" ht="13.2">
      <c r="A347" s="79"/>
      <c r="B347" s="79"/>
      <c r="C347" s="79"/>
      <c r="D347" s="79"/>
      <c r="E347" s="79"/>
      <c r="F347" s="79"/>
      <c r="G347" s="79"/>
      <c r="H347" s="79"/>
      <c r="I347" s="79"/>
      <c r="J347" s="79"/>
      <c r="K347" s="79"/>
      <c r="L347" s="79"/>
      <c r="M347" s="79"/>
      <c r="N347" s="79"/>
      <c r="O347" s="79"/>
      <c r="P347" s="79"/>
      <c r="Q347" s="79"/>
    </row>
    <row r="348" spans="1:17" ht="13.2">
      <c r="A348" s="79"/>
      <c r="B348" s="79"/>
      <c r="C348" s="79"/>
      <c r="D348" s="79"/>
      <c r="E348" s="79"/>
      <c r="F348" s="79"/>
      <c r="G348" s="79"/>
      <c r="H348" s="79"/>
      <c r="I348" s="79"/>
      <c r="J348" s="79"/>
      <c r="K348" s="79"/>
      <c r="L348" s="79"/>
      <c r="M348" s="79"/>
      <c r="N348" s="79"/>
      <c r="O348" s="79"/>
      <c r="P348" s="79"/>
      <c r="Q348" s="79"/>
    </row>
    <row r="349" spans="1:17" ht="13.2">
      <c r="A349" s="79"/>
      <c r="B349" s="79"/>
      <c r="C349" s="79"/>
      <c r="D349" s="79"/>
      <c r="E349" s="79"/>
      <c r="F349" s="79"/>
      <c r="G349" s="79"/>
      <c r="H349" s="79"/>
      <c r="I349" s="79"/>
      <c r="J349" s="79"/>
      <c r="K349" s="79"/>
      <c r="L349" s="79"/>
      <c r="M349" s="79"/>
      <c r="N349" s="79"/>
      <c r="O349" s="79"/>
      <c r="P349" s="79"/>
      <c r="Q349" s="79"/>
    </row>
    <row r="350" spans="1:17" ht="13.2">
      <c r="A350" s="79"/>
      <c r="B350" s="79"/>
      <c r="C350" s="79"/>
      <c r="D350" s="79"/>
      <c r="E350" s="79"/>
      <c r="F350" s="79"/>
      <c r="G350" s="79"/>
      <c r="H350" s="79"/>
      <c r="I350" s="79"/>
      <c r="J350" s="79"/>
      <c r="K350" s="79"/>
      <c r="L350" s="79"/>
      <c r="M350" s="79"/>
      <c r="N350" s="79"/>
      <c r="O350" s="79"/>
      <c r="P350" s="79"/>
      <c r="Q350" s="79"/>
    </row>
    <row r="351" spans="1:17" ht="13.2">
      <c r="A351" s="79"/>
      <c r="B351" s="79"/>
      <c r="C351" s="79"/>
      <c r="D351" s="79"/>
      <c r="E351" s="79"/>
      <c r="F351" s="79"/>
      <c r="G351" s="79"/>
      <c r="H351" s="79"/>
      <c r="I351" s="79"/>
      <c r="J351" s="79"/>
      <c r="K351" s="79"/>
      <c r="L351" s="79"/>
      <c r="M351" s="79"/>
      <c r="N351" s="79"/>
      <c r="O351" s="79"/>
      <c r="P351" s="79"/>
      <c r="Q351" s="79"/>
    </row>
    <row r="352" spans="1:17" ht="13.2">
      <c r="A352" s="79"/>
      <c r="B352" s="79"/>
      <c r="C352" s="79"/>
      <c r="D352" s="79"/>
      <c r="E352" s="79"/>
      <c r="F352" s="79"/>
      <c r="G352" s="79"/>
      <c r="H352" s="79"/>
      <c r="I352" s="79"/>
      <c r="J352" s="79"/>
      <c r="K352" s="79"/>
      <c r="L352" s="79"/>
      <c r="M352" s="79"/>
      <c r="N352" s="79"/>
      <c r="O352" s="79"/>
      <c r="P352" s="79"/>
      <c r="Q352" s="79"/>
    </row>
    <row r="353" spans="1:17" ht="13.2">
      <c r="A353" s="79"/>
      <c r="B353" s="79"/>
      <c r="C353" s="79"/>
      <c r="D353" s="79"/>
      <c r="E353" s="79"/>
      <c r="F353" s="79"/>
      <c r="G353" s="79"/>
      <c r="H353" s="79"/>
      <c r="I353" s="79"/>
      <c r="J353" s="79"/>
      <c r="K353" s="79"/>
      <c r="L353" s="79"/>
      <c r="M353" s="79"/>
      <c r="N353" s="79"/>
      <c r="O353" s="79"/>
      <c r="P353" s="79"/>
      <c r="Q353" s="79"/>
    </row>
    <row r="354" spans="1:17" ht="13.2">
      <c r="A354" s="79"/>
      <c r="B354" s="79"/>
      <c r="C354" s="79"/>
      <c r="D354" s="79"/>
      <c r="E354" s="79"/>
      <c r="F354" s="79"/>
      <c r="G354" s="79"/>
      <c r="H354" s="79"/>
      <c r="I354" s="79"/>
      <c r="J354" s="79"/>
      <c r="K354" s="79"/>
      <c r="L354" s="79"/>
      <c r="M354" s="79"/>
      <c r="N354" s="79"/>
      <c r="O354" s="79"/>
      <c r="P354" s="79"/>
      <c r="Q354" s="79"/>
    </row>
    <row r="355" spans="1:17" ht="13.2">
      <c r="A355" s="79"/>
      <c r="B355" s="79"/>
      <c r="C355" s="79"/>
      <c r="D355" s="79"/>
      <c r="E355" s="79"/>
      <c r="F355" s="79"/>
      <c r="G355" s="79"/>
      <c r="H355" s="79"/>
      <c r="I355" s="79"/>
      <c r="J355" s="79"/>
      <c r="K355" s="79"/>
      <c r="L355" s="79"/>
      <c r="M355" s="79"/>
      <c r="N355" s="79"/>
      <c r="O355" s="79"/>
      <c r="P355" s="79"/>
      <c r="Q355" s="79"/>
    </row>
    <row r="356" spans="1:17" ht="13.2">
      <c r="A356" s="79"/>
      <c r="B356" s="79"/>
      <c r="C356" s="79"/>
      <c r="D356" s="79"/>
      <c r="E356" s="79"/>
      <c r="F356" s="79"/>
      <c r="G356" s="79"/>
      <c r="H356" s="79"/>
      <c r="I356" s="79"/>
      <c r="J356" s="79"/>
      <c r="K356" s="79"/>
      <c r="L356" s="79"/>
      <c r="M356" s="79"/>
      <c r="N356" s="79"/>
      <c r="O356" s="79"/>
      <c r="P356" s="79"/>
      <c r="Q356" s="79"/>
    </row>
    <row r="357" spans="1:17" ht="13.2">
      <c r="A357" s="79"/>
      <c r="B357" s="79"/>
      <c r="C357" s="79"/>
      <c r="D357" s="79"/>
      <c r="E357" s="79"/>
      <c r="F357" s="79"/>
      <c r="G357" s="79"/>
      <c r="H357" s="79"/>
      <c r="I357" s="79"/>
      <c r="J357" s="79"/>
      <c r="K357" s="79"/>
      <c r="L357" s="79"/>
      <c r="M357" s="79"/>
      <c r="N357" s="79"/>
      <c r="O357" s="79"/>
      <c r="P357" s="79"/>
      <c r="Q357" s="79"/>
    </row>
    <row r="358" spans="1:17" ht="13.2">
      <c r="A358" s="79"/>
      <c r="B358" s="79"/>
      <c r="C358" s="79"/>
      <c r="D358" s="79"/>
      <c r="E358" s="79"/>
      <c r="F358" s="79"/>
      <c r="G358" s="79"/>
      <c r="H358" s="79"/>
      <c r="I358" s="79"/>
      <c r="J358" s="79"/>
      <c r="K358" s="79"/>
      <c r="L358" s="79"/>
      <c r="M358" s="79"/>
      <c r="N358" s="79"/>
      <c r="O358" s="79"/>
      <c r="P358" s="79"/>
      <c r="Q358" s="79"/>
    </row>
    <row r="359" spans="1:17" ht="13.2">
      <c r="A359" s="79"/>
      <c r="B359" s="79"/>
      <c r="C359" s="79"/>
      <c r="D359" s="79"/>
      <c r="E359" s="79"/>
      <c r="F359" s="79"/>
      <c r="G359" s="79"/>
      <c r="H359" s="79"/>
      <c r="I359" s="79"/>
      <c r="J359" s="79"/>
      <c r="K359" s="79"/>
      <c r="L359" s="79"/>
      <c r="M359" s="79"/>
      <c r="N359" s="79"/>
      <c r="O359" s="79"/>
      <c r="P359" s="79"/>
      <c r="Q359" s="79"/>
    </row>
    <row r="360" spans="1:17" ht="13.2">
      <c r="A360" s="79"/>
      <c r="B360" s="79"/>
      <c r="C360" s="79"/>
      <c r="D360" s="79"/>
      <c r="E360" s="79"/>
      <c r="F360" s="79"/>
      <c r="G360" s="79"/>
      <c r="H360" s="79"/>
      <c r="I360" s="79"/>
      <c r="J360" s="79"/>
      <c r="K360" s="79"/>
      <c r="L360" s="79"/>
      <c r="M360" s="79"/>
      <c r="N360" s="79"/>
      <c r="O360" s="79"/>
      <c r="P360" s="79"/>
      <c r="Q360" s="79"/>
    </row>
    <row r="361" spans="1:17" ht="13.2">
      <c r="A361" s="79"/>
      <c r="B361" s="79"/>
      <c r="C361" s="79"/>
      <c r="D361" s="79"/>
      <c r="E361" s="79"/>
      <c r="F361" s="79"/>
      <c r="G361" s="79"/>
      <c r="H361" s="79"/>
      <c r="I361" s="79"/>
      <c r="J361" s="79"/>
      <c r="K361" s="79"/>
      <c r="L361" s="79"/>
      <c r="M361" s="79"/>
      <c r="N361" s="79"/>
      <c r="O361" s="79"/>
      <c r="P361" s="79"/>
      <c r="Q361" s="79"/>
    </row>
    <row r="362" spans="1:17" ht="13.2">
      <c r="A362" s="79"/>
      <c r="B362" s="79"/>
      <c r="C362" s="79"/>
      <c r="D362" s="79"/>
      <c r="E362" s="79"/>
      <c r="F362" s="79"/>
      <c r="G362" s="79"/>
      <c r="H362" s="79"/>
      <c r="I362" s="79"/>
      <c r="J362" s="79"/>
      <c r="K362" s="79"/>
      <c r="L362" s="79"/>
      <c r="M362" s="79"/>
      <c r="N362" s="79"/>
      <c r="O362" s="79"/>
      <c r="P362" s="79"/>
      <c r="Q362" s="79"/>
    </row>
    <row r="363" spans="1:17" ht="13.2">
      <c r="A363" s="79"/>
      <c r="B363" s="79"/>
      <c r="C363" s="79"/>
      <c r="D363" s="79"/>
      <c r="E363" s="79"/>
      <c r="F363" s="79"/>
      <c r="G363" s="79"/>
      <c r="H363" s="79"/>
      <c r="I363" s="79"/>
      <c r="J363" s="79"/>
      <c r="K363" s="79"/>
      <c r="L363" s="79"/>
      <c r="M363" s="79"/>
      <c r="N363" s="79"/>
      <c r="O363" s="79"/>
      <c r="P363" s="79"/>
      <c r="Q363" s="79"/>
    </row>
    <row r="364" spans="1:17" ht="13.2">
      <c r="A364" s="79"/>
      <c r="B364" s="79"/>
      <c r="C364" s="79"/>
      <c r="D364" s="79"/>
      <c r="E364" s="79"/>
      <c r="F364" s="79"/>
      <c r="G364" s="79"/>
      <c r="H364" s="79"/>
      <c r="I364" s="79"/>
      <c r="J364" s="79"/>
      <c r="K364" s="79"/>
      <c r="L364" s="79"/>
      <c r="M364" s="79"/>
      <c r="N364" s="79"/>
      <c r="O364" s="79"/>
      <c r="P364" s="79"/>
      <c r="Q364" s="79"/>
    </row>
    <row r="365" spans="1:17" ht="13.2">
      <c r="A365" s="79"/>
      <c r="B365" s="79"/>
      <c r="C365" s="79"/>
      <c r="D365" s="79"/>
      <c r="E365" s="79"/>
      <c r="F365" s="79"/>
      <c r="G365" s="79"/>
      <c r="H365" s="79"/>
      <c r="I365" s="79"/>
      <c r="J365" s="79"/>
      <c r="K365" s="79"/>
      <c r="L365" s="79"/>
      <c r="M365" s="79"/>
      <c r="N365" s="79"/>
      <c r="O365" s="79"/>
      <c r="P365" s="79"/>
      <c r="Q365" s="79"/>
    </row>
    <row r="366" spans="1:17" ht="13.2">
      <c r="A366" s="79"/>
      <c r="B366" s="79"/>
      <c r="C366" s="79"/>
      <c r="D366" s="79"/>
      <c r="E366" s="79"/>
      <c r="F366" s="79"/>
      <c r="G366" s="79"/>
      <c r="H366" s="79"/>
      <c r="I366" s="79"/>
      <c r="J366" s="79"/>
      <c r="K366" s="79"/>
      <c r="L366" s="79"/>
      <c r="M366" s="79"/>
      <c r="N366" s="79"/>
      <c r="O366" s="79"/>
      <c r="P366" s="79"/>
      <c r="Q366" s="79"/>
    </row>
    <row r="367" spans="1:17" ht="13.2">
      <c r="A367" s="79"/>
      <c r="B367" s="79"/>
      <c r="C367" s="79"/>
      <c r="D367" s="79"/>
      <c r="E367" s="79"/>
      <c r="F367" s="79"/>
      <c r="G367" s="79"/>
      <c r="H367" s="79"/>
      <c r="I367" s="79"/>
      <c r="J367" s="79"/>
      <c r="K367" s="79"/>
      <c r="L367" s="79"/>
      <c r="M367" s="79"/>
      <c r="N367" s="79"/>
      <c r="O367" s="79"/>
      <c r="P367" s="79"/>
      <c r="Q367" s="79"/>
    </row>
    <row r="368" spans="1:17" ht="13.2">
      <c r="A368" s="79"/>
      <c r="B368" s="79"/>
      <c r="C368" s="79"/>
      <c r="D368" s="79"/>
      <c r="E368" s="79"/>
      <c r="F368" s="79"/>
      <c r="G368" s="79"/>
      <c r="H368" s="79"/>
      <c r="I368" s="79"/>
      <c r="J368" s="79"/>
      <c r="K368" s="79"/>
      <c r="L368" s="79"/>
      <c r="M368" s="79"/>
      <c r="N368" s="79"/>
      <c r="O368" s="79"/>
      <c r="P368" s="79"/>
      <c r="Q368" s="79"/>
    </row>
    <row r="369" spans="1:17" ht="13.2">
      <c r="A369" s="79"/>
      <c r="B369" s="79"/>
      <c r="C369" s="79"/>
      <c r="D369" s="79"/>
      <c r="E369" s="79"/>
      <c r="F369" s="79"/>
      <c r="G369" s="79"/>
      <c r="H369" s="79"/>
      <c r="I369" s="79"/>
      <c r="J369" s="79"/>
      <c r="K369" s="79"/>
      <c r="L369" s="79"/>
      <c r="M369" s="79"/>
      <c r="N369" s="79"/>
      <c r="O369" s="79"/>
      <c r="P369" s="79"/>
      <c r="Q369" s="79"/>
    </row>
    <row r="370" spans="1:17" ht="13.2">
      <c r="A370" s="79"/>
      <c r="B370" s="79"/>
      <c r="C370" s="79"/>
      <c r="D370" s="79"/>
      <c r="E370" s="79"/>
      <c r="F370" s="79"/>
      <c r="G370" s="79"/>
      <c r="H370" s="79"/>
      <c r="I370" s="79"/>
      <c r="J370" s="79"/>
      <c r="K370" s="79"/>
      <c r="L370" s="79"/>
      <c r="M370" s="79"/>
      <c r="N370" s="79"/>
      <c r="O370" s="79"/>
      <c r="P370" s="79"/>
      <c r="Q370" s="79"/>
    </row>
    <row r="371" spans="1:17" ht="13.2">
      <c r="A371" s="79"/>
      <c r="B371" s="79"/>
      <c r="C371" s="79"/>
      <c r="D371" s="79"/>
      <c r="E371" s="79"/>
      <c r="F371" s="79"/>
      <c r="G371" s="79"/>
      <c r="H371" s="79"/>
      <c r="I371" s="79"/>
      <c r="J371" s="79"/>
      <c r="K371" s="79"/>
      <c r="L371" s="79"/>
      <c r="M371" s="79"/>
      <c r="N371" s="79"/>
      <c r="O371" s="79"/>
      <c r="P371" s="79"/>
      <c r="Q371" s="79"/>
    </row>
    <row r="372" spans="1:17" ht="13.2">
      <c r="A372" s="79"/>
      <c r="B372" s="79"/>
      <c r="C372" s="79"/>
      <c r="D372" s="79"/>
      <c r="E372" s="79"/>
      <c r="F372" s="79"/>
      <c r="G372" s="79"/>
      <c r="H372" s="79"/>
      <c r="I372" s="79"/>
      <c r="J372" s="79"/>
      <c r="K372" s="79"/>
      <c r="L372" s="79"/>
      <c r="M372" s="79"/>
      <c r="N372" s="79"/>
      <c r="O372" s="79"/>
      <c r="P372" s="79"/>
      <c r="Q372" s="79"/>
    </row>
    <row r="373" spans="1:17" ht="13.2">
      <c r="A373" s="79"/>
      <c r="B373" s="79"/>
      <c r="C373" s="79"/>
      <c r="D373" s="79"/>
      <c r="E373" s="79"/>
      <c r="F373" s="79"/>
      <c r="G373" s="79"/>
      <c r="H373" s="79"/>
      <c r="I373" s="79"/>
      <c r="J373" s="79"/>
      <c r="K373" s="79"/>
      <c r="L373" s="79"/>
      <c r="M373" s="79"/>
      <c r="N373" s="79"/>
      <c r="O373" s="79"/>
      <c r="P373" s="79"/>
      <c r="Q373" s="79"/>
    </row>
    <row r="374" spans="1:17" ht="13.2">
      <c r="A374" s="79"/>
      <c r="B374" s="79"/>
      <c r="C374" s="79"/>
      <c r="D374" s="79"/>
      <c r="E374" s="79"/>
      <c r="F374" s="79"/>
      <c r="G374" s="79"/>
      <c r="H374" s="79"/>
      <c r="I374" s="79"/>
      <c r="J374" s="79"/>
      <c r="K374" s="79"/>
      <c r="L374" s="79"/>
      <c r="M374" s="79"/>
      <c r="N374" s="79"/>
      <c r="O374" s="79"/>
      <c r="P374" s="79"/>
      <c r="Q374" s="79"/>
    </row>
    <row r="375" spans="1:17" ht="13.2">
      <c r="A375" s="79"/>
      <c r="B375" s="79"/>
      <c r="C375" s="79"/>
      <c r="D375" s="79"/>
      <c r="E375" s="79"/>
      <c r="F375" s="79"/>
      <c r="G375" s="79"/>
      <c r="H375" s="79"/>
      <c r="I375" s="79"/>
      <c r="J375" s="79"/>
      <c r="K375" s="79"/>
      <c r="L375" s="79"/>
      <c r="M375" s="79"/>
      <c r="N375" s="79"/>
      <c r="O375" s="79"/>
      <c r="P375" s="79"/>
      <c r="Q375" s="79"/>
    </row>
    <row r="376" spans="1:17" ht="13.2">
      <c r="A376" s="79"/>
      <c r="B376" s="79"/>
      <c r="C376" s="79"/>
      <c r="D376" s="79"/>
      <c r="E376" s="79"/>
      <c r="F376" s="79"/>
      <c r="G376" s="79"/>
      <c r="H376" s="79"/>
      <c r="I376" s="79"/>
      <c r="J376" s="79"/>
      <c r="K376" s="79"/>
      <c r="L376" s="79"/>
      <c r="M376" s="79"/>
      <c r="N376" s="79"/>
      <c r="O376" s="79"/>
      <c r="P376" s="79"/>
      <c r="Q376" s="79"/>
    </row>
    <row r="377" spans="1:17" ht="13.2">
      <c r="A377" s="79"/>
      <c r="B377" s="79"/>
      <c r="C377" s="79"/>
      <c r="D377" s="79"/>
      <c r="E377" s="79"/>
      <c r="F377" s="79"/>
      <c r="G377" s="79"/>
      <c r="H377" s="79"/>
      <c r="I377" s="79"/>
      <c r="J377" s="79"/>
      <c r="K377" s="79"/>
      <c r="L377" s="79"/>
      <c r="M377" s="79"/>
      <c r="N377" s="79"/>
      <c r="O377" s="79"/>
      <c r="P377" s="79"/>
      <c r="Q377" s="79"/>
    </row>
    <row r="378" spans="1:17" ht="13.2">
      <c r="A378" s="79"/>
      <c r="B378" s="79"/>
      <c r="C378" s="79"/>
      <c r="D378" s="79"/>
      <c r="E378" s="79"/>
      <c r="F378" s="79"/>
      <c r="G378" s="79"/>
      <c r="H378" s="79"/>
      <c r="I378" s="79"/>
      <c r="J378" s="79"/>
      <c r="K378" s="79"/>
      <c r="L378" s="79"/>
      <c r="M378" s="79"/>
      <c r="N378" s="79"/>
      <c r="O378" s="79"/>
      <c r="P378" s="79"/>
      <c r="Q378" s="79"/>
    </row>
    <row r="379" spans="1:17" ht="13.2">
      <c r="A379" s="79"/>
      <c r="B379" s="79"/>
      <c r="C379" s="79"/>
      <c r="D379" s="79"/>
      <c r="E379" s="79"/>
      <c r="F379" s="79"/>
      <c r="G379" s="79"/>
      <c r="H379" s="79"/>
      <c r="I379" s="79"/>
      <c r="J379" s="79"/>
      <c r="K379" s="79"/>
      <c r="L379" s="79"/>
      <c r="M379" s="79"/>
      <c r="N379" s="79"/>
      <c r="O379" s="79"/>
      <c r="P379" s="79"/>
      <c r="Q379" s="79"/>
    </row>
    <row r="380" spans="1:17" ht="13.2">
      <c r="A380" s="79"/>
      <c r="B380" s="79"/>
      <c r="C380" s="79"/>
      <c r="D380" s="79"/>
      <c r="E380" s="79"/>
      <c r="F380" s="79"/>
      <c r="G380" s="79"/>
      <c r="H380" s="79"/>
      <c r="I380" s="79"/>
      <c r="J380" s="79"/>
      <c r="K380" s="79"/>
      <c r="L380" s="79"/>
      <c r="M380" s="79"/>
      <c r="N380" s="79"/>
      <c r="O380" s="79"/>
      <c r="P380" s="79"/>
      <c r="Q380" s="79"/>
    </row>
    <row r="381" spans="1:17" ht="13.2">
      <c r="A381" s="79"/>
      <c r="B381" s="79"/>
      <c r="C381" s="79"/>
      <c r="D381" s="79"/>
      <c r="E381" s="79"/>
      <c r="F381" s="79"/>
      <c r="G381" s="79"/>
      <c r="H381" s="79"/>
      <c r="I381" s="79"/>
      <c r="J381" s="79"/>
      <c r="K381" s="79"/>
      <c r="L381" s="79"/>
      <c r="M381" s="79"/>
      <c r="N381" s="79"/>
      <c r="O381" s="79"/>
      <c r="P381" s="79"/>
      <c r="Q381" s="79"/>
    </row>
    <row r="382" spans="1:17" ht="13.2">
      <c r="A382" s="79"/>
      <c r="B382" s="79"/>
      <c r="C382" s="79"/>
      <c r="D382" s="79"/>
      <c r="E382" s="79"/>
      <c r="F382" s="79"/>
      <c r="G382" s="79"/>
      <c r="H382" s="79"/>
      <c r="I382" s="79"/>
      <c r="J382" s="79"/>
      <c r="K382" s="79"/>
      <c r="L382" s="79"/>
      <c r="M382" s="79"/>
      <c r="N382" s="79"/>
      <c r="O382" s="79"/>
      <c r="P382" s="79"/>
      <c r="Q382" s="79"/>
    </row>
    <row r="383" spans="1:17" ht="13.2">
      <c r="A383" s="79"/>
      <c r="B383" s="79"/>
      <c r="C383" s="79"/>
      <c r="D383" s="79"/>
      <c r="E383" s="79"/>
      <c r="F383" s="79"/>
      <c r="G383" s="79"/>
      <c r="H383" s="79"/>
      <c r="I383" s="79"/>
      <c r="J383" s="79"/>
      <c r="K383" s="79"/>
      <c r="L383" s="79"/>
      <c r="M383" s="79"/>
      <c r="N383" s="79"/>
      <c r="O383" s="79"/>
      <c r="P383" s="79"/>
      <c r="Q383" s="79"/>
    </row>
    <row r="384" spans="1:17" ht="13.2">
      <c r="A384" s="79"/>
      <c r="B384" s="79"/>
      <c r="C384" s="79"/>
      <c r="D384" s="79"/>
      <c r="E384" s="79"/>
      <c r="F384" s="79"/>
      <c r="G384" s="79"/>
      <c r="H384" s="79"/>
      <c r="I384" s="79"/>
      <c r="J384" s="79"/>
      <c r="K384" s="79"/>
      <c r="L384" s="79"/>
      <c r="M384" s="79"/>
      <c r="N384" s="79"/>
      <c r="O384" s="79"/>
      <c r="P384" s="79"/>
      <c r="Q384" s="79"/>
    </row>
    <row r="385" spans="1:17" ht="13.2">
      <c r="A385" s="79"/>
      <c r="B385" s="79"/>
      <c r="C385" s="79"/>
      <c r="D385" s="79"/>
      <c r="E385" s="79"/>
      <c r="F385" s="79"/>
      <c r="G385" s="79"/>
      <c r="H385" s="79"/>
      <c r="I385" s="79"/>
      <c r="J385" s="79"/>
      <c r="K385" s="79"/>
      <c r="L385" s="79"/>
      <c r="M385" s="79"/>
      <c r="N385" s="79"/>
      <c r="O385" s="79"/>
      <c r="P385" s="79"/>
      <c r="Q385" s="79"/>
    </row>
    <row r="386" spans="1:17" ht="13.2">
      <c r="A386" s="79"/>
      <c r="B386" s="79"/>
      <c r="C386" s="79"/>
      <c r="D386" s="79"/>
      <c r="E386" s="79"/>
      <c r="F386" s="79"/>
      <c r="G386" s="79"/>
      <c r="H386" s="79"/>
      <c r="I386" s="79"/>
      <c r="J386" s="79"/>
      <c r="K386" s="79"/>
      <c r="L386" s="79"/>
      <c r="M386" s="79"/>
      <c r="N386" s="79"/>
      <c r="O386" s="79"/>
      <c r="P386" s="79"/>
      <c r="Q386" s="79"/>
    </row>
    <row r="387" spans="1:17" ht="13.2">
      <c r="A387" s="79"/>
      <c r="B387" s="79"/>
      <c r="C387" s="79"/>
      <c r="D387" s="79"/>
      <c r="E387" s="79"/>
      <c r="F387" s="79"/>
      <c r="G387" s="79"/>
      <c r="H387" s="79"/>
      <c r="I387" s="79"/>
      <c r="J387" s="79"/>
      <c r="K387" s="79"/>
      <c r="L387" s="79"/>
      <c r="M387" s="79"/>
      <c r="N387" s="79"/>
      <c r="O387" s="79"/>
      <c r="P387" s="79"/>
      <c r="Q387" s="79"/>
    </row>
    <row r="388" spans="1:17" ht="13.2">
      <c r="A388" s="79"/>
      <c r="B388" s="79"/>
      <c r="C388" s="79"/>
      <c r="D388" s="79"/>
      <c r="E388" s="79"/>
      <c r="F388" s="79"/>
      <c r="G388" s="79"/>
      <c r="H388" s="79"/>
      <c r="I388" s="79"/>
      <c r="J388" s="79"/>
      <c r="K388" s="79"/>
      <c r="L388" s="79"/>
      <c r="M388" s="79"/>
      <c r="N388" s="79"/>
      <c r="O388" s="79"/>
      <c r="P388" s="79"/>
      <c r="Q388" s="79"/>
    </row>
    <row r="389" spans="1:17" ht="13.2">
      <c r="A389" s="79"/>
      <c r="B389" s="79"/>
      <c r="C389" s="79"/>
      <c r="D389" s="79"/>
      <c r="E389" s="79"/>
      <c r="F389" s="79"/>
      <c r="G389" s="79"/>
      <c r="H389" s="79"/>
      <c r="I389" s="79"/>
      <c r="J389" s="79"/>
      <c r="K389" s="79"/>
      <c r="L389" s="79"/>
      <c r="M389" s="79"/>
      <c r="N389" s="79"/>
      <c r="O389" s="79"/>
      <c r="P389" s="79"/>
      <c r="Q389" s="79"/>
    </row>
    <row r="390" spans="1:17" ht="13.2">
      <c r="A390" s="79"/>
      <c r="B390" s="79"/>
      <c r="C390" s="79"/>
      <c r="D390" s="79"/>
      <c r="E390" s="79"/>
      <c r="F390" s="79"/>
      <c r="G390" s="79"/>
      <c r="H390" s="79"/>
      <c r="I390" s="79"/>
      <c r="J390" s="79"/>
      <c r="K390" s="79"/>
      <c r="L390" s="79"/>
      <c r="M390" s="79"/>
      <c r="N390" s="79"/>
      <c r="O390" s="79"/>
      <c r="P390" s="79"/>
      <c r="Q390" s="79"/>
    </row>
    <row r="391" spans="1:17" ht="13.2">
      <c r="A391" s="79"/>
      <c r="B391" s="79"/>
      <c r="C391" s="79"/>
      <c r="D391" s="79"/>
      <c r="E391" s="79"/>
      <c r="F391" s="79"/>
      <c r="G391" s="79"/>
      <c r="H391" s="79"/>
      <c r="I391" s="79"/>
      <c r="J391" s="79"/>
      <c r="K391" s="79"/>
      <c r="L391" s="79"/>
      <c r="M391" s="79"/>
      <c r="N391" s="79"/>
      <c r="O391" s="79"/>
      <c r="P391" s="79"/>
      <c r="Q391" s="79"/>
    </row>
    <row r="392" spans="1:17" ht="13.2">
      <c r="A392" s="79"/>
      <c r="B392" s="79"/>
      <c r="C392" s="79"/>
      <c r="D392" s="79"/>
      <c r="E392" s="79"/>
      <c r="F392" s="79"/>
      <c r="G392" s="79"/>
      <c r="H392" s="79"/>
      <c r="I392" s="79"/>
      <c r="J392" s="79"/>
      <c r="K392" s="79"/>
      <c r="L392" s="79"/>
      <c r="M392" s="79"/>
      <c r="N392" s="79"/>
      <c r="O392" s="79"/>
      <c r="P392" s="79"/>
      <c r="Q392" s="79"/>
    </row>
    <row r="393" spans="1:17" ht="13.2">
      <c r="A393" s="79"/>
      <c r="B393" s="79"/>
      <c r="C393" s="79"/>
      <c r="D393" s="79"/>
      <c r="E393" s="79"/>
      <c r="F393" s="79"/>
      <c r="G393" s="79"/>
      <c r="H393" s="79"/>
      <c r="I393" s="79"/>
      <c r="J393" s="79"/>
      <c r="K393" s="79"/>
      <c r="L393" s="79"/>
      <c r="M393" s="79"/>
      <c r="N393" s="79"/>
      <c r="O393" s="79"/>
      <c r="P393" s="79"/>
      <c r="Q393" s="79"/>
    </row>
    <row r="394" spans="1:17" ht="13.2">
      <c r="A394" s="79"/>
      <c r="B394" s="79"/>
      <c r="C394" s="79"/>
      <c r="D394" s="79"/>
      <c r="E394" s="79"/>
      <c r="F394" s="79"/>
      <c r="G394" s="79"/>
      <c r="H394" s="79"/>
      <c r="I394" s="79"/>
      <c r="J394" s="79"/>
      <c r="K394" s="79"/>
      <c r="L394" s="79"/>
      <c r="M394" s="79"/>
      <c r="N394" s="79"/>
      <c r="O394" s="79"/>
      <c r="P394" s="79"/>
      <c r="Q394" s="79"/>
    </row>
    <row r="395" spans="1:17" ht="13.2">
      <c r="A395" s="79"/>
      <c r="B395" s="79"/>
      <c r="C395" s="79"/>
      <c r="D395" s="79"/>
      <c r="E395" s="79"/>
      <c r="F395" s="79"/>
      <c r="G395" s="79"/>
      <c r="H395" s="79"/>
      <c r="I395" s="79"/>
      <c r="J395" s="79"/>
      <c r="K395" s="79"/>
      <c r="L395" s="79"/>
      <c r="M395" s="79"/>
      <c r="N395" s="79"/>
      <c r="O395" s="79"/>
      <c r="P395" s="79"/>
      <c r="Q395" s="79"/>
    </row>
    <row r="396" spans="1:17" ht="13.2">
      <c r="A396" s="79"/>
      <c r="B396" s="79"/>
      <c r="C396" s="79"/>
      <c r="D396" s="79"/>
      <c r="E396" s="79"/>
      <c r="F396" s="79"/>
      <c r="G396" s="79"/>
      <c r="H396" s="79"/>
      <c r="I396" s="79"/>
      <c r="J396" s="79"/>
      <c r="K396" s="79"/>
      <c r="L396" s="79"/>
      <c r="M396" s="79"/>
      <c r="N396" s="79"/>
      <c r="O396" s="79"/>
      <c r="P396" s="79"/>
      <c r="Q396" s="79"/>
    </row>
    <row r="397" spans="1:17" ht="13.2">
      <c r="A397" s="79"/>
      <c r="B397" s="79"/>
      <c r="C397" s="79"/>
      <c r="D397" s="79"/>
      <c r="E397" s="79"/>
      <c r="F397" s="79"/>
      <c r="G397" s="79"/>
      <c r="H397" s="79"/>
      <c r="I397" s="79"/>
      <c r="J397" s="79"/>
      <c r="K397" s="79"/>
      <c r="L397" s="79"/>
      <c r="M397" s="79"/>
      <c r="N397" s="79"/>
      <c r="O397" s="79"/>
      <c r="P397" s="79"/>
      <c r="Q397" s="79"/>
    </row>
    <row r="398" spans="1:17" ht="13.2">
      <c r="A398" s="79"/>
      <c r="B398" s="79"/>
      <c r="C398" s="79"/>
      <c r="D398" s="79"/>
      <c r="E398" s="79"/>
      <c r="F398" s="79"/>
      <c r="G398" s="79"/>
      <c r="H398" s="79"/>
      <c r="I398" s="79"/>
      <c r="J398" s="79"/>
      <c r="K398" s="79"/>
      <c r="L398" s="79"/>
      <c r="M398" s="79"/>
      <c r="N398" s="79"/>
      <c r="O398" s="79"/>
      <c r="P398" s="79"/>
      <c r="Q398" s="79"/>
    </row>
    <row r="399" spans="1:17" ht="13.2">
      <c r="A399" s="79"/>
      <c r="B399" s="79"/>
      <c r="C399" s="79"/>
      <c r="D399" s="79"/>
      <c r="E399" s="79"/>
      <c r="F399" s="79"/>
      <c r="G399" s="79"/>
      <c r="H399" s="79"/>
      <c r="I399" s="79"/>
      <c r="J399" s="79"/>
      <c r="K399" s="79"/>
      <c r="L399" s="79"/>
      <c r="M399" s="79"/>
      <c r="N399" s="79"/>
      <c r="O399" s="79"/>
      <c r="P399" s="79"/>
      <c r="Q399" s="79"/>
    </row>
    <row r="400" spans="1:17" ht="13.2">
      <c r="A400" s="79"/>
      <c r="B400" s="79"/>
      <c r="C400" s="79"/>
      <c r="D400" s="79"/>
      <c r="E400" s="79"/>
      <c r="F400" s="79"/>
      <c r="G400" s="79"/>
      <c r="H400" s="79"/>
      <c r="I400" s="79"/>
      <c r="J400" s="79"/>
      <c r="K400" s="79"/>
      <c r="L400" s="79"/>
      <c r="M400" s="79"/>
      <c r="N400" s="79"/>
      <c r="O400" s="79"/>
      <c r="P400" s="79"/>
      <c r="Q400" s="79"/>
    </row>
    <row r="401" spans="1:17" ht="13.2">
      <c r="A401" s="79"/>
      <c r="B401" s="79"/>
      <c r="C401" s="79"/>
      <c r="D401" s="79"/>
      <c r="E401" s="79"/>
      <c r="F401" s="79"/>
      <c r="G401" s="79"/>
      <c r="H401" s="79"/>
      <c r="I401" s="79"/>
      <c r="J401" s="79"/>
      <c r="K401" s="79"/>
      <c r="L401" s="79"/>
      <c r="M401" s="79"/>
      <c r="N401" s="79"/>
      <c r="O401" s="79"/>
      <c r="P401" s="79"/>
      <c r="Q401" s="79"/>
    </row>
    <row r="402" spans="1:17" ht="13.2">
      <c r="A402" s="79"/>
      <c r="B402" s="79"/>
      <c r="C402" s="79"/>
      <c r="D402" s="79"/>
      <c r="E402" s="79"/>
      <c r="F402" s="79"/>
      <c r="G402" s="79"/>
      <c r="H402" s="79"/>
      <c r="I402" s="79"/>
      <c r="J402" s="79"/>
      <c r="K402" s="79"/>
      <c r="L402" s="79"/>
      <c r="M402" s="79"/>
      <c r="N402" s="79"/>
      <c r="O402" s="79"/>
      <c r="P402" s="79"/>
      <c r="Q402" s="79"/>
    </row>
    <row r="403" spans="1:17" ht="13.2">
      <c r="A403" s="79"/>
      <c r="B403" s="79"/>
      <c r="C403" s="79"/>
      <c r="D403" s="79"/>
      <c r="E403" s="79"/>
      <c r="F403" s="79"/>
      <c r="G403" s="79"/>
      <c r="H403" s="79"/>
      <c r="I403" s="79"/>
      <c r="J403" s="79"/>
      <c r="K403" s="79"/>
      <c r="L403" s="79"/>
      <c r="M403" s="79"/>
      <c r="N403" s="79"/>
      <c r="O403" s="79"/>
      <c r="P403" s="79"/>
      <c r="Q403" s="79"/>
    </row>
    <row r="404" spans="1:17" ht="13.2">
      <c r="A404" s="79"/>
      <c r="B404" s="79"/>
      <c r="C404" s="79"/>
      <c r="D404" s="79"/>
      <c r="E404" s="79"/>
      <c r="F404" s="79"/>
      <c r="G404" s="79"/>
      <c r="H404" s="79"/>
      <c r="I404" s="79"/>
      <c r="J404" s="79"/>
      <c r="K404" s="79"/>
      <c r="L404" s="79"/>
      <c r="M404" s="79"/>
      <c r="N404" s="79"/>
      <c r="O404" s="79"/>
      <c r="P404" s="79"/>
      <c r="Q404" s="79"/>
    </row>
    <row r="405" spans="1:17" ht="13.2">
      <c r="A405" s="79"/>
      <c r="B405" s="79"/>
      <c r="C405" s="79"/>
      <c r="D405" s="79"/>
      <c r="E405" s="79"/>
      <c r="F405" s="79"/>
      <c r="G405" s="79"/>
      <c r="H405" s="79"/>
      <c r="I405" s="79"/>
      <c r="J405" s="79"/>
      <c r="K405" s="79"/>
      <c r="L405" s="79"/>
      <c r="M405" s="79"/>
      <c r="N405" s="79"/>
      <c r="O405" s="79"/>
      <c r="P405" s="79"/>
      <c r="Q405" s="79"/>
    </row>
    <row r="406" spans="1:17" ht="13.2">
      <c r="A406" s="79"/>
      <c r="B406" s="79"/>
      <c r="C406" s="79"/>
      <c r="D406" s="79"/>
      <c r="E406" s="79"/>
      <c r="F406" s="79"/>
      <c r="G406" s="79"/>
      <c r="H406" s="79"/>
      <c r="I406" s="79"/>
      <c r="J406" s="79"/>
      <c r="K406" s="79"/>
      <c r="L406" s="79"/>
      <c r="M406" s="79"/>
      <c r="N406" s="79"/>
      <c r="O406" s="79"/>
      <c r="P406" s="79"/>
      <c r="Q406" s="79"/>
    </row>
    <row r="407" spans="1:17" ht="13.2">
      <c r="A407" s="79"/>
      <c r="B407" s="79"/>
      <c r="C407" s="79"/>
      <c r="D407" s="79"/>
      <c r="E407" s="79"/>
      <c r="F407" s="79"/>
      <c r="G407" s="79"/>
      <c r="H407" s="79"/>
      <c r="I407" s="79"/>
      <c r="J407" s="79"/>
      <c r="K407" s="79"/>
      <c r="L407" s="79"/>
      <c r="M407" s="79"/>
      <c r="N407" s="79"/>
      <c r="O407" s="79"/>
      <c r="P407" s="79"/>
      <c r="Q407" s="79"/>
    </row>
    <row r="408" spans="1:17" ht="13.2">
      <c r="A408" s="79"/>
      <c r="B408" s="79"/>
      <c r="C408" s="79"/>
      <c r="D408" s="79"/>
      <c r="E408" s="79"/>
      <c r="F408" s="79"/>
      <c r="G408" s="79"/>
      <c r="H408" s="79"/>
      <c r="I408" s="79"/>
      <c r="J408" s="79"/>
      <c r="K408" s="79"/>
      <c r="L408" s="79"/>
      <c r="M408" s="79"/>
      <c r="N408" s="79"/>
      <c r="O408" s="79"/>
      <c r="P408" s="79"/>
      <c r="Q408" s="79"/>
    </row>
    <row r="409" spans="1:17" ht="13.2">
      <c r="A409" s="79"/>
      <c r="B409" s="79"/>
      <c r="C409" s="79"/>
      <c r="D409" s="79"/>
      <c r="E409" s="79"/>
      <c r="F409" s="79"/>
      <c r="G409" s="79"/>
      <c r="H409" s="79"/>
      <c r="I409" s="79"/>
      <c r="J409" s="79"/>
      <c r="K409" s="79"/>
      <c r="L409" s="79"/>
      <c r="M409" s="79"/>
      <c r="N409" s="79"/>
      <c r="O409" s="79"/>
      <c r="P409" s="79"/>
      <c r="Q409" s="79"/>
    </row>
    <row r="410" spans="1:17" ht="13.2">
      <c r="A410" s="79"/>
      <c r="B410" s="79"/>
      <c r="C410" s="79"/>
      <c r="D410" s="79"/>
      <c r="E410" s="79"/>
      <c r="F410" s="79"/>
      <c r="G410" s="79"/>
      <c r="H410" s="79"/>
      <c r="I410" s="79"/>
      <c r="J410" s="79"/>
      <c r="K410" s="79"/>
      <c r="L410" s="79"/>
      <c r="M410" s="79"/>
      <c r="N410" s="79"/>
      <c r="O410" s="79"/>
      <c r="P410" s="79"/>
      <c r="Q410" s="79"/>
    </row>
    <row r="411" spans="1:17" ht="13.2">
      <c r="A411" s="79"/>
      <c r="B411" s="79"/>
      <c r="C411" s="79"/>
      <c r="D411" s="79"/>
      <c r="E411" s="79"/>
      <c r="F411" s="79"/>
      <c r="G411" s="79"/>
      <c r="H411" s="79"/>
      <c r="I411" s="79"/>
      <c r="J411" s="79"/>
      <c r="K411" s="79"/>
      <c r="L411" s="79"/>
      <c r="M411" s="79"/>
      <c r="N411" s="79"/>
      <c r="O411" s="79"/>
      <c r="P411" s="79"/>
      <c r="Q411" s="79"/>
    </row>
    <row r="412" spans="1:17" ht="13.2">
      <c r="A412" s="79"/>
      <c r="B412" s="79"/>
      <c r="C412" s="79"/>
      <c r="D412" s="79"/>
      <c r="E412" s="79"/>
      <c r="F412" s="79"/>
      <c r="G412" s="79"/>
      <c r="H412" s="79"/>
      <c r="I412" s="79"/>
      <c r="J412" s="79"/>
      <c r="K412" s="79"/>
      <c r="L412" s="79"/>
      <c r="M412" s="79"/>
      <c r="N412" s="79"/>
      <c r="O412" s="79"/>
      <c r="P412" s="79"/>
      <c r="Q412" s="79"/>
    </row>
    <row r="413" spans="1:17" ht="13.2">
      <c r="A413" s="79"/>
      <c r="B413" s="79"/>
      <c r="C413" s="79"/>
      <c r="D413" s="79"/>
      <c r="E413" s="79"/>
      <c r="F413" s="79"/>
      <c r="G413" s="79"/>
      <c r="H413" s="79"/>
      <c r="I413" s="79"/>
      <c r="J413" s="79"/>
      <c r="K413" s="79"/>
      <c r="L413" s="79"/>
      <c r="M413" s="79"/>
      <c r="N413" s="79"/>
      <c r="O413" s="79"/>
      <c r="P413" s="79"/>
      <c r="Q413" s="79"/>
    </row>
    <row r="414" spans="1:17" ht="13.2">
      <c r="A414" s="79"/>
      <c r="B414" s="79"/>
      <c r="C414" s="79"/>
      <c r="D414" s="79"/>
      <c r="E414" s="79"/>
      <c r="F414" s="79"/>
      <c r="G414" s="79"/>
      <c r="H414" s="79"/>
      <c r="I414" s="79"/>
      <c r="J414" s="79"/>
      <c r="K414" s="79"/>
      <c r="L414" s="79"/>
      <c r="M414" s="79"/>
      <c r="N414" s="79"/>
      <c r="O414" s="79"/>
      <c r="P414" s="79"/>
      <c r="Q414" s="79"/>
    </row>
    <row r="415" spans="1:17" ht="13.2">
      <c r="A415" s="79"/>
      <c r="B415" s="79"/>
      <c r="C415" s="79"/>
      <c r="D415" s="79"/>
      <c r="E415" s="79"/>
      <c r="F415" s="79"/>
      <c r="G415" s="79"/>
      <c r="H415" s="79"/>
      <c r="I415" s="79"/>
      <c r="J415" s="79"/>
      <c r="K415" s="79"/>
      <c r="L415" s="79"/>
      <c r="M415" s="79"/>
      <c r="N415" s="79"/>
      <c r="O415" s="79"/>
      <c r="P415" s="79"/>
      <c r="Q415" s="79"/>
    </row>
    <row r="416" spans="1:17" ht="13.2">
      <c r="A416" s="79"/>
      <c r="B416" s="79"/>
      <c r="C416" s="79"/>
      <c r="D416" s="79"/>
      <c r="E416" s="79"/>
      <c r="F416" s="79"/>
      <c r="G416" s="79"/>
      <c r="H416" s="79"/>
      <c r="I416" s="79"/>
      <c r="J416" s="79"/>
      <c r="K416" s="79"/>
      <c r="L416" s="79"/>
      <c r="M416" s="79"/>
      <c r="N416" s="79"/>
      <c r="O416" s="79"/>
      <c r="P416" s="79"/>
      <c r="Q416" s="79"/>
    </row>
    <row r="417" spans="1:17" ht="13.2">
      <c r="A417" s="79"/>
      <c r="B417" s="79"/>
      <c r="C417" s="79"/>
      <c r="D417" s="79"/>
      <c r="E417" s="79"/>
      <c r="F417" s="79"/>
      <c r="G417" s="79"/>
      <c r="H417" s="79"/>
      <c r="I417" s="79"/>
      <c r="J417" s="79"/>
      <c r="K417" s="79"/>
      <c r="L417" s="79"/>
      <c r="M417" s="79"/>
      <c r="N417" s="79"/>
      <c r="O417" s="79"/>
      <c r="P417" s="79"/>
      <c r="Q417" s="79"/>
    </row>
    <row r="418" spans="1:17" ht="13.2">
      <c r="A418" s="79"/>
      <c r="B418" s="79"/>
      <c r="C418" s="79"/>
      <c r="D418" s="79"/>
      <c r="E418" s="79"/>
      <c r="F418" s="79"/>
      <c r="G418" s="79"/>
      <c r="H418" s="79"/>
      <c r="I418" s="79"/>
      <c r="J418" s="79"/>
      <c r="K418" s="79"/>
      <c r="L418" s="79"/>
      <c r="M418" s="79"/>
      <c r="N418" s="79"/>
      <c r="O418" s="79"/>
      <c r="P418" s="79"/>
      <c r="Q418" s="79"/>
    </row>
    <row r="419" spans="1:17" ht="13.2">
      <c r="A419" s="79"/>
      <c r="B419" s="79"/>
      <c r="C419" s="79"/>
      <c r="D419" s="79"/>
      <c r="E419" s="79"/>
      <c r="F419" s="79"/>
      <c r="G419" s="79"/>
      <c r="H419" s="79"/>
      <c r="I419" s="79"/>
      <c r="J419" s="79"/>
      <c r="K419" s="79"/>
      <c r="L419" s="79"/>
      <c r="M419" s="79"/>
      <c r="N419" s="79"/>
      <c r="O419" s="79"/>
      <c r="P419" s="79"/>
      <c r="Q419" s="79"/>
    </row>
    <row r="420" spans="1:17" ht="13.2">
      <c r="A420" s="79"/>
      <c r="B420" s="79"/>
      <c r="C420" s="79"/>
      <c r="D420" s="79"/>
      <c r="E420" s="79"/>
      <c r="F420" s="79"/>
      <c r="G420" s="79"/>
      <c r="H420" s="79"/>
      <c r="I420" s="79"/>
      <c r="J420" s="79"/>
      <c r="K420" s="79"/>
      <c r="L420" s="79"/>
      <c r="M420" s="79"/>
      <c r="N420" s="79"/>
      <c r="O420" s="79"/>
      <c r="P420" s="79"/>
      <c r="Q420" s="79"/>
    </row>
    <row r="421" spans="1:17" ht="13.2">
      <c r="A421" s="79"/>
      <c r="B421" s="79"/>
      <c r="C421" s="79"/>
      <c r="D421" s="79"/>
      <c r="E421" s="79"/>
      <c r="F421" s="79"/>
      <c r="G421" s="79"/>
      <c r="H421" s="79"/>
      <c r="I421" s="79"/>
      <c r="J421" s="79"/>
      <c r="K421" s="79"/>
      <c r="L421" s="79"/>
      <c r="M421" s="79"/>
      <c r="N421" s="79"/>
      <c r="O421" s="79"/>
      <c r="P421" s="79"/>
      <c r="Q421" s="79"/>
    </row>
    <row r="422" spans="1:17" ht="13.2">
      <c r="A422" s="79"/>
      <c r="B422" s="79"/>
      <c r="C422" s="79"/>
      <c r="D422" s="79"/>
      <c r="E422" s="79"/>
      <c r="F422" s="79"/>
      <c r="G422" s="79"/>
      <c r="H422" s="79"/>
      <c r="I422" s="79"/>
      <c r="J422" s="79"/>
      <c r="K422" s="79"/>
      <c r="L422" s="79"/>
      <c r="M422" s="79"/>
      <c r="N422" s="79"/>
      <c r="O422" s="79"/>
      <c r="P422" s="79"/>
      <c r="Q422" s="79"/>
    </row>
    <row r="423" spans="1:17" ht="13.2">
      <c r="A423" s="79"/>
      <c r="B423" s="79"/>
      <c r="C423" s="79"/>
      <c r="D423" s="79"/>
      <c r="E423" s="79"/>
      <c r="F423" s="79"/>
      <c r="G423" s="79"/>
      <c r="H423" s="79"/>
      <c r="I423" s="79"/>
      <c r="J423" s="79"/>
      <c r="K423" s="79"/>
      <c r="L423" s="79"/>
      <c r="M423" s="79"/>
      <c r="N423" s="79"/>
      <c r="O423" s="79"/>
      <c r="P423" s="79"/>
      <c r="Q423" s="79"/>
    </row>
    <row r="424" spans="1:17" ht="13.2">
      <c r="A424" s="79"/>
      <c r="B424" s="79"/>
      <c r="C424" s="79"/>
      <c r="D424" s="79"/>
      <c r="E424" s="79"/>
      <c r="F424" s="79"/>
      <c r="G424" s="79"/>
      <c r="H424" s="79"/>
      <c r="I424" s="79"/>
      <c r="J424" s="79"/>
      <c r="K424" s="79"/>
      <c r="L424" s="79"/>
      <c r="M424" s="79"/>
      <c r="N424" s="79"/>
      <c r="O424" s="79"/>
      <c r="P424" s="79"/>
      <c r="Q424" s="79"/>
    </row>
    <row r="425" spans="1:17" ht="13.2">
      <c r="A425" s="79"/>
      <c r="B425" s="79"/>
      <c r="C425" s="79"/>
      <c r="D425" s="79"/>
      <c r="E425" s="79"/>
      <c r="F425" s="79"/>
      <c r="G425" s="79"/>
      <c r="H425" s="79"/>
      <c r="I425" s="79"/>
      <c r="J425" s="79"/>
      <c r="K425" s="79"/>
      <c r="L425" s="79"/>
      <c r="M425" s="79"/>
      <c r="N425" s="79"/>
      <c r="O425" s="79"/>
      <c r="P425" s="79"/>
      <c r="Q425" s="79"/>
    </row>
    <row r="426" spans="1:17" ht="13.2">
      <c r="A426" s="79"/>
      <c r="B426" s="79"/>
      <c r="C426" s="79"/>
      <c r="D426" s="79"/>
      <c r="E426" s="79"/>
      <c r="F426" s="79"/>
      <c r="G426" s="79"/>
      <c r="H426" s="79"/>
      <c r="I426" s="79"/>
      <c r="J426" s="79"/>
      <c r="K426" s="79"/>
      <c r="L426" s="79"/>
      <c r="M426" s="79"/>
      <c r="N426" s="79"/>
      <c r="O426" s="79"/>
      <c r="P426" s="79"/>
      <c r="Q426" s="79"/>
    </row>
    <row r="427" spans="1:17" ht="13.2">
      <c r="A427" s="79"/>
      <c r="B427" s="79"/>
      <c r="C427" s="79"/>
      <c r="D427" s="79"/>
      <c r="E427" s="79"/>
      <c r="F427" s="79"/>
      <c r="G427" s="79"/>
      <c r="H427" s="79"/>
      <c r="I427" s="79"/>
      <c r="J427" s="79"/>
      <c r="K427" s="79"/>
      <c r="L427" s="79"/>
      <c r="M427" s="79"/>
      <c r="N427" s="79"/>
      <c r="O427" s="79"/>
      <c r="P427" s="79"/>
      <c r="Q427" s="79"/>
    </row>
    <row r="428" spans="1:17" ht="13.2">
      <c r="A428" s="79"/>
      <c r="B428" s="79"/>
      <c r="C428" s="79"/>
      <c r="D428" s="79"/>
      <c r="E428" s="79"/>
      <c r="F428" s="79"/>
      <c r="G428" s="79"/>
      <c r="H428" s="79"/>
      <c r="I428" s="79"/>
      <c r="J428" s="79"/>
      <c r="K428" s="79"/>
      <c r="L428" s="79"/>
      <c r="M428" s="79"/>
      <c r="N428" s="79"/>
      <c r="O428" s="79"/>
      <c r="P428" s="79"/>
      <c r="Q428" s="79"/>
    </row>
    <row r="429" spans="1:17" ht="13.2">
      <c r="A429" s="79"/>
      <c r="B429" s="79"/>
      <c r="C429" s="79"/>
      <c r="D429" s="79"/>
      <c r="E429" s="79"/>
      <c r="F429" s="79"/>
      <c r="G429" s="79"/>
      <c r="H429" s="79"/>
      <c r="I429" s="79"/>
      <c r="J429" s="79"/>
      <c r="K429" s="79"/>
      <c r="L429" s="79"/>
      <c r="M429" s="79"/>
      <c r="N429" s="79"/>
      <c r="O429" s="79"/>
      <c r="P429" s="79"/>
      <c r="Q429" s="79"/>
    </row>
    <row r="430" spans="1:17" ht="13.2">
      <c r="A430" s="79"/>
      <c r="B430" s="79"/>
      <c r="C430" s="79"/>
      <c r="D430" s="79"/>
      <c r="E430" s="79"/>
      <c r="F430" s="79"/>
      <c r="G430" s="79"/>
      <c r="H430" s="79"/>
      <c r="I430" s="79"/>
      <c r="J430" s="79"/>
      <c r="K430" s="79"/>
      <c r="L430" s="79"/>
      <c r="M430" s="79"/>
      <c r="N430" s="79"/>
      <c r="O430" s="79"/>
      <c r="P430" s="79"/>
      <c r="Q430" s="79"/>
    </row>
    <row r="431" spans="1:17" ht="13.2">
      <c r="A431" s="79"/>
      <c r="B431" s="79"/>
      <c r="C431" s="79"/>
      <c r="D431" s="79"/>
      <c r="E431" s="79"/>
      <c r="F431" s="79"/>
      <c r="G431" s="79"/>
      <c r="H431" s="79"/>
      <c r="I431" s="79"/>
      <c r="J431" s="79"/>
      <c r="K431" s="79"/>
      <c r="L431" s="79"/>
      <c r="M431" s="79"/>
      <c r="N431" s="79"/>
      <c r="O431" s="79"/>
      <c r="P431" s="79"/>
      <c r="Q431" s="79"/>
    </row>
    <row r="432" spans="1:17" ht="13.2">
      <c r="A432" s="79"/>
      <c r="B432" s="79"/>
      <c r="C432" s="79"/>
      <c r="D432" s="79"/>
      <c r="E432" s="79"/>
      <c r="F432" s="79"/>
      <c r="G432" s="79"/>
      <c r="H432" s="79"/>
      <c r="I432" s="79"/>
      <c r="J432" s="79"/>
      <c r="K432" s="79"/>
      <c r="L432" s="79"/>
      <c r="M432" s="79"/>
      <c r="N432" s="79"/>
      <c r="O432" s="79"/>
      <c r="P432" s="79"/>
      <c r="Q432" s="79"/>
    </row>
    <row r="433" spans="1:17" ht="13.2">
      <c r="A433" s="79"/>
      <c r="B433" s="79"/>
      <c r="C433" s="79"/>
      <c r="D433" s="79"/>
      <c r="E433" s="79"/>
      <c r="F433" s="79"/>
      <c r="G433" s="79"/>
      <c r="H433" s="79"/>
      <c r="I433" s="79"/>
      <c r="J433" s="79"/>
      <c r="K433" s="79"/>
      <c r="L433" s="79"/>
      <c r="M433" s="79"/>
      <c r="N433" s="79"/>
      <c r="O433" s="79"/>
      <c r="P433" s="79"/>
      <c r="Q433" s="79"/>
    </row>
    <row r="434" spans="1:17" ht="13.2">
      <c r="A434" s="79"/>
      <c r="B434" s="79"/>
      <c r="C434" s="79"/>
      <c r="D434" s="79"/>
      <c r="E434" s="79"/>
      <c r="F434" s="79"/>
      <c r="G434" s="79"/>
      <c r="H434" s="79"/>
      <c r="I434" s="79"/>
      <c r="J434" s="79"/>
      <c r="K434" s="79"/>
      <c r="L434" s="79"/>
      <c r="M434" s="79"/>
      <c r="N434" s="79"/>
      <c r="O434" s="79"/>
      <c r="P434" s="79"/>
      <c r="Q434" s="79"/>
    </row>
    <row r="435" spans="1:17" ht="13.2">
      <c r="A435" s="79"/>
      <c r="B435" s="79"/>
      <c r="C435" s="79"/>
      <c r="D435" s="79"/>
      <c r="E435" s="79"/>
      <c r="F435" s="79"/>
      <c r="G435" s="79"/>
      <c r="H435" s="79"/>
      <c r="I435" s="79"/>
      <c r="J435" s="79"/>
      <c r="K435" s="79"/>
      <c r="L435" s="79"/>
      <c r="M435" s="79"/>
      <c r="N435" s="79"/>
      <c r="O435" s="79"/>
      <c r="P435" s="79"/>
      <c r="Q435" s="79"/>
    </row>
    <row r="436" spans="1:17" ht="13.2">
      <c r="A436" s="79"/>
      <c r="B436" s="79"/>
      <c r="C436" s="79"/>
      <c r="D436" s="79"/>
      <c r="E436" s="79"/>
      <c r="F436" s="79"/>
      <c r="G436" s="79"/>
      <c r="H436" s="79"/>
      <c r="I436" s="79"/>
      <c r="J436" s="79"/>
      <c r="K436" s="79"/>
      <c r="L436" s="79"/>
      <c r="M436" s="79"/>
      <c r="N436" s="79"/>
      <c r="O436" s="79"/>
      <c r="P436" s="79"/>
      <c r="Q436" s="79"/>
    </row>
    <row r="437" spans="1:17" ht="13.2">
      <c r="A437" s="79"/>
      <c r="B437" s="79"/>
      <c r="C437" s="79"/>
      <c r="D437" s="79"/>
      <c r="E437" s="79"/>
      <c r="F437" s="79"/>
      <c r="G437" s="79"/>
      <c r="H437" s="79"/>
      <c r="I437" s="79"/>
      <c r="J437" s="79"/>
      <c r="K437" s="79"/>
      <c r="L437" s="79"/>
      <c r="M437" s="79"/>
      <c r="N437" s="79"/>
      <c r="O437" s="79"/>
      <c r="P437" s="79"/>
      <c r="Q437" s="79"/>
    </row>
    <row r="438" spans="1:17" ht="13.2">
      <c r="A438" s="79"/>
      <c r="B438" s="79"/>
      <c r="C438" s="79"/>
      <c r="D438" s="79"/>
      <c r="E438" s="79"/>
      <c r="F438" s="79"/>
      <c r="G438" s="79"/>
      <c r="H438" s="79"/>
      <c r="I438" s="79"/>
      <c r="J438" s="79"/>
      <c r="K438" s="79"/>
      <c r="L438" s="79"/>
      <c r="M438" s="79"/>
      <c r="N438" s="79"/>
      <c r="O438" s="79"/>
      <c r="P438" s="79"/>
      <c r="Q438" s="79"/>
    </row>
    <row r="439" spans="1:17" ht="13.2">
      <c r="A439" s="79"/>
      <c r="B439" s="79"/>
      <c r="C439" s="79"/>
      <c r="D439" s="79"/>
      <c r="E439" s="79"/>
      <c r="F439" s="79"/>
      <c r="G439" s="79"/>
      <c r="H439" s="79"/>
      <c r="I439" s="79"/>
      <c r="J439" s="79"/>
      <c r="K439" s="79"/>
      <c r="L439" s="79"/>
      <c r="M439" s="79"/>
      <c r="N439" s="79"/>
      <c r="O439" s="79"/>
      <c r="P439" s="79"/>
      <c r="Q439" s="79"/>
    </row>
    <row r="440" spans="1:17" ht="13.2">
      <c r="A440" s="79"/>
      <c r="B440" s="79"/>
      <c r="C440" s="79"/>
      <c r="D440" s="79"/>
      <c r="E440" s="79"/>
      <c r="F440" s="79"/>
      <c r="G440" s="79"/>
      <c r="H440" s="79"/>
      <c r="I440" s="79"/>
      <c r="J440" s="79"/>
      <c r="K440" s="79"/>
      <c r="L440" s="79"/>
      <c r="M440" s="79"/>
      <c r="N440" s="79"/>
      <c r="O440" s="79"/>
      <c r="P440" s="79"/>
      <c r="Q440" s="79"/>
    </row>
    <row r="441" spans="1:17" ht="13.2">
      <c r="A441" s="79"/>
      <c r="B441" s="79"/>
      <c r="C441" s="79"/>
      <c r="D441" s="79"/>
      <c r="E441" s="79"/>
      <c r="F441" s="79"/>
      <c r="G441" s="79"/>
      <c r="H441" s="79"/>
      <c r="I441" s="79"/>
      <c r="J441" s="79"/>
      <c r="K441" s="79"/>
      <c r="L441" s="79"/>
      <c r="M441" s="79"/>
      <c r="N441" s="79"/>
      <c r="O441" s="79"/>
      <c r="P441" s="79"/>
      <c r="Q441" s="79"/>
    </row>
    <row r="442" spans="1:17" ht="13.2">
      <c r="A442" s="79"/>
      <c r="B442" s="79"/>
      <c r="C442" s="79"/>
      <c r="D442" s="79"/>
      <c r="E442" s="79"/>
      <c r="F442" s="79"/>
      <c r="G442" s="79"/>
      <c r="H442" s="79"/>
      <c r="I442" s="79"/>
      <c r="J442" s="79"/>
      <c r="K442" s="79"/>
      <c r="L442" s="79"/>
      <c r="M442" s="79"/>
      <c r="N442" s="79"/>
      <c r="O442" s="79"/>
      <c r="P442" s="79"/>
      <c r="Q442" s="79"/>
    </row>
    <row r="443" spans="1:17" ht="13.2">
      <c r="A443" s="79"/>
      <c r="B443" s="79"/>
      <c r="C443" s="79"/>
      <c r="D443" s="79"/>
      <c r="E443" s="79"/>
      <c r="F443" s="79"/>
      <c r="G443" s="79"/>
      <c r="H443" s="79"/>
      <c r="I443" s="79"/>
      <c r="J443" s="79"/>
      <c r="K443" s="79"/>
      <c r="L443" s="79"/>
      <c r="M443" s="79"/>
      <c r="N443" s="79"/>
      <c r="O443" s="79"/>
      <c r="P443" s="79"/>
      <c r="Q443" s="79"/>
    </row>
    <row r="444" spans="1:17" ht="13.2">
      <c r="A444" s="79"/>
      <c r="B444" s="79"/>
      <c r="C444" s="79"/>
      <c r="D444" s="79"/>
      <c r="E444" s="79"/>
      <c r="F444" s="79"/>
      <c r="G444" s="79"/>
      <c r="H444" s="79"/>
      <c r="I444" s="79"/>
      <c r="J444" s="79"/>
      <c r="K444" s="79"/>
      <c r="L444" s="79"/>
      <c r="M444" s="79"/>
      <c r="N444" s="79"/>
      <c r="O444" s="79"/>
      <c r="P444" s="79"/>
      <c r="Q444" s="79"/>
    </row>
    <row r="445" spans="1:17" ht="13.2">
      <c r="A445" s="79"/>
      <c r="B445" s="79"/>
      <c r="C445" s="79"/>
      <c r="D445" s="79"/>
      <c r="E445" s="79"/>
      <c r="F445" s="79"/>
      <c r="G445" s="79"/>
      <c r="H445" s="79"/>
      <c r="I445" s="79"/>
      <c r="J445" s="79"/>
      <c r="K445" s="79"/>
      <c r="L445" s="79"/>
      <c r="M445" s="79"/>
      <c r="N445" s="79"/>
      <c r="O445" s="79"/>
      <c r="P445" s="79"/>
      <c r="Q445" s="79"/>
    </row>
    <row r="446" spans="1:17" ht="13.2">
      <c r="A446" s="79"/>
      <c r="B446" s="79"/>
      <c r="C446" s="79"/>
      <c r="D446" s="79"/>
      <c r="E446" s="79"/>
      <c r="F446" s="79"/>
      <c r="G446" s="79"/>
      <c r="H446" s="79"/>
      <c r="I446" s="79"/>
      <c r="J446" s="79"/>
      <c r="K446" s="79"/>
      <c r="L446" s="79"/>
      <c r="M446" s="79"/>
      <c r="N446" s="79"/>
      <c r="O446" s="79"/>
      <c r="P446" s="79"/>
      <c r="Q446" s="79"/>
    </row>
    <row r="447" spans="1:17" ht="13.2">
      <c r="A447" s="79"/>
      <c r="B447" s="79"/>
      <c r="C447" s="79"/>
      <c r="D447" s="79"/>
      <c r="E447" s="79"/>
      <c r="F447" s="79"/>
      <c r="G447" s="79"/>
      <c r="H447" s="79"/>
      <c r="I447" s="79"/>
      <c r="J447" s="79"/>
      <c r="K447" s="79"/>
      <c r="L447" s="79"/>
      <c r="M447" s="79"/>
      <c r="N447" s="79"/>
      <c r="O447" s="79"/>
      <c r="P447" s="79"/>
      <c r="Q447" s="79"/>
    </row>
    <row r="448" spans="1:17" ht="13.2">
      <c r="A448" s="79"/>
      <c r="B448" s="79"/>
      <c r="C448" s="79"/>
      <c r="D448" s="79"/>
      <c r="E448" s="79"/>
      <c r="F448" s="79"/>
      <c r="G448" s="79"/>
      <c r="H448" s="79"/>
      <c r="I448" s="79"/>
      <c r="J448" s="79"/>
      <c r="K448" s="79"/>
      <c r="L448" s="79"/>
      <c r="M448" s="79"/>
      <c r="N448" s="79"/>
      <c r="O448" s="79"/>
      <c r="P448" s="79"/>
      <c r="Q448" s="79"/>
    </row>
    <row r="449" spans="1:17" ht="13.2">
      <c r="A449" s="79"/>
      <c r="B449" s="79"/>
      <c r="C449" s="79"/>
      <c r="D449" s="79"/>
      <c r="E449" s="79"/>
      <c r="F449" s="79"/>
      <c r="G449" s="79"/>
      <c r="H449" s="79"/>
      <c r="I449" s="79"/>
      <c r="J449" s="79"/>
      <c r="K449" s="79"/>
      <c r="L449" s="79"/>
      <c r="M449" s="79"/>
      <c r="N449" s="79"/>
      <c r="O449" s="79"/>
      <c r="P449" s="79"/>
      <c r="Q449" s="79"/>
    </row>
    <row r="450" spans="1:17" ht="13.2">
      <c r="A450" s="79"/>
      <c r="B450" s="79"/>
      <c r="C450" s="79"/>
      <c r="D450" s="79"/>
      <c r="E450" s="79"/>
      <c r="F450" s="79"/>
      <c r="G450" s="79"/>
      <c r="H450" s="79"/>
      <c r="I450" s="79"/>
      <c r="J450" s="79"/>
      <c r="K450" s="79"/>
      <c r="L450" s="79"/>
      <c r="M450" s="79"/>
      <c r="N450" s="79"/>
      <c r="O450" s="79"/>
      <c r="P450" s="79"/>
      <c r="Q450" s="79"/>
    </row>
    <row r="451" spans="1:17" ht="13.2">
      <c r="A451" s="79"/>
      <c r="B451" s="79"/>
      <c r="C451" s="79"/>
      <c r="D451" s="79"/>
      <c r="E451" s="79"/>
      <c r="F451" s="79"/>
      <c r="G451" s="79"/>
      <c r="H451" s="79"/>
      <c r="I451" s="79"/>
      <c r="J451" s="79"/>
      <c r="K451" s="79"/>
      <c r="L451" s="79"/>
      <c r="M451" s="79"/>
      <c r="N451" s="79"/>
      <c r="O451" s="79"/>
      <c r="P451" s="79"/>
      <c r="Q451" s="79"/>
    </row>
    <row r="452" spans="1:17" ht="13.2">
      <c r="A452" s="79"/>
      <c r="B452" s="79"/>
      <c r="C452" s="79"/>
      <c r="D452" s="79"/>
      <c r="E452" s="79"/>
      <c r="F452" s="79"/>
      <c r="G452" s="79"/>
      <c r="H452" s="79"/>
      <c r="I452" s="79"/>
      <c r="J452" s="79"/>
      <c r="K452" s="79"/>
      <c r="L452" s="79"/>
      <c r="M452" s="79"/>
      <c r="N452" s="79"/>
      <c r="O452" s="79"/>
      <c r="P452" s="79"/>
      <c r="Q452" s="79"/>
    </row>
    <row r="453" spans="1:17" ht="13.2">
      <c r="A453" s="79"/>
      <c r="B453" s="79"/>
      <c r="C453" s="79"/>
      <c r="D453" s="79"/>
      <c r="E453" s="79"/>
      <c r="F453" s="79"/>
      <c r="G453" s="79"/>
      <c r="H453" s="79"/>
      <c r="I453" s="79"/>
      <c r="J453" s="79"/>
      <c r="K453" s="79"/>
      <c r="L453" s="79"/>
      <c r="M453" s="79"/>
      <c r="N453" s="79"/>
      <c r="O453" s="79"/>
      <c r="P453" s="79"/>
      <c r="Q453" s="79"/>
    </row>
    <row r="454" spans="1:17" ht="13.2">
      <c r="A454" s="79"/>
      <c r="B454" s="79"/>
      <c r="C454" s="79"/>
      <c r="D454" s="79"/>
      <c r="E454" s="79"/>
      <c r="F454" s="79"/>
      <c r="G454" s="79"/>
      <c r="H454" s="79"/>
      <c r="I454" s="79"/>
      <c r="J454" s="79"/>
      <c r="K454" s="79"/>
      <c r="L454" s="79"/>
      <c r="M454" s="79"/>
      <c r="N454" s="79"/>
      <c r="O454" s="79"/>
      <c r="P454" s="79"/>
      <c r="Q454" s="79"/>
    </row>
    <row r="455" spans="1:17" ht="13.2">
      <c r="A455" s="79"/>
      <c r="B455" s="79"/>
      <c r="C455" s="79"/>
      <c r="D455" s="79"/>
      <c r="E455" s="79"/>
      <c r="F455" s="79"/>
      <c r="G455" s="79"/>
      <c r="H455" s="79"/>
      <c r="I455" s="79"/>
      <c r="J455" s="79"/>
      <c r="K455" s="79"/>
      <c r="L455" s="79"/>
      <c r="M455" s="79"/>
      <c r="N455" s="79"/>
      <c r="O455" s="79"/>
      <c r="P455" s="79"/>
      <c r="Q455" s="79"/>
    </row>
    <row r="456" spans="1:17" ht="13.2">
      <c r="A456" s="79"/>
      <c r="B456" s="79"/>
      <c r="C456" s="79"/>
      <c r="D456" s="79"/>
      <c r="E456" s="79"/>
      <c r="F456" s="79"/>
      <c r="G456" s="79"/>
      <c r="H456" s="79"/>
      <c r="I456" s="79"/>
      <c r="J456" s="79"/>
      <c r="K456" s="79"/>
      <c r="L456" s="79"/>
      <c r="M456" s="79"/>
      <c r="N456" s="79"/>
      <c r="O456" s="79"/>
      <c r="P456" s="79"/>
      <c r="Q456" s="79"/>
    </row>
    <row r="457" spans="1:17" ht="13.2">
      <c r="A457" s="79"/>
      <c r="B457" s="79"/>
      <c r="C457" s="79"/>
      <c r="D457" s="79"/>
      <c r="E457" s="79"/>
      <c r="F457" s="79"/>
      <c r="G457" s="79"/>
      <c r="H457" s="79"/>
      <c r="I457" s="79"/>
      <c r="J457" s="79"/>
      <c r="K457" s="79"/>
      <c r="L457" s="79"/>
      <c r="M457" s="79"/>
      <c r="N457" s="79"/>
      <c r="O457" s="79"/>
      <c r="P457" s="79"/>
      <c r="Q457" s="79"/>
    </row>
    <row r="458" spans="1:17" ht="13.2">
      <c r="A458" s="79"/>
      <c r="B458" s="79"/>
      <c r="C458" s="79"/>
      <c r="D458" s="79"/>
      <c r="E458" s="79"/>
      <c r="F458" s="79"/>
      <c r="G458" s="79"/>
      <c r="H458" s="79"/>
      <c r="I458" s="79"/>
      <c r="J458" s="79"/>
      <c r="K458" s="79"/>
      <c r="L458" s="79"/>
      <c r="M458" s="79"/>
      <c r="N458" s="79"/>
      <c r="O458" s="79"/>
      <c r="P458" s="79"/>
      <c r="Q458" s="79"/>
    </row>
    <row r="459" spans="1:17" ht="13.2">
      <c r="A459" s="79"/>
      <c r="B459" s="79"/>
      <c r="C459" s="79"/>
      <c r="D459" s="79"/>
      <c r="E459" s="79"/>
      <c r="F459" s="79"/>
      <c r="G459" s="79"/>
      <c r="H459" s="79"/>
      <c r="I459" s="79"/>
      <c r="J459" s="79"/>
      <c r="K459" s="79"/>
      <c r="L459" s="79"/>
      <c r="M459" s="79"/>
      <c r="N459" s="79"/>
      <c r="O459" s="79"/>
      <c r="P459" s="79"/>
      <c r="Q459" s="79"/>
    </row>
    <row r="460" spans="1:17" ht="13.2">
      <c r="A460" s="79"/>
      <c r="B460" s="79"/>
      <c r="C460" s="79"/>
      <c r="D460" s="79"/>
      <c r="E460" s="79"/>
      <c r="F460" s="79"/>
      <c r="G460" s="79"/>
      <c r="H460" s="79"/>
      <c r="I460" s="79"/>
      <c r="J460" s="79"/>
      <c r="K460" s="79"/>
      <c r="L460" s="79"/>
      <c r="M460" s="79"/>
      <c r="N460" s="79"/>
      <c r="O460" s="79"/>
      <c r="P460" s="79"/>
      <c r="Q460" s="79"/>
    </row>
    <row r="461" spans="1:17" ht="13.2">
      <c r="A461" s="79"/>
      <c r="B461" s="79"/>
      <c r="C461" s="79"/>
      <c r="D461" s="79"/>
      <c r="E461" s="79"/>
      <c r="F461" s="79"/>
      <c r="G461" s="79"/>
      <c r="H461" s="79"/>
      <c r="I461" s="79"/>
      <c r="J461" s="79"/>
      <c r="K461" s="79"/>
      <c r="L461" s="79"/>
      <c r="M461" s="79"/>
      <c r="N461" s="79"/>
      <c r="O461" s="79"/>
      <c r="P461" s="79"/>
      <c r="Q461" s="79"/>
    </row>
    <row r="462" spans="1:17" ht="13.2">
      <c r="A462" s="79"/>
      <c r="B462" s="79"/>
      <c r="C462" s="79"/>
      <c r="D462" s="79"/>
      <c r="E462" s="79"/>
      <c r="F462" s="79"/>
      <c r="G462" s="79"/>
      <c r="H462" s="79"/>
      <c r="I462" s="79"/>
      <c r="J462" s="79"/>
      <c r="K462" s="79"/>
      <c r="L462" s="79"/>
      <c r="M462" s="79"/>
      <c r="N462" s="79"/>
      <c r="O462" s="79"/>
      <c r="P462" s="79"/>
      <c r="Q462" s="79"/>
    </row>
    <row r="463" spans="1:17" ht="13.2">
      <c r="A463" s="79"/>
      <c r="B463" s="79"/>
      <c r="C463" s="79"/>
      <c r="D463" s="79"/>
      <c r="E463" s="79"/>
      <c r="F463" s="79"/>
      <c r="G463" s="79"/>
      <c r="H463" s="79"/>
      <c r="I463" s="79"/>
      <c r="J463" s="79"/>
      <c r="K463" s="79"/>
      <c r="L463" s="79"/>
      <c r="M463" s="79"/>
      <c r="N463" s="79"/>
      <c r="O463" s="79"/>
      <c r="P463" s="79"/>
      <c r="Q463" s="79"/>
    </row>
    <row r="464" spans="1:17" ht="13.2">
      <c r="A464" s="79"/>
      <c r="B464" s="79"/>
      <c r="C464" s="79"/>
      <c r="D464" s="79"/>
      <c r="E464" s="79"/>
      <c r="F464" s="79"/>
      <c r="G464" s="79"/>
      <c r="H464" s="79"/>
      <c r="I464" s="79"/>
      <c r="J464" s="79"/>
      <c r="K464" s="79"/>
      <c r="L464" s="79"/>
      <c r="M464" s="79"/>
      <c r="N464" s="79"/>
      <c r="O464" s="79"/>
      <c r="P464" s="79"/>
      <c r="Q464" s="79"/>
    </row>
    <row r="465" spans="1:17" ht="13.2">
      <c r="A465" s="79"/>
      <c r="B465" s="79"/>
      <c r="C465" s="79"/>
      <c r="D465" s="79"/>
      <c r="E465" s="79"/>
      <c r="F465" s="79"/>
      <c r="G465" s="79"/>
      <c r="H465" s="79"/>
      <c r="I465" s="79"/>
      <c r="J465" s="79"/>
      <c r="K465" s="79"/>
      <c r="L465" s="79"/>
      <c r="M465" s="79"/>
      <c r="N465" s="79"/>
      <c r="O465" s="79"/>
      <c r="P465" s="79"/>
      <c r="Q465" s="79"/>
    </row>
    <row r="466" spans="1:17" ht="13.2">
      <c r="A466" s="79"/>
      <c r="B466" s="79"/>
      <c r="C466" s="79"/>
      <c r="D466" s="79"/>
      <c r="E466" s="79"/>
      <c r="F466" s="79"/>
      <c r="G466" s="79"/>
      <c r="H466" s="79"/>
      <c r="I466" s="79"/>
      <c r="J466" s="79"/>
      <c r="K466" s="79"/>
      <c r="L466" s="79"/>
      <c r="M466" s="79"/>
      <c r="N466" s="79"/>
      <c r="O466" s="79"/>
      <c r="P466" s="79"/>
      <c r="Q466" s="79"/>
    </row>
    <row r="467" spans="1:17" ht="13.2">
      <c r="A467" s="79"/>
      <c r="B467" s="79"/>
      <c r="C467" s="79"/>
      <c r="D467" s="79"/>
      <c r="E467" s="79"/>
      <c r="F467" s="79"/>
      <c r="G467" s="79"/>
      <c r="H467" s="79"/>
      <c r="I467" s="79"/>
      <c r="J467" s="79"/>
      <c r="K467" s="79"/>
      <c r="L467" s="79"/>
      <c r="M467" s="79"/>
      <c r="N467" s="79"/>
      <c r="O467" s="79"/>
      <c r="P467" s="79"/>
      <c r="Q467" s="79"/>
    </row>
    <row r="468" spans="1:17" ht="13.2">
      <c r="A468" s="79"/>
      <c r="B468" s="79"/>
      <c r="C468" s="79"/>
      <c r="D468" s="79"/>
      <c r="E468" s="79"/>
      <c r="F468" s="79"/>
      <c r="G468" s="79"/>
      <c r="H468" s="79"/>
      <c r="I468" s="79"/>
      <c r="J468" s="79"/>
      <c r="K468" s="79"/>
      <c r="L468" s="79"/>
      <c r="M468" s="79"/>
      <c r="N468" s="79"/>
      <c r="O468" s="79"/>
      <c r="P468" s="79"/>
      <c r="Q468" s="79"/>
    </row>
    <row r="469" spans="1:17" ht="13.2">
      <c r="A469" s="79"/>
      <c r="B469" s="79"/>
      <c r="C469" s="79"/>
      <c r="D469" s="79"/>
      <c r="E469" s="79"/>
      <c r="F469" s="79"/>
      <c r="G469" s="79"/>
      <c r="H469" s="79"/>
      <c r="I469" s="79"/>
      <c r="J469" s="79"/>
      <c r="K469" s="79"/>
      <c r="L469" s="79"/>
      <c r="M469" s="79"/>
      <c r="N469" s="79"/>
      <c r="O469" s="79"/>
      <c r="P469" s="79"/>
      <c r="Q469" s="79"/>
    </row>
    <row r="470" spans="1:17" ht="13.2">
      <c r="A470" s="79"/>
      <c r="B470" s="79"/>
      <c r="C470" s="79"/>
      <c r="D470" s="79"/>
      <c r="E470" s="79"/>
      <c r="F470" s="79"/>
      <c r="G470" s="79"/>
      <c r="H470" s="79"/>
      <c r="I470" s="79"/>
      <c r="J470" s="79"/>
      <c r="K470" s="79"/>
      <c r="L470" s="79"/>
      <c r="M470" s="79"/>
      <c r="N470" s="79"/>
      <c r="O470" s="79"/>
      <c r="P470" s="79"/>
      <c r="Q470" s="79"/>
    </row>
    <row r="471" spans="1:17" ht="13.2">
      <c r="A471" s="79"/>
      <c r="B471" s="79"/>
      <c r="C471" s="79"/>
      <c r="D471" s="79"/>
      <c r="E471" s="79"/>
      <c r="F471" s="79"/>
      <c r="G471" s="79"/>
      <c r="H471" s="79"/>
      <c r="I471" s="79"/>
      <c r="J471" s="79"/>
      <c r="K471" s="79"/>
      <c r="L471" s="79"/>
      <c r="M471" s="79"/>
      <c r="N471" s="79"/>
      <c r="O471" s="79"/>
      <c r="P471" s="79"/>
      <c r="Q471" s="79"/>
    </row>
    <row r="472" spans="1:17" ht="13.2">
      <c r="A472" s="79"/>
      <c r="B472" s="79"/>
      <c r="C472" s="79"/>
      <c r="D472" s="79"/>
      <c r="E472" s="79"/>
      <c r="F472" s="79"/>
      <c r="G472" s="79"/>
      <c r="H472" s="79"/>
      <c r="I472" s="79"/>
      <c r="J472" s="79"/>
      <c r="K472" s="79"/>
      <c r="L472" s="79"/>
      <c r="M472" s="79"/>
      <c r="N472" s="79"/>
      <c r="O472" s="79"/>
      <c r="P472" s="79"/>
      <c r="Q472" s="79"/>
    </row>
    <row r="473" spans="1:17" ht="13.2">
      <c r="A473" s="79"/>
      <c r="B473" s="79"/>
      <c r="C473" s="79"/>
      <c r="D473" s="79"/>
      <c r="E473" s="79"/>
      <c r="F473" s="79"/>
      <c r="G473" s="79"/>
      <c r="H473" s="79"/>
      <c r="I473" s="79"/>
      <c r="J473" s="79"/>
      <c r="K473" s="79"/>
      <c r="L473" s="79"/>
      <c r="M473" s="79"/>
      <c r="N473" s="79"/>
      <c r="O473" s="79"/>
      <c r="P473" s="79"/>
      <c r="Q473" s="79"/>
    </row>
    <row r="474" spans="1:17" ht="13.2">
      <c r="A474" s="79"/>
      <c r="B474" s="79"/>
      <c r="C474" s="79"/>
      <c r="D474" s="79"/>
      <c r="E474" s="79"/>
      <c r="F474" s="79"/>
      <c r="G474" s="79"/>
      <c r="H474" s="79"/>
      <c r="I474" s="79"/>
      <c r="J474" s="79"/>
      <c r="K474" s="79"/>
      <c r="L474" s="79"/>
      <c r="M474" s="79"/>
      <c r="N474" s="79"/>
      <c r="O474" s="79"/>
      <c r="P474" s="79"/>
      <c r="Q474" s="79"/>
    </row>
    <row r="475" spans="1:17" ht="13.2">
      <c r="A475" s="79"/>
      <c r="B475" s="79"/>
      <c r="C475" s="79"/>
      <c r="D475" s="79"/>
      <c r="E475" s="79"/>
      <c r="F475" s="79"/>
      <c r="G475" s="79"/>
      <c r="H475" s="79"/>
      <c r="I475" s="79"/>
      <c r="J475" s="79"/>
      <c r="K475" s="79"/>
      <c r="L475" s="79"/>
      <c r="M475" s="79"/>
      <c r="N475" s="79"/>
      <c r="O475" s="79"/>
      <c r="P475" s="79"/>
      <c r="Q475" s="79"/>
    </row>
    <row r="476" spans="1:17" ht="13.2">
      <c r="A476" s="79"/>
      <c r="B476" s="79"/>
      <c r="C476" s="79"/>
      <c r="D476" s="79"/>
      <c r="E476" s="79"/>
      <c r="F476" s="79"/>
      <c r="G476" s="79"/>
      <c r="H476" s="79"/>
      <c r="I476" s="79"/>
      <c r="J476" s="79"/>
      <c r="K476" s="79"/>
      <c r="L476" s="79"/>
      <c r="M476" s="79"/>
      <c r="N476" s="79"/>
      <c r="O476" s="79"/>
      <c r="P476" s="79"/>
      <c r="Q476" s="79"/>
    </row>
    <row r="477" spans="1:17" ht="13.2">
      <c r="A477" s="79"/>
      <c r="B477" s="79"/>
      <c r="C477" s="79"/>
      <c r="D477" s="79"/>
      <c r="E477" s="79"/>
      <c r="F477" s="79"/>
      <c r="G477" s="79"/>
      <c r="H477" s="79"/>
      <c r="I477" s="79"/>
      <c r="J477" s="79"/>
      <c r="K477" s="79"/>
      <c r="L477" s="79"/>
      <c r="M477" s="79"/>
      <c r="N477" s="79"/>
      <c r="O477" s="79"/>
      <c r="P477" s="79"/>
      <c r="Q477" s="79"/>
    </row>
    <row r="478" spans="1:17" ht="13.2">
      <c r="A478" s="79"/>
      <c r="B478" s="79"/>
      <c r="C478" s="79"/>
      <c r="D478" s="79"/>
      <c r="E478" s="79"/>
      <c r="F478" s="79"/>
      <c r="G478" s="79"/>
      <c r="H478" s="79"/>
      <c r="I478" s="79"/>
      <c r="J478" s="79"/>
      <c r="K478" s="79"/>
      <c r="L478" s="79"/>
      <c r="M478" s="79"/>
      <c r="N478" s="79"/>
      <c r="O478" s="79"/>
      <c r="P478" s="79"/>
      <c r="Q478" s="79"/>
    </row>
    <row r="479" spans="1:17" ht="13.2">
      <c r="A479" s="79"/>
      <c r="B479" s="79"/>
      <c r="C479" s="79"/>
      <c r="D479" s="79"/>
      <c r="E479" s="79"/>
      <c r="F479" s="79"/>
      <c r="G479" s="79"/>
      <c r="H479" s="79"/>
      <c r="I479" s="79"/>
      <c r="J479" s="79"/>
      <c r="K479" s="79"/>
      <c r="L479" s="79"/>
      <c r="M479" s="79"/>
      <c r="N479" s="79"/>
      <c r="O479" s="79"/>
      <c r="P479" s="79"/>
      <c r="Q479" s="79"/>
    </row>
    <row r="480" spans="1:17" ht="13.2">
      <c r="A480" s="79"/>
      <c r="B480" s="79"/>
      <c r="C480" s="79"/>
      <c r="D480" s="79"/>
      <c r="E480" s="79"/>
      <c r="F480" s="79"/>
      <c r="G480" s="79"/>
      <c r="H480" s="79"/>
      <c r="I480" s="79"/>
      <c r="J480" s="79"/>
      <c r="K480" s="79"/>
      <c r="L480" s="79"/>
      <c r="M480" s="79"/>
      <c r="N480" s="79"/>
      <c r="O480" s="79"/>
      <c r="P480" s="79"/>
      <c r="Q480" s="79"/>
    </row>
    <row r="481" spans="1:17" ht="13.2">
      <c r="A481" s="79"/>
      <c r="B481" s="79"/>
      <c r="C481" s="79"/>
      <c r="D481" s="79"/>
      <c r="E481" s="79"/>
      <c r="F481" s="79"/>
      <c r="G481" s="79"/>
      <c r="H481" s="79"/>
      <c r="I481" s="79"/>
      <c r="J481" s="79"/>
      <c r="K481" s="79"/>
      <c r="L481" s="79"/>
      <c r="M481" s="79"/>
      <c r="N481" s="79"/>
      <c r="O481" s="79"/>
      <c r="P481" s="79"/>
      <c r="Q481" s="79"/>
    </row>
    <row r="482" spans="1:17" ht="13.2">
      <c r="A482" s="79"/>
      <c r="B482" s="79"/>
      <c r="C482" s="79"/>
      <c r="D482" s="79"/>
      <c r="E482" s="79"/>
      <c r="F482" s="79"/>
      <c r="G482" s="79"/>
      <c r="H482" s="79"/>
      <c r="I482" s="79"/>
      <c r="J482" s="79"/>
      <c r="K482" s="79"/>
      <c r="L482" s="79"/>
      <c r="M482" s="79"/>
      <c r="N482" s="79"/>
      <c r="O482" s="79"/>
      <c r="P482" s="79"/>
      <c r="Q482" s="79"/>
    </row>
    <row r="483" spans="1:17" ht="13.2">
      <c r="A483" s="79"/>
      <c r="B483" s="79"/>
      <c r="C483" s="79"/>
      <c r="D483" s="79"/>
      <c r="E483" s="79"/>
      <c r="F483" s="79"/>
      <c r="G483" s="79"/>
      <c r="H483" s="79"/>
      <c r="I483" s="79"/>
      <c r="J483" s="79"/>
      <c r="K483" s="79"/>
      <c r="L483" s="79"/>
      <c r="M483" s="79"/>
      <c r="N483" s="79"/>
      <c r="O483" s="79"/>
      <c r="P483" s="79"/>
      <c r="Q483" s="79"/>
    </row>
    <row r="484" spans="1:17" ht="13.2">
      <c r="A484" s="79"/>
      <c r="B484" s="79"/>
      <c r="C484" s="79"/>
      <c r="D484" s="79"/>
      <c r="E484" s="79"/>
      <c r="F484" s="79"/>
      <c r="G484" s="79"/>
      <c r="H484" s="79"/>
      <c r="I484" s="79"/>
      <c r="J484" s="79"/>
      <c r="K484" s="79"/>
      <c r="L484" s="79"/>
      <c r="M484" s="79"/>
      <c r="N484" s="79"/>
      <c r="O484" s="79"/>
      <c r="P484" s="79"/>
      <c r="Q484" s="79"/>
    </row>
    <row r="485" spans="1:17" ht="13.2">
      <c r="A485" s="79"/>
      <c r="B485" s="79"/>
      <c r="C485" s="79"/>
      <c r="D485" s="79"/>
      <c r="E485" s="79"/>
      <c r="F485" s="79"/>
      <c r="G485" s="79"/>
      <c r="H485" s="79"/>
      <c r="I485" s="79"/>
      <c r="J485" s="79"/>
      <c r="K485" s="79"/>
      <c r="L485" s="79"/>
      <c r="M485" s="79"/>
      <c r="N485" s="79"/>
      <c r="O485" s="79"/>
      <c r="P485" s="79"/>
      <c r="Q485" s="79"/>
    </row>
    <row r="486" spans="1:17" ht="13.2">
      <c r="A486" s="79"/>
      <c r="B486" s="79"/>
      <c r="C486" s="79"/>
      <c r="D486" s="79"/>
      <c r="E486" s="79"/>
      <c r="F486" s="79"/>
      <c r="G486" s="79"/>
      <c r="H486" s="79"/>
      <c r="I486" s="79"/>
      <c r="J486" s="79"/>
      <c r="K486" s="79"/>
      <c r="L486" s="79"/>
      <c r="M486" s="79"/>
      <c r="N486" s="79"/>
      <c r="O486" s="79"/>
      <c r="P486" s="79"/>
      <c r="Q486" s="79"/>
    </row>
    <row r="487" spans="1:17" ht="13.2">
      <c r="A487" s="79"/>
      <c r="B487" s="79"/>
      <c r="C487" s="79"/>
      <c r="D487" s="79"/>
      <c r="E487" s="79"/>
      <c r="F487" s="79"/>
      <c r="G487" s="79"/>
      <c r="H487" s="79"/>
      <c r="I487" s="79"/>
      <c r="J487" s="79"/>
      <c r="K487" s="79"/>
      <c r="L487" s="79"/>
      <c r="M487" s="79"/>
      <c r="N487" s="79"/>
      <c r="O487" s="79"/>
      <c r="P487" s="79"/>
      <c r="Q487" s="79"/>
    </row>
    <row r="488" spans="1:17" ht="13.2">
      <c r="A488" s="79"/>
      <c r="B488" s="79"/>
      <c r="C488" s="79"/>
      <c r="D488" s="79"/>
      <c r="E488" s="79"/>
      <c r="F488" s="79"/>
      <c r="G488" s="79"/>
      <c r="H488" s="79"/>
      <c r="I488" s="79"/>
      <c r="J488" s="79"/>
      <c r="K488" s="79"/>
      <c r="L488" s="79"/>
      <c r="M488" s="79"/>
      <c r="N488" s="79"/>
      <c r="O488" s="79"/>
      <c r="P488" s="79"/>
      <c r="Q488" s="79"/>
    </row>
    <row r="489" spans="1:17" ht="13.2">
      <c r="A489" s="79"/>
      <c r="B489" s="79"/>
      <c r="C489" s="79"/>
      <c r="D489" s="79"/>
      <c r="E489" s="79"/>
      <c r="F489" s="79"/>
      <c r="G489" s="79"/>
      <c r="H489" s="79"/>
      <c r="I489" s="79"/>
      <c r="J489" s="79"/>
      <c r="K489" s="79"/>
      <c r="L489" s="79"/>
      <c r="M489" s="79"/>
      <c r="N489" s="79"/>
      <c r="O489" s="79"/>
      <c r="P489" s="79"/>
      <c r="Q489" s="79"/>
    </row>
    <row r="490" spans="1:17" ht="13.2">
      <c r="A490" s="79"/>
      <c r="B490" s="79"/>
      <c r="C490" s="79"/>
      <c r="D490" s="79"/>
      <c r="E490" s="79"/>
      <c r="F490" s="79"/>
      <c r="G490" s="79"/>
      <c r="H490" s="79"/>
      <c r="I490" s="79"/>
      <c r="J490" s="79"/>
      <c r="K490" s="79"/>
      <c r="L490" s="79"/>
      <c r="M490" s="79"/>
      <c r="N490" s="79"/>
      <c r="O490" s="79"/>
      <c r="P490" s="79"/>
      <c r="Q490" s="79"/>
    </row>
    <row r="491" spans="1:17" ht="13.2">
      <c r="A491" s="79"/>
      <c r="B491" s="79"/>
      <c r="C491" s="79"/>
      <c r="D491" s="79"/>
      <c r="E491" s="79"/>
      <c r="F491" s="79"/>
      <c r="G491" s="79"/>
      <c r="H491" s="79"/>
      <c r="I491" s="79"/>
      <c r="J491" s="79"/>
      <c r="K491" s="79"/>
      <c r="L491" s="79"/>
      <c r="M491" s="79"/>
      <c r="N491" s="79"/>
      <c r="O491" s="79"/>
      <c r="P491" s="79"/>
      <c r="Q491" s="79"/>
    </row>
    <row r="492" spans="1:17" ht="13.2">
      <c r="A492" s="79"/>
      <c r="B492" s="79"/>
      <c r="C492" s="79"/>
      <c r="D492" s="79"/>
      <c r="E492" s="79"/>
      <c r="F492" s="79"/>
      <c r="G492" s="79"/>
      <c r="H492" s="79"/>
      <c r="I492" s="79"/>
      <c r="J492" s="79"/>
      <c r="K492" s="79"/>
      <c r="L492" s="79"/>
      <c r="M492" s="79"/>
      <c r="N492" s="79"/>
      <c r="O492" s="79"/>
      <c r="P492" s="79"/>
      <c r="Q492" s="79"/>
    </row>
    <row r="493" spans="1:17" ht="13.2">
      <c r="A493" s="79"/>
      <c r="B493" s="79"/>
      <c r="C493" s="79"/>
      <c r="D493" s="79"/>
      <c r="E493" s="79"/>
      <c r="F493" s="79"/>
      <c r="G493" s="79"/>
      <c r="H493" s="79"/>
      <c r="I493" s="79"/>
      <c r="J493" s="79"/>
      <c r="K493" s="79"/>
      <c r="L493" s="79"/>
      <c r="M493" s="79"/>
      <c r="N493" s="79"/>
      <c r="O493" s="79"/>
      <c r="P493" s="79"/>
      <c r="Q493" s="79"/>
    </row>
    <row r="494" spans="1:17" ht="13.2">
      <c r="A494" s="79"/>
      <c r="B494" s="79"/>
      <c r="C494" s="79"/>
      <c r="D494" s="79"/>
      <c r="E494" s="79"/>
      <c r="F494" s="79"/>
      <c r="G494" s="79"/>
      <c r="H494" s="79"/>
      <c r="I494" s="79"/>
      <c r="J494" s="79"/>
      <c r="K494" s="79"/>
      <c r="L494" s="79"/>
      <c r="M494" s="79"/>
      <c r="N494" s="79"/>
      <c r="O494" s="79"/>
      <c r="P494" s="79"/>
      <c r="Q494" s="79"/>
    </row>
    <row r="495" spans="1:17" ht="13.2">
      <c r="A495" s="79"/>
      <c r="B495" s="79"/>
      <c r="C495" s="79"/>
      <c r="D495" s="79"/>
      <c r="E495" s="79"/>
      <c r="F495" s="79"/>
      <c r="G495" s="79"/>
      <c r="H495" s="79"/>
      <c r="I495" s="79"/>
      <c r="J495" s="79"/>
      <c r="K495" s="79"/>
      <c r="L495" s="79"/>
      <c r="M495" s="79"/>
      <c r="N495" s="79"/>
      <c r="O495" s="79"/>
      <c r="P495" s="79"/>
      <c r="Q495" s="79"/>
    </row>
    <row r="496" spans="1:17" ht="13.2">
      <c r="A496" s="79"/>
      <c r="B496" s="79"/>
      <c r="C496" s="79"/>
      <c r="D496" s="79"/>
      <c r="E496" s="79"/>
      <c r="F496" s="79"/>
      <c r="G496" s="79"/>
      <c r="H496" s="79"/>
      <c r="I496" s="79"/>
      <c r="J496" s="79"/>
      <c r="K496" s="79"/>
      <c r="L496" s="79"/>
      <c r="M496" s="79"/>
      <c r="N496" s="79"/>
      <c r="O496" s="79"/>
      <c r="P496" s="79"/>
      <c r="Q496" s="79"/>
    </row>
    <row r="497" spans="1:17" ht="13.2">
      <c r="A497" s="79"/>
      <c r="B497" s="79"/>
      <c r="C497" s="79"/>
      <c r="D497" s="79"/>
      <c r="E497" s="79"/>
      <c r="F497" s="79"/>
      <c r="G497" s="79"/>
      <c r="H497" s="79"/>
      <c r="I497" s="79"/>
      <c r="J497" s="79"/>
      <c r="K497" s="79"/>
      <c r="L497" s="79"/>
      <c r="M497" s="79"/>
      <c r="N497" s="79"/>
      <c r="O497" s="79"/>
      <c r="P497" s="79"/>
      <c r="Q497" s="79"/>
    </row>
    <row r="498" spans="1:17" ht="13.2">
      <c r="A498" s="79"/>
      <c r="B498" s="79"/>
      <c r="C498" s="79"/>
      <c r="D498" s="79"/>
      <c r="E498" s="79"/>
      <c r="F498" s="79"/>
      <c r="G498" s="79"/>
      <c r="H498" s="79"/>
      <c r="I498" s="79"/>
      <c r="J498" s="79"/>
      <c r="K498" s="79"/>
      <c r="L498" s="79"/>
      <c r="M498" s="79"/>
      <c r="N498" s="79"/>
      <c r="O498" s="79"/>
      <c r="P498" s="79"/>
      <c r="Q498" s="79"/>
    </row>
    <row r="499" spans="1:17" ht="13.2">
      <c r="A499" s="79"/>
      <c r="B499" s="79"/>
      <c r="C499" s="79"/>
      <c r="D499" s="79"/>
      <c r="E499" s="79"/>
      <c r="F499" s="79"/>
      <c r="G499" s="79"/>
      <c r="H499" s="79"/>
      <c r="I499" s="79"/>
      <c r="J499" s="79"/>
      <c r="K499" s="79"/>
      <c r="L499" s="79"/>
      <c r="M499" s="79"/>
      <c r="N499" s="79"/>
      <c r="O499" s="79"/>
      <c r="P499" s="79"/>
      <c r="Q499" s="79"/>
    </row>
    <row r="500" spans="1:17" ht="13.2">
      <c r="A500" s="79"/>
      <c r="B500" s="79"/>
      <c r="C500" s="79"/>
      <c r="D500" s="79"/>
      <c r="E500" s="79"/>
      <c r="F500" s="79"/>
      <c r="G500" s="79"/>
      <c r="H500" s="79"/>
      <c r="I500" s="79"/>
      <c r="J500" s="79"/>
      <c r="K500" s="79"/>
      <c r="L500" s="79"/>
      <c r="M500" s="79"/>
      <c r="N500" s="79"/>
      <c r="O500" s="79"/>
      <c r="P500" s="79"/>
      <c r="Q500" s="79"/>
    </row>
    <row r="501" spans="1:17" ht="13.2">
      <c r="A501" s="79"/>
      <c r="B501" s="79"/>
      <c r="C501" s="79"/>
      <c r="D501" s="79"/>
      <c r="E501" s="79"/>
      <c r="F501" s="79"/>
      <c r="G501" s="79"/>
      <c r="H501" s="79"/>
      <c r="I501" s="79"/>
      <c r="J501" s="79"/>
      <c r="K501" s="79"/>
      <c r="L501" s="79"/>
      <c r="M501" s="79"/>
      <c r="N501" s="79"/>
      <c r="O501" s="79"/>
      <c r="P501" s="79"/>
      <c r="Q501" s="79"/>
    </row>
    <row r="502" spans="1:17" ht="13.2">
      <c r="A502" s="79"/>
      <c r="B502" s="79"/>
      <c r="C502" s="79"/>
      <c r="D502" s="79"/>
      <c r="E502" s="79"/>
      <c r="F502" s="79"/>
      <c r="G502" s="79"/>
      <c r="H502" s="79"/>
      <c r="I502" s="79"/>
      <c r="J502" s="79"/>
      <c r="K502" s="79"/>
      <c r="L502" s="79"/>
      <c r="M502" s="79"/>
      <c r="N502" s="79"/>
      <c r="O502" s="79"/>
      <c r="P502" s="79"/>
      <c r="Q502" s="79"/>
    </row>
    <row r="503" spans="1:17" ht="13.2">
      <c r="A503" s="79"/>
      <c r="B503" s="79"/>
      <c r="C503" s="79"/>
      <c r="D503" s="79"/>
      <c r="E503" s="79"/>
      <c r="F503" s="79"/>
      <c r="G503" s="79"/>
      <c r="H503" s="79"/>
      <c r="I503" s="79"/>
      <c r="J503" s="79"/>
      <c r="K503" s="79"/>
      <c r="L503" s="79"/>
      <c r="M503" s="79"/>
      <c r="N503" s="79"/>
      <c r="O503" s="79"/>
      <c r="P503" s="79"/>
      <c r="Q503" s="79"/>
    </row>
    <row r="504" spans="1:17" ht="13.2">
      <c r="A504" s="79"/>
      <c r="B504" s="79"/>
      <c r="C504" s="79"/>
      <c r="D504" s="79"/>
      <c r="E504" s="79"/>
      <c r="F504" s="79"/>
      <c r="G504" s="79"/>
      <c r="H504" s="79"/>
      <c r="I504" s="79"/>
      <c r="J504" s="79"/>
      <c r="K504" s="79"/>
      <c r="L504" s="79"/>
      <c r="M504" s="79"/>
      <c r="N504" s="79"/>
      <c r="O504" s="79"/>
      <c r="P504" s="79"/>
      <c r="Q504" s="79"/>
    </row>
    <row r="505" spans="1:17" ht="13.2">
      <c r="A505" s="79"/>
      <c r="B505" s="79"/>
      <c r="C505" s="79"/>
      <c r="D505" s="79"/>
      <c r="E505" s="79"/>
      <c r="F505" s="79"/>
      <c r="G505" s="79"/>
      <c r="H505" s="79"/>
      <c r="I505" s="79"/>
      <c r="J505" s="79"/>
      <c r="K505" s="79"/>
      <c r="L505" s="79"/>
      <c r="M505" s="79"/>
      <c r="N505" s="79"/>
      <c r="O505" s="79"/>
      <c r="P505" s="79"/>
      <c r="Q505" s="79"/>
    </row>
    <row r="506" spans="1:17" ht="13.2">
      <c r="A506" s="79"/>
      <c r="B506" s="79"/>
      <c r="C506" s="79"/>
      <c r="D506" s="79"/>
      <c r="E506" s="79"/>
      <c r="F506" s="79"/>
      <c r="G506" s="79"/>
      <c r="H506" s="79"/>
      <c r="I506" s="79"/>
      <c r="J506" s="79"/>
      <c r="K506" s="79"/>
      <c r="L506" s="79"/>
      <c r="M506" s="79"/>
      <c r="N506" s="79"/>
      <c r="O506" s="79"/>
      <c r="P506" s="79"/>
      <c r="Q506" s="79"/>
    </row>
    <row r="507" spans="1:17" ht="13.2">
      <c r="A507" s="79"/>
      <c r="B507" s="79"/>
      <c r="C507" s="79"/>
      <c r="D507" s="79"/>
      <c r="E507" s="79"/>
      <c r="F507" s="79"/>
      <c r="G507" s="79"/>
      <c r="H507" s="79"/>
      <c r="I507" s="79"/>
      <c r="J507" s="79"/>
      <c r="K507" s="79"/>
      <c r="L507" s="79"/>
      <c r="M507" s="79"/>
      <c r="N507" s="79"/>
      <c r="O507" s="79"/>
      <c r="P507" s="79"/>
      <c r="Q507" s="79"/>
    </row>
    <row r="508" spans="1:17" ht="13.2">
      <c r="A508" s="79"/>
      <c r="B508" s="79"/>
      <c r="C508" s="79"/>
      <c r="D508" s="79"/>
      <c r="E508" s="79"/>
      <c r="F508" s="79"/>
      <c r="G508" s="79"/>
      <c r="H508" s="79"/>
      <c r="I508" s="79"/>
      <c r="J508" s="79"/>
      <c r="K508" s="79"/>
      <c r="L508" s="79"/>
      <c r="M508" s="79"/>
      <c r="N508" s="79"/>
      <c r="O508" s="79"/>
      <c r="P508" s="79"/>
      <c r="Q508" s="79"/>
    </row>
    <row r="509" spans="1:17" ht="13.2">
      <c r="A509" s="79"/>
      <c r="B509" s="79"/>
      <c r="C509" s="79"/>
      <c r="D509" s="79"/>
      <c r="E509" s="79"/>
      <c r="F509" s="79"/>
      <c r="G509" s="79"/>
      <c r="H509" s="79"/>
      <c r="I509" s="79"/>
      <c r="J509" s="79"/>
      <c r="K509" s="79"/>
      <c r="L509" s="79"/>
      <c r="M509" s="79"/>
      <c r="N509" s="79"/>
      <c r="O509" s="79"/>
      <c r="P509" s="79"/>
      <c r="Q509" s="79"/>
    </row>
    <row r="510" spans="1:17" ht="13.2">
      <c r="A510" s="79"/>
      <c r="B510" s="79"/>
      <c r="C510" s="79"/>
      <c r="D510" s="79"/>
      <c r="E510" s="79"/>
      <c r="F510" s="79"/>
      <c r="G510" s="79"/>
      <c r="H510" s="79"/>
      <c r="I510" s="79"/>
      <c r="J510" s="79"/>
      <c r="K510" s="79"/>
      <c r="L510" s="79"/>
      <c r="M510" s="79"/>
      <c r="N510" s="79"/>
      <c r="O510" s="79"/>
      <c r="P510" s="79"/>
      <c r="Q510" s="79"/>
    </row>
    <row r="511" spans="1:17" ht="13.2">
      <c r="A511" s="79"/>
      <c r="B511" s="79"/>
      <c r="C511" s="79"/>
      <c r="D511" s="79"/>
      <c r="E511" s="79"/>
      <c r="F511" s="79"/>
      <c r="G511" s="79"/>
      <c r="H511" s="79"/>
      <c r="I511" s="79"/>
      <c r="J511" s="79"/>
      <c r="K511" s="79"/>
      <c r="L511" s="79"/>
      <c r="M511" s="79"/>
      <c r="N511" s="79"/>
      <c r="O511" s="79"/>
      <c r="P511" s="79"/>
      <c r="Q511" s="79"/>
    </row>
    <row r="512" spans="1:17" ht="13.2">
      <c r="A512" s="79"/>
      <c r="B512" s="79"/>
      <c r="C512" s="79"/>
      <c r="D512" s="79"/>
      <c r="E512" s="79"/>
      <c r="F512" s="79"/>
      <c r="G512" s="79"/>
      <c r="H512" s="79"/>
      <c r="I512" s="79"/>
      <c r="J512" s="79"/>
      <c r="K512" s="79"/>
      <c r="L512" s="79"/>
      <c r="M512" s="79"/>
      <c r="N512" s="79"/>
      <c r="O512" s="79"/>
      <c r="P512" s="79"/>
      <c r="Q512" s="79"/>
    </row>
    <row r="513" spans="1:17" ht="13.2">
      <c r="A513" s="79"/>
      <c r="B513" s="79"/>
      <c r="C513" s="79"/>
      <c r="D513" s="79"/>
      <c r="E513" s="79"/>
      <c r="F513" s="79"/>
      <c r="G513" s="79"/>
      <c r="H513" s="79"/>
      <c r="I513" s="79"/>
      <c r="J513" s="79"/>
      <c r="K513" s="79"/>
      <c r="L513" s="79"/>
      <c r="M513" s="79"/>
      <c r="N513" s="79"/>
      <c r="O513" s="79"/>
      <c r="P513" s="79"/>
      <c r="Q513" s="79"/>
    </row>
    <row r="514" spans="1:17" ht="13.2">
      <c r="A514" s="79"/>
      <c r="B514" s="79"/>
      <c r="C514" s="79"/>
      <c r="D514" s="79"/>
      <c r="E514" s="79"/>
      <c r="F514" s="79"/>
      <c r="G514" s="79"/>
      <c r="H514" s="79"/>
      <c r="I514" s="79"/>
      <c r="J514" s="79"/>
      <c r="K514" s="79"/>
      <c r="L514" s="79"/>
      <c r="M514" s="79"/>
      <c r="N514" s="79"/>
      <c r="O514" s="79"/>
      <c r="P514" s="79"/>
      <c r="Q514" s="79"/>
    </row>
    <row r="515" spans="1:17" ht="13.2">
      <c r="A515" s="79"/>
      <c r="B515" s="79"/>
      <c r="C515" s="79"/>
      <c r="D515" s="79"/>
      <c r="E515" s="79"/>
      <c r="F515" s="79"/>
      <c r="G515" s="79"/>
      <c r="H515" s="79"/>
      <c r="I515" s="79"/>
      <c r="J515" s="79"/>
      <c r="K515" s="79"/>
      <c r="L515" s="79"/>
      <c r="M515" s="79"/>
      <c r="N515" s="79"/>
      <c r="O515" s="79"/>
      <c r="P515" s="79"/>
      <c r="Q515" s="79"/>
    </row>
    <row r="516" spans="1:17" ht="13.2">
      <c r="A516" s="79"/>
      <c r="B516" s="79"/>
      <c r="C516" s="79"/>
      <c r="D516" s="79"/>
      <c r="E516" s="79"/>
      <c r="F516" s="79"/>
      <c r="G516" s="79"/>
      <c r="H516" s="79"/>
      <c r="I516" s="79"/>
      <c r="J516" s="79"/>
      <c r="K516" s="79"/>
      <c r="L516" s="79"/>
      <c r="M516" s="79"/>
      <c r="N516" s="79"/>
      <c r="O516" s="79"/>
      <c r="P516" s="79"/>
      <c r="Q516" s="79"/>
    </row>
    <row r="517" spans="1:17" ht="13.2">
      <c r="A517" s="79"/>
      <c r="B517" s="79"/>
      <c r="C517" s="79"/>
      <c r="D517" s="79"/>
      <c r="E517" s="79"/>
      <c r="F517" s="79"/>
      <c r="G517" s="79"/>
      <c r="H517" s="79"/>
      <c r="I517" s="79"/>
      <c r="J517" s="79"/>
      <c r="K517" s="79"/>
      <c r="L517" s="79"/>
      <c r="M517" s="79"/>
      <c r="N517" s="79"/>
      <c r="O517" s="79"/>
      <c r="P517" s="79"/>
      <c r="Q517" s="79"/>
    </row>
    <row r="518" spans="1:17" ht="13.2">
      <c r="A518" s="79"/>
      <c r="B518" s="79"/>
      <c r="C518" s="79"/>
      <c r="D518" s="79"/>
      <c r="E518" s="79"/>
      <c r="F518" s="79"/>
      <c r="G518" s="79"/>
      <c r="H518" s="79"/>
      <c r="I518" s="79"/>
      <c r="J518" s="79"/>
      <c r="K518" s="79"/>
      <c r="L518" s="79"/>
      <c r="M518" s="79"/>
      <c r="N518" s="79"/>
      <c r="O518" s="79"/>
      <c r="P518" s="79"/>
      <c r="Q518" s="79"/>
    </row>
    <row r="519" spans="1:17" ht="13.2">
      <c r="A519" s="79"/>
      <c r="B519" s="79"/>
      <c r="C519" s="79"/>
      <c r="D519" s="79"/>
      <c r="E519" s="79"/>
      <c r="F519" s="79"/>
      <c r="G519" s="79"/>
      <c r="H519" s="79"/>
      <c r="I519" s="79"/>
      <c r="J519" s="79"/>
      <c r="K519" s="79"/>
      <c r="L519" s="79"/>
      <c r="M519" s="79"/>
      <c r="N519" s="79"/>
      <c r="O519" s="79"/>
      <c r="P519" s="79"/>
      <c r="Q519" s="79"/>
    </row>
    <row r="520" spans="1:17" ht="13.2">
      <c r="A520" s="79"/>
      <c r="B520" s="79"/>
      <c r="C520" s="79"/>
      <c r="D520" s="79"/>
      <c r="E520" s="79"/>
      <c r="F520" s="79"/>
      <c r="G520" s="79"/>
      <c r="H520" s="79"/>
      <c r="I520" s="79"/>
      <c r="J520" s="79"/>
      <c r="K520" s="79"/>
      <c r="L520" s="79"/>
      <c r="M520" s="79"/>
      <c r="N520" s="79"/>
      <c r="O520" s="79"/>
      <c r="P520" s="79"/>
      <c r="Q520" s="79"/>
    </row>
    <row r="521" spans="1:17" ht="13.2">
      <c r="A521" s="79"/>
      <c r="B521" s="79"/>
      <c r="C521" s="79"/>
      <c r="D521" s="79"/>
      <c r="E521" s="79"/>
      <c r="F521" s="79"/>
      <c r="G521" s="79"/>
      <c r="H521" s="79"/>
      <c r="I521" s="79"/>
      <c r="J521" s="79"/>
      <c r="K521" s="79"/>
      <c r="L521" s="79"/>
      <c r="M521" s="79"/>
      <c r="N521" s="79"/>
      <c r="O521" s="79"/>
      <c r="P521" s="79"/>
      <c r="Q521" s="79"/>
    </row>
    <row r="522" spans="1:17" ht="13.2">
      <c r="A522" s="79"/>
      <c r="B522" s="79"/>
      <c r="C522" s="79"/>
      <c r="D522" s="79"/>
      <c r="E522" s="79"/>
      <c r="F522" s="79"/>
      <c r="G522" s="79"/>
      <c r="H522" s="79"/>
      <c r="I522" s="79"/>
      <c r="J522" s="79"/>
      <c r="K522" s="79"/>
      <c r="L522" s="79"/>
      <c r="M522" s="79"/>
      <c r="N522" s="79"/>
      <c r="O522" s="79"/>
      <c r="P522" s="79"/>
      <c r="Q522" s="79"/>
    </row>
    <row r="523" spans="1:17" ht="13.2">
      <c r="A523" s="79"/>
      <c r="B523" s="79"/>
      <c r="C523" s="79"/>
      <c r="D523" s="79"/>
      <c r="E523" s="79"/>
      <c r="F523" s="79"/>
      <c r="G523" s="79"/>
      <c r="H523" s="79"/>
      <c r="I523" s="79"/>
      <c r="J523" s="79"/>
      <c r="K523" s="79"/>
      <c r="L523" s="79"/>
      <c r="M523" s="79"/>
      <c r="N523" s="79"/>
      <c r="O523" s="79"/>
      <c r="P523" s="79"/>
      <c r="Q523" s="79"/>
    </row>
    <row r="524" spans="1:17" ht="13.2">
      <c r="A524" s="79"/>
      <c r="B524" s="79"/>
      <c r="C524" s="79"/>
      <c r="D524" s="79"/>
      <c r="E524" s="79"/>
      <c r="F524" s="79"/>
      <c r="G524" s="79"/>
      <c r="H524" s="79"/>
      <c r="I524" s="79"/>
      <c r="J524" s="79"/>
      <c r="K524" s="79"/>
      <c r="L524" s="79"/>
      <c r="M524" s="79"/>
      <c r="N524" s="79"/>
      <c r="O524" s="79"/>
      <c r="P524" s="79"/>
      <c r="Q524" s="79"/>
    </row>
    <row r="525" spans="1:17" ht="13.2">
      <c r="A525" s="79"/>
      <c r="B525" s="79"/>
      <c r="C525" s="79"/>
      <c r="D525" s="79"/>
      <c r="E525" s="79"/>
      <c r="F525" s="79"/>
      <c r="G525" s="79"/>
      <c r="H525" s="79"/>
      <c r="I525" s="79"/>
      <c r="J525" s="79"/>
      <c r="K525" s="79"/>
      <c r="L525" s="79"/>
      <c r="M525" s="79"/>
      <c r="N525" s="79"/>
      <c r="O525" s="79"/>
      <c r="P525" s="79"/>
      <c r="Q525" s="79"/>
    </row>
    <row r="526" spans="1:17" ht="13.2">
      <c r="A526" s="79"/>
      <c r="B526" s="79"/>
      <c r="C526" s="79"/>
      <c r="D526" s="79"/>
      <c r="E526" s="79"/>
      <c r="F526" s="79"/>
      <c r="G526" s="79"/>
      <c r="H526" s="79"/>
      <c r="I526" s="79"/>
      <c r="J526" s="79"/>
      <c r="K526" s="79"/>
      <c r="L526" s="79"/>
      <c r="M526" s="79"/>
      <c r="N526" s="79"/>
      <c r="O526" s="79"/>
      <c r="P526" s="79"/>
      <c r="Q526" s="79"/>
    </row>
    <row r="527" spans="1:17" ht="13.2">
      <c r="A527" s="79"/>
      <c r="B527" s="79"/>
      <c r="C527" s="79"/>
      <c r="D527" s="79"/>
      <c r="E527" s="79"/>
      <c r="F527" s="79"/>
      <c r="G527" s="79"/>
      <c r="H527" s="79"/>
      <c r="I527" s="79"/>
      <c r="J527" s="79"/>
      <c r="K527" s="79"/>
      <c r="L527" s="79"/>
      <c r="M527" s="79"/>
      <c r="N527" s="79"/>
      <c r="O527" s="79"/>
      <c r="P527" s="79"/>
      <c r="Q527" s="79"/>
    </row>
    <row r="528" spans="1:17" ht="13.2">
      <c r="A528" s="79"/>
      <c r="B528" s="79"/>
      <c r="C528" s="79"/>
      <c r="D528" s="79"/>
      <c r="E528" s="79"/>
      <c r="F528" s="79"/>
      <c r="G528" s="79"/>
      <c r="H528" s="79"/>
      <c r="I528" s="79"/>
      <c r="J528" s="79"/>
      <c r="K528" s="79"/>
      <c r="L528" s="79"/>
      <c r="M528" s="79"/>
      <c r="N528" s="79"/>
      <c r="O528" s="79"/>
      <c r="P528" s="79"/>
      <c r="Q528" s="79"/>
    </row>
    <row r="529" spans="1:17" ht="13.2">
      <c r="A529" s="79"/>
      <c r="B529" s="79"/>
      <c r="C529" s="79"/>
      <c r="D529" s="79"/>
      <c r="E529" s="79"/>
      <c r="F529" s="79"/>
      <c r="G529" s="79"/>
      <c r="H529" s="79"/>
      <c r="I529" s="79"/>
      <c r="J529" s="79"/>
      <c r="K529" s="79"/>
      <c r="L529" s="79"/>
      <c r="M529" s="79"/>
      <c r="N529" s="79"/>
      <c r="O529" s="79"/>
      <c r="P529" s="79"/>
      <c r="Q529" s="79"/>
    </row>
    <row r="530" spans="1:17" ht="13.2">
      <c r="A530" s="79"/>
      <c r="B530" s="79"/>
      <c r="C530" s="79"/>
      <c r="D530" s="79"/>
      <c r="E530" s="79"/>
      <c r="F530" s="79"/>
      <c r="G530" s="79"/>
      <c r="H530" s="79"/>
      <c r="I530" s="79"/>
      <c r="J530" s="79"/>
      <c r="K530" s="79"/>
      <c r="L530" s="79"/>
      <c r="M530" s="79"/>
      <c r="N530" s="79"/>
      <c r="O530" s="79"/>
      <c r="P530" s="79"/>
      <c r="Q530" s="79"/>
    </row>
    <row r="531" spans="1:17" ht="13.2">
      <c r="A531" s="79"/>
      <c r="B531" s="79"/>
      <c r="C531" s="79"/>
      <c r="D531" s="79"/>
      <c r="E531" s="79"/>
      <c r="F531" s="79"/>
      <c r="G531" s="79"/>
      <c r="H531" s="79"/>
      <c r="I531" s="79"/>
      <c r="J531" s="79"/>
      <c r="K531" s="79"/>
      <c r="L531" s="79"/>
      <c r="M531" s="79"/>
      <c r="N531" s="79"/>
      <c r="O531" s="79"/>
      <c r="P531" s="79"/>
      <c r="Q531" s="79"/>
    </row>
    <row r="532" spans="1:17" ht="13.2">
      <c r="A532" s="79"/>
      <c r="B532" s="79"/>
      <c r="C532" s="79"/>
      <c r="D532" s="79"/>
      <c r="E532" s="79"/>
      <c r="F532" s="79"/>
      <c r="G532" s="79"/>
      <c r="H532" s="79"/>
      <c r="I532" s="79"/>
      <c r="J532" s="79"/>
      <c r="K532" s="79"/>
      <c r="L532" s="79"/>
      <c r="M532" s="79"/>
      <c r="N532" s="79"/>
      <c r="O532" s="79"/>
      <c r="P532" s="79"/>
      <c r="Q532" s="79"/>
    </row>
    <row r="533" spans="1:17" ht="13.2">
      <c r="A533" s="79"/>
      <c r="B533" s="79"/>
      <c r="C533" s="79"/>
      <c r="D533" s="79"/>
      <c r="E533" s="79"/>
      <c r="F533" s="79"/>
      <c r="G533" s="79"/>
      <c r="H533" s="79"/>
      <c r="I533" s="79"/>
      <c r="J533" s="79"/>
      <c r="K533" s="79"/>
      <c r="L533" s="79"/>
      <c r="M533" s="79"/>
      <c r="N533" s="79"/>
      <c r="O533" s="79"/>
      <c r="P533" s="79"/>
      <c r="Q533" s="79"/>
    </row>
    <row r="534" spans="1:17" ht="13.2">
      <c r="A534" s="79"/>
      <c r="B534" s="79"/>
      <c r="C534" s="79"/>
      <c r="D534" s="79"/>
      <c r="E534" s="79"/>
      <c r="F534" s="79"/>
      <c r="G534" s="79"/>
      <c r="H534" s="79"/>
      <c r="I534" s="79"/>
      <c r="J534" s="79"/>
      <c r="K534" s="79"/>
      <c r="L534" s="79"/>
      <c r="M534" s="79"/>
      <c r="N534" s="79"/>
      <c r="O534" s="79"/>
      <c r="P534" s="79"/>
      <c r="Q534" s="79"/>
    </row>
    <row r="535" spans="1:17" ht="13.2">
      <c r="A535" s="79"/>
      <c r="B535" s="79"/>
      <c r="C535" s="79"/>
      <c r="D535" s="79"/>
      <c r="E535" s="79"/>
      <c r="F535" s="79"/>
      <c r="G535" s="79"/>
      <c r="H535" s="79"/>
      <c r="I535" s="79"/>
      <c r="J535" s="79"/>
      <c r="K535" s="79"/>
      <c r="L535" s="79"/>
      <c r="M535" s="79"/>
      <c r="N535" s="79"/>
      <c r="O535" s="79"/>
      <c r="P535" s="79"/>
      <c r="Q535" s="79"/>
    </row>
    <row r="536" spans="1:17" ht="13.2">
      <c r="A536" s="79"/>
      <c r="B536" s="79"/>
      <c r="C536" s="79"/>
      <c r="D536" s="79"/>
      <c r="E536" s="79"/>
      <c r="F536" s="79"/>
      <c r="G536" s="79"/>
      <c r="H536" s="79"/>
      <c r="I536" s="79"/>
      <c r="J536" s="79"/>
      <c r="K536" s="79"/>
      <c r="L536" s="79"/>
      <c r="M536" s="79"/>
      <c r="N536" s="79"/>
      <c r="O536" s="79"/>
      <c r="P536" s="79"/>
      <c r="Q536" s="79"/>
    </row>
    <row r="537" spans="1:17" ht="13.2">
      <c r="A537" s="79"/>
      <c r="B537" s="79"/>
      <c r="C537" s="79"/>
      <c r="D537" s="79"/>
      <c r="E537" s="79"/>
      <c r="F537" s="79"/>
      <c r="G537" s="79"/>
      <c r="H537" s="79"/>
      <c r="I537" s="79"/>
      <c r="J537" s="79"/>
      <c r="K537" s="79"/>
      <c r="L537" s="79"/>
      <c r="M537" s="79"/>
      <c r="N537" s="79"/>
      <c r="O537" s="79"/>
      <c r="P537" s="79"/>
      <c r="Q537" s="79"/>
    </row>
    <row r="538" spans="1:17" ht="13.2">
      <c r="A538" s="79"/>
      <c r="B538" s="79"/>
      <c r="C538" s="79"/>
      <c r="D538" s="79"/>
      <c r="E538" s="79"/>
      <c r="F538" s="79"/>
      <c r="G538" s="79"/>
      <c r="H538" s="79"/>
      <c r="I538" s="79"/>
      <c r="J538" s="79"/>
      <c r="K538" s="79"/>
      <c r="L538" s="79"/>
      <c r="M538" s="79"/>
      <c r="N538" s="79"/>
      <c r="O538" s="79"/>
      <c r="P538" s="79"/>
      <c r="Q538" s="79"/>
    </row>
    <row r="539" spans="1:17" ht="13.2">
      <c r="A539" s="79"/>
      <c r="B539" s="79"/>
      <c r="C539" s="79"/>
      <c r="D539" s="79"/>
      <c r="E539" s="79"/>
      <c r="F539" s="79"/>
      <c r="G539" s="79"/>
      <c r="H539" s="79"/>
      <c r="I539" s="79"/>
      <c r="J539" s="79"/>
      <c r="K539" s="79"/>
      <c r="L539" s="79"/>
      <c r="M539" s="79"/>
      <c r="N539" s="79"/>
      <c r="O539" s="79"/>
      <c r="P539" s="79"/>
      <c r="Q539" s="79"/>
    </row>
    <row r="540" spans="1:17" ht="13.2">
      <c r="A540" s="79"/>
      <c r="B540" s="79"/>
      <c r="C540" s="79"/>
      <c r="D540" s="79"/>
      <c r="E540" s="79"/>
      <c r="F540" s="79"/>
      <c r="G540" s="79"/>
      <c r="H540" s="79"/>
      <c r="I540" s="79"/>
      <c r="J540" s="79"/>
      <c r="K540" s="79"/>
      <c r="L540" s="79"/>
      <c r="M540" s="79"/>
      <c r="N540" s="79"/>
      <c r="O540" s="79"/>
      <c r="P540" s="79"/>
      <c r="Q540" s="79"/>
    </row>
    <row r="541" spans="1:17" ht="13.2">
      <c r="A541" s="79"/>
      <c r="B541" s="79"/>
      <c r="C541" s="79"/>
      <c r="D541" s="79"/>
      <c r="E541" s="79"/>
      <c r="F541" s="79"/>
      <c r="G541" s="79"/>
      <c r="H541" s="79"/>
      <c r="I541" s="79"/>
      <c r="J541" s="79"/>
      <c r="K541" s="79"/>
      <c r="L541" s="79"/>
      <c r="M541" s="79"/>
      <c r="N541" s="79"/>
      <c r="O541" s="79"/>
      <c r="P541" s="79"/>
      <c r="Q541" s="79"/>
    </row>
    <row r="542" spans="1:17" ht="13.2">
      <c r="A542" s="79"/>
      <c r="B542" s="79"/>
      <c r="C542" s="79"/>
      <c r="D542" s="79"/>
      <c r="E542" s="79"/>
      <c r="F542" s="79"/>
      <c r="G542" s="79"/>
      <c r="H542" s="79"/>
      <c r="I542" s="79"/>
      <c r="J542" s="79"/>
      <c r="K542" s="79"/>
      <c r="L542" s="79"/>
      <c r="M542" s="79"/>
      <c r="N542" s="79"/>
      <c r="O542" s="79"/>
      <c r="P542" s="79"/>
      <c r="Q542" s="79"/>
    </row>
    <row r="543" spans="1:17" ht="13.2">
      <c r="A543" s="79"/>
      <c r="B543" s="79"/>
      <c r="C543" s="79"/>
      <c r="D543" s="79"/>
      <c r="E543" s="79"/>
      <c r="F543" s="79"/>
      <c r="G543" s="79"/>
      <c r="H543" s="79"/>
      <c r="I543" s="79"/>
      <c r="J543" s="79"/>
      <c r="K543" s="79"/>
      <c r="L543" s="79"/>
      <c r="M543" s="79"/>
      <c r="N543" s="79"/>
      <c r="O543" s="79"/>
      <c r="P543" s="79"/>
      <c r="Q543" s="79"/>
    </row>
    <row r="544" spans="1:17" ht="13.2">
      <c r="A544" s="79"/>
      <c r="B544" s="79"/>
      <c r="C544" s="79"/>
      <c r="D544" s="79"/>
      <c r="E544" s="79"/>
      <c r="F544" s="79"/>
      <c r="G544" s="79"/>
      <c r="H544" s="79"/>
      <c r="I544" s="79"/>
      <c r="J544" s="79"/>
      <c r="K544" s="79"/>
      <c r="L544" s="79"/>
      <c r="M544" s="79"/>
      <c r="N544" s="79"/>
      <c r="O544" s="79"/>
      <c r="P544" s="79"/>
      <c r="Q544" s="79"/>
    </row>
    <row r="545" spans="1:17" ht="13.2">
      <c r="A545" s="79"/>
      <c r="B545" s="79"/>
      <c r="C545" s="79"/>
      <c r="D545" s="79"/>
      <c r="E545" s="79"/>
      <c r="F545" s="79"/>
      <c r="G545" s="79"/>
      <c r="H545" s="79"/>
      <c r="I545" s="79"/>
      <c r="J545" s="79"/>
      <c r="K545" s="79"/>
      <c r="L545" s="79"/>
      <c r="M545" s="79"/>
      <c r="N545" s="79"/>
      <c r="O545" s="79"/>
      <c r="P545" s="79"/>
      <c r="Q545" s="79"/>
    </row>
    <row r="546" spans="1:17" ht="13.2">
      <c r="A546" s="79"/>
      <c r="B546" s="79"/>
      <c r="C546" s="79"/>
      <c r="D546" s="79"/>
      <c r="E546" s="79"/>
      <c r="F546" s="79"/>
      <c r="G546" s="79"/>
      <c r="H546" s="79"/>
      <c r="I546" s="79"/>
      <c r="J546" s="79"/>
      <c r="K546" s="79"/>
      <c r="L546" s="79"/>
      <c r="M546" s="79"/>
      <c r="N546" s="79"/>
      <c r="O546" s="79"/>
      <c r="P546" s="79"/>
      <c r="Q546" s="79"/>
    </row>
    <row r="547" spans="1:17" ht="13.2">
      <c r="A547" s="79"/>
      <c r="B547" s="79"/>
      <c r="C547" s="79"/>
      <c r="D547" s="79"/>
      <c r="E547" s="79"/>
      <c r="F547" s="79"/>
      <c r="G547" s="79"/>
      <c r="H547" s="79"/>
      <c r="I547" s="79"/>
      <c r="J547" s="79"/>
      <c r="K547" s="79"/>
      <c r="L547" s="79"/>
      <c r="M547" s="79"/>
      <c r="N547" s="79"/>
      <c r="O547" s="79"/>
      <c r="P547" s="79"/>
      <c r="Q547" s="79"/>
    </row>
    <row r="548" spans="1:17" ht="13.2">
      <c r="A548" s="79"/>
      <c r="B548" s="79"/>
      <c r="C548" s="79"/>
      <c r="D548" s="79"/>
      <c r="E548" s="79"/>
      <c r="F548" s="79"/>
      <c r="G548" s="79"/>
      <c r="H548" s="79"/>
      <c r="I548" s="79"/>
      <c r="J548" s="79"/>
      <c r="K548" s="79"/>
      <c r="L548" s="79"/>
      <c r="M548" s="79"/>
      <c r="N548" s="79"/>
      <c r="O548" s="79"/>
      <c r="P548" s="79"/>
      <c r="Q548" s="79"/>
    </row>
    <row r="549" spans="1:17" ht="13.2">
      <c r="A549" s="79"/>
      <c r="B549" s="79"/>
      <c r="C549" s="79"/>
      <c r="D549" s="79"/>
      <c r="E549" s="79"/>
      <c r="F549" s="79"/>
      <c r="G549" s="79"/>
      <c r="H549" s="79"/>
      <c r="I549" s="79"/>
      <c r="J549" s="79"/>
      <c r="K549" s="79"/>
      <c r="L549" s="79"/>
      <c r="M549" s="79"/>
      <c r="N549" s="79"/>
      <c r="O549" s="79"/>
      <c r="P549" s="79"/>
      <c r="Q549" s="79"/>
    </row>
    <row r="550" spans="1:17" ht="13.2">
      <c r="A550" s="79"/>
      <c r="B550" s="79"/>
      <c r="C550" s="79"/>
      <c r="D550" s="79"/>
      <c r="E550" s="79"/>
      <c r="F550" s="79"/>
      <c r="G550" s="79"/>
      <c r="H550" s="79"/>
      <c r="I550" s="79"/>
      <c r="J550" s="79"/>
      <c r="K550" s="79"/>
      <c r="L550" s="79"/>
      <c r="M550" s="79"/>
      <c r="N550" s="79"/>
      <c r="O550" s="79"/>
      <c r="P550" s="79"/>
      <c r="Q550" s="79"/>
    </row>
    <row r="551" spans="1:17" ht="13.2">
      <c r="A551" s="79"/>
      <c r="B551" s="79"/>
      <c r="C551" s="79"/>
      <c r="D551" s="79"/>
      <c r="E551" s="79"/>
      <c r="F551" s="79"/>
      <c r="G551" s="79"/>
      <c r="H551" s="79"/>
      <c r="I551" s="79"/>
      <c r="J551" s="79"/>
      <c r="K551" s="79"/>
      <c r="L551" s="79"/>
      <c r="M551" s="79"/>
      <c r="N551" s="79"/>
      <c r="O551" s="79"/>
      <c r="P551" s="79"/>
      <c r="Q551" s="79"/>
    </row>
    <row r="552" spans="1:17" ht="13.2">
      <c r="A552" s="79"/>
      <c r="B552" s="79"/>
      <c r="C552" s="79"/>
      <c r="D552" s="79"/>
      <c r="E552" s="79"/>
      <c r="F552" s="79"/>
      <c r="G552" s="79"/>
      <c r="H552" s="79"/>
      <c r="I552" s="79"/>
      <c r="J552" s="79"/>
      <c r="K552" s="79"/>
      <c r="L552" s="79"/>
      <c r="M552" s="79"/>
      <c r="N552" s="79"/>
      <c r="O552" s="79"/>
      <c r="P552" s="79"/>
      <c r="Q552" s="79"/>
    </row>
    <row r="553" spans="1:17" ht="13.2">
      <c r="A553" s="79"/>
      <c r="B553" s="79"/>
      <c r="C553" s="79"/>
      <c r="D553" s="79"/>
      <c r="E553" s="79"/>
      <c r="F553" s="79"/>
      <c r="G553" s="79"/>
      <c r="H553" s="79"/>
      <c r="I553" s="79"/>
      <c r="J553" s="79"/>
      <c r="K553" s="79"/>
      <c r="L553" s="79"/>
      <c r="M553" s="79"/>
      <c r="N553" s="79"/>
      <c r="O553" s="79"/>
      <c r="P553" s="79"/>
      <c r="Q553" s="79"/>
    </row>
    <row r="554" spans="1:17" ht="13.2">
      <c r="A554" s="79"/>
      <c r="B554" s="79"/>
      <c r="C554" s="79"/>
      <c r="D554" s="79"/>
      <c r="E554" s="79"/>
      <c r="F554" s="79"/>
      <c r="G554" s="79"/>
      <c r="H554" s="79"/>
      <c r="I554" s="79"/>
      <c r="J554" s="79"/>
      <c r="K554" s="79"/>
      <c r="L554" s="79"/>
      <c r="M554" s="79"/>
      <c r="N554" s="79"/>
      <c r="O554" s="79"/>
      <c r="P554" s="79"/>
      <c r="Q554" s="79"/>
    </row>
    <row r="555" spans="1:17" ht="13.2">
      <c r="A555" s="79"/>
      <c r="B555" s="79"/>
      <c r="C555" s="79"/>
      <c r="D555" s="79"/>
      <c r="E555" s="79"/>
      <c r="F555" s="79"/>
      <c r="G555" s="79"/>
      <c r="H555" s="79"/>
      <c r="I555" s="79"/>
      <c r="J555" s="79"/>
      <c r="K555" s="79"/>
      <c r="L555" s="79"/>
      <c r="M555" s="79"/>
      <c r="N555" s="79"/>
      <c r="O555" s="79"/>
      <c r="P555" s="79"/>
      <c r="Q555" s="79"/>
    </row>
    <row r="556" spans="1:17" ht="13.2">
      <c r="A556" s="79"/>
      <c r="B556" s="79"/>
      <c r="C556" s="79"/>
      <c r="D556" s="79"/>
      <c r="E556" s="79"/>
      <c r="F556" s="79"/>
      <c r="G556" s="79"/>
      <c r="H556" s="79"/>
      <c r="I556" s="79"/>
      <c r="J556" s="79"/>
      <c r="K556" s="79"/>
      <c r="L556" s="79"/>
      <c r="M556" s="79"/>
      <c r="N556" s="79"/>
      <c r="O556" s="79"/>
      <c r="P556" s="79"/>
      <c r="Q556" s="79"/>
    </row>
    <row r="557" spans="1:17" ht="13.2">
      <c r="A557" s="79"/>
      <c r="B557" s="79"/>
      <c r="C557" s="79"/>
      <c r="D557" s="79"/>
      <c r="E557" s="79"/>
      <c r="F557" s="79"/>
      <c r="G557" s="79"/>
      <c r="H557" s="79"/>
      <c r="I557" s="79"/>
      <c r="J557" s="79"/>
      <c r="K557" s="79"/>
      <c r="L557" s="79"/>
      <c r="M557" s="79"/>
      <c r="N557" s="79"/>
      <c r="O557" s="79"/>
      <c r="P557" s="79"/>
      <c r="Q557" s="79"/>
    </row>
    <row r="558" spans="1:17" ht="13.2">
      <c r="A558" s="79"/>
      <c r="B558" s="79"/>
      <c r="C558" s="79"/>
      <c r="D558" s="79"/>
      <c r="E558" s="79"/>
      <c r="F558" s="79"/>
      <c r="G558" s="79"/>
      <c r="H558" s="79"/>
      <c r="I558" s="79"/>
      <c r="J558" s="79"/>
      <c r="K558" s="79"/>
      <c r="L558" s="79"/>
      <c r="M558" s="79"/>
      <c r="N558" s="79"/>
      <c r="O558" s="79"/>
      <c r="P558" s="79"/>
      <c r="Q558" s="79"/>
    </row>
    <row r="559" spans="1:17" ht="13.2">
      <c r="A559" s="79"/>
      <c r="B559" s="79"/>
      <c r="C559" s="79"/>
      <c r="D559" s="79"/>
      <c r="E559" s="79"/>
      <c r="F559" s="79"/>
      <c r="G559" s="79"/>
      <c r="H559" s="79"/>
      <c r="I559" s="79"/>
      <c r="J559" s="79"/>
      <c r="K559" s="79"/>
      <c r="L559" s="79"/>
      <c r="M559" s="79"/>
      <c r="N559" s="79"/>
      <c r="O559" s="79"/>
      <c r="P559" s="79"/>
      <c r="Q559" s="79"/>
    </row>
    <row r="560" spans="1:17" ht="13.2">
      <c r="A560" s="79"/>
      <c r="B560" s="79"/>
      <c r="C560" s="79"/>
      <c r="D560" s="79"/>
      <c r="E560" s="79"/>
      <c r="F560" s="79"/>
      <c r="G560" s="79"/>
      <c r="H560" s="79"/>
      <c r="I560" s="79"/>
      <c r="J560" s="79"/>
      <c r="K560" s="79"/>
      <c r="L560" s="79"/>
      <c r="M560" s="79"/>
      <c r="N560" s="79"/>
      <c r="O560" s="79"/>
      <c r="P560" s="79"/>
      <c r="Q560" s="79"/>
    </row>
    <row r="561" spans="1:17" ht="13.2">
      <c r="A561" s="79"/>
      <c r="B561" s="79"/>
      <c r="C561" s="79"/>
      <c r="D561" s="79"/>
      <c r="E561" s="79"/>
      <c r="F561" s="79"/>
      <c r="G561" s="79"/>
      <c r="H561" s="79"/>
      <c r="I561" s="79"/>
      <c r="J561" s="79"/>
      <c r="K561" s="79"/>
      <c r="L561" s="79"/>
      <c r="M561" s="79"/>
      <c r="N561" s="79"/>
      <c r="O561" s="79"/>
      <c r="P561" s="79"/>
      <c r="Q561" s="79"/>
    </row>
    <row r="562" spans="1:17" ht="13.2">
      <c r="A562" s="79"/>
      <c r="B562" s="79"/>
      <c r="C562" s="79"/>
      <c r="D562" s="79"/>
      <c r="E562" s="79"/>
      <c r="F562" s="79"/>
      <c r="G562" s="79"/>
      <c r="H562" s="79"/>
      <c r="I562" s="79"/>
      <c r="J562" s="79"/>
      <c r="K562" s="79"/>
      <c r="L562" s="79"/>
      <c r="M562" s="79"/>
      <c r="N562" s="79"/>
      <c r="O562" s="79"/>
      <c r="P562" s="79"/>
      <c r="Q562" s="79"/>
    </row>
    <row r="563" spans="1:17" ht="13.2">
      <c r="A563" s="79"/>
      <c r="B563" s="79"/>
      <c r="C563" s="79"/>
      <c r="D563" s="79"/>
      <c r="E563" s="79"/>
      <c r="F563" s="79"/>
      <c r="G563" s="79"/>
      <c r="H563" s="79"/>
      <c r="I563" s="79"/>
      <c r="J563" s="79"/>
      <c r="K563" s="79"/>
      <c r="L563" s="79"/>
      <c r="M563" s="79"/>
      <c r="N563" s="79"/>
      <c r="O563" s="79"/>
      <c r="P563" s="79"/>
      <c r="Q563" s="79"/>
    </row>
    <row r="564" spans="1:17" ht="13.2">
      <c r="A564" s="79"/>
      <c r="B564" s="79"/>
      <c r="C564" s="79"/>
      <c r="D564" s="79"/>
      <c r="E564" s="79"/>
      <c r="F564" s="79"/>
      <c r="G564" s="79"/>
      <c r="H564" s="79"/>
      <c r="I564" s="79"/>
      <c r="J564" s="79"/>
      <c r="K564" s="79"/>
      <c r="L564" s="79"/>
      <c r="M564" s="79"/>
      <c r="N564" s="79"/>
      <c r="O564" s="79"/>
      <c r="P564" s="79"/>
      <c r="Q564" s="79"/>
    </row>
    <row r="565" spans="1:17" ht="13.2">
      <c r="A565" s="79"/>
      <c r="B565" s="79"/>
      <c r="C565" s="79"/>
      <c r="D565" s="79"/>
      <c r="E565" s="79"/>
      <c r="F565" s="79"/>
      <c r="G565" s="79"/>
      <c r="H565" s="79"/>
      <c r="I565" s="79"/>
      <c r="J565" s="79"/>
      <c r="K565" s="79"/>
      <c r="L565" s="79"/>
      <c r="M565" s="79"/>
      <c r="N565" s="79"/>
      <c r="O565" s="79"/>
      <c r="P565" s="79"/>
      <c r="Q565" s="79"/>
    </row>
    <row r="566" spans="1:17" ht="13.2">
      <c r="A566" s="79"/>
      <c r="B566" s="79"/>
      <c r="C566" s="79"/>
      <c r="D566" s="79"/>
      <c r="E566" s="79"/>
      <c r="F566" s="79"/>
      <c r="G566" s="79"/>
      <c r="H566" s="79"/>
      <c r="I566" s="79"/>
      <c r="J566" s="79"/>
      <c r="K566" s="79"/>
      <c r="L566" s="79"/>
      <c r="M566" s="79"/>
      <c r="N566" s="79"/>
      <c r="O566" s="79"/>
      <c r="P566" s="79"/>
      <c r="Q566" s="79"/>
    </row>
    <row r="567" spans="1:17" ht="13.2">
      <c r="A567" s="79"/>
      <c r="B567" s="79"/>
      <c r="C567" s="79"/>
      <c r="D567" s="79"/>
      <c r="E567" s="79"/>
      <c r="F567" s="79"/>
      <c r="G567" s="79"/>
      <c r="H567" s="79"/>
      <c r="I567" s="79"/>
      <c r="J567" s="79"/>
      <c r="K567" s="79"/>
      <c r="L567" s="79"/>
      <c r="M567" s="79"/>
      <c r="N567" s="79"/>
      <c r="O567" s="79"/>
      <c r="P567" s="79"/>
      <c r="Q567" s="79"/>
    </row>
    <row r="568" spans="1:17" ht="13.2">
      <c r="A568" s="79"/>
      <c r="B568" s="79"/>
      <c r="C568" s="79"/>
      <c r="D568" s="79"/>
      <c r="E568" s="79"/>
      <c r="F568" s="79"/>
      <c r="G568" s="79"/>
      <c r="H568" s="79"/>
      <c r="I568" s="79"/>
      <c r="J568" s="79"/>
      <c r="K568" s="79"/>
      <c r="L568" s="79"/>
      <c r="M568" s="79"/>
      <c r="N568" s="79"/>
      <c r="O568" s="79"/>
      <c r="P568" s="79"/>
      <c r="Q568" s="79"/>
    </row>
    <row r="569" spans="1:17" ht="13.2">
      <c r="A569" s="79"/>
      <c r="B569" s="79"/>
      <c r="C569" s="79"/>
      <c r="D569" s="79"/>
      <c r="E569" s="79"/>
      <c r="F569" s="79"/>
      <c r="G569" s="79"/>
      <c r="H569" s="79"/>
      <c r="I569" s="79"/>
      <c r="J569" s="79"/>
      <c r="K569" s="79"/>
      <c r="L569" s="79"/>
      <c r="M569" s="79"/>
      <c r="N569" s="79"/>
      <c r="O569" s="79"/>
      <c r="P569" s="79"/>
      <c r="Q569" s="79"/>
    </row>
    <row r="570" spans="1:17" ht="13.2">
      <c r="A570" s="79"/>
      <c r="B570" s="79"/>
      <c r="C570" s="79"/>
      <c r="D570" s="79"/>
      <c r="E570" s="79"/>
      <c r="F570" s="79"/>
      <c r="G570" s="79"/>
      <c r="H570" s="79"/>
      <c r="I570" s="79"/>
      <c r="J570" s="79"/>
      <c r="K570" s="79"/>
      <c r="L570" s="79"/>
      <c r="M570" s="79"/>
      <c r="N570" s="79"/>
      <c r="O570" s="79"/>
      <c r="P570" s="79"/>
      <c r="Q570" s="79"/>
    </row>
    <row r="571" spans="1:17" ht="13.2">
      <c r="A571" s="79"/>
      <c r="B571" s="79"/>
      <c r="C571" s="79"/>
      <c r="D571" s="79"/>
      <c r="E571" s="79"/>
      <c r="F571" s="79"/>
      <c r="G571" s="79"/>
      <c r="H571" s="79"/>
      <c r="I571" s="79"/>
      <c r="J571" s="79"/>
      <c r="K571" s="79"/>
      <c r="L571" s="79"/>
      <c r="M571" s="79"/>
      <c r="N571" s="79"/>
      <c r="O571" s="79"/>
      <c r="P571" s="79"/>
      <c r="Q571" s="79"/>
    </row>
    <row r="572" spans="1:17" ht="13.2">
      <c r="A572" s="79"/>
      <c r="B572" s="79"/>
      <c r="C572" s="79"/>
      <c r="D572" s="79"/>
      <c r="E572" s="79"/>
      <c r="F572" s="79"/>
      <c r="G572" s="79"/>
      <c r="H572" s="79"/>
      <c r="I572" s="79"/>
      <c r="J572" s="79"/>
      <c r="K572" s="79"/>
      <c r="L572" s="79"/>
      <c r="M572" s="79"/>
      <c r="N572" s="79"/>
      <c r="O572" s="79"/>
      <c r="P572" s="79"/>
      <c r="Q572" s="79"/>
    </row>
    <row r="573" spans="1:17" ht="13.2">
      <c r="A573" s="79"/>
      <c r="B573" s="79"/>
      <c r="C573" s="79"/>
      <c r="D573" s="79"/>
      <c r="E573" s="79"/>
      <c r="F573" s="79"/>
      <c r="G573" s="79"/>
      <c r="H573" s="79"/>
      <c r="I573" s="79"/>
      <c r="J573" s="79"/>
      <c r="K573" s="79"/>
      <c r="L573" s="79"/>
      <c r="M573" s="79"/>
      <c r="N573" s="79"/>
      <c r="O573" s="79"/>
      <c r="P573" s="79"/>
      <c r="Q573" s="79"/>
    </row>
    <row r="574" spans="1:17" ht="13.2">
      <c r="A574" s="79"/>
      <c r="B574" s="79"/>
      <c r="C574" s="79"/>
      <c r="D574" s="79"/>
      <c r="E574" s="79"/>
      <c r="F574" s="79"/>
      <c r="G574" s="79"/>
      <c r="H574" s="79"/>
      <c r="I574" s="79"/>
      <c r="J574" s="79"/>
      <c r="K574" s="79"/>
      <c r="L574" s="79"/>
      <c r="M574" s="79"/>
      <c r="N574" s="79"/>
      <c r="O574" s="79"/>
      <c r="P574" s="79"/>
      <c r="Q574" s="79"/>
    </row>
    <row r="575" spans="1:17" ht="13.2">
      <c r="A575" s="79"/>
      <c r="B575" s="79"/>
      <c r="C575" s="79"/>
      <c r="D575" s="79"/>
      <c r="E575" s="79"/>
      <c r="F575" s="79"/>
      <c r="G575" s="79"/>
      <c r="H575" s="79"/>
      <c r="I575" s="79"/>
      <c r="J575" s="79"/>
      <c r="K575" s="79"/>
      <c r="L575" s="79"/>
      <c r="M575" s="79"/>
      <c r="N575" s="79"/>
      <c r="O575" s="79"/>
      <c r="P575" s="79"/>
      <c r="Q575" s="79"/>
    </row>
    <row r="576" spans="1:17" ht="13.2">
      <c r="A576" s="79"/>
      <c r="B576" s="79"/>
      <c r="C576" s="79"/>
      <c r="D576" s="79"/>
      <c r="E576" s="79"/>
      <c r="F576" s="79"/>
      <c r="G576" s="79"/>
      <c r="H576" s="79"/>
      <c r="I576" s="79"/>
      <c r="J576" s="79"/>
      <c r="K576" s="79"/>
      <c r="L576" s="79"/>
      <c r="M576" s="79"/>
      <c r="N576" s="79"/>
      <c r="O576" s="79"/>
      <c r="P576" s="79"/>
      <c r="Q576" s="79"/>
    </row>
    <row r="577" spans="1:17" ht="13.2">
      <c r="A577" s="79"/>
      <c r="B577" s="79"/>
      <c r="C577" s="79"/>
      <c r="D577" s="79"/>
      <c r="E577" s="79"/>
      <c r="F577" s="79"/>
      <c r="G577" s="79"/>
      <c r="H577" s="79"/>
      <c r="I577" s="79"/>
      <c r="J577" s="79"/>
      <c r="K577" s="79"/>
      <c r="L577" s="79"/>
      <c r="M577" s="79"/>
      <c r="N577" s="79"/>
      <c r="O577" s="79"/>
      <c r="P577" s="79"/>
      <c r="Q577" s="79"/>
    </row>
    <row r="578" spans="1:17" ht="13.2">
      <c r="A578" s="79"/>
      <c r="B578" s="79"/>
      <c r="C578" s="79"/>
      <c r="D578" s="79"/>
      <c r="E578" s="79"/>
      <c r="F578" s="79"/>
      <c r="G578" s="79"/>
      <c r="H578" s="79"/>
      <c r="I578" s="79"/>
      <c r="J578" s="79"/>
      <c r="K578" s="79"/>
      <c r="L578" s="79"/>
      <c r="M578" s="79"/>
      <c r="N578" s="79"/>
      <c r="O578" s="79"/>
      <c r="P578" s="79"/>
      <c r="Q578" s="79"/>
    </row>
    <row r="579" spans="1:17" ht="13.2">
      <c r="A579" s="79"/>
      <c r="B579" s="79"/>
      <c r="C579" s="79"/>
      <c r="D579" s="79"/>
      <c r="E579" s="79"/>
      <c r="F579" s="79"/>
      <c r="G579" s="79"/>
      <c r="H579" s="79"/>
      <c r="I579" s="79"/>
      <c r="J579" s="79"/>
      <c r="K579" s="79"/>
      <c r="L579" s="79"/>
      <c r="M579" s="79"/>
      <c r="N579" s="79"/>
      <c r="O579" s="79"/>
      <c r="P579" s="79"/>
      <c r="Q579" s="79"/>
    </row>
    <row r="580" spans="1:17" ht="13.2">
      <c r="A580" s="79"/>
      <c r="B580" s="79"/>
      <c r="C580" s="79"/>
      <c r="D580" s="79"/>
      <c r="E580" s="79"/>
      <c r="F580" s="79"/>
      <c r="G580" s="79"/>
      <c r="H580" s="79"/>
      <c r="I580" s="79"/>
      <c r="J580" s="79"/>
      <c r="K580" s="79"/>
      <c r="L580" s="79"/>
      <c r="M580" s="79"/>
      <c r="N580" s="79"/>
      <c r="O580" s="79"/>
      <c r="P580" s="79"/>
      <c r="Q580" s="79"/>
    </row>
    <row r="581" spans="1:17" ht="13.2">
      <c r="A581" s="79"/>
      <c r="B581" s="79"/>
      <c r="C581" s="79"/>
      <c r="D581" s="79"/>
      <c r="E581" s="79"/>
      <c r="F581" s="79"/>
      <c r="G581" s="79"/>
      <c r="H581" s="79"/>
      <c r="I581" s="79"/>
      <c r="J581" s="79"/>
      <c r="K581" s="79"/>
      <c r="L581" s="79"/>
      <c r="M581" s="79"/>
      <c r="N581" s="79"/>
      <c r="O581" s="79"/>
      <c r="P581" s="79"/>
      <c r="Q581" s="79"/>
    </row>
    <row r="582" spans="1:17" ht="13.2">
      <c r="A582" s="79"/>
      <c r="B582" s="79"/>
      <c r="C582" s="79"/>
      <c r="D582" s="79"/>
      <c r="E582" s="79"/>
      <c r="F582" s="79"/>
      <c r="G582" s="79"/>
      <c r="H582" s="79"/>
      <c r="I582" s="79"/>
      <c r="J582" s="79"/>
      <c r="K582" s="79"/>
      <c r="L582" s="79"/>
      <c r="M582" s="79"/>
      <c r="N582" s="79"/>
      <c r="O582" s="79"/>
      <c r="P582" s="79"/>
      <c r="Q582" s="79"/>
    </row>
    <row r="583" spans="1:17" ht="13.2">
      <c r="A583" s="79"/>
      <c r="B583" s="79"/>
      <c r="C583" s="79"/>
      <c r="D583" s="79"/>
      <c r="E583" s="79"/>
      <c r="F583" s="79"/>
      <c r="G583" s="79"/>
      <c r="H583" s="79"/>
      <c r="I583" s="79"/>
      <c r="J583" s="79"/>
      <c r="K583" s="79"/>
      <c r="L583" s="79"/>
      <c r="M583" s="79"/>
      <c r="N583" s="79"/>
      <c r="O583" s="79"/>
      <c r="P583" s="79"/>
      <c r="Q583" s="79"/>
    </row>
    <row r="584" spans="1:17" ht="13.2">
      <c r="A584" s="79"/>
      <c r="B584" s="79"/>
      <c r="C584" s="79"/>
      <c r="D584" s="79"/>
      <c r="E584" s="79"/>
      <c r="F584" s="79"/>
      <c r="G584" s="79"/>
      <c r="H584" s="79"/>
      <c r="I584" s="79"/>
      <c r="J584" s="79"/>
      <c r="K584" s="79"/>
      <c r="L584" s="79"/>
      <c r="M584" s="79"/>
      <c r="N584" s="79"/>
      <c r="O584" s="79"/>
      <c r="P584" s="79"/>
      <c r="Q584" s="79"/>
    </row>
    <row r="585" spans="1:17" ht="13.2">
      <c r="A585" s="79"/>
      <c r="B585" s="79"/>
      <c r="C585" s="79"/>
      <c r="D585" s="79"/>
      <c r="E585" s="79"/>
      <c r="F585" s="79"/>
      <c r="G585" s="79"/>
      <c r="H585" s="79"/>
      <c r="I585" s="79"/>
      <c r="J585" s="79"/>
      <c r="K585" s="79"/>
      <c r="L585" s="79"/>
      <c r="M585" s="79"/>
      <c r="N585" s="79"/>
      <c r="O585" s="79"/>
      <c r="P585" s="79"/>
      <c r="Q585" s="79"/>
    </row>
    <row r="586" spans="1:17" ht="13.2">
      <c r="A586" s="79"/>
      <c r="B586" s="79"/>
      <c r="C586" s="79"/>
      <c r="D586" s="79"/>
      <c r="E586" s="79"/>
      <c r="F586" s="79"/>
      <c r="G586" s="79"/>
      <c r="H586" s="79"/>
      <c r="I586" s="79"/>
      <c r="J586" s="79"/>
      <c r="K586" s="79"/>
      <c r="L586" s="79"/>
      <c r="M586" s="79"/>
      <c r="N586" s="79"/>
      <c r="O586" s="79"/>
      <c r="P586" s="79"/>
      <c r="Q586" s="79"/>
    </row>
    <row r="587" spans="1:17" ht="13.2">
      <c r="A587" s="79"/>
      <c r="B587" s="79"/>
      <c r="C587" s="79"/>
      <c r="D587" s="79"/>
      <c r="E587" s="79"/>
      <c r="F587" s="79"/>
      <c r="G587" s="79"/>
      <c r="H587" s="79"/>
      <c r="I587" s="79"/>
      <c r="J587" s="79"/>
      <c r="K587" s="79"/>
      <c r="L587" s="79"/>
      <c r="M587" s="79"/>
      <c r="N587" s="79"/>
      <c r="O587" s="79"/>
      <c r="P587" s="79"/>
      <c r="Q587" s="79"/>
    </row>
    <row r="588" spans="1:17" ht="13.2">
      <c r="A588" s="79"/>
      <c r="B588" s="79"/>
      <c r="C588" s="79"/>
      <c r="D588" s="79"/>
      <c r="E588" s="79"/>
      <c r="F588" s="79"/>
      <c r="G588" s="79"/>
      <c r="H588" s="79"/>
      <c r="I588" s="79"/>
      <c r="J588" s="79"/>
      <c r="K588" s="79"/>
      <c r="L588" s="79"/>
      <c r="M588" s="79"/>
      <c r="N588" s="79"/>
      <c r="O588" s="79"/>
      <c r="P588" s="79"/>
      <c r="Q588" s="79"/>
    </row>
    <row r="589" spans="1:17" ht="13.2">
      <c r="A589" s="79"/>
      <c r="B589" s="79"/>
      <c r="C589" s="79"/>
      <c r="D589" s="79"/>
      <c r="E589" s="79"/>
      <c r="F589" s="79"/>
      <c r="G589" s="79"/>
      <c r="H589" s="79"/>
      <c r="I589" s="79"/>
      <c r="J589" s="79"/>
      <c r="K589" s="79"/>
      <c r="L589" s="79"/>
      <c r="M589" s="79"/>
      <c r="N589" s="79"/>
      <c r="O589" s="79"/>
      <c r="P589" s="79"/>
      <c r="Q589" s="79"/>
    </row>
    <row r="590" spans="1:17" ht="13.2">
      <c r="A590" s="79"/>
      <c r="B590" s="79"/>
      <c r="C590" s="79"/>
      <c r="D590" s="79"/>
      <c r="E590" s="79"/>
      <c r="F590" s="79"/>
      <c r="G590" s="79"/>
      <c r="H590" s="79"/>
      <c r="I590" s="79"/>
      <c r="J590" s="79"/>
      <c r="K590" s="79"/>
      <c r="L590" s="79"/>
      <c r="M590" s="79"/>
      <c r="N590" s="79"/>
      <c r="O590" s="79"/>
      <c r="P590" s="79"/>
      <c r="Q590" s="79"/>
    </row>
    <row r="591" spans="1:17" ht="13.2">
      <c r="A591" s="79"/>
      <c r="B591" s="79"/>
      <c r="C591" s="79"/>
      <c r="D591" s="79"/>
      <c r="E591" s="79"/>
      <c r="F591" s="79"/>
      <c r="G591" s="79"/>
      <c r="H591" s="79"/>
      <c r="I591" s="79"/>
      <c r="J591" s="79"/>
      <c r="K591" s="79"/>
      <c r="L591" s="79"/>
      <c r="M591" s="79"/>
      <c r="N591" s="79"/>
      <c r="O591" s="79"/>
      <c r="P591" s="79"/>
      <c r="Q591" s="79"/>
    </row>
    <row r="592" spans="1:17" ht="13.2">
      <c r="A592" s="79"/>
      <c r="B592" s="79"/>
      <c r="C592" s="79"/>
      <c r="D592" s="79"/>
      <c r="E592" s="79"/>
      <c r="F592" s="79"/>
      <c r="G592" s="79"/>
      <c r="H592" s="79"/>
      <c r="I592" s="79"/>
      <c r="J592" s="79"/>
      <c r="K592" s="79"/>
      <c r="L592" s="79"/>
      <c r="M592" s="79"/>
      <c r="N592" s="79"/>
      <c r="O592" s="79"/>
      <c r="P592" s="79"/>
      <c r="Q592" s="79"/>
    </row>
    <row r="593" spans="1:17" ht="13.2">
      <c r="A593" s="79"/>
      <c r="B593" s="79"/>
      <c r="C593" s="79"/>
      <c r="D593" s="79"/>
      <c r="E593" s="79"/>
      <c r="F593" s="79"/>
      <c r="G593" s="79"/>
      <c r="H593" s="79"/>
      <c r="I593" s="79"/>
      <c r="J593" s="79"/>
      <c r="K593" s="79"/>
      <c r="L593" s="79"/>
      <c r="M593" s="79"/>
      <c r="N593" s="79"/>
      <c r="O593" s="79"/>
      <c r="P593" s="79"/>
      <c r="Q593" s="79"/>
    </row>
    <row r="594" spans="1:17" ht="13.2">
      <c r="A594" s="79"/>
      <c r="B594" s="79"/>
      <c r="C594" s="79"/>
      <c r="D594" s="79"/>
      <c r="E594" s="79"/>
      <c r="F594" s="79"/>
      <c r="G594" s="79"/>
      <c r="H594" s="79"/>
      <c r="I594" s="79"/>
      <c r="J594" s="79"/>
      <c r="K594" s="79"/>
      <c r="L594" s="79"/>
      <c r="M594" s="79"/>
      <c r="N594" s="79"/>
      <c r="O594" s="79"/>
      <c r="P594" s="79"/>
      <c r="Q594" s="79"/>
    </row>
    <row r="595" spans="1:17" ht="13.2">
      <c r="A595" s="79"/>
      <c r="B595" s="79"/>
      <c r="C595" s="79"/>
      <c r="D595" s="79"/>
      <c r="E595" s="79"/>
      <c r="F595" s="79"/>
      <c r="G595" s="79"/>
      <c r="H595" s="79"/>
      <c r="I595" s="79"/>
      <c r="J595" s="79"/>
      <c r="K595" s="79"/>
      <c r="L595" s="79"/>
      <c r="M595" s="79"/>
      <c r="N595" s="79"/>
      <c r="O595" s="79"/>
      <c r="P595" s="79"/>
      <c r="Q595" s="79"/>
    </row>
    <row r="596" spans="1:17" ht="13.2">
      <c r="A596" s="79"/>
      <c r="B596" s="79"/>
      <c r="C596" s="79"/>
      <c r="D596" s="79"/>
      <c r="E596" s="79"/>
      <c r="F596" s="79"/>
      <c r="G596" s="79"/>
      <c r="H596" s="79"/>
      <c r="I596" s="79"/>
      <c r="J596" s="79"/>
      <c r="K596" s="79"/>
      <c r="L596" s="79"/>
      <c r="M596" s="79"/>
      <c r="N596" s="79"/>
      <c r="O596" s="79"/>
      <c r="P596" s="79"/>
      <c r="Q596" s="79"/>
    </row>
    <row r="597" spans="1:17" ht="13.2">
      <c r="A597" s="79"/>
      <c r="B597" s="79"/>
      <c r="C597" s="79"/>
      <c r="D597" s="79"/>
      <c r="E597" s="79"/>
      <c r="F597" s="79"/>
      <c r="G597" s="79"/>
      <c r="H597" s="79"/>
      <c r="I597" s="79"/>
      <c r="J597" s="79"/>
      <c r="K597" s="79"/>
      <c r="L597" s="79"/>
      <c r="M597" s="79"/>
      <c r="N597" s="79"/>
      <c r="O597" s="79"/>
      <c r="P597" s="79"/>
      <c r="Q597" s="79"/>
    </row>
    <row r="598" spans="1:17" ht="13.2">
      <c r="A598" s="79"/>
      <c r="B598" s="79"/>
      <c r="C598" s="79"/>
      <c r="D598" s="79"/>
      <c r="E598" s="79"/>
      <c r="F598" s="79"/>
      <c r="G598" s="79"/>
      <c r="H598" s="79"/>
      <c r="I598" s="79"/>
      <c r="J598" s="79"/>
      <c r="K598" s="79"/>
      <c r="L598" s="79"/>
      <c r="M598" s="79"/>
      <c r="N598" s="79"/>
      <c r="O598" s="79"/>
      <c r="P598" s="79"/>
      <c r="Q598" s="79"/>
    </row>
    <row r="599" spans="1:17" ht="13.2">
      <c r="A599" s="79"/>
      <c r="B599" s="79"/>
      <c r="C599" s="79"/>
      <c r="D599" s="79"/>
      <c r="E599" s="79"/>
      <c r="F599" s="79"/>
      <c r="G599" s="79"/>
      <c r="H599" s="79"/>
      <c r="I599" s="79"/>
      <c r="J599" s="79"/>
      <c r="K599" s="79"/>
      <c r="L599" s="79"/>
      <c r="M599" s="79"/>
      <c r="N599" s="79"/>
      <c r="O599" s="79"/>
      <c r="P599" s="79"/>
      <c r="Q599" s="79"/>
    </row>
    <row r="600" spans="1:17" ht="13.2">
      <c r="A600" s="79"/>
      <c r="B600" s="79"/>
      <c r="C600" s="79"/>
      <c r="D600" s="79"/>
      <c r="E600" s="79"/>
      <c r="F600" s="79"/>
      <c r="G600" s="79"/>
      <c r="H600" s="79"/>
      <c r="I600" s="79"/>
      <c r="J600" s="79"/>
      <c r="K600" s="79"/>
      <c r="L600" s="79"/>
      <c r="M600" s="79"/>
      <c r="N600" s="79"/>
      <c r="O600" s="79"/>
      <c r="P600" s="79"/>
      <c r="Q600" s="79"/>
    </row>
    <row r="601" spans="1:17" ht="13.2">
      <c r="A601" s="79"/>
      <c r="B601" s="79"/>
      <c r="C601" s="79"/>
      <c r="D601" s="79"/>
      <c r="E601" s="79"/>
      <c r="F601" s="79"/>
      <c r="G601" s="79"/>
      <c r="H601" s="79"/>
      <c r="I601" s="79"/>
      <c r="J601" s="79"/>
      <c r="K601" s="79"/>
      <c r="L601" s="79"/>
      <c r="M601" s="79"/>
      <c r="N601" s="79"/>
      <c r="O601" s="79"/>
      <c r="P601" s="79"/>
      <c r="Q601" s="79"/>
    </row>
    <row r="602" spans="1:17" ht="13.2">
      <c r="A602" s="79"/>
      <c r="B602" s="79"/>
      <c r="C602" s="79"/>
      <c r="D602" s="79"/>
      <c r="E602" s="79"/>
      <c r="F602" s="79"/>
      <c r="G602" s="79"/>
      <c r="H602" s="79"/>
      <c r="I602" s="79"/>
      <c r="J602" s="79"/>
      <c r="K602" s="79"/>
      <c r="L602" s="79"/>
      <c r="M602" s="79"/>
      <c r="N602" s="79"/>
      <c r="O602" s="79"/>
      <c r="P602" s="79"/>
      <c r="Q602" s="79"/>
    </row>
    <row r="603" spans="1:17" ht="13.2">
      <c r="A603" s="79"/>
      <c r="B603" s="79"/>
      <c r="C603" s="79"/>
      <c r="D603" s="79"/>
      <c r="E603" s="79"/>
      <c r="F603" s="79"/>
      <c r="G603" s="79"/>
      <c r="H603" s="79"/>
      <c r="I603" s="79"/>
      <c r="J603" s="79"/>
      <c r="K603" s="79"/>
      <c r="L603" s="79"/>
      <c r="M603" s="79"/>
      <c r="N603" s="79"/>
      <c r="O603" s="79"/>
      <c r="P603" s="79"/>
      <c r="Q603" s="79"/>
    </row>
    <row r="604" spans="1:17" ht="13.2">
      <c r="A604" s="79"/>
      <c r="B604" s="79"/>
      <c r="C604" s="79"/>
      <c r="D604" s="79"/>
      <c r="E604" s="79"/>
      <c r="F604" s="79"/>
      <c r="G604" s="79"/>
      <c r="H604" s="79"/>
      <c r="I604" s="79"/>
      <c r="J604" s="79"/>
      <c r="K604" s="79"/>
      <c r="L604" s="79"/>
      <c r="M604" s="79"/>
      <c r="N604" s="79"/>
      <c r="O604" s="79"/>
      <c r="P604" s="79"/>
      <c r="Q604" s="79"/>
    </row>
    <row r="605" spans="1:17" ht="13.2">
      <c r="A605" s="79"/>
      <c r="B605" s="79"/>
      <c r="C605" s="79"/>
      <c r="D605" s="79"/>
      <c r="E605" s="79"/>
      <c r="F605" s="79"/>
      <c r="G605" s="79"/>
      <c r="H605" s="79"/>
      <c r="I605" s="79"/>
      <c r="J605" s="79"/>
      <c r="K605" s="79"/>
      <c r="L605" s="79"/>
      <c r="M605" s="79"/>
      <c r="N605" s="79"/>
      <c r="O605" s="79"/>
      <c r="P605" s="79"/>
      <c r="Q605" s="79"/>
    </row>
    <row r="606" spans="1:17" ht="13.2">
      <c r="A606" s="79"/>
      <c r="B606" s="79"/>
      <c r="C606" s="79"/>
      <c r="D606" s="79"/>
      <c r="E606" s="79"/>
      <c r="F606" s="79"/>
      <c r="G606" s="79"/>
      <c r="H606" s="79"/>
      <c r="I606" s="79"/>
      <c r="J606" s="79"/>
      <c r="K606" s="79"/>
      <c r="L606" s="79"/>
      <c r="M606" s="79"/>
      <c r="N606" s="79"/>
      <c r="O606" s="79"/>
      <c r="P606" s="79"/>
      <c r="Q606" s="79"/>
    </row>
    <row r="607" spans="1:17" ht="13.2">
      <c r="A607" s="79"/>
      <c r="B607" s="79"/>
      <c r="C607" s="79"/>
      <c r="D607" s="79"/>
      <c r="E607" s="79"/>
      <c r="F607" s="79"/>
      <c r="G607" s="79"/>
      <c r="H607" s="79"/>
      <c r="I607" s="79"/>
      <c r="J607" s="79"/>
      <c r="K607" s="79"/>
      <c r="L607" s="79"/>
      <c r="M607" s="79"/>
      <c r="N607" s="79"/>
      <c r="O607" s="79"/>
      <c r="P607" s="79"/>
      <c r="Q607" s="79"/>
    </row>
    <row r="608" spans="1:17" ht="13.2">
      <c r="A608" s="79"/>
      <c r="B608" s="79"/>
      <c r="C608" s="79"/>
      <c r="D608" s="79"/>
      <c r="E608" s="79"/>
      <c r="F608" s="79"/>
      <c r="G608" s="79"/>
      <c r="H608" s="79"/>
      <c r="I608" s="79"/>
      <c r="J608" s="79"/>
      <c r="K608" s="79"/>
      <c r="L608" s="79"/>
      <c r="M608" s="79"/>
      <c r="N608" s="79"/>
      <c r="O608" s="79"/>
      <c r="P608" s="79"/>
      <c r="Q608" s="79"/>
    </row>
    <row r="609" spans="1:17" ht="13.2">
      <c r="A609" s="79"/>
      <c r="B609" s="79"/>
      <c r="C609" s="79"/>
      <c r="D609" s="79"/>
      <c r="E609" s="79"/>
      <c r="F609" s="79"/>
      <c r="G609" s="79"/>
      <c r="H609" s="79"/>
      <c r="I609" s="79"/>
      <c r="J609" s="79"/>
      <c r="K609" s="79"/>
      <c r="L609" s="79"/>
      <c r="M609" s="79"/>
      <c r="N609" s="79"/>
      <c r="O609" s="79"/>
      <c r="P609" s="79"/>
      <c r="Q609" s="79"/>
    </row>
    <row r="610" spans="1:17" ht="13.2">
      <c r="A610" s="79"/>
      <c r="B610" s="79"/>
      <c r="C610" s="79"/>
      <c r="D610" s="79"/>
      <c r="E610" s="79"/>
      <c r="F610" s="79"/>
      <c r="G610" s="79"/>
      <c r="H610" s="79"/>
      <c r="I610" s="79"/>
      <c r="J610" s="79"/>
      <c r="K610" s="79"/>
      <c r="L610" s="79"/>
      <c r="M610" s="79"/>
      <c r="N610" s="79"/>
      <c r="O610" s="79"/>
      <c r="P610" s="79"/>
      <c r="Q610" s="79"/>
    </row>
    <row r="611" spans="1:17" ht="13.2">
      <c r="A611" s="79"/>
      <c r="B611" s="79"/>
      <c r="C611" s="79"/>
      <c r="D611" s="79"/>
      <c r="E611" s="79"/>
      <c r="F611" s="79"/>
      <c r="G611" s="79"/>
      <c r="H611" s="79"/>
      <c r="I611" s="79"/>
      <c r="J611" s="79"/>
      <c r="K611" s="79"/>
      <c r="L611" s="79"/>
      <c r="M611" s="79"/>
      <c r="N611" s="79"/>
      <c r="O611" s="79"/>
      <c r="P611" s="79"/>
      <c r="Q611" s="79"/>
    </row>
    <row r="612" spans="1:17" ht="13.2">
      <c r="A612" s="79"/>
      <c r="B612" s="79"/>
      <c r="C612" s="79"/>
      <c r="D612" s="79"/>
      <c r="E612" s="79"/>
      <c r="F612" s="79"/>
      <c r="G612" s="79"/>
      <c r="H612" s="79"/>
      <c r="I612" s="79"/>
      <c r="J612" s="79"/>
      <c r="K612" s="79"/>
      <c r="L612" s="79"/>
      <c r="M612" s="79"/>
      <c r="N612" s="79"/>
      <c r="O612" s="79"/>
      <c r="P612" s="79"/>
      <c r="Q612" s="79"/>
    </row>
    <row r="613" spans="1:17" ht="13.2">
      <c r="A613" s="79"/>
      <c r="B613" s="79"/>
      <c r="C613" s="79"/>
      <c r="D613" s="79"/>
      <c r="E613" s="79"/>
      <c r="F613" s="79"/>
      <c r="G613" s="79"/>
      <c r="H613" s="79"/>
      <c r="I613" s="79"/>
      <c r="J613" s="79"/>
      <c r="K613" s="79"/>
      <c r="L613" s="79"/>
      <c r="M613" s="79"/>
      <c r="N613" s="79"/>
      <c r="O613" s="79"/>
      <c r="P613" s="79"/>
      <c r="Q613" s="79"/>
    </row>
    <row r="614" spans="1:17" ht="13.2">
      <c r="A614" s="79"/>
      <c r="B614" s="79"/>
      <c r="C614" s="79"/>
      <c r="D614" s="79"/>
      <c r="E614" s="79"/>
      <c r="F614" s="79"/>
      <c r="G614" s="79"/>
      <c r="H614" s="79"/>
      <c r="I614" s="79"/>
      <c r="J614" s="79"/>
      <c r="K614" s="79"/>
      <c r="L614" s="79"/>
      <c r="M614" s="79"/>
      <c r="N614" s="79"/>
      <c r="O614" s="79"/>
      <c r="P614" s="79"/>
      <c r="Q614" s="79"/>
    </row>
    <row r="615" spans="1:17" ht="13.2">
      <c r="A615" s="79"/>
      <c r="B615" s="79"/>
      <c r="C615" s="79"/>
      <c r="D615" s="79"/>
      <c r="E615" s="79"/>
      <c r="F615" s="79"/>
      <c r="G615" s="79"/>
      <c r="H615" s="79"/>
      <c r="I615" s="79"/>
      <c r="J615" s="79"/>
      <c r="K615" s="79"/>
      <c r="L615" s="79"/>
      <c r="M615" s="79"/>
      <c r="N615" s="79"/>
      <c r="O615" s="79"/>
      <c r="P615" s="79"/>
      <c r="Q615" s="79"/>
    </row>
    <row r="616" spans="1:17" ht="13.2">
      <c r="A616" s="79"/>
      <c r="B616" s="79"/>
      <c r="C616" s="79"/>
      <c r="D616" s="79"/>
      <c r="E616" s="79"/>
      <c r="F616" s="79"/>
      <c r="G616" s="79"/>
      <c r="H616" s="79"/>
      <c r="I616" s="79"/>
      <c r="J616" s="79"/>
      <c r="K616" s="79"/>
      <c r="L616" s="79"/>
      <c r="M616" s="79"/>
      <c r="N616" s="79"/>
      <c r="O616" s="79"/>
      <c r="P616" s="79"/>
      <c r="Q616" s="79"/>
    </row>
    <row r="617" spans="1:17" ht="13.2">
      <c r="A617" s="79"/>
      <c r="B617" s="79"/>
      <c r="C617" s="79"/>
      <c r="D617" s="79"/>
      <c r="E617" s="79"/>
      <c r="F617" s="79"/>
      <c r="G617" s="79"/>
      <c r="H617" s="79"/>
      <c r="I617" s="79"/>
      <c r="J617" s="79"/>
      <c r="K617" s="79"/>
      <c r="L617" s="79"/>
      <c r="M617" s="79"/>
      <c r="N617" s="79"/>
      <c r="O617" s="79"/>
      <c r="P617" s="79"/>
      <c r="Q617" s="79"/>
    </row>
    <row r="618" spans="1:17" ht="13.2">
      <c r="A618" s="79"/>
      <c r="B618" s="79"/>
      <c r="C618" s="79"/>
      <c r="D618" s="79"/>
      <c r="E618" s="79"/>
      <c r="F618" s="79"/>
      <c r="G618" s="79"/>
      <c r="H618" s="79"/>
      <c r="I618" s="79"/>
      <c r="J618" s="79"/>
      <c r="K618" s="79"/>
      <c r="L618" s="79"/>
      <c r="M618" s="79"/>
      <c r="N618" s="79"/>
      <c r="O618" s="79"/>
      <c r="P618" s="79"/>
      <c r="Q618" s="79"/>
    </row>
    <row r="619" spans="1:17" ht="13.2">
      <c r="A619" s="79"/>
      <c r="B619" s="79"/>
      <c r="C619" s="79"/>
      <c r="D619" s="79"/>
      <c r="E619" s="79"/>
      <c r="F619" s="79"/>
      <c r="G619" s="79"/>
      <c r="H619" s="79"/>
      <c r="I619" s="79"/>
      <c r="J619" s="79"/>
      <c r="K619" s="79"/>
      <c r="L619" s="79"/>
      <c r="M619" s="79"/>
      <c r="N619" s="79"/>
      <c r="O619" s="79"/>
      <c r="P619" s="79"/>
      <c r="Q619" s="79"/>
    </row>
    <row r="620" spans="1:17" ht="13.2">
      <c r="A620" s="79"/>
      <c r="B620" s="79"/>
      <c r="C620" s="79"/>
      <c r="D620" s="79"/>
      <c r="E620" s="79"/>
      <c r="F620" s="79"/>
      <c r="G620" s="79"/>
      <c r="H620" s="79"/>
      <c r="I620" s="79"/>
      <c r="J620" s="79"/>
      <c r="K620" s="79"/>
      <c r="L620" s="79"/>
      <c r="M620" s="79"/>
      <c r="N620" s="79"/>
      <c r="O620" s="79"/>
      <c r="P620" s="79"/>
      <c r="Q620" s="79"/>
    </row>
    <row r="621" spans="1:17" ht="13.2">
      <c r="A621" s="79"/>
      <c r="B621" s="79"/>
      <c r="C621" s="79"/>
      <c r="D621" s="79"/>
      <c r="E621" s="79"/>
      <c r="F621" s="79"/>
      <c r="G621" s="79"/>
      <c r="H621" s="79"/>
      <c r="I621" s="79"/>
      <c r="J621" s="79"/>
      <c r="K621" s="79"/>
      <c r="L621" s="79"/>
      <c r="M621" s="79"/>
      <c r="N621" s="79"/>
      <c r="O621" s="79"/>
      <c r="P621" s="79"/>
      <c r="Q621" s="79"/>
    </row>
    <row r="622" spans="1:17" ht="13.2">
      <c r="A622" s="79"/>
      <c r="B622" s="79"/>
      <c r="C622" s="79"/>
      <c r="D622" s="79"/>
      <c r="E622" s="79"/>
      <c r="F622" s="79"/>
      <c r="G622" s="79"/>
      <c r="H622" s="79"/>
      <c r="I622" s="79"/>
      <c r="J622" s="79"/>
      <c r="K622" s="79"/>
      <c r="L622" s="79"/>
      <c r="M622" s="79"/>
      <c r="N622" s="79"/>
      <c r="O622" s="79"/>
      <c r="P622" s="79"/>
      <c r="Q622" s="79"/>
    </row>
    <row r="623" spans="1:17" ht="13.2">
      <c r="A623" s="79"/>
      <c r="B623" s="79"/>
      <c r="C623" s="79"/>
      <c r="D623" s="79"/>
      <c r="E623" s="79"/>
      <c r="F623" s="79"/>
      <c r="G623" s="79"/>
      <c r="H623" s="79"/>
      <c r="I623" s="79"/>
      <c r="J623" s="79"/>
      <c r="K623" s="79"/>
      <c r="L623" s="79"/>
      <c r="M623" s="79"/>
      <c r="N623" s="79"/>
      <c r="O623" s="79"/>
      <c r="P623" s="79"/>
      <c r="Q623" s="79"/>
    </row>
    <row r="624" spans="1:17" ht="13.2">
      <c r="A624" s="79"/>
      <c r="B624" s="79"/>
      <c r="C624" s="79"/>
      <c r="D624" s="79"/>
      <c r="E624" s="79"/>
      <c r="F624" s="79"/>
      <c r="G624" s="79"/>
      <c r="H624" s="79"/>
      <c r="I624" s="79"/>
      <c r="J624" s="79"/>
      <c r="K624" s="79"/>
      <c r="L624" s="79"/>
      <c r="M624" s="79"/>
      <c r="N624" s="79"/>
      <c r="O624" s="79"/>
      <c r="P624" s="79"/>
      <c r="Q624" s="79"/>
    </row>
    <row r="625" spans="1:17" ht="13.2">
      <c r="A625" s="79"/>
      <c r="B625" s="79"/>
      <c r="C625" s="79"/>
      <c r="D625" s="79"/>
      <c r="E625" s="79"/>
      <c r="F625" s="79"/>
      <c r="G625" s="79"/>
      <c r="H625" s="79"/>
      <c r="I625" s="79"/>
      <c r="J625" s="79"/>
      <c r="K625" s="79"/>
      <c r="L625" s="79"/>
      <c r="M625" s="79"/>
      <c r="N625" s="79"/>
      <c r="O625" s="79"/>
      <c r="P625" s="79"/>
      <c r="Q625" s="79"/>
    </row>
    <row r="626" spans="1:17" ht="13.2">
      <c r="A626" s="79"/>
      <c r="B626" s="79"/>
      <c r="C626" s="79"/>
      <c r="D626" s="79"/>
      <c r="E626" s="79"/>
      <c r="F626" s="79"/>
      <c r="G626" s="79"/>
      <c r="H626" s="79"/>
      <c r="I626" s="79"/>
      <c r="J626" s="79"/>
      <c r="K626" s="79"/>
      <c r="L626" s="79"/>
      <c r="M626" s="79"/>
      <c r="N626" s="79"/>
      <c r="O626" s="79"/>
      <c r="P626" s="79"/>
      <c r="Q626" s="79"/>
    </row>
    <row r="627" spans="1:17" ht="13.2">
      <c r="A627" s="79"/>
      <c r="B627" s="79"/>
      <c r="C627" s="79"/>
      <c r="D627" s="79"/>
      <c r="E627" s="79"/>
      <c r="F627" s="79"/>
      <c r="G627" s="79"/>
      <c r="H627" s="79"/>
      <c r="I627" s="79"/>
      <c r="J627" s="79"/>
      <c r="K627" s="79"/>
      <c r="L627" s="79"/>
      <c r="M627" s="79"/>
      <c r="N627" s="79"/>
      <c r="O627" s="79"/>
      <c r="P627" s="79"/>
      <c r="Q627" s="79"/>
    </row>
    <row r="628" spans="1:17" ht="13.2">
      <c r="A628" s="79"/>
      <c r="B628" s="79"/>
      <c r="C628" s="79"/>
      <c r="D628" s="79"/>
      <c r="E628" s="79"/>
      <c r="F628" s="79"/>
      <c r="G628" s="79"/>
      <c r="H628" s="79"/>
      <c r="I628" s="79"/>
      <c r="J628" s="79"/>
      <c r="K628" s="79"/>
      <c r="L628" s="79"/>
      <c r="M628" s="79"/>
      <c r="N628" s="79"/>
      <c r="O628" s="79"/>
      <c r="P628" s="79"/>
      <c r="Q628" s="79"/>
    </row>
    <row r="629" spans="1:17" ht="13.2">
      <c r="A629" s="79"/>
      <c r="B629" s="79"/>
      <c r="C629" s="79"/>
      <c r="D629" s="79"/>
      <c r="E629" s="79"/>
      <c r="F629" s="79"/>
      <c r="G629" s="79"/>
      <c r="H629" s="79"/>
      <c r="I629" s="79"/>
      <c r="J629" s="79"/>
      <c r="K629" s="79"/>
      <c r="L629" s="79"/>
      <c r="M629" s="79"/>
      <c r="N629" s="79"/>
      <c r="O629" s="79"/>
      <c r="P629" s="79"/>
      <c r="Q629" s="79"/>
    </row>
    <row r="630" spans="1:17" ht="13.2">
      <c r="A630" s="79"/>
      <c r="B630" s="79"/>
      <c r="C630" s="79"/>
      <c r="D630" s="79"/>
      <c r="E630" s="79"/>
      <c r="F630" s="79"/>
      <c r="G630" s="79"/>
      <c r="H630" s="79"/>
      <c r="I630" s="79"/>
      <c r="J630" s="79"/>
      <c r="K630" s="79"/>
      <c r="L630" s="79"/>
      <c r="M630" s="79"/>
      <c r="N630" s="79"/>
      <c r="O630" s="79"/>
      <c r="P630" s="79"/>
      <c r="Q630" s="79"/>
    </row>
    <row r="631" spans="1:17" ht="13.2">
      <c r="A631" s="79"/>
      <c r="B631" s="79"/>
      <c r="C631" s="79"/>
      <c r="D631" s="79"/>
      <c r="E631" s="79"/>
      <c r="F631" s="79"/>
      <c r="G631" s="79"/>
      <c r="H631" s="79"/>
      <c r="I631" s="79"/>
      <c r="J631" s="79"/>
      <c r="K631" s="79"/>
      <c r="L631" s="79"/>
      <c r="M631" s="79"/>
      <c r="N631" s="79"/>
      <c r="O631" s="79"/>
      <c r="P631" s="79"/>
      <c r="Q631" s="79"/>
    </row>
    <row r="632" spans="1:17" ht="13.2">
      <c r="A632" s="79"/>
      <c r="B632" s="79"/>
      <c r="C632" s="79"/>
      <c r="D632" s="79"/>
      <c r="E632" s="79"/>
      <c r="F632" s="79"/>
      <c r="G632" s="79"/>
      <c r="H632" s="79"/>
      <c r="I632" s="79"/>
      <c r="J632" s="79"/>
      <c r="K632" s="79"/>
      <c r="L632" s="79"/>
      <c r="M632" s="79"/>
      <c r="N632" s="79"/>
      <c r="O632" s="79"/>
      <c r="P632" s="79"/>
      <c r="Q632" s="79"/>
    </row>
    <row r="633" spans="1:17" ht="13.2">
      <c r="A633" s="79"/>
      <c r="B633" s="79"/>
      <c r="C633" s="79"/>
      <c r="D633" s="79"/>
      <c r="E633" s="79"/>
      <c r="F633" s="79"/>
      <c r="G633" s="79"/>
      <c r="H633" s="79"/>
      <c r="I633" s="79"/>
      <c r="J633" s="79"/>
      <c r="K633" s="79"/>
      <c r="L633" s="79"/>
      <c r="M633" s="79"/>
      <c r="N633" s="79"/>
      <c r="O633" s="79"/>
      <c r="P633" s="79"/>
      <c r="Q633" s="79"/>
    </row>
    <row r="634" spans="1:17" ht="13.2">
      <c r="A634" s="79"/>
      <c r="B634" s="79"/>
      <c r="C634" s="79"/>
      <c r="D634" s="79"/>
      <c r="E634" s="79"/>
      <c r="F634" s="79"/>
      <c r="G634" s="79"/>
      <c r="H634" s="79"/>
      <c r="I634" s="79"/>
      <c r="J634" s="79"/>
      <c r="K634" s="79"/>
      <c r="L634" s="79"/>
      <c r="M634" s="79"/>
      <c r="N634" s="79"/>
      <c r="O634" s="79"/>
      <c r="P634" s="79"/>
      <c r="Q634" s="79"/>
    </row>
    <row r="635" spans="1:17" ht="13.2">
      <c r="A635" s="79"/>
      <c r="B635" s="79"/>
      <c r="C635" s="79"/>
      <c r="D635" s="79"/>
      <c r="E635" s="79"/>
      <c r="F635" s="79"/>
      <c r="G635" s="79"/>
      <c r="H635" s="79"/>
      <c r="I635" s="79"/>
      <c r="J635" s="79"/>
      <c r="K635" s="79"/>
      <c r="L635" s="79"/>
      <c r="M635" s="79"/>
      <c r="N635" s="79"/>
      <c r="O635" s="79"/>
      <c r="P635" s="79"/>
      <c r="Q635" s="79"/>
    </row>
    <row r="636" spans="1:17" ht="13.2">
      <c r="A636" s="79"/>
      <c r="B636" s="79"/>
      <c r="C636" s="79"/>
      <c r="D636" s="79"/>
      <c r="E636" s="79"/>
      <c r="F636" s="79"/>
      <c r="G636" s="79"/>
      <c r="H636" s="79"/>
      <c r="I636" s="79"/>
      <c r="J636" s="79"/>
      <c r="K636" s="79"/>
      <c r="L636" s="79"/>
      <c r="M636" s="79"/>
      <c r="N636" s="79"/>
      <c r="O636" s="79"/>
      <c r="P636" s="79"/>
      <c r="Q636" s="79"/>
    </row>
    <row r="637" spans="1:17" ht="13.2">
      <c r="A637" s="79"/>
      <c r="B637" s="79"/>
      <c r="C637" s="79"/>
      <c r="D637" s="79"/>
      <c r="E637" s="79"/>
      <c r="F637" s="79"/>
      <c r="G637" s="79"/>
      <c r="H637" s="79"/>
      <c r="I637" s="79"/>
      <c r="J637" s="79"/>
      <c r="K637" s="79"/>
      <c r="L637" s="79"/>
      <c r="M637" s="79"/>
      <c r="N637" s="79"/>
      <c r="O637" s="79"/>
      <c r="P637" s="79"/>
      <c r="Q637" s="79"/>
    </row>
    <row r="638" spans="1:17" ht="13.2">
      <c r="A638" s="79"/>
      <c r="B638" s="79"/>
      <c r="C638" s="79"/>
      <c r="D638" s="79"/>
      <c r="E638" s="79"/>
      <c r="F638" s="79"/>
      <c r="G638" s="79"/>
      <c r="H638" s="79"/>
      <c r="I638" s="79"/>
      <c r="J638" s="79"/>
      <c r="K638" s="79"/>
      <c r="L638" s="79"/>
      <c r="M638" s="79"/>
      <c r="N638" s="79"/>
      <c r="O638" s="79"/>
      <c r="P638" s="79"/>
      <c r="Q638" s="79"/>
    </row>
    <row r="639" spans="1:17" ht="13.2">
      <c r="A639" s="79"/>
      <c r="B639" s="79"/>
      <c r="C639" s="79"/>
      <c r="D639" s="79"/>
      <c r="E639" s="79"/>
      <c r="F639" s="79"/>
      <c r="G639" s="79"/>
      <c r="H639" s="79"/>
      <c r="I639" s="79"/>
      <c r="J639" s="79"/>
      <c r="K639" s="79"/>
      <c r="L639" s="79"/>
      <c r="M639" s="79"/>
      <c r="N639" s="79"/>
      <c r="O639" s="79"/>
      <c r="P639" s="79"/>
      <c r="Q639" s="79"/>
    </row>
    <row r="640" spans="1:17" ht="13.2">
      <c r="A640" s="79"/>
      <c r="B640" s="79"/>
      <c r="C640" s="79"/>
      <c r="D640" s="79"/>
      <c r="E640" s="79"/>
      <c r="F640" s="79"/>
      <c r="G640" s="79"/>
      <c r="H640" s="79"/>
      <c r="I640" s="79"/>
      <c r="J640" s="79"/>
      <c r="K640" s="79"/>
      <c r="L640" s="79"/>
      <c r="M640" s="79"/>
      <c r="N640" s="79"/>
      <c r="O640" s="79"/>
      <c r="P640" s="79"/>
      <c r="Q640" s="79"/>
    </row>
    <row r="641" spans="1:17" ht="13.2">
      <c r="A641" s="79"/>
      <c r="B641" s="79"/>
      <c r="C641" s="79"/>
      <c r="D641" s="79"/>
      <c r="E641" s="79"/>
      <c r="F641" s="79"/>
      <c r="G641" s="79"/>
      <c r="H641" s="79"/>
      <c r="I641" s="79"/>
      <c r="J641" s="79"/>
      <c r="K641" s="79"/>
      <c r="L641" s="79"/>
      <c r="M641" s="79"/>
      <c r="N641" s="79"/>
      <c r="O641" s="79"/>
      <c r="P641" s="79"/>
      <c r="Q641" s="79"/>
    </row>
    <row r="642" spans="1:17" ht="13.2">
      <c r="A642" s="79"/>
      <c r="B642" s="79"/>
      <c r="C642" s="79"/>
      <c r="D642" s="79"/>
      <c r="E642" s="79"/>
      <c r="F642" s="79"/>
      <c r="G642" s="79"/>
      <c r="H642" s="79"/>
      <c r="I642" s="79"/>
      <c r="J642" s="79"/>
      <c r="K642" s="79"/>
      <c r="L642" s="79"/>
      <c r="M642" s="79"/>
      <c r="N642" s="79"/>
      <c r="O642" s="79"/>
      <c r="P642" s="79"/>
      <c r="Q642" s="79"/>
    </row>
    <row r="643" spans="1:17" ht="13.2">
      <c r="A643" s="79"/>
      <c r="B643" s="79"/>
      <c r="C643" s="79"/>
      <c r="D643" s="79"/>
      <c r="E643" s="79"/>
      <c r="F643" s="79"/>
      <c r="G643" s="79"/>
      <c r="H643" s="79"/>
      <c r="I643" s="79"/>
      <c r="J643" s="79"/>
      <c r="K643" s="79"/>
      <c r="L643" s="79"/>
      <c r="M643" s="79"/>
      <c r="N643" s="79"/>
      <c r="O643" s="79"/>
      <c r="P643" s="79"/>
      <c r="Q643" s="79"/>
    </row>
    <row r="644" spans="1:17" ht="13.2">
      <c r="A644" s="79"/>
      <c r="B644" s="79"/>
      <c r="C644" s="79"/>
      <c r="D644" s="79"/>
      <c r="E644" s="79"/>
      <c r="F644" s="79"/>
      <c r="G644" s="79"/>
      <c r="H644" s="79"/>
      <c r="I644" s="79"/>
      <c r="J644" s="79"/>
      <c r="K644" s="79"/>
      <c r="L644" s="79"/>
      <c r="M644" s="79"/>
      <c r="N644" s="79"/>
      <c r="O644" s="79"/>
      <c r="P644" s="79"/>
      <c r="Q644" s="79"/>
    </row>
    <row r="645" spans="1:17" ht="13.2">
      <c r="A645" s="79"/>
      <c r="B645" s="79"/>
      <c r="C645" s="79"/>
      <c r="D645" s="79"/>
      <c r="E645" s="79"/>
      <c r="F645" s="79"/>
      <c r="G645" s="79"/>
      <c r="H645" s="79"/>
      <c r="I645" s="79"/>
      <c r="J645" s="79"/>
      <c r="K645" s="79"/>
      <c r="L645" s="79"/>
      <c r="M645" s="79"/>
      <c r="N645" s="79"/>
      <c r="O645" s="79"/>
      <c r="P645" s="79"/>
      <c r="Q645" s="79"/>
    </row>
    <row r="646" spans="1:17" ht="13.2">
      <c r="A646" s="79"/>
      <c r="B646" s="79"/>
      <c r="C646" s="79"/>
      <c r="D646" s="79"/>
      <c r="E646" s="79"/>
      <c r="F646" s="79"/>
      <c r="G646" s="79"/>
      <c r="H646" s="79"/>
      <c r="I646" s="79"/>
      <c r="J646" s="79"/>
      <c r="K646" s="79"/>
      <c r="L646" s="79"/>
      <c r="M646" s="79"/>
      <c r="N646" s="79"/>
      <c r="O646" s="79"/>
      <c r="P646" s="79"/>
      <c r="Q646" s="79"/>
    </row>
    <row r="647" spans="1:17" ht="13.2">
      <c r="A647" s="79"/>
      <c r="B647" s="79"/>
      <c r="C647" s="79"/>
      <c r="D647" s="79"/>
      <c r="E647" s="79"/>
      <c r="F647" s="79"/>
      <c r="G647" s="79"/>
      <c r="H647" s="79"/>
      <c r="I647" s="79"/>
      <c r="J647" s="79"/>
      <c r="K647" s="79"/>
      <c r="L647" s="79"/>
      <c r="M647" s="79"/>
      <c r="N647" s="79"/>
      <c r="O647" s="79"/>
      <c r="P647" s="79"/>
      <c r="Q647" s="79"/>
    </row>
    <row r="648" spans="1:17" ht="13.2">
      <c r="A648" s="79"/>
      <c r="B648" s="79"/>
      <c r="C648" s="79"/>
      <c r="D648" s="79"/>
      <c r="E648" s="79"/>
      <c r="F648" s="79"/>
      <c r="G648" s="79"/>
      <c r="H648" s="79"/>
      <c r="I648" s="79"/>
      <c r="J648" s="79"/>
      <c r="K648" s="79"/>
      <c r="L648" s="79"/>
      <c r="M648" s="79"/>
      <c r="N648" s="79"/>
      <c r="O648" s="79"/>
      <c r="P648" s="79"/>
      <c r="Q648" s="79"/>
    </row>
    <row r="649" spans="1:17" ht="13.2">
      <c r="A649" s="79"/>
      <c r="B649" s="79"/>
      <c r="C649" s="79"/>
      <c r="D649" s="79"/>
      <c r="E649" s="79"/>
      <c r="F649" s="79"/>
      <c r="G649" s="79"/>
      <c r="H649" s="79"/>
      <c r="I649" s="79"/>
      <c r="J649" s="79"/>
      <c r="K649" s="79"/>
      <c r="L649" s="79"/>
      <c r="M649" s="79"/>
      <c r="N649" s="79"/>
      <c r="O649" s="79"/>
      <c r="P649" s="79"/>
      <c r="Q649" s="79"/>
    </row>
    <row r="650" spans="1:17" ht="13.2">
      <c r="A650" s="79"/>
      <c r="B650" s="79"/>
      <c r="C650" s="79"/>
      <c r="D650" s="79"/>
      <c r="E650" s="79"/>
      <c r="F650" s="79"/>
      <c r="G650" s="79"/>
      <c r="H650" s="79"/>
      <c r="I650" s="79"/>
      <c r="J650" s="79"/>
      <c r="K650" s="79"/>
      <c r="L650" s="79"/>
      <c r="M650" s="79"/>
      <c r="N650" s="79"/>
      <c r="O650" s="79"/>
      <c r="P650" s="79"/>
      <c r="Q650" s="79"/>
    </row>
    <row r="651" spans="1:17" ht="13.2">
      <c r="A651" s="79"/>
      <c r="B651" s="79"/>
      <c r="C651" s="79"/>
      <c r="D651" s="79"/>
      <c r="E651" s="79"/>
      <c r="F651" s="79"/>
      <c r="G651" s="79"/>
      <c r="H651" s="79"/>
      <c r="I651" s="79"/>
      <c r="J651" s="79"/>
      <c r="K651" s="79"/>
      <c r="L651" s="79"/>
      <c r="M651" s="79"/>
      <c r="N651" s="79"/>
      <c r="O651" s="79"/>
      <c r="P651" s="79"/>
      <c r="Q651" s="79"/>
    </row>
    <row r="652" spans="1:17" ht="13.2">
      <c r="A652" s="79"/>
      <c r="B652" s="79"/>
      <c r="C652" s="79"/>
      <c r="D652" s="79"/>
      <c r="E652" s="79"/>
      <c r="F652" s="79"/>
      <c r="G652" s="79"/>
      <c r="H652" s="79"/>
      <c r="I652" s="79"/>
      <c r="J652" s="79"/>
      <c r="K652" s="79"/>
      <c r="L652" s="79"/>
      <c r="M652" s="79"/>
      <c r="N652" s="79"/>
      <c r="O652" s="79"/>
      <c r="P652" s="79"/>
      <c r="Q652" s="79"/>
    </row>
    <row r="653" spans="1:17" ht="13.2">
      <c r="A653" s="79"/>
      <c r="B653" s="79"/>
      <c r="C653" s="79"/>
      <c r="D653" s="79"/>
      <c r="E653" s="79"/>
      <c r="F653" s="79"/>
      <c r="G653" s="79"/>
      <c r="H653" s="79"/>
      <c r="I653" s="79"/>
      <c r="J653" s="79"/>
      <c r="K653" s="79"/>
      <c r="L653" s="79"/>
      <c r="M653" s="79"/>
      <c r="N653" s="79"/>
      <c r="O653" s="79"/>
      <c r="P653" s="79"/>
      <c r="Q653" s="79"/>
    </row>
    <row r="654" spans="1:17" ht="13.2">
      <c r="A654" s="79"/>
      <c r="B654" s="79"/>
      <c r="C654" s="79"/>
      <c r="D654" s="79"/>
      <c r="E654" s="79"/>
      <c r="F654" s="79"/>
      <c r="G654" s="79"/>
      <c r="H654" s="79"/>
      <c r="I654" s="79"/>
      <c r="J654" s="79"/>
      <c r="K654" s="79"/>
      <c r="L654" s="79"/>
      <c r="M654" s="79"/>
      <c r="N654" s="79"/>
      <c r="O654" s="79"/>
      <c r="P654" s="79"/>
      <c r="Q654" s="79"/>
    </row>
    <row r="655" spans="1:17" ht="13.2">
      <c r="A655" s="79"/>
      <c r="B655" s="79"/>
      <c r="C655" s="79"/>
      <c r="D655" s="79"/>
      <c r="E655" s="79"/>
      <c r="F655" s="79"/>
      <c r="G655" s="79"/>
      <c r="H655" s="79"/>
      <c r="I655" s="79"/>
      <c r="J655" s="79"/>
      <c r="K655" s="79"/>
      <c r="L655" s="79"/>
      <c r="M655" s="79"/>
      <c r="N655" s="79"/>
      <c r="O655" s="79"/>
      <c r="P655" s="79"/>
      <c r="Q655" s="79"/>
    </row>
    <row r="656" spans="1:17" ht="13.2">
      <c r="A656" s="79"/>
      <c r="B656" s="79"/>
      <c r="C656" s="79"/>
      <c r="D656" s="79"/>
      <c r="E656" s="79"/>
      <c r="F656" s="79"/>
      <c r="G656" s="79"/>
      <c r="H656" s="79"/>
      <c r="I656" s="79"/>
      <c r="J656" s="79"/>
      <c r="K656" s="79"/>
      <c r="L656" s="79"/>
      <c r="M656" s="79"/>
      <c r="N656" s="79"/>
      <c r="O656" s="79"/>
      <c r="P656" s="79"/>
      <c r="Q656" s="79"/>
    </row>
    <row r="657" spans="1:17" ht="13.2">
      <c r="A657" s="79"/>
      <c r="B657" s="79"/>
      <c r="C657" s="79"/>
      <c r="D657" s="79"/>
      <c r="E657" s="79"/>
      <c r="F657" s="79"/>
      <c r="G657" s="79"/>
      <c r="H657" s="79"/>
      <c r="I657" s="79"/>
      <c r="J657" s="79"/>
      <c r="K657" s="79"/>
      <c r="L657" s="79"/>
      <c r="M657" s="79"/>
      <c r="N657" s="79"/>
      <c r="O657" s="79"/>
      <c r="P657" s="79"/>
      <c r="Q657" s="79"/>
    </row>
    <row r="658" spans="1:17" ht="13.2">
      <c r="A658" s="79"/>
      <c r="B658" s="79"/>
      <c r="C658" s="79"/>
      <c r="D658" s="79"/>
      <c r="E658" s="79"/>
      <c r="F658" s="79"/>
      <c r="G658" s="79"/>
      <c r="H658" s="79"/>
      <c r="I658" s="79"/>
      <c r="J658" s="79"/>
      <c r="K658" s="79"/>
      <c r="L658" s="79"/>
      <c r="M658" s="79"/>
      <c r="N658" s="79"/>
      <c r="O658" s="79"/>
      <c r="P658" s="79"/>
      <c r="Q658" s="79"/>
    </row>
    <row r="659" spans="1:17" ht="13.2">
      <c r="A659" s="79"/>
      <c r="B659" s="79"/>
      <c r="C659" s="79"/>
      <c r="D659" s="79"/>
      <c r="E659" s="79"/>
      <c r="F659" s="79"/>
      <c r="G659" s="79"/>
      <c r="H659" s="79"/>
      <c r="I659" s="79"/>
      <c r="J659" s="79"/>
      <c r="K659" s="79"/>
      <c r="L659" s="79"/>
      <c r="M659" s="79"/>
      <c r="N659" s="79"/>
      <c r="O659" s="79"/>
      <c r="P659" s="79"/>
      <c r="Q659" s="79"/>
    </row>
    <row r="660" spans="1:17" ht="13.2">
      <c r="A660" s="79"/>
      <c r="B660" s="79"/>
      <c r="C660" s="79"/>
      <c r="D660" s="79"/>
      <c r="E660" s="79"/>
      <c r="F660" s="79"/>
      <c r="G660" s="79"/>
      <c r="H660" s="79"/>
      <c r="I660" s="79"/>
      <c r="J660" s="79"/>
      <c r="K660" s="79"/>
      <c r="L660" s="79"/>
      <c r="M660" s="79"/>
      <c r="N660" s="79"/>
      <c r="O660" s="79"/>
      <c r="P660" s="79"/>
      <c r="Q660" s="79"/>
    </row>
    <row r="661" spans="1:17" ht="13.2">
      <c r="A661" s="79"/>
      <c r="B661" s="79"/>
      <c r="C661" s="79"/>
      <c r="D661" s="79"/>
      <c r="E661" s="79"/>
      <c r="F661" s="79"/>
      <c r="G661" s="79"/>
      <c r="H661" s="79"/>
      <c r="I661" s="79"/>
      <c r="J661" s="79"/>
      <c r="K661" s="79"/>
      <c r="L661" s="79"/>
      <c r="M661" s="79"/>
      <c r="N661" s="79"/>
      <c r="O661" s="79"/>
      <c r="P661" s="79"/>
      <c r="Q661" s="79"/>
    </row>
    <row r="662" spans="1:17" ht="13.2">
      <c r="A662" s="79"/>
      <c r="B662" s="79"/>
      <c r="C662" s="79"/>
      <c r="D662" s="79"/>
      <c r="E662" s="79"/>
      <c r="F662" s="79"/>
      <c r="G662" s="79"/>
      <c r="H662" s="79"/>
      <c r="I662" s="79"/>
      <c r="J662" s="79"/>
      <c r="K662" s="79"/>
      <c r="L662" s="79"/>
      <c r="M662" s="79"/>
      <c r="N662" s="79"/>
      <c r="O662" s="79"/>
      <c r="P662" s="79"/>
      <c r="Q662" s="79"/>
    </row>
    <row r="663" spans="1:17" ht="13.2">
      <c r="A663" s="79"/>
      <c r="B663" s="79"/>
      <c r="C663" s="79"/>
      <c r="D663" s="79"/>
      <c r="E663" s="79"/>
      <c r="F663" s="79"/>
      <c r="G663" s="79"/>
      <c r="H663" s="79"/>
      <c r="I663" s="79"/>
      <c r="J663" s="79"/>
      <c r="K663" s="79"/>
      <c r="L663" s="79"/>
      <c r="M663" s="79"/>
      <c r="N663" s="79"/>
      <c r="O663" s="79"/>
      <c r="P663" s="79"/>
      <c r="Q663" s="79"/>
    </row>
    <row r="664" spans="1:17" ht="13.2">
      <c r="A664" s="79"/>
      <c r="B664" s="79"/>
      <c r="C664" s="79"/>
      <c r="D664" s="79"/>
      <c r="E664" s="79"/>
      <c r="F664" s="79"/>
      <c r="G664" s="79"/>
      <c r="H664" s="79"/>
      <c r="I664" s="79"/>
      <c r="J664" s="79"/>
      <c r="K664" s="79"/>
      <c r="L664" s="79"/>
      <c r="M664" s="79"/>
      <c r="N664" s="79"/>
      <c r="O664" s="79"/>
      <c r="P664" s="79"/>
      <c r="Q664" s="79"/>
    </row>
    <row r="665" spans="1:17" ht="13.2">
      <c r="A665" s="79"/>
      <c r="B665" s="79"/>
      <c r="C665" s="79"/>
      <c r="D665" s="79"/>
      <c r="E665" s="79"/>
      <c r="F665" s="79"/>
      <c r="G665" s="79"/>
      <c r="H665" s="79"/>
      <c r="I665" s="79"/>
      <c r="J665" s="79"/>
      <c r="K665" s="79"/>
      <c r="L665" s="79"/>
      <c r="M665" s="79"/>
      <c r="N665" s="79"/>
      <c r="O665" s="79"/>
      <c r="P665" s="79"/>
      <c r="Q665" s="79"/>
    </row>
    <row r="666" spans="1:17" ht="13.2">
      <c r="A666" s="79"/>
      <c r="B666" s="79"/>
      <c r="C666" s="79"/>
      <c r="D666" s="79"/>
      <c r="E666" s="79"/>
      <c r="F666" s="79"/>
      <c r="G666" s="79"/>
      <c r="H666" s="79"/>
      <c r="I666" s="79"/>
      <c r="J666" s="79"/>
      <c r="K666" s="79"/>
      <c r="L666" s="79"/>
      <c r="M666" s="79"/>
      <c r="N666" s="79"/>
      <c r="O666" s="79"/>
      <c r="P666" s="79"/>
      <c r="Q666" s="79"/>
    </row>
    <row r="667" spans="1:17" ht="13.2">
      <c r="A667" s="79"/>
      <c r="B667" s="79"/>
      <c r="C667" s="79"/>
      <c r="D667" s="79"/>
      <c r="E667" s="79"/>
      <c r="F667" s="79"/>
      <c r="G667" s="79"/>
      <c r="H667" s="79"/>
      <c r="I667" s="79"/>
      <c r="J667" s="79"/>
      <c r="K667" s="79"/>
      <c r="L667" s="79"/>
      <c r="M667" s="79"/>
      <c r="N667" s="79"/>
      <c r="O667" s="79"/>
      <c r="P667" s="79"/>
      <c r="Q667" s="79"/>
    </row>
    <row r="668" spans="1:17" ht="13.2">
      <c r="A668" s="79"/>
      <c r="B668" s="79"/>
      <c r="C668" s="79"/>
      <c r="D668" s="79"/>
      <c r="E668" s="79"/>
      <c r="F668" s="79"/>
      <c r="G668" s="79"/>
      <c r="H668" s="79"/>
      <c r="I668" s="79"/>
      <c r="J668" s="79"/>
      <c r="K668" s="79"/>
      <c r="L668" s="79"/>
      <c r="M668" s="79"/>
      <c r="N668" s="79"/>
      <c r="O668" s="79"/>
      <c r="P668" s="79"/>
      <c r="Q668" s="79"/>
    </row>
    <row r="669" spans="1:17" ht="13.2">
      <c r="A669" s="79"/>
      <c r="B669" s="79"/>
      <c r="C669" s="79"/>
      <c r="D669" s="79"/>
      <c r="E669" s="79"/>
      <c r="F669" s="79"/>
      <c r="G669" s="79"/>
      <c r="H669" s="79"/>
      <c r="I669" s="79"/>
      <c r="J669" s="79"/>
      <c r="K669" s="79"/>
      <c r="L669" s="79"/>
      <c r="M669" s="79"/>
      <c r="N669" s="79"/>
      <c r="O669" s="79"/>
      <c r="P669" s="79"/>
      <c r="Q669" s="79"/>
    </row>
    <row r="670" spans="1:17" ht="13.2">
      <c r="A670" s="79"/>
      <c r="B670" s="79"/>
      <c r="C670" s="79"/>
      <c r="D670" s="79"/>
      <c r="E670" s="79"/>
      <c r="F670" s="79"/>
      <c r="G670" s="79"/>
      <c r="H670" s="79"/>
      <c r="I670" s="79"/>
      <c r="J670" s="79"/>
      <c r="K670" s="79"/>
      <c r="L670" s="79"/>
      <c r="M670" s="79"/>
      <c r="N670" s="79"/>
      <c r="O670" s="79"/>
      <c r="P670" s="79"/>
      <c r="Q670" s="79"/>
    </row>
    <row r="671" spans="1:17" ht="13.2">
      <c r="A671" s="79"/>
      <c r="B671" s="79"/>
      <c r="C671" s="79"/>
      <c r="D671" s="79"/>
      <c r="E671" s="79"/>
      <c r="F671" s="79"/>
      <c r="G671" s="79"/>
      <c r="H671" s="79"/>
      <c r="I671" s="79"/>
      <c r="J671" s="79"/>
      <c r="K671" s="79"/>
      <c r="L671" s="79"/>
      <c r="M671" s="79"/>
      <c r="N671" s="79"/>
      <c r="O671" s="79"/>
      <c r="P671" s="79"/>
      <c r="Q671" s="79"/>
    </row>
    <row r="672" spans="1:17" ht="13.2">
      <c r="A672" s="79"/>
      <c r="B672" s="79"/>
      <c r="C672" s="79"/>
      <c r="D672" s="79"/>
      <c r="E672" s="79"/>
      <c r="F672" s="79"/>
      <c r="G672" s="79"/>
      <c r="H672" s="79"/>
      <c r="I672" s="79"/>
      <c r="J672" s="79"/>
      <c r="K672" s="79"/>
      <c r="L672" s="79"/>
      <c r="M672" s="79"/>
      <c r="N672" s="79"/>
      <c r="O672" s="79"/>
      <c r="P672" s="79"/>
      <c r="Q672" s="79"/>
    </row>
    <row r="673" spans="1:17" ht="13.2">
      <c r="A673" s="79"/>
      <c r="B673" s="79"/>
      <c r="C673" s="79"/>
      <c r="D673" s="79"/>
      <c r="E673" s="79"/>
      <c r="F673" s="79"/>
      <c r="G673" s="79"/>
      <c r="H673" s="79"/>
      <c r="I673" s="79"/>
      <c r="J673" s="79"/>
      <c r="K673" s="79"/>
      <c r="L673" s="79"/>
      <c r="M673" s="79"/>
      <c r="N673" s="79"/>
      <c r="O673" s="79"/>
      <c r="P673" s="79"/>
      <c r="Q673" s="79"/>
    </row>
    <row r="674" spans="1:17" ht="13.2">
      <c r="A674" s="79"/>
      <c r="B674" s="79"/>
      <c r="C674" s="79"/>
      <c r="D674" s="79"/>
      <c r="E674" s="79"/>
      <c r="F674" s="79"/>
      <c r="G674" s="79"/>
      <c r="H674" s="79"/>
      <c r="I674" s="79"/>
      <c r="J674" s="79"/>
      <c r="K674" s="79"/>
      <c r="L674" s="79"/>
      <c r="M674" s="79"/>
      <c r="N674" s="79"/>
      <c r="O674" s="79"/>
      <c r="P674" s="79"/>
      <c r="Q674" s="79"/>
    </row>
    <row r="675" spans="1:17" ht="13.2">
      <c r="A675" s="79"/>
      <c r="B675" s="79"/>
      <c r="C675" s="79"/>
      <c r="D675" s="79"/>
      <c r="E675" s="79"/>
      <c r="F675" s="79"/>
      <c r="G675" s="79"/>
      <c r="H675" s="79"/>
      <c r="I675" s="79"/>
      <c r="J675" s="79"/>
      <c r="K675" s="79"/>
      <c r="L675" s="79"/>
      <c r="M675" s="79"/>
      <c r="N675" s="79"/>
      <c r="O675" s="79"/>
      <c r="P675" s="79"/>
      <c r="Q675" s="79"/>
    </row>
    <row r="676" spans="1:17" ht="13.2">
      <c r="A676" s="79"/>
      <c r="B676" s="79"/>
      <c r="C676" s="79"/>
      <c r="D676" s="79"/>
      <c r="E676" s="79"/>
      <c r="F676" s="79"/>
      <c r="G676" s="79"/>
      <c r="H676" s="79"/>
      <c r="I676" s="79"/>
      <c r="J676" s="79"/>
      <c r="K676" s="79"/>
      <c r="L676" s="79"/>
      <c r="M676" s="79"/>
      <c r="N676" s="79"/>
      <c r="O676" s="79"/>
      <c r="P676" s="79"/>
      <c r="Q676" s="79"/>
    </row>
    <row r="677" spans="1:17" ht="13.2">
      <c r="A677" s="79"/>
      <c r="B677" s="79"/>
      <c r="C677" s="79"/>
      <c r="D677" s="79"/>
      <c r="E677" s="79"/>
      <c r="F677" s="79"/>
      <c r="G677" s="79"/>
      <c r="H677" s="79"/>
      <c r="I677" s="79"/>
      <c r="J677" s="79"/>
      <c r="K677" s="79"/>
      <c r="L677" s="79"/>
      <c r="M677" s="79"/>
      <c r="N677" s="79"/>
      <c r="O677" s="79"/>
      <c r="P677" s="79"/>
      <c r="Q677" s="79"/>
    </row>
    <row r="678" spans="1:17" ht="13.2">
      <c r="A678" s="79"/>
      <c r="B678" s="79"/>
      <c r="C678" s="79"/>
      <c r="D678" s="79"/>
      <c r="E678" s="79"/>
      <c r="F678" s="79"/>
      <c r="G678" s="79"/>
      <c r="H678" s="79"/>
      <c r="I678" s="79"/>
      <c r="J678" s="79"/>
      <c r="K678" s="79"/>
      <c r="L678" s="79"/>
      <c r="M678" s="79"/>
      <c r="N678" s="79"/>
      <c r="O678" s="79"/>
      <c r="P678" s="79"/>
      <c r="Q678" s="79"/>
    </row>
    <row r="679" spans="1:17" ht="13.2">
      <c r="A679" s="79"/>
      <c r="B679" s="79"/>
      <c r="C679" s="79"/>
      <c r="D679" s="79"/>
      <c r="E679" s="79"/>
      <c r="F679" s="79"/>
      <c r="G679" s="79"/>
      <c r="H679" s="79"/>
      <c r="I679" s="79"/>
      <c r="J679" s="79"/>
      <c r="K679" s="79"/>
      <c r="L679" s="79"/>
      <c r="M679" s="79"/>
      <c r="N679" s="79"/>
      <c r="O679" s="79"/>
      <c r="P679" s="79"/>
      <c r="Q679" s="79"/>
    </row>
    <row r="680" spans="1:17" ht="13.2">
      <c r="A680" s="79"/>
      <c r="B680" s="79"/>
      <c r="C680" s="79"/>
      <c r="D680" s="79"/>
      <c r="E680" s="79"/>
      <c r="F680" s="79"/>
      <c r="G680" s="79"/>
      <c r="H680" s="79"/>
      <c r="I680" s="79"/>
      <c r="J680" s="79"/>
      <c r="K680" s="79"/>
      <c r="L680" s="79"/>
      <c r="M680" s="79"/>
      <c r="N680" s="79"/>
      <c r="O680" s="79"/>
      <c r="P680" s="79"/>
      <c r="Q680" s="79"/>
    </row>
    <row r="681" spans="1:17" ht="13.2">
      <c r="A681" s="79"/>
      <c r="B681" s="79"/>
      <c r="C681" s="79"/>
      <c r="D681" s="79"/>
      <c r="E681" s="79"/>
      <c r="F681" s="79"/>
      <c r="G681" s="79"/>
      <c r="H681" s="79"/>
      <c r="I681" s="79"/>
      <c r="J681" s="79"/>
      <c r="K681" s="79"/>
      <c r="L681" s="79"/>
      <c r="M681" s="79"/>
      <c r="N681" s="79"/>
      <c r="O681" s="79"/>
      <c r="P681" s="79"/>
      <c r="Q681" s="79"/>
    </row>
    <row r="682" spans="1:17" ht="13.2">
      <c r="A682" s="79"/>
      <c r="B682" s="79"/>
      <c r="C682" s="79"/>
      <c r="D682" s="79"/>
      <c r="E682" s="79"/>
      <c r="F682" s="79"/>
      <c r="G682" s="79"/>
      <c r="H682" s="79"/>
      <c r="I682" s="79"/>
      <c r="J682" s="79"/>
      <c r="K682" s="79"/>
      <c r="L682" s="79"/>
      <c r="M682" s="79"/>
      <c r="N682" s="79"/>
      <c r="O682" s="79"/>
      <c r="P682" s="79"/>
      <c r="Q682" s="79"/>
    </row>
    <row r="683" spans="1:17" ht="13.2">
      <c r="A683" s="79"/>
      <c r="B683" s="79"/>
      <c r="C683" s="79"/>
      <c r="D683" s="79"/>
      <c r="E683" s="79"/>
      <c r="F683" s="79"/>
      <c r="G683" s="79"/>
      <c r="H683" s="79"/>
      <c r="I683" s="79"/>
      <c r="J683" s="79"/>
      <c r="K683" s="79"/>
      <c r="L683" s="79"/>
      <c r="M683" s="79"/>
      <c r="N683" s="79"/>
      <c r="O683" s="79"/>
      <c r="P683" s="79"/>
      <c r="Q683" s="79"/>
    </row>
    <row r="684" spans="1:17" ht="13.2">
      <c r="A684" s="79"/>
      <c r="B684" s="79"/>
      <c r="C684" s="79"/>
      <c r="D684" s="79"/>
      <c r="E684" s="79"/>
      <c r="F684" s="79"/>
      <c r="G684" s="79"/>
      <c r="H684" s="79"/>
      <c r="I684" s="79"/>
      <c r="J684" s="79"/>
      <c r="K684" s="79"/>
      <c r="L684" s="79"/>
      <c r="M684" s="79"/>
      <c r="N684" s="79"/>
      <c r="O684" s="79"/>
      <c r="P684" s="79"/>
      <c r="Q684" s="79"/>
    </row>
    <row r="685" spans="1:17" ht="13.2">
      <c r="A685" s="79"/>
      <c r="B685" s="79"/>
      <c r="C685" s="79"/>
      <c r="D685" s="79"/>
      <c r="E685" s="79"/>
      <c r="F685" s="79"/>
      <c r="G685" s="79"/>
      <c r="H685" s="79"/>
      <c r="I685" s="79"/>
      <c r="J685" s="79"/>
      <c r="K685" s="79"/>
      <c r="L685" s="79"/>
      <c r="M685" s="79"/>
      <c r="N685" s="79"/>
      <c r="O685" s="79"/>
      <c r="P685" s="79"/>
      <c r="Q685" s="79"/>
    </row>
    <row r="686" spans="1:17" ht="13.2">
      <c r="A686" s="79"/>
      <c r="B686" s="79"/>
      <c r="C686" s="79"/>
      <c r="D686" s="79"/>
      <c r="E686" s="79"/>
      <c r="F686" s="79"/>
      <c r="G686" s="79"/>
      <c r="H686" s="79"/>
      <c r="I686" s="79"/>
      <c r="J686" s="79"/>
      <c r="K686" s="79"/>
      <c r="L686" s="79"/>
      <c r="M686" s="79"/>
      <c r="N686" s="79"/>
      <c r="O686" s="79"/>
      <c r="P686" s="79"/>
      <c r="Q686" s="79"/>
    </row>
    <row r="687" spans="1:17" ht="13.2">
      <c r="A687" s="79"/>
      <c r="B687" s="79"/>
      <c r="C687" s="79"/>
      <c r="D687" s="79"/>
      <c r="E687" s="79"/>
      <c r="F687" s="79"/>
      <c r="G687" s="79"/>
      <c r="H687" s="79"/>
      <c r="I687" s="79"/>
      <c r="J687" s="79"/>
      <c r="K687" s="79"/>
      <c r="L687" s="79"/>
      <c r="M687" s="79"/>
      <c r="N687" s="79"/>
      <c r="O687" s="79"/>
      <c r="P687" s="79"/>
      <c r="Q687" s="79"/>
    </row>
    <row r="688" spans="1:17" ht="13.2">
      <c r="A688" s="79"/>
      <c r="B688" s="79"/>
      <c r="C688" s="79"/>
      <c r="D688" s="79"/>
      <c r="E688" s="79"/>
      <c r="F688" s="79"/>
      <c r="G688" s="79"/>
      <c r="H688" s="79"/>
      <c r="I688" s="79"/>
      <c r="J688" s="79"/>
      <c r="K688" s="79"/>
      <c r="L688" s="79"/>
      <c r="M688" s="79"/>
      <c r="N688" s="79"/>
      <c r="O688" s="79"/>
      <c r="P688" s="79"/>
      <c r="Q688" s="79"/>
    </row>
    <row r="689" spans="1:17" ht="13.2">
      <c r="A689" s="79"/>
      <c r="B689" s="79"/>
      <c r="C689" s="79"/>
      <c r="D689" s="79"/>
      <c r="E689" s="79"/>
      <c r="F689" s="79"/>
      <c r="G689" s="79"/>
      <c r="H689" s="79"/>
      <c r="I689" s="79"/>
      <c r="J689" s="79"/>
      <c r="K689" s="79"/>
      <c r="L689" s="79"/>
      <c r="M689" s="79"/>
      <c r="N689" s="79"/>
      <c r="O689" s="79"/>
      <c r="P689" s="79"/>
      <c r="Q689" s="79"/>
    </row>
    <row r="690" spans="1:17" ht="13.2">
      <c r="A690" s="79"/>
      <c r="B690" s="79"/>
      <c r="C690" s="79"/>
      <c r="D690" s="79"/>
      <c r="E690" s="79"/>
      <c r="F690" s="79"/>
      <c r="G690" s="79"/>
      <c r="H690" s="79"/>
      <c r="I690" s="79"/>
      <c r="J690" s="79"/>
      <c r="K690" s="79"/>
      <c r="L690" s="79"/>
      <c r="M690" s="79"/>
      <c r="N690" s="79"/>
      <c r="O690" s="79"/>
      <c r="P690" s="79"/>
      <c r="Q690" s="79"/>
    </row>
    <row r="691" spans="1:17" ht="13.2">
      <c r="A691" s="79"/>
      <c r="B691" s="79"/>
      <c r="C691" s="79"/>
      <c r="D691" s="79"/>
      <c r="E691" s="79"/>
      <c r="F691" s="79"/>
      <c r="G691" s="79"/>
      <c r="H691" s="79"/>
      <c r="I691" s="79"/>
      <c r="J691" s="79"/>
      <c r="K691" s="79"/>
      <c r="L691" s="79"/>
      <c r="M691" s="79"/>
      <c r="N691" s="79"/>
      <c r="O691" s="79"/>
      <c r="P691" s="79"/>
      <c r="Q691" s="79"/>
    </row>
    <row r="692" spans="1:17" ht="13.2">
      <c r="A692" s="79"/>
      <c r="B692" s="79"/>
      <c r="C692" s="79"/>
      <c r="D692" s="79"/>
      <c r="E692" s="79"/>
      <c r="F692" s="79"/>
      <c r="G692" s="79"/>
      <c r="H692" s="79"/>
      <c r="I692" s="79"/>
      <c r="J692" s="79"/>
      <c r="K692" s="79"/>
      <c r="L692" s="79"/>
      <c r="M692" s="79"/>
      <c r="N692" s="79"/>
      <c r="O692" s="79"/>
      <c r="P692" s="79"/>
      <c r="Q692" s="79"/>
    </row>
    <row r="693" spans="1:17" ht="13.2">
      <c r="A693" s="79"/>
      <c r="B693" s="79"/>
      <c r="C693" s="79"/>
      <c r="D693" s="79"/>
      <c r="E693" s="79"/>
      <c r="F693" s="79"/>
      <c r="G693" s="79"/>
      <c r="H693" s="79"/>
      <c r="I693" s="79"/>
      <c r="J693" s="79"/>
      <c r="K693" s="79"/>
      <c r="L693" s="79"/>
      <c r="M693" s="79"/>
      <c r="N693" s="79"/>
      <c r="O693" s="79"/>
      <c r="P693" s="79"/>
      <c r="Q693" s="79"/>
    </row>
    <row r="694" spans="1:17" ht="13.2">
      <c r="A694" s="79"/>
      <c r="B694" s="79"/>
      <c r="C694" s="79"/>
      <c r="D694" s="79"/>
      <c r="E694" s="79"/>
      <c r="F694" s="79"/>
      <c r="G694" s="79"/>
      <c r="H694" s="79"/>
      <c r="I694" s="79"/>
      <c r="J694" s="79"/>
      <c r="K694" s="79"/>
      <c r="L694" s="79"/>
      <c r="M694" s="79"/>
      <c r="N694" s="79"/>
      <c r="O694" s="79"/>
      <c r="P694" s="79"/>
      <c r="Q694" s="79"/>
    </row>
    <row r="695" spans="1:17" ht="13.2">
      <c r="A695" s="79"/>
      <c r="B695" s="79"/>
      <c r="C695" s="79"/>
      <c r="D695" s="79"/>
      <c r="E695" s="79"/>
      <c r="F695" s="79"/>
      <c r="G695" s="79"/>
      <c r="H695" s="79"/>
      <c r="I695" s="79"/>
      <c r="J695" s="79"/>
      <c r="K695" s="79"/>
      <c r="L695" s="79"/>
      <c r="M695" s="79"/>
      <c r="N695" s="79"/>
      <c r="O695" s="79"/>
      <c r="P695" s="79"/>
      <c r="Q695" s="79"/>
    </row>
    <row r="696" spans="1:17" ht="13.2">
      <c r="A696" s="79"/>
      <c r="B696" s="79"/>
      <c r="C696" s="79"/>
      <c r="D696" s="79"/>
      <c r="E696" s="79"/>
      <c r="F696" s="79"/>
      <c r="G696" s="79"/>
      <c r="H696" s="79"/>
      <c r="I696" s="79"/>
      <c r="J696" s="79"/>
      <c r="K696" s="79"/>
      <c r="L696" s="79"/>
      <c r="M696" s="79"/>
      <c r="N696" s="79"/>
      <c r="O696" s="79"/>
      <c r="P696" s="79"/>
      <c r="Q696" s="79"/>
    </row>
    <row r="697" spans="1:17" ht="13.2">
      <c r="A697" s="79"/>
      <c r="B697" s="79"/>
      <c r="C697" s="79"/>
      <c r="D697" s="79"/>
      <c r="E697" s="79"/>
      <c r="F697" s="79"/>
      <c r="G697" s="79"/>
      <c r="H697" s="79"/>
      <c r="I697" s="79"/>
      <c r="J697" s="79"/>
      <c r="K697" s="79"/>
      <c r="L697" s="79"/>
      <c r="M697" s="79"/>
      <c r="N697" s="79"/>
      <c r="O697" s="79"/>
      <c r="P697" s="79"/>
      <c r="Q697" s="79"/>
    </row>
    <row r="698" spans="1:17" ht="13.2">
      <c r="A698" s="79"/>
      <c r="B698" s="79"/>
      <c r="C698" s="79"/>
      <c r="D698" s="79"/>
      <c r="E698" s="79"/>
      <c r="F698" s="79"/>
      <c r="G698" s="79"/>
      <c r="H698" s="79"/>
      <c r="I698" s="79"/>
      <c r="J698" s="79"/>
      <c r="K698" s="79"/>
      <c r="L698" s="79"/>
      <c r="M698" s="79"/>
      <c r="N698" s="79"/>
      <c r="O698" s="79"/>
      <c r="P698" s="79"/>
      <c r="Q698" s="79"/>
    </row>
    <row r="699" spans="1:17" ht="13.2">
      <c r="A699" s="79"/>
      <c r="B699" s="79"/>
      <c r="C699" s="79"/>
      <c r="D699" s="79"/>
      <c r="E699" s="79"/>
      <c r="F699" s="79"/>
      <c r="G699" s="79"/>
      <c r="H699" s="79"/>
      <c r="I699" s="79"/>
      <c r="J699" s="79"/>
      <c r="K699" s="79"/>
      <c r="L699" s="79"/>
      <c r="M699" s="79"/>
      <c r="N699" s="79"/>
      <c r="O699" s="79"/>
      <c r="P699" s="79"/>
      <c r="Q699" s="79"/>
    </row>
    <row r="700" spans="1:17" ht="13.2">
      <c r="A700" s="79"/>
      <c r="B700" s="79"/>
      <c r="C700" s="79"/>
      <c r="D700" s="79"/>
      <c r="E700" s="79"/>
      <c r="F700" s="79"/>
      <c r="G700" s="79"/>
      <c r="H700" s="79"/>
      <c r="I700" s="79"/>
      <c r="J700" s="79"/>
      <c r="K700" s="79"/>
      <c r="L700" s="79"/>
      <c r="M700" s="79"/>
      <c r="N700" s="79"/>
      <c r="O700" s="79"/>
      <c r="P700" s="79"/>
      <c r="Q700" s="79"/>
    </row>
    <row r="701" spans="1:17" ht="13.2">
      <c r="A701" s="79"/>
      <c r="B701" s="79"/>
      <c r="C701" s="79"/>
      <c r="D701" s="79"/>
      <c r="E701" s="79"/>
      <c r="F701" s="79"/>
      <c r="G701" s="79"/>
      <c r="H701" s="79"/>
      <c r="I701" s="79"/>
      <c r="J701" s="79"/>
      <c r="K701" s="79"/>
      <c r="L701" s="79"/>
      <c r="M701" s="79"/>
      <c r="N701" s="79"/>
      <c r="O701" s="79"/>
      <c r="P701" s="79"/>
      <c r="Q701" s="79"/>
    </row>
    <row r="702" spans="1:17" ht="13.2">
      <c r="A702" s="79"/>
      <c r="B702" s="79"/>
      <c r="C702" s="79"/>
      <c r="D702" s="79"/>
      <c r="E702" s="79"/>
      <c r="F702" s="79"/>
      <c r="G702" s="79"/>
      <c r="H702" s="79"/>
      <c r="I702" s="79"/>
      <c r="J702" s="79"/>
      <c r="K702" s="79"/>
      <c r="L702" s="79"/>
      <c r="M702" s="79"/>
      <c r="N702" s="79"/>
      <c r="O702" s="79"/>
      <c r="P702" s="79"/>
      <c r="Q702" s="79"/>
    </row>
    <row r="703" spans="1:17" ht="13.2">
      <c r="A703" s="79"/>
      <c r="B703" s="79"/>
      <c r="C703" s="79"/>
      <c r="D703" s="79"/>
      <c r="E703" s="79"/>
      <c r="F703" s="79"/>
      <c r="G703" s="79"/>
      <c r="H703" s="79"/>
      <c r="I703" s="79"/>
      <c r="J703" s="79"/>
      <c r="K703" s="79"/>
      <c r="L703" s="79"/>
      <c r="M703" s="79"/>
      <c r="N703" s="79"/>
      <c r="O703" s="79"/>
      <c r="P703" s="79"/>
      <c r="Q703" s="79"/>
    </row>
    <row r="704" spans="1:17" ht="13.2">
      <c r="A704" s="79"/>
      <c r="B704" s="79"/>
      <c r="C704" s="79"/>
      <c r="D704" s="79"/>
      <c r="E704" s="79"/>
      <c r="F704" s="79"/>
      <c r="G704" s="79"/>
      <c r="H704" s="79"/>
      <c r="I704" s="79"/>
      <c r="J704" s="79"/>
      <c r="K704" s="79"/>
      <c r="L704" s="79"/>
      <c r="M704" s="79"/>
      <c r="N704" s="79"/>
      <c r="O704" s="79"/>
      <c r="P704" s="79"/>
      <c r="Q704" s="79"/>
    </row>
    <row r="705" spans="1:17" ht="13.2">
      <c r="A705" s="79"/>
      <c r="B705" s="79"/>
      <c r="C705" s="79"/>
      <c r="D705" s="79"/>
      <c r="E705" s="79"/>
      <c r="F705" s="79"/>
      <c r="G705" s="79"/>
      <c r="H705" s="79"/>
      <c r="I705" s="79"/>
      <c r="J705" s="79"/>
      <c r="K705" s="79"/>
      <c r="L705" s="79"/>
      <c r="M705" s="79"/>
      <c r="N705" s="79"/>
      <c r="O705" s="79"/>
      <c r="P705" s="79"/>
      <c r="Q705" s="79"/>
    </row>
    <row r="706" spans="1:17" ht="13.2">
      <c r="A706" s="79"/>
      <c r="B706" s="79"/>
      <c r="C706" s="79"/>
      <c r="D706" s="79"/>
      <c r="E706" s="79"/>
      <c r="F706" s="79"/>
      <c r="G706" s="79"/>
      <c r="H706" s="79"/>
      <c r="I706" s="79"/>
      <c r="J706" s="79"/>
      <c r="K706" s="79"/>
      <c r="L706" s="79"/>
      <c r="M706" s="79"/>
      <c r="N706" s="79"/>
      <c r="O706" s="79"/>
      <c r="P706" s="79"/>
      <c r="Q706" s="79"/>
    </row>
    <row r="707" spans="1:17" ht="13.2">
      <c r="A707" s="79"/>
      <c r="B707" s="79"/>
      <c r="C707" s="79"/>
      <c r="D707" s="79"/>
      <c r="E707" s="79"/>
      <c r="F707" s="79"/>
      <c r="G707" s="79"/>
      <c r="H707" s="79"/>
      <c r="I707" s="79"/>
      <c r="J707" s="79"/>
      <c r="K707" s="79"/>
      <c r="L707" s="79"/>
      <c r="M707" s="79"/>
      <c r="N707" s="79"/>
      <c r="O707" s="79"/>
      <c r="P707" s="79"/>
      <c r="Q707" s="79"/>
    </row>
    <row r="708" spans="1:17" ht="13.2">
      <c r="A708" s="79"/>
      <c r="B708" s="79"/>
      <c r="C708" s="79"/>
      <c r="D708" s="79"/>
      <c r="E708" s="79"/>
      <c r="F708" s="79"/>
      <c r="G708" s="79"/>
      <c r="H708" s="79"/>
      <c r="I708" s="79"/>
      <c r="J708" s="79"/>
      <c r="K708" s="79"/>
      <c r="L708" s="79"/>
      <c r="M708" s="79"/>
      <c r="N708" s="79"/>
      <c r="O708" s="79"/>
      <c r="P708" s="79"/>
      <c r="Q708" s="79"/>
    </row>
    <row r="709" spans="1:17" ht="13.2">
      <c r="A709" s="79"/>
      <c r="B709" s="79"/>
      <c r="C709" s="79"/>
      <c r="D709" s="79"/>
      <c r="E709" s="79"/>
      <c r="F709" s="79"/>
      <c r="G709" s="79"/>
      <c r="H709" s="79"/>
      <c r="I709" s="79"/>
      <c r="J709" s="79"/>
      <c r="K709" s="79"/>
      <c r="L709" s="79"/>
      <c r="M709" s="79"/>
      <c r="N709" s="79"/>
      <c r="O709" s="79"/>
      <c r="P709" s="79"/>
      <c r="Q709" s="79"/>
    </row>
    <row r="710" spans="1:17" ht="13.2">
      <c r="A710" s="79"/>
      <c r="B710" s="79"/>
      <c r="C710" s="79"/>
      <c r="D710" s="79"/>
      <c r="E710" s="79"/>
      <c r="F710" s="79"/>
      <c r="G710" s="79"/>
      <c r="H710" s="79"/>
      <c r="I710" s="79"/>
      <c r="J710" s="79"/>
      <c r="K710" s="79"/>
      <c r="L710" s="79"/>
      <c r="M710" s="79"/>
      <c r="N710" s="79"/>
      <c r="O710" s="79"/>
      <c r="P710" s="79"/>
      <c r="Q710" s="79"/>
    </row>
    <row r="711" spans="1:17" ht="13.2">
      <c r="A711" s="79"/>
      <c r="B711" s="79"/>
      <c r="C711" s="79"/>
      <c r="D711" s="79"/>
      <c r="E711" s="79"/>
      <c r="F711" s="79"/>
      <c r="G711" s="79"/>
      <c r="H711" s="79"/>
      <c r="I711" s="79"/>
      <c r="J711" s="79"/>
      <c r="K711" s="79"/>
      <c r="L711" s="79"/>
      <c r="M711" s="79"/>
      <c r="N711" s="79"/>
      <c r="O711" s="79"/>
      <c r="P711" s="79"/>
      <c r="Q711" s="79"/>
    </row>
    <row r="712" spans="1:17" ht="13.2">
      <c r="A712" s="79"/>
      <c r="B712" s="79"/>
      <c r="C712" s="79"/>
      <c r="D712" s="79"/>
      <c r="E712" s="79"/>
      <c r="F712" s="79"/>
      <c r="G712" s="79"/>
      <c r="H712" s="79"/>
      <c r="I712" s="79"/>
      <c r="J712" s="79"/>
      <c r="K712" s="79"/>
      <c r="L712" s="79"/>
      <c r="M712" s="79"/>
      <c r="N712" s="79"/>
      <c r="O712" s="79"/>
      <c r="P712" s="79"/>
      <c r="Q712" s="79"/>
    </row>
    <row r="713" spans="1:17" ht="13.2">
      <c r="A713" s="79"/>
      <c r="B713" s="79"/>
      <c r="C713" s="79"/>
      <c r="D713" s="79"/>
      <c r="E713" s="79"/>
      <c r="F713" s="79"/>
      <c r="G713" s="79"/>
      <c r="H713" s="79"/>
      <c r="I713" s="79"/>
      <c r="J713" s="79"/>
      <c r="K713" s="79"/>
      <c r="L713" s="79"/>
      <c r="M713" s="79"/>
      <c r="N713" s="79"/>
      <c r="O713" s="79"/>
      <c r="P713" s="79"/>
      <c r="Q713" s="79"/>
    </row>
    <row r="714" spans="1:17" ht="13.2">
      <c r="A714" s="79"/>
      <c r="B714" s="79"/>
      <c r="C714" s="79"/>
      <c r="D714" s="79"/>
      <c r="E714" s="79"/>
      <c r="F714" s="79"/>
      <c r="G714" s="79"/>
      <c r="H714" s="79"/>
      <c r="I714" s="79"/>
      <c r="J714" s="79"/>
      <c r="K714" s="79"/>
      <c r="L714" s="79"/>
      <c r="M714" s="79"/>
      <c r="N714" s="79"/>
      <c r="O714" s="79"/>
      <c r="P714" s="79"/>
      <c r="Q714" s="79"/>
    </row>
    <row r="715" spans="1:17" ht="13.2">
      <c r="A715" s="79"/>
      <c r="B715" s="79"/>
      <c r="C715" s="79"/>
      <c r="D715" s="79"/>
      <c r="E715" s="79"/>
      <c r="F715" s="79"/>
      <c r="G715" s="79"/>
      <c r="H715" s="79"/>
      <c r="I715" s="79"/>
      <c r="J715" s="79"/>
      <c r="K715" s="79"/>
      <c r="L715" s="79"/>
      <c r="M715" s="79"/>
      <c r="N715" s="79"/>
      <c r="O715" s="79"/>
      <c r="P715" s="79"/>
      <c r="Q715" s="79"/>
    </row>
    <row r="716" spans="1:17" ht="13.2">
      <c r="A716" s="79"/>
      <c r="B716" s="79"/>
      <c r="C716" s="79"/>
      <c r="D716" s="79"/>
      <c r="E716" s="79"/>
      <c r="F716" s="79"/>
      <c r="G716" s="79"/>
      <c r="H716" s="79"/>
      <c r="I716" s="79"/>
      <c r="J716" s="79"/>
      <c r="K716" s="79"/>
      <c r="L716" s="79"/>
      <c r="M716" s="79"/>
      <c r="N716" s="79"/>
      <c r="O716" s="79"/>
      <c r="P716" s="79"/>
      <c r="Q716" s="79"/>
    </row>
    <row r="717" spans="1:17" ht="13.2">
      <c r="A717" s="79"/>
      <c r="B717" s="79"/>
      <c r="C717" s="79"/>
      <c r="D717" s="79"/>
      <c r="E717" s="79"/>
      <c r="F717" s="79"/>
      <c r="G717" s="79"/>
      <c r="H717" s="79"/>
      <c r="I717" s="79"/>
      <c r="J717" s="79"/>
      <c r="K717" s="79"/>
      <c r="L717" s="79"/>
      <c r="M717" s="79"/>
      <c r="N717" s="79"/>
      <c r="O717" s="79"/>
      <c r="P717" s="79"/>
      <c r="Q717" s="79"/>
    </row>
    <row r="718" spans="1:17" ht="13.2">
      <c r="A718" s="79"/>
      <c r="B718" s="79"/>
      <c r="C718" s="79"/>
      <c r="D718" s="79"/>
      <c r="E718" s="79"/>
      <c r="F718" s="79"/>
      <c r="G718" s="79"/>
      <c r="H718" s="79"/>
      <c r="I718" s="79"/>
      <c r="J718" s="79"/>
      <c r="K718" s="79"/>
      <c r="L718" s="79"/>
      <c r="M718" s="79"/>
      <c r="N718" s="79"/>
      <c r="O718" s="79"/>
      <c r="P718" s="79"/>
      <c r="Q718" s="79"/>
    </row>
    <row r="719" spans="1:17" ht="13.2">
      <c r="A719" s="79"/>
      <c r="B719" s="79"/>
      <c r="C719" s="79"/>
      <c r="D719" s="79"/>
      <c r="E719" s="79"/>
      <c r="F719" s="79"/>
      <c r="G719" s="79"/>
      <c r="H719" s="79"/>
      <c r="I719" s="79"/>
      <c r="J719" s="79"/>
      <c r="K719" s="79"/>
      <c r="L719" s="79"/>
      <c r="M719" s="79"/>
      <c r="N719" s="79"/>
      <c r="O719" s="79"/>
      <c r="P719" s="79"/>
      <c r="Q719" s="79"/>
    </row>
    <row r="720" spans="1:17" ht="13.2">
      <c r="A720" s="79"/>
      <c r="B720" s="79"/>
      <c r="C720" s="79"/>
      <c r="D720" s="79"/>
      <c r="E720" s="79"/>
      <c r="F720" s="79"/>
      <c r="G720" s="79"/>
      <c r="H720" s="79"/>
      <c r="I720" s="79"/>
      <c r="J720" s="79"/>
      <c r="K720" s="79"/>
      <c r="L720" s="79"/>
      <c r="M720" s="79"/>
      <c r="N720" s="79"/>
      <c r="O720" s="79"/>
      <c r="P720" s="79"/>
      <c r="Q720" s="79"/>
    </row>
    <row r="721" spans="1:17" ht="13.2">
      <c r="A721" s="79"/>
      <c r="B721" s="79"/>
      <c r="C721" s="79"/>
      <c r="D721" s="79"/>
      <c r="E721" s="79"/>
      <c r="F721" s="79"/>
      <c r="G721" s="79"/>
      <c r="H721" s="79"/>
      <c r="I721" s="79"/>
      <c r="J721" s="79"/>
      <c r="K721" s="79"/>
      <c r="L721" s="79"/>
      <c r="M721" s="79"/>
      <c r="N721" s="79"/>
      <c r="O721" s="79"/>
      <c r="P721" s="79"/>
      <c r="Q721" s="79"/>
    </row>
    <row r="722" spans="1:17" ht="13.2">
      <c r="A722" s="79"/>
      <c r="B722" s="79"/>
      <c r="C722" s="79"/>
      <c r="D722" s="79"/>
      <c r="E722" s="79"/>
      <c r="F722" s="79"/>
      <c r="G722" s="79"/>
      <c r="H722" s="79"/>
      <c r="I722" s="79"/>
      <c r="J722" s="79"/>
      <c r="K722" s="79"/>
      <c r="L722" s="79"/>
      <c r="M722" s="79"/>
      <c r="N722" s="79"/>
      <c r="O722" s="79"/>
      <c r="P722" s="79"/>
      <c r="Q722" s="79"/>
    </row>
    <row r="723" spans="1:17" ht="13.2">
      <c r="A723" s="79"/>
      <c r="B723" s="79"/>
      <c r="C723" s="79"/>
      <c r="D723" s="79"/>
      <c r="E723" s="79"/>
      <c r="F723" s="79"/>
      <c r="G723" s="79"/>
      <c r="H723" s="79"/>
      <c r="I723" s="79"/>
      <c r="J723" s="79"/>
      <c r="K723" s="79"/>
      <c r="L723" s="79"/>
      <c r="M723" s="79"/>
      <c r="N723" s="79"/>
      <c r="O723" s="79"/>
      <c r="P723" s="79"/>
      <c r="Q723" s="79"/>
    </row>
    <row r="724" spans="1:17" ht="13.2">
      <c r="A724" s="79"/>
      <c r="B724" s="79"/>
      <c r="C724" s="79"/>
      <c r="D724" s="79"/>
      <c r="E724" s="79"/>
      <c r="F724" s="79"/>
      <c r="G724" s="79"/>
      <c r="H724" s="79"/>
      <c r="I724" s="79"/>
      <c r="J724" s="79"/>
      <c r="K724" s="79"/>
      <c r="L724" s="79"/>
      <c r="M724" s="79"/>
      <c r="N724" s="79"/>
      <c r="O724" s="79"/>
      <c r="P724" s="79"/>
      <c r="Q724" s="79"/>
    </row>
    <row r="725" spans="1:17" ht="13.2">
      <c r="A725" s="79"/>
      <c r="B725" s="79"/>
      <c r="C725" s="79"/>
      <c r="D725" s="79"/>
      <c r="E725" s="79"/>
      <c r="F725" s="79"/>
      <c r="G725" s="79"/>
      <c r="H725" s="79"/>
      <c r="I725" s="79"/>
      <c r="J725" s="79"/>
      <c r="K725" s="79"/>
      <c r="L725" s="79"/>
      <c r="M725" s="79"/>
      <c r="N725" s="79"/>
      <c r="O725" s="79"/>
      <c r="P725" s="79"/>
      <c r="Q725" s="79"/>
    </row>
    <row r="726" spans="1:17" ht="13.2">
      <c r="A726" s="79"/>
      <c r="B726" s="79"/>
      <c r="C726" s="79"/>
      <c r="D726" s="79"/>
      <c r="E726" s="79"/>
      <c r="F726" s="79"/>
      <c r="G726" s="79"/>
      <c r="H726" s="79"/>
      <c r="I726" s="79"/>
      <c r="J726" s="79"/>
      <c r="K726" s="79"/>
      <c r="L726" s="79"/>
      <c r="M726" s="79"/>
      <c r="N726" s="79"/>
      <c r="O726" s="79"/>
      <c r="P726" s="79"/>
      <c r="Q726" s="79"/>
    </row>
    <row r="727" spans="1:17" ht="13.2">
      <c r="A727" s="79"/>
      <c r="B727" s="79"/>
      <c r="C727" s="79"/>
      <c r="D727" s="79"/>
      <c r="E727" s="79"/>
      <c r="F727" s="79"/>
      <c r="G727" s="79"/>
      <c r="H727" s="79"/>
      <c r="I727" s="79"/>
      <c r="J727" s="79"/>
      <c r="K727" s="79"/>
      <c r="L727" s="79"/>
      <c r="M727" s="79"/>
      <c r="N727" s="79"/>
      <c r="O727" s="79"/>
      <c r="P727" s="79"/>
      <c r="Q727" s="79"/>
    </row>
    <row r="728" spans="1:17" ht="13.2">
      <c r="A728" s="79"/>
      <c r="B728" s="79"/>
      <c r="C728" s="79"/>
      <c r="D728" s="79"/>
      <c r="E728" s="79"/>
      <c r="F728" s="79"/>
      <c r="G728" s="79"/>
      <c r="H728" s="79"/>
      <c r="I728" s="79"/>
      <c r="J728" s="79"/>
      <c r="K728" s="79"/>
      <c r="L728" s="79"/>
      <c r="M728" s="79"/>
      <c r="N728" s="79"/>
      <c r="O728" s="79"/>
      <c r="P728" s="79"/>
      <c r="Q728" s="79"/>
    </row>
    <row r="729" spans="1:17" ht="13.2">
      <c r="A729" s="79"/>
      <c r="B729" s="79"/>
      <c r="C729" s="79"/>
      <c r="D729" s="79"/>
      <c r="E729" s="79"/>
      <c r="F729" s="79"/>
      <c r="G729" s="79"/>
      <c r="H729" s="79"/>
      <c r="I729" s="79"/>
      <c r="J729" s="79"/>
      <c r="K729" s="79"/>
      <c r="L729" s="79"/>
      <c r="M729" s="79"/>
      <c r="N729" s="79"/>
      <c r="O729" s="79"/>
      <c r="P729" s="79"/>
      <c r="Q729" s="79"/>
    </row>
    <row r="730" spans="1:17" ht="13.2">
      <c r="A730" s="79"/>
      <c r="B730" s="79"/>
      <c r="C730" s="79"/>
      <c r="D730" s="79"/>
      <c r="E730" s="79"/>
      <c r="F730" s="79"/>
      <c r="G730" s="79"/>
      <c r="H730" s="79"/>
      <c r="I730" s="79"/>
      <c r="J730" s="79"/>
      <c r="K730" s="79"/>
      <c r="L730" s="79"/>
      <c r="M730" s="79"/>
      <c r="N730" s="79"/>
      <c r="O730" s="79"/>
      <c r="P730" s="79"/>
      <c r="Q730" s="79"/>
    </row>
    <row r="731" spans="1:17" ht="13.2">
      <c r="A731" s="79"/>
      <c r="B731" s="79"/>
      <c r="C731" s="79"/>
      <c r="D731" s="79"/>
      <c r="E731" s="79"/>
      <c r="F731" s="79"/>
      <c r="G731" s="79"/>
      <c r="H731" s="79"/>
      <c r="I731" s="79"/>
      <c r="J731" s="79"/>
      <c r="K731" s="79"/>
      <c r="L731" s="79"/>
      <c r="M731" s="79"/>
      <c r="N731" s="79"/>
      <c r="O731" s="79"/>
      <c r="P731" s="79"/>
      <c r="Q731" s="79"/>
    </row>
    <row r="732" spans="1:17" ht="13.2">
      <c r="A732" s="79"/>
      <c r="B732" s="79"/>
      <c r="C732" s="79"/>
      <c r="D732" s="79"/>
      <c r="E732" s="79"/>
      <c r="F732" s="79"/>
      <c r="G732" s="79"/>
      <c r="H732" s="79"/>
      <c r="I732" s="79"/>
      <c r="J732" s="79"/>
      <c r="K732" s="79"/>
      <c r="L732" s="79"/>
      <c r="M732" s="79"/>
      <c r="N732" s="79"/>
      <c r="O732" s="79"/>
      <c r="P732" s="79"/>
      <c r="Q732" s="79"/>
    </row>
    <row r="733" spans="1:17" ht="13.2">
      <c r="A733" s="79"/>
      <c r="B733" s="79"/>
      <c r="C733" s="79"/>
      <c r="D733" s="79"/>
      <c r="E733" s="79"/>
      <c r="F733" s="79"/>
      <c r="G733" s="79"/>
      <c r="H733" s="79"/>
      <c r="I733" s="79"/>
      <c r="J733" s="79"/>
      <c r="K733" s="79"/>
      <c r="L733" s="79"/>
      <c r="M733" s="79"/>
      <c r="N733" s="79"/>
      <c r="O733" s="79"/>
      <c r="P733" s="79"/>
      <c r="Q733" s="79"/>
    </row>
    <row r="734" spans="1:17" ht="13.2">
      <c r="A734" s="79"/>
      <c r="B734" s="79"/>
      <c r="C734" s="79"/>
      <c r="D734" s="79"/>
      <c r="E734" s="79"/>
      <c r="F734" s="79"/>
      <c r="G734" s="79"/>
      <c r="H734" s="79"/>
      <c r="I734" s="79"/>
      <c r="J734" s="79"/>
      <c r="K734" s="79"/>
      <c r="L734" s="79"/>
      <c r="M734" s="79"/>
      <c r="N734" s="79"/>
      <c r="O734" s="79"/>
      <c r="P734" s="79"/>
      <c r="Q734" s="79"/>
    </row>
    <row r="735" spans="1:17" ht="13.2">
      <c r="A735" s="79"/>
      <c r="B735" s="79"/>
      <c r="C735" s="79"/>
      <c r="D735" s="79"/>
      <c r="E735" s="79"/>
      <c r="F735" s="79"/>
      <c r="G735" s="79"/>
      <c r="H735" s="79"/>
      <c r="I735" s="79"/>
      <c r="J735" s="79"/>
      <c r="K735" s="79"/>
      <c r="L735" s="79"/>
      <c r="M735" s="79"/>
      <c r="N735" s="79"/>
      <c r="O735" s="79"/>
      <c r="P735" s="79"/>
      <c r="Q735" s="79"/>
    </row>
    <row r="736" spans="1:17" ht="13.2">
      <c r="A736" s="79"/>
      <c r="B736" s="79"/>
      <c r="C736" s="79"/>
      <c r="D736" s="79"/>
      <c r="E736" s="79"/>
      <c r="F736" s="79"/>
      <c r="G736" s="79"/>
      <c r="H736" s="79"/>
      <c r="I736" s="79"/>
      <c r="J736" s="79"/>
      <c r="K736" s="79"/>
      <c r="L736" s="79"/>
      <c r="M736" s="79"/>
      <c r="N736" s="79"/>
      <c r="O736" s="79"/>
      <c r="P736" s="79"/>
      <c r="Q736" s="79"/>
    </row>
    <row r="737" spans="1:17" ht="13.2">
      <c r="A737" s="79"/>
      <c r="B737" s="79"/>
      <c r="C737" s="79"/>
      <c r="D737" s="79"/>
      <c r="E737" s="79"/>
      <c r="F737" s="79"/>
      <c r="G737" s="79"/>
      <c r="H737" s="79"/>
      <c r="I737" s="79"/>
      <c r="J737" s="79"/>
      <c r="K737" s="79"/>
      <c r="L737" s="79"/>
      <c r="M737" s="79"/>
      <c r="N737" s="79"/>
      <c r="O737" s="79"/>
      <c r="P737" s="79"/>
      <c r="Q737" s="79"/>
    </row>
    <row r="738" spans="1:17" ht="13.2">
      <c r="A738" s="79"/>
      <c r="B738" s="79"/>
      <c r="C738" s="79"/>
      <c r="D738" s="79"/>
      <c r="E738" s="79"/>
      <c r="F738" s="79"/>
      <c r="G738" s="79"/>
      <c r="H738" s="79"/>
      <c r="I738" s="79"/>
      <c r="J738" s="79"/>
      <c r="K738" s="79"/>
      <c r="L738" s="79"/>
      <c r="M738" s="79"/>
      <c r="N738" s="79"/>
      <c r="O738" s="79"/>
      <c r="P738" s="79"/>
      <c r="Q738" s="79"/>
    </row>
    <row r="739" spans="1:17" ht="13.2">
      <c r="A739" s="79"/>
      <c r="B739" s="79"/>
      <c r="C739" s="79"/>
      <c r="D739" s="79"/>
      <c r="E739" s="79"/>
      <c r="F739" s="79"/>
      <c r="G739" s="79"/>
      <c r="H739" s="79"/>
      <c r="I739" s="79"/>
      <c r="J739" s="79"/>
      <c r="K739" s="79"/>
      <c r="L739" s="79"/>
      <c r="M739" s="79"/>
      <c r="N739" s="79"/>
      <c r="O739" s="79"/>
      <c r="P739" s="79"/>
      <c r="Q739" s="79"/>
    </row>
    <row r="740" spans="1:17" ht="13.2">
      <c r="A740" s="79"/>
      <c r="B740" s="79"/>
      <c r="C740" s="79"/>
      <c r="D740" s="79"/>
      <c r="E740" s="79"/>
      <c r="F740" s="79"/>
      <c r="G740" s="79"/>
      <c r="H740" s="79"/>
      <c r="I740" s="79"/>
      <c r="J740" s="79"/>
      <c r="K740" s="79"/>
      <c r="L740" s="79"/>
      <c r="M740" s="79"/>
      <c r="N740" s="79"/>
      <c r="O740" s="79"/>
      <c r="P740" s="79"/>
      <c r="Q740" s="79"/>
    </row>
    <row r="741" spans="1:17" ht="13.2">
      <c r="A741" s="79"/>
      <c r="B741" s="79"/>
      <c r="C741" s="79"/>
      <c r="D741" s="79"/>
      <c r="E741" s="79"/>
      <c r="F741" s="79"/>
      <c r="G741" s="79"/>
      <c r="H741" s="79"/>
      <c r="I741" s="79"/>
      <c r="J741" s="79"/>
      <c r="K741" s="79"/>
      <c r="L741" s="79"/>
      <c r="M741" s="79"/>
      <c r="N741" s="79"/>
      <c r="O741" s="79"/>
      <c r="P741" s="79"/>
      <c r="Q741" s="79"/>
    </row>
    <row r="742" spans="1:17" ht="13.2">
      <c r="A742" s="79"/>
      <c r="B742" s="79"/>
      <c r="C742" s="79"/>
      <c r="D742" s="79"/>
      <c r="E742" s="79"/>
      <c r="F742" s="79"/>
      <c r="G742" s="79"/>
      <c r="H742" s="79"/>
      <c r="I742" s="79"/>
      <c r="J742" s="79"/>
      <c r="K742" s="79"/>
      <c r="L742" s="79"/>
      <c r="M742" s="79"/>
      <c r="N742" s="79"/>
      <c r="O742" s="79"/>
      <c r="P742" s="79"/>
      <c r="Q742" s="79"/>
    </row>
    <row r="743" spans="1:17" ht="13.2">
      <c r="A743" s="79"/>
      <c r="B743" s="79"/>
      <c r="C743" s="79"/>
      <c r="D743" s="79"/>
      <c r="E743" s="79"/>
      <c r="F743" s="79"/>
      <c r="G743" s="79"/>
      <c r="H743" s="79"/>
      <c r="I743" s="79"/>
      <c r="J743" s="79"/>
      <c r="K743" s="79"/>
      <c r="L743" s="79"/>
      <c r="M743" s="79"/>
      <c r="N743" s="79"/>
      <c r="O743" s="79"/>
      <c r="P743" s="79"/>
      <c r="Q743" s="79"/>
    </row>
    <row r="744" spans="1:17" ht="13.2">
      <c r="A744" s="79"/>
      <c r="B744" s="79"/>
      <c r="C744" s="79"/>
      <c r="D744" s="79"/>
      <c r="E744" s="79"/>
      <c r="F744" s="79"/>
      <c r="G744" s="79"/>
      <c r="H744" s="79"/>
      <c r="I744" s="79"/>
      <c r="J744" s="79"/>
      <c r="K744" s="79"/>
      <c r="L744" s="79"/>
      <c r="M744" s="79"/>
      <c r="N744" s="79"/>
      <c r="O744" s="79"/>
      <c r="P744" s="79"/>
      <c r="Q744" s="79"/>
    </row>
    <row r="745" spans="1:17" ht="13.2">
      <c r="A745" s="79"/>
      <c r="B745" s="79"/>
      <c r="C745" s="79"/>
      <c r="D745" s="79"/>
      <c r="E745" s="79"/>
      <c r="F745" s="79"/>
      <c r="G745" s="79"/>
      <c r="H745" s="79"/>
      <c r="I745" s="79"/>
      <c r="J745" s="79"/>
      <c r="K745" s="79"/>
      <c r="L745" s="79"/>
      <c r="M745" s="79"/>
      <c r="N745" s="79"/>
      <c r="O745" s="79"/>
      <c r="P745" s="79"/>
      <c r="Q745" s="79"/>
    </row>
    <row r="746" spans="1:17" ht="13.2">
      <c r="A746" s="79"/>
      <c r="B746" s="79"/>
      <c r="C746" s="79"/>
      <c r="D746" s="79"/>
      <c r="E746" s="79"/>
      <c r="F746" s="79"/>
      <c r="G746" s="79"/>
      <c r="H746" s="79"/>
      <c r="I746" s="79"/>
      <c r="J746" s="79"/>
      <c r="K746" s="79"/>
      <c r="L746" s="79"/>
      <c r="M746" s="79"/>
      <c r="N746" s="79"/>
      <c r="O746" s="79"/>
      <c r="P746" s="79"/>
      <c r="Q746" s="79"/>
    </row>
    <row r="747" spans="1:17" ht="13.2">
      <c r="A747" s="79"/>
      <c r="B747" s="79"/>
      <c r="C747" s="79"/>
      <c r="D747" s="79"/>
      <c r="E747" s="79"/>
      <c r="F747" s="79"/>
      <c r="G747" s="79"/>
      <c r="H747" s="79"/>
      <c r="I747" s="79"/>
      <c r="J747" s="79"/>
      <c r="K747" s="79"/>
      <c r="L747" s="79"/>
      <c r="M747" s="79"/>
      <c r="N747" s="79"/>
      <c r="O747" s="79"/>
      <c r="P747" s="79"/>
      <c r="Q747" s="79"/>
    </row>
    <row r="748" spans="1:17" ht="13.2">
      <c r="A748" s="79"/>
      <c r="B748" s="79"/>
      <c r="C748" s="79"/>
      <c r="D748" s="79"/>
      <c r="E748" s="79"/>
      <c r="F748" s="79"/>
      <c r="G748" s="79"/>
      <c r="H748" s="79"/>
      <c r="I748" s="79"/>
      <c r="J748" s="79"/>
      <c r="K748" s="79"/>
      <c r="L748" s="79"/>
      <c r="M748" s="79"/>
      <c r="N748" s="79"/>
      <c r="O748" s="79"/>
      <c r="P748" s="79"/>
      <c r="Q748" s="79"/>
    </row>
    <row r="749" spans="1:17" ht="13.2">
      <c r="A749" s="79"/>
      <c r="B749" s="79"/>
      <c r="C749" s="79"/>
      <c r="D749" s="79"/>
      <c r="E749" s="79"/>
      <c r="F749" s="79"/>
      <c r="G749" s="79"/>
      <c r="H749" s="79"/>
      <c r="I749" s="79"/>
      <c r="J749" s="79"/>
      <c r="K749" s="79"/>
      <c r="L749" s="79"/>
      <c r="M749" s="79"/>
      <c r="N749" s="79"/>
      <c r="O749" s="79"/>
      <c r="P749" s="79"/>
      <c r="Q749" s="79"/>
    </row>
    <row r="750" spans="1:17" ht="13.2">
      <c r="A750" s="79"/>
      <c r="B750" s="79"/>
      <c r="C750" s="79"/>
      <c r="D750" s="79"/>
      <c r="E750" s="79"/>
      <c r="F750" s="79"/>
      <c r="G750" s="79"/>
      <c r="H750" s="79"/>
      <c r="I750" s="79"/>
      <c r="J750" s="79"/>
      <c r="K750" s="79"/>
      <c r="L750" s="79"/>
      <c r="M750" s="79"/>
      <c r="N750" s="79"/>
      <c r="O750" s="79"/>
      <c r="P750" s="79"/>
      <c r="Q750" s="79"/>
    </row>
    <row r="751" spans="1:17" ht="13.2">
      <c r="A751" s="79"/>
      <c r="B751" s="79"/>
      <c r="C751" s="79"/>
      <c r="D751" s="79"/>
      <c r="E751" s="79"/>
      <c r="F751" s="79"/>
      <c r="G751" s="79"/>
      <c r="H751" s="79"/>
      <c r="I751" s="79"/>
      <c r="J751" s="79"/>
      <c r="K751" s="79"/>
      <c r="L751" s="79"/>
      <c r="M751" s="79"/>
      <c r="N751" s="79"/>
      <c r="O751" s="79"/>
      <c r="P751" s="79"/>
      <c r="Q751" s="79"/>
    </row>
    <row r="752" spans="1:17" ht="13.2">
      <c r="A752" s="79"/>
      <c r="B752" s="79"/>
      <c r="C752" s="79"/>
      <c r="D752" s="79"/>
      <c r="E752" s="79"/>
      <c r="F752" s="79"/>
      <c r="G752" s="79"/>
      <c r="H752" s="79"/>
      <c r="I752" s="79"/>
      <c r="J752" s="79"/>
      <c r="K752" s="79"/>
      <c r="L752" s="79"/>
      <c r="M752" s="79"/>
      <c r="N752" s="79"/>
      <c r="O752" s="79"/>
      <c r="P752" s="79"/>
      <c r="Q752" s="79"/>
    </row>
    <row r="753" spans="1:17" ht="13.2">
      <c r="A753" s="79"/>
      <c r="B753" s="79"/>
      <c r="C753" s="79"/>
      <c r="D753" s="79"/>
      <c r="E753" s="79"/>
      <c r="F753" s="79"/>
      <c r="G753" s="79"/>
      <c r="H753" s="79"/>
      <c r="I753" s="79"/>
      <c r="J753" s="79"/>
      <c r="K753" s="79"/>
      <c r="L753" s="79"/>
      <c r="M753" s="79"/>
      <c r="N753" s="79"/>
      <c r="O753" s="79"/>
      <c r="P753" s="79"/>
      <c r="Q753" s="79"/>
    </row>
    <row r="754" spans="1:17" ht="13.2">
      <c r="A754" s="79"/>
      <c r="B754" s="79"/>
      <c r="C754" s="79"/>
      <c r="D754" s="79"/>
      <c r="E754" s="79"/>
      <c r="F754" s="79"/>
      <c r="G754" s="79"/>
      <c r="H754" s="79"/>
      <c r="I754" s="79"/>
      <c r="J754" s="79"/>
      <c r="K754" s="79"/>
      <c r="L754" s="79"/>
      <c r="M754" s="79"/>
      <c r="N754" s="79"/>
      <c r="O754" s="79"/>
      <c r="P754" s="79"/>
      <c r="Q754" s="79"/>
    </row>
    <row r="755" spans="1:17" ht="13.2">
      <c r="A755" s="79"/>
      <c r="B755" s="79"/>
      <c r="C755" s="79"/>
      <c r="D755" s="79"/>
      <c r="E755" s="79"/>
      <c r="F755" s="79"/>
      <c r="G755" s="79"/>
      <c r="H755" s="79"/>
      <c r="I755" s="79"/>
      <c r="J755" s="79"/>
      <c r="K755" s="79"/>
      <c r="L755" s="79"/>
      <c r="M755" s="79"/>
      <c r="N755" s="79"/>
      <c r="O755" s="79"/>
      <c r="P755" s="79"/>
      <c r="Q755" s="79"/>
    </row>
    <row r="756" spans="1:17" ht="13.2">
      <c r="A756" s="79"/>
      <c r="B756" s="79"/>
      <c r="C756" s="79"/>
      <c r="D756" s="79"/>
      <c r="E756" s="79"/>
      <c r="F756" s="79"/>
      <c r="G756" s="79"/>
      <c r="H756" s="79"/>
      <c r="I756" s="79"/>
      <c r="J756" s="79"/>
      <c r="K756" s="79"/>
      <c r="L756" s="79"/>
      <c r="M756" s="79"/>
      <c r="N756" s="79"/>
      <c r="O756" s="79"/>
      <c r="P756" s="79"/>
      <c r="Q756" s="79"/>
    </row>
    <row r="757" spans="1:17" ht="13.2">
      <c r="A757" s="79"/>
      <c r="B757" s="79"/>
      <c r="C757" s="79"/>
      <c r="D757" s="79"/>
      <c r="E757" s="79"/>
      <c r="F757" s="79"/>
      <c r="G757" s="79"/>
      <c r="H757" s="79"/>
      <c r="I757" s="79"/>
      <c r="J757" s="79"/>
      <c r="K757" s="79"/>
      <c r="L757" s="79"/>
      <c r="M757" s="79"/>
      <c r="N757" s="79"/>
      <c r="O757" s="79"/>
      <c r="P757" s="79"/>
      <c r="Q757" s="79"/>
    </row>
    <row r="758" spans="1:17" ht="13.2">
      <c r="A758" s="79"/>
      <c r="B758" s="79"/>
      <c r="C758" s="79"/>
      <c r="D758" s="79"/>
      <c r="E758" s="79"/>
      <c r="F758" s="79"/>
      <c r="G758" s="79"/>
      <c r="H758" s="79"/>
      <c r="I758" s="79"/>
      <c r="J758" s="79"/>
      <c r="K758" s="79"/>
      <c r="L758" s="79"/>
      <c r="M758" s="79"/>
      <c r="N758" s="79"/>
      <c r="O758" s="79"/>
      <c r="P758" s="79"/>
      <c r="Q758" s="79"/>
    </row>
    <row r="759" spans="1:17" ht="13.2">
      <c r="A759" s="79"/>
      <c r="B759" s="79"/>
      <c r="C759" s="79"/>
      <c r="D759" s="79"/>
      <c r="E759" s="79"/>
      <c r="F759" s="79"/>
      <c r="G759" s="79"/>
      <c r="H759" s="79"/>
      <c r="I759" s="79"/>
      <c r="J759" s="79"/>
      <c r="K759" s="79"/>
      <c r="L759" s="79"/>
      <c r="M759" s="79"/>
      <c r="N759" s="79"/>
      <c r="O759" s="79"/>
      <c r="P759" s="79"/>
      <c r="Q759" s="79"/>
    </row>
    <row r="760" spans="1:17" ht="13.2">
      <c r="A760" s="79"/>
      <c r="B760" s="79"/>
      <c r="C760" s="79"/>
      <c r="D760" s="79"/>
      <c r="E760" s="79"/>
      <c r="F760" s="79"/>
      <c r="G760" s="79"/>
      <c r="H760" s="79"/>
      <c r="I760" s="79"/>
      <c r="J760" s="79"/>
      <c r="K760" s="79"/>
      <c r="L760" s="79"/>
      <c r="M760" s="79"/>
      <c r="N760" s="79"/>
      <c r="O760" s="79"/>
      <c r="P760" s="79"/>
      <c r="Q760" s="79"/>
    </row>
    <row r="761" spans="1:17" ht="13.2">
      <c r="A761" s="79"/>
      <c r="B761" s="79"/>
      <c r="C761" s="79"/>
      <c r="D761" s="79"/>
      <c r="E761" s="79"/>
      <c r="F761" s="79"/>
      <c r="G761" s="79"/>
      <c r="H761" s="79"/>
      <c r="I761" s="79"/>
      <c r="J761" s="79"/>
      <c r="K761" s="79"/>
      <c r="L761" s="79"/>
      <c r="M761" s="79"/>
      <c r="N761" s="79"/>
      <c r="O761" s="79"/>
      <c r="P761" s="79"/>
      <c r="Q761" s="79"/>
    </row>
    <row r="762" spans="1:17" ht="13.2">
      <c r="A762" s="79"/>
      <c r="B762" s="79"/>
      <c r="C762" s="79"/>
      <c r="D762" s="79"/>
      <c r="E762" s="79"/>
      <c r="F762" s="79"/>
      <c r="G762" s="79"/>
      <c r="H762" s="79"/>
      <c r="I762" s="79"/>
      <c r="J762" s="79"/>
      <c r="K762" s="79"/>
      <c r="L762" s="79"/>
      <c r="M762" s="79"/>
      <c r="N762" s="79"/>
      <c r="O762" s="79"/>
      <c r="P762" s="79"/>
      <c r="Q762" s="79"/>
    </row>
    <row r="763" spans="1:17" ht="13.2">
      <c r="A763" s="79"/>
      <c r="B763" s="79"/>
      <c r="C763" s="79"/>
      <c r="D763" s="79"/>
      <c r="E763" s="79"/>
      <c r="F763" s="79"/>
      <c r="G763" s="79"/>
      <c r="H763" s="79"/>
      <c r="I763" s="79"/>
      <c r="J763" s="79"/>
      <c r="K763" s="79"/>
      <c r="L763" s="79"/>
      <c r="M763" s="79"/>
      <c r="N763" s="79"/>
      <c r="O763" s="79"/>
      <c r="P763" s="79"/>
      <c r="Q763" s="79"/>
    </row>
    <row r="764" spans="1:17" ht="13.2">
      <c r="A764" s="79"/>
      <c r="B764" s="79"/>
      <c r="C764" s="79"/>
      <c r="D764" s="79"/>
      <c r="E764" s="79"/>
      <c r="F764" s="79"/>
      <c r="G764" s="79"/>
      <c r="H764" s="79"/>
      <c r="I764" s="79"/>
      <c r="J764" s="79"/>
      <c r="K764" s="79"/>
      <c r="L764" s="79"/>
      <c r="M764" s="79"/>
      <c r="N764" s="79"/>
      <c r="O764" s="79"/>
      <c r="P764" s="79"/>
      <c r="Q764" s="79"/>
    </row>
    <row r="765" spans="1:17" ht="13.2">
      <c r="A765" s="79"/>
      <c r="B765" s="79"/>
      <c r="C765" s="79"/>
      <c r="D765" s="79"/>
      <c r="E765" s="79"/>
      <c r="F765" s="79"/>
      <c r="G765" s="79"/>
      <c r="H765" s="79"/>
      <c r="I765" s="79"/>
      <c r="J765" s="79"/>
      <c r="K765" s="79"/>
      <c r="L765" s="79"/>
      <c r="M765" s="79"/>
      <c r="N765" s="79"/>
      <c r="O765" s="79"/>
      <c r="P765" s="79"/>
      <c r="Q765" s="79"/>
    </row>
    <row r="766" spans="1:17" ht="13.2">
      <c r="A766" s="79"/>
      <c r="B766" s="79"/>
      <c r="C766" s="79"/>
      <c r="D766" s="79"/>
      <c r="E766" s="79"/>
      <c r="F766" s="79"/>
      <c r="G766" s="79"/>
      <c r="H766" s="79"/>
      <c r="I766" s="79"/>
      <c r="J766" s="79"/>
      <c r="K766" s="79"/>
      <c r="L766" s="79"/>
      <c r="M766" s="79"/>
      <c r="N766" s="79"/>
      <c r="O766" s="79"/>
      <c r="P766" s="79"/>
      <c r="Q766" s="79"/>
    </row>
    <row r="767" spans="1:17" ht="13.2">
      <c r="A767" s="79"/>
      <c r="B767" s="79"/>
      <c r="C767" s="79"/>
      <c r="D767" s="79"/>
      <c r="E767" s="79"/>
      <c r="F767" s="79"/>
      <c r="G767" s="79"/>
      <c r="H767" s="79"/>
      <c r="I767" s="79"/>
      <c r="J767" s="79"/>
      <c r="K767" s="79"/>
      <c r="L767" s="79"/>
      <c r="M767" s="79"/>
      <c r="N767" s="79"/>
      <c r="O767" s="79"/>
      <c r="P767" s="79"/>
      <c r="Q767" s="79"/>
    </row>
    <row r="768" spans="1:17" ht="13.2">
      <c r="A768" s="79"/>
      <c r="B768" s="79"/>
      <c r="C768" s="79"/>
      <c r="D768" s="79"/>
      <c r="E768" s="79"/>
      <c r="F768" s="79"/>
      <c r="G768" s="79"/>
      <c r="H768" s="79"/>
      <c r="I768" s="79"/>
      <c r="J768" s="79"/>
      <c r="K768" s="79"/>
      <c r="L768" s="79"/>
      <c r="M768" s="79"/>
      <c r="N768" s="79"/>
      <c r="O768" s="79"/>
      <c r="P768" s="79"/>
      <c r="Q768" s="79"/>
    </row>
    <row r="769" spans="1:17" ht="13.2">
      <c r="A769" s="79"/>
      <c r="B769" s="79"/>
      <c r="C769" s="79"/>
      <c r="D769" s="79"/>
      <c r="E769" s="79"/>
      <c r="F769" s="79"/>
      <c r="G769" s="79"/>
      <c r="H769" s="79"/>
      <c r="I769" s="79"/>
      <c r="J769" s="79"/>
      <c r="K769" s="79"/>
      <c r="L769" s="79"/>
      <c r="M769" s="79"/>
      <c r="N769" s="79"/>
      <c r="O769" s="79"/>
      <c r="P769" s="79"/>
      <c r="Q769" s="79"/>
    </row>
    <row r="770" spans="1:17" ht="13.2">
      <c r="A770" s="79"/>
      <c r="B770" s="79"/>
      <c r="C770" s="79"/>
      <c r="D770" s="79"/>
      <c r="E770" s="79"/>
      <c r="F770" s="79"/>
      <c r="G770" s="79"/>
      <c r="H770" s="79"/>
      <c r="I770" s="79"/>
      <c r="J770" s="79"/>
      <c r="K770" s="79"/>
      <c r="L770" s="79"/>
      <c r="M770" s="79"/>
      <c r="N770" s="79"/>
      <c r="O770" s="79"/>
      <c r="P770" s="79"/>
      <c r="Q770" s="79"/>
    </row>
    <row r="771" spans="1:17" ht="13.2">
      <c r="A771" s="79"/>
      <c r="B771" s="79"/>
      <c r="C771" s="79"/>
      <c r="D771" s="79"/>
      <c r="E771" s="79"/>
      <c r="F771" s="79"/>
      <c r="G771" s="79"/>
      <c r="H771" s="79"/>
      <c r="I771" s="79"/>
      <c r="J771" s="79"/>
      <c r="K771" s="79"/>
      <c r="L771" s="79"/>
      <c r="M771" s="79"/>
      <c r="N771" s="79"/>
      <c r="O771" s="79"/>
      <c r="P771" s="79"/>
      <c r="Q771" s="79"/>
    </row>
    <row r="772" spans="1:17" ht="13.2">
      <c r="A772" s="79"/>
      <c r="B772" s="79"/>
      <c r="C772" s="79"/>
      <c r="D772" s="79"/>
      <c r="E772" s="79"/>
      <c r="F772" s="79"/>
      <c r="G772" s="79"/>
      <c r="H772" s="79"/>
      <c r="I772" s="79"/>
      <c r="J772" s="79"/>
      <c r="K772" s="79"/>
      <c r="L772" s="79"/>
      <c r="M772" s="79"/>
      <c r="N772" s="79"/>
      <c r="O772" s="79"/>
      <c r="P772" s="79"/>
      <c r="Q772" s="79"/>
    </row>
    <row r="773" spans="1:17" ht="13.2">
      <c r="A773" s="79"/>
      <c r="B773" s="79"/>
      <c r="C773" s="79"/>
      <c r="D773" s="79"/>
      <c r="E773" s="79"/>
      <c r="F773" s="79"/>
      <c r="G773" s="79"/>
      <c r="H773" s="79"/>
      <c r="I773" s="79"/>
      <c r="J773" s="79"/>
      <c r="K773" s="79"/>
      <c r="L773" s="79"/>
      <c r="M773" s="79"/>
      <c r="N773" s="79"/>
      <c r="O773" s="79"/>
      <c r="P773" s="79"/>
      <c r="Q773" s="79"/>
    </row>
    <row r="774" spans="1:17" ht="13.2">
      <c r="A774" s="79"/>
      <c r="B774" s="79"/>
      <c r="C774" s="79"/>
      <c r="D774" s="79"/>
      <c r="E774" s="79"/>
      <c r="F774" s="79"/>
      <c r="G774" s="79"/>
      <c r="H774" s="79"/>
      <c r="I774" s="79"/>
      <c r="J774" s="79"/>
      <c r="K774" s="79"/>
      <c r="L774" s="79"/>
      <c r="M774" s="79"/>
      <c r="N774" s="79"/>
      <c r="O774" s="79"/>
      <c r="P774" s="79"/>
      <c r="Q774" s="79"/>
    </row>
    <row r="775" spans="1:17" ht="13.2">
      <c r="A775" s="79"/>
      <c r="B775" s="79"/>
      <c r="C775" s="79"/>
      <c r="D775" s="79"/>
      <c r="E775" s="79"/>
      <c r="F775" s="79"/>
      <c r="G775" s="79"/>
      <c r="H775" s="79"/>
      <c r="I775" s="79"/>
      <c r="J775" s="79"/>
      <c r="K775" s="79"/>
      <c r="L775" s="79"/>
      <c r="M775" s="79"/>
      <c r="N775" s="79"/>
      <c r="O775" s="79"/>
      <c r="P775" s="79"/>
      <c r="Q775" s="79"/>
    </row>
    <row r="776" spans="1:17" ht="13.2">
      <c r="A776" s="79"/>
      <c r="B776" s="79"/>
      <c r="C776" s="79"/>
      <c r="D776" s="79"/>
      <c r="E776" s="79"/>
      <c r="F776" s="79"/>
      <c r="G776" s="79"/>
      <c r="H776" s="79"/>
      <c r="I776" s="79"/>
      <c r="J776" s="79"/>
      <c r="K776" s="79"/>
      <c r="L776" s="79"/>
      <c r="M776" s="79"/>
      <c r="N776" s="79"/>
      <c r="O776" s="79"/>
      <c r="P776" s="79"/>
      <c r="Q776" s="79"/>
    </row>
    <row r="777" spans="1:17" ht="13.2">
      <c r="A777" s="79"/>
      <c r="B777" s="79"/>
      <c r="C777" s="79"/>
      <c r="D777" s="79"/>
      <c r="E777" s="79"/>
      <c r="F777" s="79"/>
      <c r="G777" s="79"/>
      <c r="H777" s="79"/>
      <c r="I777" s="79"/>
      <c r="J777" s="79"/>
      <c r="K777" s="79"/>
      <c r="L777" s="79"/>
      <c r="M777" s="79"/>
      <c r="N777" s="79"/>
      <c r="O777" s="79"/>
      <c r="P777" s="79"/>
      <c r="Q777" s="79"/>
    </row>
    <row r="778" spans="1:17" ht="13.2">
      <c r="A778" s="79"/>
      <c r="B778" s="79"/>
      <c r="C778" s="79"/>
      <c r="D778" s="79"/>
      <c r="E778" s="79"/>
      <c r="F778" s="79"/>
      <c r="G778" s="79"/>
      <c r="H778" s="79"/>
      <c r="I778" s="79"/>
      <c r="J778" s="79"/>
      <c r="K778" s="79"/>
      <c r="L778" s="79"/>
      <c r="M778" s="79"/>
      <c r="N778" s="79"/>
      <c r="O778" s="79"/>
      <c r="P778" s="79"/>
      <c r="Q778" s="79"/>
    </row>
    <row r="779" spans="1:17" ht="13.2">
      <c r="A779" s="79"/>
      <c r="B779" s="79"/>
      <c r="C779" s="79"/>
      <c r="D779" s="79"/>
      <c r="E779" s="79"/>
      <c r="F779" s="79"/>
      <c r="G779" s="79"/>
      <c r="H779" s="79"/>
      <c r="I779" s="79"/>
      <c r="J779" s="79"/>
      <c r="K779" s="79"/>
      <c r="L779" s="79"/>
      <c r="M779" s="79"/>
      <c r="N779" s="79"/>
      <c r="O779" s="79"/>
      <c r="P779" s="79"/>
      <c r="Q779" s="79"/>
    </row>
    <row r="780" spans="1:17" ht="13.2">
      <c r="A780" s="79"/>
      <c r="B780" s="79"/>
      <c r="C780" s="79"/>
      <c r="D780" s="79"/>
      <c r="E780" s="79"/>
      <c r="F780" s="79"/>
      <c r="G780" s="79"/>
      <c r="H780" s="79"/>
      <c r="I780" s="79"/>
      <c r="J780" s="79"/>
      <c r="K780" s="79"/>
      <c r="L780" s="79"/>
      <c r="M780" s="79"/>
      <c r="N780" s="79"/>
      <c r="O780" s="79"/>
      <c r="P780" s="79"/>
      <c r="Q780" s="79"/>
    </row>
    <row r="781" spans="1:17" ht="13.2">
      <c r="A781" s="79"/>
      <c r="B781" s="79"/>
      <c r="C781" s="79"/>
      <c r="D781" s="79"/>
      <c r="E781" s="79"/>
      <c r="F781" s="79"/>
      <c r="G781" s="79"/>
      <c r="H781" s="79"/>
      <c r="I781" s="79"/>
      <c r="J781" s="79"/>
      <c r="K781" s="79"/>
      <c r="L781" s="79"/>
      <c r="M781" s="79"/>
      <c r="N781" s="79"/>
      <c r="O781" s="79"/>
      <c r="P781" s="79"/>
      <c r="Q781" s="79"/>
    </row>
    <row r="782" spans="1:17" ht="13.2">
      <c r="A782" s="79"/>
      <c r="B782" s="79"/>
      <c r="C782" s="79"/>
      <c r="D782" s="79"/>
      <c r="E782" s="79"/>
      <c r="F782" s="79"/>
      <c r="G782" s="79"/>
      <c r="H782" s="79"/>
      <c r="I782" s="79"/>
      <c r="J782" s="79"/>
      <c r="K782" s="79"/>
      <c r="L782" s="79"/>
      <c r="M782" s="79"/>
      <c r="N782" s="79"/>
      <c r="O782" s="79"/>
      <c r="P782" s="79"/>
      <c r="Q782" s="79"/>
    </row>
    <row r="783" spans="1:17" ht="13.2">
      <c r="A783" s="79"/>
      <c r="B783" s="79"/>
      <c r="C783" s="79"/>
      <c r="D783" s="79"/>
      <c r="E783" s="79"/>
      <c r="F783" s="79"/>
      <c r="G783" s="79"/>
      <c r="H783" s="79"/>
      <c r="I783" s="79"/>
      <c r="J783" s="79"/>
      <c r="K783" s="79"/>
      <c r="L783" s="79"/>
      <c r="M783" s="79"/>
      <c r="N783" s="79"/>
      <c r="O783" s="79"/>
      <c r="P783" s="79"/>
      <c r="Q783" s="79"/>
    </row>
    <row r="784" spans="1:17" ht="13.2">
      <c r="A784" s="79"/>
      <c r="B784" s="79"/>
      <c r="C784" s="79"/>
      <c r="D784" s="79"/>
      <c r="E784" s="79"/>
      <c r="F784" s="79"/>
      <c r="G784" s="79"/>
      <c r="H784" s="79"/>
      <c r="I784" s="79"/>
      <c r="J784" s="79"/>
      <c r="K784" s="79"/>
      <c r="L784" s="79"/>
      <c r="M784" s="79"/>
      <c r="N784" s="79"/>
      <c r="O784" s="79"/>
      <c r="P784" s="79"/>
      <c r="Q784" s="79"/>
    </row>
    <row r="785" spans="1:17" ht="13.2">
      <c r="A785" s="79"/>
      <c r="B785" s="79"/>
      <c r="C785" s="79"/>
      <c r="D785" s="79"/>
      <c r="E785" s="79"/>
      <c r="F785" s="79"/>
      <c r="G785" s="79"/>
      <c r="H785" s="79"/>
      <c r="I785" s="79"/>
      <c r="J785" s="79"/>
      <c r="K785" s="79"/>
      <c r="L785" s="79"/>
      <c r="M785" s="79"/>
      <c r="N785" s="79"/>
      <c r="O785" s="79"/>
      <c r="P785" s="79"/>
      <c r="Q785" s="79"/>
    </row>
    <row r="786" spans="1:17" ht="13.2">
      <c r="A786" s="79"/>
      <c r="B786" s="79"/>
      <c r="C786" s="79"/>
      <c r="D786" s="79"/>
      <c r="E786" s="79"/>
      <c r="F786" s="79"/>
      <c r="G786" s="79"/>
      <c r="H786" s="79"/>
      <c r="I786" s="79"/>
      <c r="J786" s="79"/>
      <c r="K786" s="79"/>
      <c r="L786" s="79"/>
      <c r="M786" s="79"/>
      <c r="N786" s="79"/>
      <c r="O786" s="79"/>
      <c r="P786" s="79"/>
      <c r="Q786" s="79"/>
    </row>
    <row r="787" spans="1:17" ht="13.2">
      <c r="A787" s="79"/>
      <c r="B787" s="79"/>
      <c r="C787" s="79"/>
      <c r="D787" s="79"/>
      <c r="E787" s="79"/>
      <c r="F787" s="79"/>
      <c r="G787" s="79"/>
      <c r="H787" s="79"/>
      <c r="I787" s="79"/>
      <c r="J787" s="79"/>
      <c r="K787" s="79"/>
      <c r="L787" s="79"/>
      <c r="M787" s="79"/>
      <c r="N787" s="79"/>
      <c r="O787" s="79"/>
      <c r="P787" s="79"/>
      <c r="Q787" s="79"/>
    </row>
    <row r="788" spans="1:17" ht="13.2">
      <c r="A788" s="79"/>
      <c r="B788" s="79"/>
      <c r="C788" s="79"/>
      <c r="D788" s="79"/>
      <c r="E788" s="79"/>
      <c r="F788" s="79"/>
      <c r="G788" s="79"/>
      <c r="H788" s="79"/>
      <c r="I788" s="79"/>
      <c r="J788" s="79"/>
      <c r="K788" s="79"/>
      <c r="L788" s="79"/>
      <c r="M788" s="79"/>
      <c r="N788" s="79"/>
      <c r="O788" s="79"/>
      <c r="P788" s="79"/>
      <c r="Q788" s="79"/>
    </row>
    <row r="789" spans="1:17" ht="13.2">
      <c r="A789" s="79"/>
      <c r="B789" s="79"/>
      <c r="C789" s="79"/>
      <c r="D789" s="79"/>
      <c r="E789" s="79"/>
      <c r="F789" s="79"/>
      <c r="G789" s="79"/>
      <c r="H789" s="79"/>
      <c r="I789" s="79"/>
      <c r="J789" s="79"/>
      <c r="K789" s="79"/>
      <c r="L789" s="79"/>
      <c r="M789" s="79"/>
      <c r="N789" s="79"/>
      <c r="O789" s="79"/>
      <c r="P789" s="79"/>
      <c r="Q789" s="79"/>
    </row>
    <row r="790" spans="1:17" ht="13.2">
      <c r="A790" s="79"/>
      <c r="B790" s="79"/>
      <c r="C790" s="79"/>
      <c r="D790" s="79"/>
      <c r="E790" s="79"/>
      <c r="F790" s="79"/>
      <c r="G790" s="79"/>
      <c r="H790" s="79"/>
      <c r="I790" s="79"/>
      <c r="J790" s="79"/>
      <c r="K790" s="79"/>
      <c r="L790" s="79"/>
      <c r="M790" s="79"/>
      <c r="N790" s="79"/>
      <c r="O790" s="79"/>
      <c r="P790" s="79"/>
      <c r="Q790" s="79"/>
    </row>
    <row r="791" spans="1:17" ht="13.2">
      <c r="A791" s="79"/>
      <c r="B791" s="79"/>
      <c r="C791" s="79"/>
      <c r="D791" s="79"/>
      <c r="E791" s="79"/>
      <c r="F791" s="79"/>
      <c r="G791" s="79"/>
      <c r="H791" s="79"/>
      <c r="I791" s="79"/>
      <c r="J791" s="79"/>
      <c r="K791" s="79"/>
      <c r="L791" s="79"/>
      <c r="M791" s="79"/>
      <c r="N791" s="79"/>
      <c r="O791" s="79"/>
      <c r="P791" s="79"/>
      <c r="Q791" s="79"/>
    </row>
    <row r="792" spans="1:17" ht="13.2">
      <c r="A792" s="79"/>
      <c r="B792" s="79"/>
      <c r="C792" s="79"/>
      <c r="D792" s="79"/>
      <c r="E792" s="79"/>
      <c r="F792" s="79"/>
      <c r="G792" s="79"/>
      <c r="H792" s="79"/>
      <c r="I792" s="79"/>
      <c r="J792" s="79"/>
      <c r="K792" s="79"/>
      <c r="L792" s="79"/>
      <c r="M792" s="79"/>
      <c r="N792" s="79"/>
      <c r="O792" s="79"/>
      <c r="P792" s="79"/>
      <c r="Q792" s="79"/>
    </row>
    <row r="793" spans="1:17" ht="13.2">
      <c r="A793" s="79"/>
      <c r="B793" s="79"/>
      <c r="C793" s="79"/>
      <c r="D793" s="79"/>
      <c r="E793" s="79"/>
      <c r="F793" s="79"/>
      <c r="G793" s="79"/>
      <c r="H793" s="79"/>
      <c r="I793" s="79"/>
      <c r="J793" s="79"/>
      <c r="K793" s="79"/>
      <c r="L793" s="79"/>
      <c r="M793" s="79"/>
      <c r="N793" s="79"/>
      <c r="O793" s="79"/>
      <c r="P793" s="79"/>
      <c r="Q793" s="79"/>
    </row>
    <row r="794" spans="1:17" ht="13.2">
      <c r="A794" s="79"/>
      <c r="B794" s="79"/>
      <c r="C794" s="79"/>
      <c r="D794" s="79"/>
      <c r="E794" s="79"/>
      <c r="F794" s="79"/>
      <c r="G794" s="79"/>
      <c r="H794" s="79"/>
      <c r="I794" s="79"/>
      <c r="J794" s="79"/>
      <c r="K794" s="79"/>
      <c r="L794" s="79"/>
      <c r="M794" s="79"/>
      <c r="N794" s="79"/>
      <c r="O794" s="79"/>
      <c r="P794" s="79"/>
      <c r="Q794" s="79"/>
    </row>
    <row r="795" spans="1:17" ht="13.2">
      <c r="A795" s="79"/>
      <c r="B795" s="79"/>
      <c r="C795" s="79"/>
      <c r="D795" s="79"/>
      <c r="E795" s="79"/>
      <c r="F795" s="79"/>
      <c r="G795" s="79"/>
      <c r="H795" s="79"/>
      <c r="I795" s="79"/>
      <c r="J795" s="79"/>
      <c r="K795" s="79"/>
      <c r="L795" s="79"/>
      <c r="M795" s="79"/>
      <c r="N795" s="79"/>
      <c r="O795" s="79"/>
      <c r="P795" s="79"/>
      <c r="Q795" s="79"/>
    </row>
    <row r="796" spans="1:17" ht="13.2">
      <c r="A796" s="79"/>
      <c r="B796" s="79"/>
      <c r="C796" s="79"/>
      <c r="D796" s="79"/>
      <c r="E796" s="79"/>
      <c r="F796" s="79"/>
      <c r="G796" s="79"/>
      <c r="H796" s="79"/>
      <c r="I796" s="79"/>
      <c r="J796" s="79"/>
      <c r="K796" s="79"/>
      <c r="L796" s="79"/>
      <c r="M796" s="79"/>
      <c r="N796" s="79"/>
      <c r="O796" s="79"/>
      <c r="P796" s="79"/>
      <c r="Q796" s="79"/>
    </row>
    <row r="797" spans="1:17" ht="13.2">
      <c r="A797" s="79"/>
      <c r="B797" s="79"/>
      <c r="C797" s="79"/>
      <c r="D797" s="79"/>
      <c r="E797" s="79"/>
      <c r="F797" s="79"/>
      <c r="G797" s="79"/>
      <c r="H797" s="79"/>
      <c r="I797" s="79"/>
      <c r="J797" s="79"/>
      <c r="K797" s="79"/>
      <c r="L797" s="79"/>
      <c r="M797" s="79"/>
      <c r="N797" s="79"/>
      <c r="O797" s="79"/>
      <c r="P797" s="79"/>
      <c r="Q797" s="79"/>
    </row>
    <row r="798" spans="1:17" ht="13.2">
      <c r="A798" s="79"/>
      <c r="B798" s="79"/>
      <c r="C798" s="79"/>
      <c r="D798" s="79"/>
      <c r="E798" s="79"/>
      <c r="F798" s="79"/>
      <c r="G798" s="79"/>
      <c r="H798" s="79"/>
      <c r="I798" s="79"/>
      <c r="J798" s="79"/>
      <c r="K798" s="79"/>
      <c r="L798" s="79"/>
      <c r="M798" s="79"/>
      <c r="N798" s="79"/>
      <c r="O798" s="79"/>
      <c r="P798" s="79"/>
      <c r="Q798" s="79"/>
    </row>
    <row r="799" spans="1:17" ht="13.2">
      <c r="A799" s="79"/>
      <c r="B799" s="79"/>
      <c r="C799" s="79"/>
      <c r="D799" s="79"/>
      <c r="E799" s="79"/>
      <c r="F799" s="79"/>
      <c r="G799" s="79"/>
      <c r="H799" s="79"/>
      <c r="I799" s="79"/>
      <c r="J799" s="79"/>
      <c r="K799" s="79"/>
      <c r="L799" s="79"/>
      <c r="M799" s="79"/>
      <c r="N799" s="79"/>
      <c r="O799" s="79"/>
      <c r="P799" s="79"/>
      <c r="Q799" s="79"/>
    </row>
    <row r="800" spans="1:17" ht="13.2">
      <c r="A800" s="79"/>
      <c r="B800" s="79"/>
      <c r="C800" s="79"/>
      <c r="D800" s="79"/>
      <c r="E800" s="79"/>
      <c r="F800" s="79"/>
      <c r="G800" s="79"/>
      <c r="H800" s="79"/>
      <c r="I800" s="79"/>
      <c r="J800" s="79"/>
      <c r="K800" s="79"/>
      <c r="L800" s="79"/>
      <c r="M800" s="79"/>
      <c r="N800" s="79"/>
      <c r="O800" s="79"/>
      <c r="P800" s="79"/>
      <c r="Q800" s="79"/>
    </row>
    <row r="801" spans="1:17" ht="13.2">
      <c r="A801" s="79"/>
      <c r="B801" s="79"/>
      <c r="C801" s="79"/>
      <c r="D801" s="79"/>
      <c r="E801" s="79"/>
      <c r="F801" s="79"/>
      <c r="G801" s="79"/>
      <c r="H801" s="79"/>
      <c r="I801" s="79"/>
      <c r="J801" s="79"/>
      <c r="K801" s="79"/>
      <c r="L801" s="79"/>
      <c r="M801" s="79"/>
      <c r="N801" s="79"/>
      <c r="O801" s="79"/>
      <c r="P801" s="79"/>
      <c r="Q801" s="79"/>
    </row>
    <row r="802" spans="1:17" ht="13.2">
      <c r="A802" s="79"/>
      <c r="B802" s="79"/>
      <c r="C802" s="79"/>
      <c r="D802" s="79"/>
      <c r="E802" s="79"/>
      <c r="F802" s="79"/>
      <c r="G802" s="79"/>
      <c r="H802" s="79"/>
      <c r="I802" s="79"/>
      <c r="J802" s="79"/>
      <c r="K802" s="79"/>
      <c r="L802" s="79"/>
      <c r="M802" s="79"/>
      <c r="N802" s="79"/>
      <c r="O802" s="79"/>
      <c r="P802" s="79"/>
      <c r="Q802" s="79"/>
    </row>
    <row r="803" spans="1:17" ht="13.2">
      <c r="A803" s="79"/>
      <c r="B803" s="79"/>
      <c r="C803" s="79"/>
      <c r="D803" s="79"/>
      <c r="E803" s="79"/>
      <c r="F803" s="79"/>
      <c r="G803" s="79"/>
      <c r="H803" s="79"/>
      <c r="I803" s="79"/>
      <c r="J803" s="79"/>
      <c r="K803" s="79"/>
      <c r="L803" s="79"/>
      <c r="M803" s="79"/>
      <c r="N803" s="79"/>
      <c r="O803" s="79"/>
      <c r="P803" s="79"/>
      <c r="Q803" s="79"/>
    </row>
    <row r="804" spans="1:17" ht="13.2">
      <c r="A804" s="79"/>
      <c r="B804" s="79"/>
      <c r="C804" s="79"/>
      <c r="D804" s="79"/>
      <c r="E804" s="79"/>
      <c r="F804" s="79"/>
      <c r="G804" s="79"/>
      <c r="H804" s="79"/>
      <c r="I804" s="79"/>
      <c r="J804" s="79"/>
      <c r="K804" s="79"/>
      <c r="L804" s="79"/>
      <c r="M804" s="79"/>
      <c r="N804" s="79"/>
      <c r="O804" s="79"/>
      <c r="P804" s="79"/>
      <c r="Q804" s="79"/>
    </row>
    <row r="805" spans="1:17" ht="13.2">
      <c r="A805" s="79"/>
      <c r="B805" s="79"/>
      <c r="C805" s="79"/>
      <c r="D805" s="79"/>
      <c r="E805" s="79"/>
      <c r="F805" s="79"/>
      <c r="G805" s="79"/>
      <c r="H805" s="79"/>
      <c r="I805" s="79"/>
      <c r="J805" s="79"/>
      <c r="K805" s="79"/>
      <c r="L805" s="79"/>
      <c r="M805" s="79"/>
      <c r="N805" s="79"/>
      <c r="O805" s="79"/>
      <c r="P805" s="79"/>
      <c r="Q805" s="79"/>
    </row>
    <row r="806" spans="1:17" ht="13.2">
      <c r="A806" s="79"/>
      <c r="B806" s="79"/>
      <c r="C806" s="79"/>
      <c r="D806" s="79"/>
      <c r="E806" s="79"/>
      <c r="F806" s="79"/>
      <c r="G806" s="79"/>
      <c r="H806" s="79"/>
      <c r="I806" s="79"/>
      <c r="J806" s="79"/>
      <c r="K806" s="79"/>
      <c r="L806" s="79"/>
      <c r="M806" s="79"/>
      <c r="N806" s="79"/>
      <c r="O806" s="79"/>
      <c r="P806" s="79"/>
      <c r="Q806" s="79"/>
    </row>
    <row r="807" spans="1:17" ht="13.2">
      <c r="A807" s="79"/>
      <c r="B807" s="79"/>
      <c r="C807" s="79"/>
      <c r="D807" s="79"/>
      <c r="E807" s="79"/>
      <c r="F807" s="79"/>
      <c r="G807" s="79"/>
      <c r="H807" s="79"/>
      <c r="I807" s="79"/>
      <c r="J807" s="79"/>
      <c r="K807" s="79"/>
      <c r="L807" s="79"/>
      <c r="M807" s="79"/>
      <c r="N807" s="79"/>
      <c r="O807" s="79"/>
      <c r="P807" s="79"/>
      <c r="Q807" s="79"/>
    </row>
    <row r="808" spans="1:17" ht="13.2">
      <c r="A808" s="79"/>
      <c r="B808" s="79"/>
      <c r="C808" s="79"/>
      <c r="D808" s="79"/>
      <c r="E808" s="79"/>
      <c r="F808" s="79"/>
      <c r="G808" s="79"/>
      <c r="H808" s="79"/>
      <c r="I808" s="79"/>
      <c r="J808" s="79"/>
      <c r="K808" s="79"/>
      <c r="L808" s="79"/>
      <c r="M808" s="79"/>
      <c r="N808" s="79"/>
      <c r="O808" s="79"/>
      <c r="P808" s="79"/>
      <c r="Q808" s="79"/>
    </row>
    <row r="809" spans="1:17" ht="13.2">
      <c r="A809" s="79"/>
      <c r="B809" s="79"/>
      <c r="C809" s="79"/>
      <c r="D809" s="79"/>
      <c r="E809" s="79"/>
      <c r="F809" s="79"/>
      <c r="G809" s="79"/>
      <c r="H809" s="79"/>
      <c r="I809" s="79"/>
      <c r="J809" s="79"/>
      <c r="K809" s="79"/>
      <c r="L809" s="79"/>
      <c r="M809" s="79"/>
      <c r="N809" s="79"/>
      <c r="O809" s="79"/>
      <c r="P809" s="79"/>
      <c r="Q809" s="79"/>
    </row>
    <row r="810" spans="1:17" ht="13.2">
      <c r="A810" s="79"/>
      <c r="B810" s="79"/>
      <c r="C810" s="79"/>
      <c r="D810" s="79"/>
      <c r="E810" s="79"/>
      <c r="F810" s="79"/>
      <c r="G810" s="79"/>
      <c r="H810" s="79"/>
      <c r="I810" s="79"/>
      <c r="J810" s="79"/>
      <c r="K810" s="79"/>
      <c r="L810" s="79"/>
      <c r="M810" s="79"/>
      <c r="N810" s="79"/>
      <c r="O810" s="79"/>
      <c r="P810" s="79"/>
      <c r="Q810" s="79"/>
    </row>
    <row r="811" spans="1:17" ht="13.2">
      <c r="A811" s="79"/>
      <c r="B811" s="79"/>
      <c r="C811" s="79"/>
      <c r="D811" s="79"/>
      <c r="E811" s="79"/>
      <c r="F811" s="79"/>
      <c r="G811" s="79"/>
      <c r="H811" s="79"/>
      <c r="I811" s="79"/>
      <c r="J811" s="79"/>
      <c r="K811" s="79"/>
      <c r="L811" s="79"/>
      <c r="M811" s="79"/>
      <c r="N811" s="79"/>
      <c r="O811" s="79"/>
      <c r="P811" s="79"/>
      <c r="Q811" s="79"/>
    </row>
    <row r="812" spans="1:17" ht="13.2">
      <c r="A812" s="79"/>
      <c r="B812" s="79"/>
      <c r="C812" s="79"/>
      <c r="D812" s="79"/>
      <c r="E812" s="79"/>
      <c r="F812" s="79"/>
      <c r="G812" s="79"/>
      <c r="H812" s="79"/>
      <c r="I812" s="79"/>
      <c r="J812" s="79"/>
      <c r="K812" s="79"/>
      <c r="L812" s="79"/>
      <c r="M812" s="79"/>
      <c r="N812" s="79"/>
      <c r="O812" s="79"/>
      <c r="P812" s="79"/>
      <c r="Q812" s="79"/>
    </row>
    <row r="813" spans="1:17" ht="13.2">
      <c r="A813" s="79"/>
      <c r="B813" s="79"/>
      <c r="C813" s="79"/>
      <c r="D813" s="79"/>
      <c r="E813" s="79"/>
      <c r="F813" s="79"/>
      <c r="G813" s="79"/>
      <c r="H813" s="79"/>
      <c r="I813" s="79"/>
      <c r="J813" s="79"/>
      <c r="K813" s="79"/>
      <c r="L813" s="79"/>
      <c r="M813" s="79"/>
      <c r="N813" s="79"/>
      <c r="O813" s="79"/>
      <c r="P813" s="79"/>
      <c r="Q813" s="79"/>
    </row>
    <row r="814" spans="1:17" ht="13.2">
      <c r="A814" s="79"/>
      <c r="B814" s="79"/>
      <c r="C814" s="79"/>
      <c r="D814" s="79"/>
      <c r="E814" s="79"/>
      <c r="F814" s="79"/>
      <c r="G814" s="79"/>
      <c r="H814" s="79"/>
      <c r="I814" s="79"/>
      <c r="J814" s="79"/>
      <c r="K814" s="79"/>
      <c r="L814" s="79"/>
      <c r="M814" s="79"/>
      <c r="N814" s="79"/>
      <c r="O814" s="79"/>
      <c r="P814" s="79"/>
      <c r="Q814" s="79"/>
    </row>
    <row r="815" spans="1:17" ht="13.2">
      <c r="A815" s="79"/>
      <c r="B815" s="79"/>
      <c r="C815" s="79"/>
      <c r="D815" s="79"/>
      <c r="E815" s="79"/>
      <c r="F815" s="79"/>
      <c r="G815" s="79"/>
      <c r="H815" s="79"/>
      <c r="I815" s="79"/>
      <c r="J815" s="79"/>
      <c r="K815" s="79"/>
      <c r="L815" s="79"/>
      <c r="M815" s="79"/>
      <c r="N815" s="79"/>
      <c r="O815" s="79"/>
      <c r="P815" s="79"/>
      <c r="Q815" s="79"/>
    </row>
    <row r="816" spans="1:17" ht="13.2">
      <c r="A816" s="79"/>
      <c r="B816" s="79"/>
      <c r="C816" s="79"/>
      <c r="D816" s="79"/>
      <c r="E816" s="79"/>
      <c r="F816" s="79"/>
      <c r="G816" s="79"/>
      <c r="H816" s="79"/>
      <c r="I816" s="79"/>
      <c r="J816" s="79"/>
      <c r="K816" s="79"/>
      <c r="L816" s="79"/>
      <c r="M816" s="79"/>
      <c r="N816" s="79"/>
      <c r="O816" s="79"/>
      <c r="P816" s="79"/>
      <c r="Q816" s="79"/>
    </row>
    <row r="817" spans="1:17" ht="13.2">
      <c r="A817" s="79"/>
      <c r="B817" s="79"/>
      <c r="C817" s="79"/>
      <c r="D817" s="79"/>
      <c r="E817" s="79"/>
      <c r="F817" s="79"/>
      <c r="G817" s="79"/>
      <c r="H817" s="79"/>
      <c r="I817" s="79"/>
      <c r="J817" s="79"/>
      <c r="K817" s="79"/>
      <c r="L817" s="79"/>
      <c r="M817" s="79"/>
      <c r="N817" s="79"/>
      <c r="O817" s="79"/>
      <c r="P817" s="79"/>
      <c r="Q817" s="79"/>
    </row>
    <row r="818" spans="1:17" ht="13.2">
      <c r="A818" s="79"/>
      <c r="B818" s="79"/>
      <c r="C818" s="79"/>
      <c r="D818" s="79"/>
      <c r="E818" s="79"/>
      <c r="F818" s="79"/>
      <c r="G818" s="79"/>
      <c r="H818" s="79"/>
      <c r="I818" s="79"/>
      <c r="J818" s="79"/>
      <c r="K818" s="79"/>
      <c r="L818" s="79"/>
      <c r="M818" s="79"/>
      <c r="N818" s="79"/>
      <c r="O818" s="79"/>
      <c r="P818" s="79"/>
      <c r="Q818" s="79"/>
    </row>
    <row r="819" spans="1:17" ht="13.2">
      <c r="A819" s="79"/>
      <c r="B819" s="79"/>
      <c r="C819" s="79"/>
      <c r="D819" s="79"/>
      <c r="E819" s="79"/>
      <c r="F819" s="79"/>
      <c r="G819" s="79"/>
      <c r="H819" s="79"/>
      <c r="I819" s="79"/>
      <c r="J819" s="79"/>
      <c r="K819" s="79"/>
      <c r="L819" s="79"/>
      <c r="M819" s="79"/>
      <c r="N819" s="79"/>
      <c r="O819" s="79"/>
      <c r="P819" s="79"/>
      <c r="Q819" s="79"/>
    </row>
    <row r="820" spans="1:17" ht="13.2">
      <c r="A820" s="79"/>
      <c r="B820" s="79"/>
      <c r="C820" s="79"/>
      <c r="D820" s="79"/>
      <c r="E820" s="79"/>
      <c r="F820" s="79"/>
      <c r="G820" s="79"/>
      <c r="H820" s="79"/>
      <c r="I820" s="79"/>
      <c r="J820" s="79"/>
      <c r="K820" s="79"/>
      <c r="L820" s="79"/>
      <c r="M820" s="79"/>
      <c r="N820" s="79"/>
      <c r="O820" s="79"/>
      <c r="P820" s="79"/>
      <c r="Q820" s="79"/>
    </row>
    <row r="821" spans="1:17" ht="13.2">
      <c r="A821" s="79"/>
      <c r="B821" s="79"/>
      <c r="C821" s="79"/>
      <c r="D821" s="79"/>
      <c r="E821" s="79"/>
      <c r="F821" s="79"/>
      <c r="G821" s="79"/>
      <c r="H821" s="79"/>
      <c r="I821" s="79"/>
      <c r="J821" s="79"/>
      <c r="K821" s="79"/>
      <c r="L821" s="79"/>
      <c r="M821" s="79"/>
      <c r="N821" s="79"/>
      <c r="O821" s="79"/>
      <c r="P821" s="79"/>
      <c r="Q821" s="79"/>
    </row>
    <row r="822" spans="1:17" ht="13.2">
      <c r="A822" s="79"/>
      <c r="B822" s="79"/>
      <c r="C822" s="79"/>
      <c r="D822" s="79"/>
      <c r="E822" s="79"/>
      <c r="F822" s="79"/>
      <c r="G822" s="79"/>
      <c r="H822" s="79"/>
      <c r="I822" s="79"/>
      <c r="J822" s="79"/>
      <c r="K822" s="79"/>
      <c r="L822" s="79"/>
      <c r="M822" s="79"/>
      <c r="N822" s="79"/>
      <c r="O822" s="79"/>
      <c r="P822" s="79"/>
      <c r="Q822" s="79"/>
    </row>
    <row r="823" spans="1:17" ht="13.2">
      <c r="A823" s="79"/>
      <c r="B823" s="79"/>
      <c r="C823" s="79"/>
      <c r="D823" s="79"/>
      <c r="E823" s="79"/>
      <c r="F823" s="79"/>
      <c r="G823" s="79"/>
      <c r="H823" s="79"/>
      <c r="I823" s="79"/>
      <c r="J823" s="79"/>
      <c r="K823" s="79"/>
      <c r="L823" s="79"/>
      <c r="M823" s="79"/>
      <c r="N823" s="79"/>
      <c r="O823" s="79"/>
      <c r="P823" s="79"/>
      <c r="Q823" s="79"/>
    </row>
    <row r="824" spans="1:17" ht="13.2">
      <c r="A824" s="79"/>
      <c r="B824" s="79"/>
      <c r="C824" s="79"/>
      <c r="D824" s="79"/>
      <c r="E824" s="79"/>
      <c r="F824" s="79"/>
      <c r="G824" s="79"/>
      <c r="H824" s="79"/>
      <c r="I824" s="79"/>
      <c r="J824" s="79"/>
      <c r="K824" s="79"/>
      <c r="L824" s="79"/>
      <c r="M824" s="79"/>
      <c r="N824" s="79"/>
      <c r="O824" s="79"/>
      <c r="P824" s="79"/>
      <c r="Q824" s="79"/>
    </row>
    <row r="825" spans="1:17" ht="13.2">
      <c r="A825" s="79"/>
      <c r="B825" s="79"/>
      <c r="C825" s="79"/>
      <c r="D825" s="79"/>
      <c r="E825" s="79"/>
      <c r="F825" s="79"/>
      <c r="G825" s="79"/>
      <c r="H825" s="79"/>
      <c r="I825" s="79"/>
      <c r="J825" s="79"/>
      <c r="K825" s="79"/>
      <c r="L825" s="79"/>
      <c r="M825" s="79"/>
      <c r="N825" s="79"/>
      <c r="O825" s="79"/>
      <c r="P825" s="79"/>
      <c r="Q825" s="79"/>
    </row>
    <row r="826" spans="1:17" ht="13.2">
      <c r="A826" s="79"/>
      <c r="B826" s="79"/>
      <c r="C826" s="79"/>
      <c r="D826" s="79"/>
      <c r="E826" s="79"/>
      <c r="F826" s="79"/>
      <c r="G826" s="79"/>
      <c r="H826" s="79"/>
      <c r="I826" s="79"/>
      <c r="J826" s="79"/>
      <c r="K826" s="79"/>
      <c r="L826" s="79"/>
      <c r="M826" s="79"/>
      <c r="N826" s="79"/>
      <c r="O826" s="79"/>
      <c r="P826" s="79"/>
      <c r="Q826" s="79"/>
    </row>
    <row r="827" spans="1:17" ht="13.2">
      <c r="A827" s="79"/>
      <c r="B827" s="79"/>
      <c r="C827" s="79"/>
      <c r="D827" s="79"/>
      <c r="E827" s="79"/>
      <c r="F827" s="79"/>
      <c r="G827" s="79"/>
      <c r="H827" s="79"/>
      <c r="I827" s="79"/>
      <c r="J827" s="79"/>
      <c r="K827" s="79"/>
      <c r="L827" s="79"/>
      <c r="M827" s="79"/>
      <c r="N827" s="79"/>
      <c r="O827" s="79"/>
      <c r="P827" s="79"/>
      <c r="Q827" s="79"/>
    </row>
    <row r="828" spans="1:17" ht="13.2">
      <c r="A828" s="79"/>
      <c r="B828" s="79"/>
      <c r="C828" s="79"/>
      <c r="D828" s="79"/>
      <c r="E828" s="79"/>
      <c r="F828" s="79"/>
      <c r="G828" s="79"/>
      <c r="H828" s="79"/>
      <c r="I828" s="79"/>
      <c r="J828" s="79"/>
      <c r="K828" s="79"/>
      <c r="L828" s="79"/>
      <c r="M828" s="79"/>
      <c r="N828" s="79"/>
      <c r="O828" s="79"/>
      <c r="P828" s="79"/>
      <c r="Q828" s="79"/>
    </row>
    <row r="829" spans="1:17" ht="13.2">
      <c r="A829" s="79"/>
      <c r="B829" s="79"/>
      <c r="C829" s="79"/>
      <c r="D829" s="79"/>
      <c r="E829" s="79"/>
      <c r="F829" s="79"/>
      <c r="G829" s="79"/>
      <c r="H829" s="79"/>
      <c r="I829" s="79"/>
      <c r="J829" s="79"/>
      <c r="K829" s="79"/>
      <c r="L829" s="79"/>
      <c r="M829" s="79"/>
      <c r="N829" s="79"/>
      <c r="O829" s="79"/>
      <c r="P829" s="79"/>
      <c r="Q829" s="79"/>
    </row>
    <row r="830" spans="1:17" ht="13.2">
      <c r="A830" s="79"/>
      <c r="B830" s="79"/>
      <c r="C830" s="79"/>
      <c r="D830" s="79"/>
      <c r="E830" s="79"/>
      <c r="F830" s="79"/>
      <c r="G830" s="79"/>
      <c r="H830" s="79"/>
      <c r="I830" s="79"/>
      <c r="J830" s="79"/>
      <c r="K830" s="79"/>
      <c r="L830" s="79"/>
      <c r="M830" s="79"/>
      <c r="N830" s="79"/>
      <c r="O830" s="79"/>
      <c r="P830" s="79"/>
      <c r="Q830" s="79"/>
    </row>
    <row r="831" spans="1:17" ht="13.2">
      <c r="A831" s="79"/>
      <c r="B831" s="79"/>
      <c r="C831" s="79"/>
      <c r="D831" s="79"/>
      <c r="E831" s="79"/>
      <c r="F831" s="79"/>
      <c r="G831" s="79"/>
      <c r="H831" s="79"/>
      <c r="I831" s="79"/>
      <c r="J831" s="79"/>
      <c r="K831" s="79"/>
      <c r="L831" s="79"/>
      <c r="M831" s="79"/>
      <c r="N831" s="79"/>
      <c r="O831" s="79"/>
      <c r="P831" s="79"/>
      <c r="Q831" s="79"/>
    </row>
    <row r="832" spans="1:17" ht="13.2">
      <c r="A832" s="79"/>
      <c r="B832" s="79"/>
      <c r="C832" s="79"/>
      <c r="D832" s="79"/>
      <c r="E832" s="79"/>
      <c r="F832" s="79"/>
      <c r="G832" s="79"/>
      <c r="H832" s="79"/>
      <c r="I832" s="79"/>
      <c r="J832" s="79"/>
      <c r="K832" s="79"/>
      <c r="L832" s="79"/>
      <c r="M832" s="79"/>
      <c r="N832" s="79"/>
      <c r="O832" s="79"/>
      <c r="P832" s="79"/>
      <c r="Q832" s="79"/>
    </row>
    <row r="833" spans="1:17" ht="13.2">
      <c r="A833" s="79"/>
      <c r="B833" s="79"/>
      <c r="C833" s="79"/>
      <c r="D833" s="79"/>
      <c r="E833" s="79"/>
      <c r="F833" s="79"/>
      <c r="G833" s="79"/>
      <c r="H833" s="79"/>
      <c r="I833" s="79"/>
      <c r="J833" s="79"/>
      <c r="K833" s="79"/>
      <c r="L833" s="79"/>
      <c r="M833" s="79"/>
      <c r="N833" s="79"/>
      <c r="O833" s="79"/>
      <c r="P833" s="79"/>
      <c r="Q833" s="79"/>
    </row>
    <row r="834" spans="1:17" ht="13.2">
      <c r="A834" s="79"/>
      <c r="B834" s="79"/>
      <c r="C834" s="79"/>
      <c r="D834" s="79"/>
      <c r="E834" s="79"/>
      <c r="F834" s="79"/>
      <c r="G834" s="79"/>
      <c r="H834" s="79"/>
      <c r="I834" s="79"/>
      <c r="J834" s="79"/>
      <c r="K834" s="79"/>
      <c r="L834" s="79"/>
      <c r="M834" s="79"/>
      <c r="N834" s="79"/>
      <c r="O834" s="79"/>
      <c r="P834" s="79"/>
      <c r="Q834" s="79"/>
    </row>
    <row r="835" spans="1:17" ht="13.2">
      <c r="A835" s="79"/>
      <c r="B835" s="79"/>
      <c r="C835" s="79"/>
      <c r="D835" s="79"/>
      <c r="E835" s="79"/>
      <c r="F835" s="79"/>
      <c r="G835" s="79"/>
      <c r="H835" s="79"/>
      <c r="I835" s="79"/>
      <c r="J835" s="79"/>
      <c r="K835" s="79"/>
      <c r="L835" s="79"/>
      <c r="M835" s="79"/>
      <c r="N835" s="79"/>
      <c r="O835" s="79"/>
      <c r="P835" s="79"/>
      <c r="Q835" s="79"/>
    </row>
    <row r="836" spans="1:17" ht="13.2">
      <c r="A836" s="79"/>
      <c r="B836" s="79"/>
      <c r="C836" s="79"/>
      <c r="D836" s="79"/>
      <c r="E836" s="79"/>
      <c r="F836" s="79"/>
      <c r="G836" s="79"/>
      <c r="H836" s="79"/>
      <c r="I836" s="79"/>
      <c r="J836" s="79"/>
      <c r="K836" s="79"/>
      <c r="L836" s="79"/>
      <c r="M836" s="79"/>
      <c r="N836" s="79"/>
      <c r="O836" s="79"/>
      <c r="P836" s="79"/>
      <c r="Q836" s="79"/>
    </row>
    <row r="837" spans="1:17" ht="13.2">
      <c r="A837" s="79"/>
      <c r="B837" s="79"/>
      <c r="C837" s="79"/>
      <c r="D837" s="79"/>
      <c r="E837" s="79"/>
      <c r="F837" s="79"/>
      <c r="G837" s="79"/>
      <c r="H837" s="79"/>
      <c r="I837" s="79"/>
      <c r="J837" s="79"/>
      <c r="K837" s="79"/>
      <c r="L837" s="79"/>
      <c r="M837" s="79"/>
      <c r="N837" s="79"/>
      <c r="O837" s="79"/>
      <c r="P837" s="79"/>
      <c r="Q837" s="79"/>
    </row>
    <row r="838" spans="1:17" ht="13.2">
      <c r="A838" s="79"/>
      <c r="B838" s="79"/>
      <c r="C838" s="79"/>
      <c r="D838" s="79"/>
      <c r="E838" s="79"/>
      <c r="F838" s="79"/>
      <c r="G838" s="79"/>
      <c r="H838" s="79"/>
      <c r="I838" s="79"/>
      <c r="J838" s="79"/>
      <c r="K838" s="79"/>
      <c r="L838" s="79"/>
      <c r="M838" s="79"/>
      <c r="N838" s="79"/>
      <c r="O838" s="79"/>
      <c r="P838" s="79"/>
      <c r="Q838" s="79"/>
    </row>
    <row r="839" spans="1:17" ht="13.2">
      <c r="A839" s="79"/>
      <c r="B839" s="79"/>
      <c r="C839" s="79"/>
      <c r="D839" s="79"/>
      <c r="E839" s="79"/>
      <c r="F839" s="79"/>
      <c r="G839" s="79"/>
      <c r="H839" s="79"/>
      <c r="I839" s="79"/>
      <c r="J839" s="79"/>
      <c r="K839" s="79"/>
      <c r="L839" s="79"/>
      <c r="M839" s="79"/>
      <c r="N839" s="79"/>
      <c r="O839" s="79"/>
      <c r="P839" s="79"/>
      <c r="Q839" s="79"/>
    </row>
    <row r="840" spans="1:17" ht="13.2">
      <c r="A840" s="79"/>
      <c r="B840" s="79"/>
      <c r="C840" s="79"/>
      <c r="D840" s="79"/>
      <c r="E840" s="79"/>
      <c r="F840" s="79"/>
      <c r="G840" s="79"/>
      <c r="H840" s="79"/>
      <c r="I840" s="79"/>
      <c r="J840" s="79"/>
      <c r="K840" s="79"/>
      <c r="L840" s="79"/>
      <c r="M840" s="79"/>
      <c r="N840" s="79"/>
      <c r="O840" s="79"/>
      <c r="P840" s="79"/>
      <c r="Q840" s="79"/>
    </row>
    <row r="841" spans="1:17" ht="13.2">
      <c r="A841" s="79"/>
      <c r="B841" s="79"/>
      <c r="C841" s="79"/>
      <c r="D841" s="79"/>
      <c r="E841" s="79"/>
      <c r="F841" s="79"/>
      <c r="G841" s="79"/>
      <c r="H841" s="79"/>
      <c r="I841" s="79"/>
      <c r="J841" s="79"/>
      <c r="K841" s="79"/>
      <c r="L841" s="79"/>
      <c r="M841" s="79"/>
      <c r="N841" s="79"/>
      <c r="O841" s="79"/>
      <c r="P841" s="79"/>
      <c r="Q841" s="79"/>
    </row>
    <row r="842" spans="1:17" ht="13.2">
      <c r="A842" s="79"/>
      <c r="B842" s="79"/>
      <c r="C842" s="79"/>
      <c r="D842" s="79"/>
      <c r="E842" s="79"/>
      <c r="F842" s="79"/>
      <c r="G842" s="79"/>
      <c r="H842" s="79"/>
      <c r="I842" s="79"/>
      <c r="J842" s="79"/>
      <c r="K842" s="79"/>
      <c r="L842" s="79"/>
      <c r="M842" s="79"/>
      <c r="N842" s="79"/>
      <c r="O842" s="79"/>
      <c r="P842" s="79"/>
      <c r="Q842" s="79"/>
    </row>
    <row r="843" spans="1:17" ht="13.2">
      <c r="A843" s="79"/>
      <c r="B843" s="79"/>
      <c r="C843" s="79"/>
      <c r="D843" s="79"/>
      <c r="E843" s="79"/>
      <c r="F843" s="79"/>
      <c r="G843" s="79"/>
      <c r="H843" s="79"/>
      <c r="I843" s="79"/>
      <c r="J843" s="79"/>
      <c r="K843" s="79"/>
      <c r="L843" s="79"/>
      <c r="M843" s="79"/>
      <c r="N843" s="79"/>
      <c r="O843" s="79"/>
      <c r="P843" s="79"/>
      <c r="Q843" s="79"/>
    </row>
    <row r="844" spans="1:17" ht="13.2">
      <c r="A844" s="79"/>
      <c r="B844" s="79"/>
      <c r="C844" s="79"/>
      <c r="D844" s="79"/>
      <c r="E844" s="79"/>
      <c r="F844" s="79"/>
      <c r="G844" s="79"/>
      <c r="H844" s="79"/>
      <c r="I844" s="79"/>
      <c r="J844" s="79"/>
      <c r="K844" s="79"/>
      <c r="L844" s="79"/>
      <c r="M844" s="79"/>
      <c r="N844" s="79"/>
      <c r="O844" s="79"/>
      <c r="P844" s="79"/>
      <c r="Q844" s="79"/>
    </row>
    <row r="845" spans="1:17" ht="13.2">
      <c r="A845" s="79"/>
      <c r="B845" s="79"/>
      <c r="C845" s="79"/>
      <c r="D845" s="79"/>
      <c r="E845" s="79"/>
      <c r="F845" s="79"/>
      <c r="G845" s="79"/>
      <c r="H845" s="79"/>
      <c r="I845" s="79"/>
      <c r="J845" s="79"/>
      <c r="K845" s="79"/>
      <c r="L845" s="79"/>
      <c r="M845" s="79"/>
      <c r="N845" s="79"/>
      <c r="O845" s="79"/>
      <c r="P845" s="79"/>
      <c r="Q845" s="79"/>
    </row>
    <row r="846" spans="1:17" ht="13.2">
      <c r="A846" s="79"/>
      <c r="B846" s="79"/>
      <c r="C846" s="79"/>
      <c r="D846" s="79"/>
      <c r="E846" s="79"/>
      <c r="F846" s="79"/>
      <c r="G846" s="79"/>
      <c r="H846" s="79"/>
      <c r="I846" s="79"/>
      <c r="J846" s="79"/>
      <c r="K846" s="79"/>
      <c r="L846" s="79"/>
      <c r="M846" s="79"/>
      <c r="N846" s="79"/>
      <c r="O846" s="79"/>
      <c r="P846" s="79"/>
      <c r="Q846" s="79"/>
    </row>
    <row r="847" spans="1:17" ht="13.2">
      <c r="A847" s="79"/>
      <c r="B847" s="79"/>
      <c r="C847" s="79"/>
      <c r="D847" s="79"/>
      <c r="E847" s="79"/>
      <c r="F847" s="79"/>
      <c r="G847" s="79"/>
      <c r="H847" s="79"/>
      <c r="I847" s="79"/>
      <c r="J847" s="79"/>
      <c r="K847" s="79"/>
      <c r="L847" s="79"/>
      <c r="M847" s="79"/>
      <c r="N847" s="79"/>
      <c r="O847" s="79"/>
      <c r="P847" s="79"/>
      <c r="Q847" s="79"/>
    </row>
    <row r="848" spans="1:17" ht="13.2">
      <c r="A848" s="79"/>
      <c r="B848" s="79"/>
      <c r="C848" s="79"/>
      <c r="D848" s="79"/>
      <c r="E848" s="79"/>
      <c r="F848" s="79"/>
      <c r="G848" s="79"/>
      <c r="H848" s="79"/>
      <c r="I848" s="79"/>
      <c r="J848" s="79"/>
      <c r="K848" s="79"/>
      <c r="L848" s="79"/>
      <c r="M848" s="79"/>
      <c r="N848" s="79"/>
      <c r="O848" s="79"/>
      <c r="P848" s="79"/>
      <c r="Q848" s="79"/>
    </row>
    <row r="849" spans="1:17" ht="13.2">
      <c r="A849" s="79"/>
      <c r="B849" s="79"/>
      <c r="C849" s="79"/>
      <c r="D849" s="79"/>
      <c r="E849" s="79"/>
      <c r="F849" s="79"/>
      <c r="G849" s="79"/>
      <c r="H849" s="79"/>
      <c r="I849" s="79"/>
      <c r="J849" s="79"/>
      <c r="K849" s="79"/>
      <c r="L849" s="79"/>
      <c r="M849" s="79"/>
      <c r="N849" s="79"/>
      <c r="O849" s="79"/>
      <c r="P849" s="79"/>
      <c r="Q849" s="79"/>
    </row>
    <row r="850" spans="1:17" ht="13.2">
      <c r="A850" s="79"/>
      <c r="B850" s="79"/>
      <c r="C850" s="79"/>
      <c r="D850" s="79"/>
      <c r="E850" s="79"/>
      <c r="F850" s="79"/>
      <c r="G850" s="79"/>
      <c r="H850" s="79"/>
      <c r="I850" s="79"/>
      <c r="J850" s="79"/>
      <c r="K850" s="79"/>
      <c r="L850" s="79"/>
      <c r="M850" s="79"/>
      <c r="N850" s="79"/>
      <c r="O850" s="79"/>
      <c r="P850" s="79"/>
      <c r="Q850" s="79"/>
    </row>
    <row r="851" spans="1:17" ht="13.2">
      <c r="A851" s="79"/>
      <c r="B851" s="79"/>
      <c r="C851" s="79"/>
      <c r="D851" s="79"/>
      <c r="E851" s="79"/>
      <c r="F851" s="79"/>
      <c r="G851" s="79"/>
      <c r="H851" s="79"/>
      <c r="I851" s="79"/>
      <c r="J851" s="79"/>
      <c r="K851" s="79"/>
      <c r="L851" s="79"/>
      <c r="M851" s="79"/>
      <c r="N851" s="79"/>
      <c r="O851" s="79"/>
      <c r="P851" s="79"/>
      <c r="Q851" s="79"/>
    </row>
    <row r="852" spans="1:17" ht="13.2">
      <c r="A852" s="79"/>
      <c r="B852" s="79"/>
      <c r="C852" s="79"/>
      <c r="D852" s="79"/>
      <c r="E852" s="79"/>
      <c r="F852" s="79"/>
      <c r="G852" s="79"/>
      <c r="H852" s="79"/>
      <c r="I852" s="79"/>
      <c r="J852" s="79"/>
      <c r="K852" s="79"/>
      <c r="L852" s="79"/>
      <c r="M852" s="79"/>
      <c r="N852" s="79"/>
      <c r="O852" s="79"/>
      <c r="P852" s="79"/>
      <c r="Q852" s="79"/>
    </row>
    <row r="853" spans="1:17" ht="13.2">
      <c r="A853" s="79"/>
      <c r="B853" s="79"/>
      <c r="C853" s="79"/>
      <c r="D853" s="79"/>
      <c r="E853" s="79"/>
      <c r="F853" s="79"/>
      <c r="G853" s="79"/>
      <c r="H853" s="79"/>
      <c r="I853" s="79"/>
      <c r="J853" s="79"/>
      <c r="K853" s="79"/>
      <c r="L853" s="79"/>
      <c r="M853" s="79"/>
      <c r="N853" s="79"/>
      <c r="O853" s="79"/>
      <c r="P853" s="79"/>
      <c r="Q853" s="79"/>
    </row>
    <row r="854" spans="1:17" ht="13.2">
      <c r="A854" s="79"/>
      <c r="B854" s="79"/>
      <c r="C854" s="79"/>
      <c r="D854" s="79"/>
      <c r="E854" s="79"/>
      <c r="F854" s="79"/>
      <c r="G854" s="79"/>
      <c r="H854" s="79"/>
      <c r="I854" s="79"/>
      <c r="J854" s="79"/>
      <c r="K854" s="79"/>
      <c r="L854" s="79"/>
      <c r="M854" s="79"/>
      <c r="N854" s="79"/>
      <c r="O854" s="79"/>
      <c r="P854" s="79"/>
      <c r="Q854" s="79"/>
    </row>
    <row r="855" spans="1:17" ht="13.2">
      <c r="A855" s="79"/>
      <c r="B855" s="79"/>
      <c r="C855" s="79"/>
      <c r="D855" s="79"/>
      <c r="E855" s="79"/>
      <c r="F855" s="79"/>
      <c r="G855" s="79"/>
      <c r="H855" s="79"/>
      <c r="I855" s="79"/>
      <c r="J855" s="79"/>
      <c r="K855" s="79"/>
      <c r="L855" s="79"/>
      <c r="M855" s="79"/>
      <c r="N855" s="79"/>
      <c r="O855" s="79"/>
      <c r="P855" s="79"/>
      <c r="Q855" s="79"/>
    </row>
    <row r="856" spans="1:17" ht="13.2">
      <c r="A856" s="79"/>
      <c r="B856" s="79"/>
      <c r="C856" s="79"/>
      <c r="D856" s="79"/>
      <c r="E856" s="79"/>
      <c r="F856" s="79"/>
      <c r="G856" s="79"/>
      <c r="H856" s="79"/>
      <c r="I856" s="79"/>
      <c r="J856" s="79"/>
      <c r="K856" s="79"/>
      <c r="L856" s="79"/>
      <c r="M856" s="79"/>
      <c r="N856" s="79"/>
      <c r="O856" s="79"/>
      <c r="P856" s="79"/>
      <c r="Q856" s="79"/>
    </row>
    <row r="857" spans="1:17" ht="13.2">
      <c r="A857" s="79"/>
      <c r="B857" s="79"/>
      <c r="C857" s="79"/>
      <c r="D857" s="79"/>
      <c r="E857" s="79"/>
      <c r="F857" s="79"/>
      <c r="G857" s="79"/>
      <c r="H857" s="79"/>
      <c r="I857" s="79"/>
      <c r="J857" s="79"/>
      <c r="K857" s="79"/>
      <c r="L857" s="79"/>
      <c r="M857" s="79"/>
      <c r="N857" s="79"/>
      <c r="O857" s="79"/>
      <c r="P857" s="79"/>
      <c r="Q857" s="79"/>
    </row>
    <row r="858" spans="1:17" ht="13.2">
      <c r="A858" s="79"/>
      <c r="B858" s="79"/>
      <c r="C858" s="79"/>
      <c r="D858" s="79"/>
      <c r="E858" s="79"/>
      <c r="F858" s="79"/>
      <c r="G858" s="79"/>
      <c r="H858" s="79"/>
      <c r="I858" s="79"/>
      <c r="J858" s="79"/>
      <c r="K858" s="79"/>
      <c r="L858" s="79"/>
      <c r="M858" s="79"/>
      <c r="N858" s="79"/>
      <c r="O858" s="79"/>
      <c r="P858" s="79"/>
      <c r="Q858" s="79"/>
    </row>
    <row r="859" spans="1:17" ht="13.2">
      <c r="A859" s="79"/>
      <c r="B859" s="79"/>
      <c r="C859" s="79"/>
      <c r="D859" s="79"/>
      <c r="E859" s="79"/>
      <c r="F859" s="79"/>
      <c r="G859" s="79"/>
      <c r="H859" s="79"/>
      <c r="I859" s="79"/>
      <c r="J859" s="79"/>
      <c r="K859" s="79"/>
      <c r="L859" s="79"/>
      <c r="M859" s="79"/>
      <c r="N859" s="79"/>
      <c r="O859" s="79"/>
      <c r="P859" s="79"/>
      <c r="Q859" s="79"/>
    </row>
    <row r="860" spans="1:17" ht="13.2">
      <c r="A860" s="79"/>
      <c r="B860" s="79"/>
      <c r="C860" s="79"/>
      <c r="D860" s="79"/>
      <c r="E860" s="79"/>
      <c r="F860" s="79"/>
      <c r="G860" s="79"/>
      <c r="H860" s="79"/>
      <c r="I860" s="79"/>
      <c r="J860" s="79"/>
      <c r="K860" s="79"/>
      <c r="L860" s="79"/>
      <c r="M860" s="79"/>
      <c r="N860" s="79"/>
      <c r="O860" s="79"/>
      <c r="P860" s="79"/>
      <c r="Q860" s="79"/>
    </row>
    <row r="861" spans="1:17" ht="13.2">
      <c r="A861" s="79"/>
      <c r="B861" s="79"/>
      <c r="C861" s="79"/>
      <c r="D861" s="79"/>
      <c r="E861" s="79"/>
      <c r="F861" s="79"/>
      <c r="G861" s="79"/>
      <c r="H861" s="79"/>
      <c r="I861" s="79"/>
      <c r="J861" s="79"/>
      <c r="K861" s="79"/>
      <c r="L861" s="79"/>
      <c r="M861" s="79"/>
      <c r="N861" s="79"/>
      <c r="O861" s="79"/>
      <c r="P861" s="79"/>
      <c r="Q861" s="79"/>
    </row>
    <row r="862" spans="1:17" ht="13.2">
      <c r="A862" s="79"/>
      <c r="B862" s="79"/>
      <c r="C862" s="79"/>
      <c r="D862" s="79"/>
      <c r="E862" s="79"/>
      <c r="F862" s="79"/>
      <c r="G862" s="79"/>
      <c r="H862" s="79"/>
      <c r="I862" s="79"/>
      <c r="J862" s="79"/>
      <c r="K862" s="79"/>
      <c r="L862" s="79"/>
      <c r="M862" s="79"/>
      <c r="N862" s="79"/>
      <c r="O862" s="79"/>
      <c r="P862" s="79"/>
      <c r="Q862" s="79"/>
    </row>
    <row r="863" spans="1:17" ht="13.2">
      <c r="A863" s="79"/>
      <c r="B863" s="79"/>
      <c r="C863" s="79"/>
      <c r="D863" s="79"/>
      <c r="E863" s="79"/>
      <c r="F863" s="79"/>
      <c r="G863" s="79"/>
      <c r="H863" s="79"/>
      <c r="I863" s="79"/>
      <c r="J863" s="79"/>
      <c r="K863" s="79"/>
      <c r="L863" s="79"/>
      <c r="M863" s="79"/>
      <c r="N863" s="79"/>
      <c r="O863" s="79"/>
      <c r="P863" s="79"/>
      <c r="Q863" s="79"/>
    </row>
    <row r="864" spans="1:17" ht="13.2">
      <c r="A864" s="79"/>
      <c r="B864" s="79"/>
      <c r="C864" s="79"/>
      <c r="D864" s="79"/>
      <c r="E864" s="79"/>
      <c r="F864" s="79"/>
      <c r="G864" s="79"/>
      <c r="H864" s="79"/>
      <c r="I864" s="79"/>
      <c r="J864" s="79"/>
      <c r="K864" s="79"/>
      <c r="L864" s="79"/>
      <c r="M864" s="79"/>
      <c r="N864" s="79"/>
      <c r="O864" s="79"/>
      <c r="P864" s="79"/>
      <c r="Q864" s="79"/>
    </row>
    <row r="865" spans="1:17" ht="13.2">
      <c r="A865" s="79"/>
      <c r="B865" s="79"/>
      <c r="C865" s="79"/>
      <c r="D865" s="79"/>
      <c r="E865" s="79"/>
      <c r="F865" s="79"/>
      <c r="G865" s="79"/>
      <c r="H865" s="79"/>
      <c r="I865" s="79"/>
      <c r="J865" s="79"/>
      <c r="K865" s="79"/>
      <c r="L865" s="79"/>
      <c r="M865" s="79"/>
      <c r="N865" s="79"/>
      <c r="O865" s="79"/>
      <c r="P865" s="79"/>
      <c r="Q865" s="79"/>
    </row>
    <row r="866" spans="1:17" ht="13.2">
      <c r="A866" s="79"/>
      <c r="B866" s="79"/>
      <c r="C866" s="79"/>
      <c r="D866" s="79"/>
      <c r="E866" s="79"/>
      <c r="F866" s="79"/>
      <c r="G866" s="79"/>
      <c r="H866" s="79"/>
      <c r="I866" s="79"/>
      <c r="J866" s="79"/>
      <c r="K866" s="79"/>
      <c r="L866" s="79"/>
      <c r="M866" s="79"/>
      <c r="N866" s="79"/>
      <c r="O866" s="79"/>
      <c r="P866" s="79"/>
      <c r="Q866" s="79"/>
    </row>
    <row r="867" spans="1:17" ht="13.2">
      <c r="A867" s="79"/>
      <c r="B867" s="79"/>
      <c r="C867" s="79"/>
      <c r="D867" s="79"/>
      <c r="E867" s="79"/>
      <c r="F867" s="79"/>
      <c r="G867" s="79"/>
      <c r="H867" s="79"/>
      <c r="I867" s="79"/>
      <c r="J867" s="79"/>
      <c r="K867" s="79"/>
      <c r="L867" s="79"/>
      <c r="M867" s="79"/>
      <c r="N867" s="79"/>
      <c r="O867" s="79"/>
      <c r="P867" s="79"/>
      <c r="Q867" s="79"/>
    </row>
    <row r="868" spans="1:17" ht="13.2">
      <c r="A868" s="79"/>
      <c r="B868" s="79"/>
      <c r="C868" s="79"/>
      <c r="D868" s="79"/>
      <c r="E868" s="79"/>
      <c r="F868" s="79"/>
      <c r="G868" s="79"/>
      <c r="H868" s="79"/>
      <c r="I868" s="79"/>
      <c r="J868" s="79"/>
      <c r="K868" s="79"/>
      <c r="L868" s="79"/>
      <c r="M868" s="79"/>
      <c r="N868" s="79"/>
      <c r="O868" s="79"/>
      <c r="P868" s="79"/>
      <c r="Q868" s="79"/>
    </row>
    <row r="869" spans="1:17" ht="13.2">
      <c r="A869" s="79"/>
      <c r="B869" s="79"/>
      <c r="C869" s="79"/>
      <c r="D869" s="79"/>
      <c r="E869" s="79"/>
      <c r="F869" s="79"/>
      <c r="G869" s="79"/>
      <c r="H869" s="79"/>
      <c r="I869" s="79"/>
      <c r="J869" s="79"/>
      <c r="K869" s="79"/>
      <c r="L869" s="79"/>
      <c r="M869" s="79"/>
      <c r="N869" s="79"/>
      <c r="O869" s="79"/>
      <c r="P869" s="79"/>
      <c r="Q869" s="79"/>
    </row>
    <row r="870" spans="1:17" ht="13.2">
      <c r="A870" s="79"/>
      <c r="B870" s="79"/>
      <c r="C870" s="79"/>
      <c r="D870" s="79"/>
      <c r="E870" s="79"/>
      <c r="F870" s="79"/>
      <c r="G870" s="79"/>
      <c r="H870" s="79"/>
      <c r="I870" s="79"/>
      <c r="J870" s="79"/>
      <c r="K870" s="79"/>
      <c r="L870" s="79"/>
      <c r="M870" s="79"/>
      <c r="N870" s="79"/>
      <c r="O870" s="79"/>
      <c r="P870" s="79"/>
      <c r="Q870" s="79"/>
    </row>
    <row r="871" spans="1:17" ht="13.2">
      <c r="A871" s="79"/>
      <c r="B871" s="79"/>
      <c r="C871" s="79"/>
      <c r="D871" s="79"/>
      <c r="E871" s="79"/>
      <c r="F871" s="79"/>
      <c r="G871" s="79"/>
      <c r="H871" s="79"/>
      <c r="I871" s="79"/>
      <c r="J871" s="79"/>
      <c r="K871" s="79"/>
      <c r="L871" s="79"/>
      <c r="M871" s="79"/>
      <c r="N871" s="79"/>
      <c r="O871" s="79"/>
      <c r="P871" s="79"/>
      <c r="Q871" s="79"/>
    </row>
    <row r="872" spans="1:17" ht="13.2">
      <c r="A872" s="79"/>
      <c r="B872" s="79"/>
      <c r="C872" s="79"/>
      <c r="D872" s="79"/>
      <c r="E872" s="79"/>
      <c r="F872" s="79"/>
      <c r="G872" s="79"/>
      <c r="H872" s="79"/>
      <c r="I872" s="79"/>
      <c r="J872" s="79"/>
      <c r="K872" s="79"/>
      <c r="L872" s="79"/>
      <c r="M872" s="79"/>
      <c r="N872" s="79"/>
      <c r="O872" s="79"/>
      <c r="P872" s="79"/>
      <c r="Q872" s="79"/>
    </row>
    <row r="873" spans="1:17" ht="13.2">
      <c r="A873" s="79"/>
      <c r="B873" s="79"/>
      <c r="C873" s="79"/>
      <c r="D873" s="79"/>
      <c r="E873" s="79"/>
      <c r="F873" s="79"/>
      <c r="G873" s="79"/>
      <c r="H873" s="79"/>
      <c r="I873" s="79"/>
      <c r="J873" s="79"/>
      <c r="K873" s="79"/>
      <c r="L873" s="79"/>
      <c r="M873" s="79"/>
      <c r="N873" s="79"/>
      <c r="O873" s="79"/>
      <c r="P873" s="79"/>
      <c r="Q873" s="79"/>
    </row>
    <row r="874" spans="1:17" ht="13.2">
      <c r="A874" s="79"/>
      <c r="B874" s="79"/>
      <c r="C874" s="79"/>
      <c r="D874" s="79"/>
      <c r="E874" s="79"/>
      <c r="F874" s="79"/>
      <c r="G874" s="79"/>
      <c r="H874" s="79"/>
      <c r="I874" s="79"/>
      <c r="J874" s="79"/>
      <c r="K874" s="79"/>
      <c r="L874" s="79"/>
      <c r="M874" s="79"/>
      <c r="N874" s="79"/>
      <c r="O874" s="79"/>
      <c r="P874" s="79"/>
      <c r="Q874" s="79"/>
    </row>
    <row r="875" spans="1:17" ht="13.2">
      <c r="A875" s="79"/>
      <c r="B875" s="79"/>
      <c r="C875" s="79"/>
      <c r="D875" s="79"/>
      <c r="E875" s="79"/>
      <c r="F875" s="79"/>
      <c r="G875" s="79"/>
      <c r="H875" s="79"/>
      <c r="I875" s="79"/>
      <c r="J875" s="79"/>
      <c r="K875" s="79"/>
      <c r="L875" s="79"/>
      <c r="M875" s="79"/>
      <c r="N875" s="79"/>
      <c r="O875" s="79"/>
      <c r="P875" s="79"/>
      <c r="Q875" s="79"/>
    </row>
    <row r="876" spans="1:17" ht="13.2">
      <c r="A876" s="79"/>
      <c r="B876" s="79"/>
      <c r="C876" s="79"/>
      <c r="D876" s="79"/>
      <c r="E876" s="79"/>
      <c r="F876" s="79"/>
      <c r="G876" s="79"/>
      <c r="H876" s="79"/>
      <c r="I876" s="79"/>
      <c r="J876" s="79"/>
      <c r="K876" s="79"/>
      <c r="L876" s="79"/>
      <c r="M876" s="79"/>
      <c r="N876" s="79"/>
      <c r="O876" s="79"/>
      <c r="P876" s="79"/>
      <c r="Q876" s="79"/>
    </row>
    <row r="877" spans="1:17" ht="13.2">
      <c r="A877" s="79"/>
      <c r="B877" s="79"/>
      <c r="C877" s="79"/>
      <c r="D877" s="79"/>
      <c r="E877" s="79"/>
      <c r="F877" s="79"/>
      <c r="G877" s="79"/>
      <c r="H877" s="79"/>
      <c r="I877" s="79"/>
      <c r="J877" s="79"/>
      <c r="K877" s="79"/>
      <c r="L877" s="79"/>
      <c r="M877" s="79"/>
      <c r="N877" s="79"/>
      <c r="O877" s="79"/>
      <c r="P877" s="79"/>
      <c r="Q877" s="79"/>
    </row>
    <row r="878" spans="1:17" ht="13.2">
      <c r="A878" s="79"/>
      <c r="B878" s="79"/>
      <c r="C878" s="79"/>
      <c r="D878" s="79"/>
      <c r="E878" s="79"/>
      <c r="F878" s="79"/>
      <c r="G878" s="79"/>
      <c r="H878" s="79"/>
      <c r="I878" s="79"/>
      <c r="J878" s="79"/>
      <c r="K878" s="79"/>
      <c r="L878" s="79"/>
      <c r="M878" s="79"/>
      <c r="N878" s="79"/>
      <c r="O878" s="79"/>
      <c r="P878" s="79"/>
      <c r="Q878" s="79"/>
    </row>
    <row r="879" spans="1:17" ht="13.2">
      <c r="A879" s="79"/>
      <c r="B879" s="79"/>
      <c r="C879" s="79"/>
      <c r="D879" s="79"/>
      <c r="E879" s="79"/>
      <c r="F879" s="79"/>
      <c r="G879" s="79"/>
      <c r="H879" s="79"/>
      <c r="I879" s="79"/>
      <c r="J879" s="79"/>
      <c r="K879" s="79"/>
      <c r="L879" s="79"/>
      <c r="M879" s="79"/>
      <c r="N879" s="79"/>
      <c r="O879" s="79"/>
      <c r="P879" s="79"/>
      <c r="Q879" s="79"/>
    </row>
    <row r="880" spans="1:17" ht="13.2">
      <c r="A880" s="79"/>
      <c r="B880" s="79"/>
      <c r="C880" s="79"/>
      <c r="D880" s="79"/>
      <c r="E880" s="79"/>
      <c r="F880" s="79"/>
      <c r="G880" s="79"/>
      <c r="H880" s="79"/>
      <c r="I880" s="79"/>
      <c r="J880" s="79"/>
      <c r="K880" s="79"/>
      <c r="L880" s="79"/>
      <c r="M880" s="79"/>
      <c r="N880" s="79"/>
      <c r="O880" s="79"/>
      <c r="P880" s="79"/>
      <c r="Q880" s="79"/>
    </row>
    <row r="881" spans="1:17" ht="13.2">
      <c r="A881" s="79"/>
      <c r="B881" s="79"/>
      <c r="C881" s="79"/>
      <c r="D881" s="79"/>
      <c r="E881" s="79"/>
      <c r="F881" s="79"/>
      <c r="G881" s="79"/>
      <c r="H881" s="79"/>
      <c r="I881" s="79"/>
      <c r="J881" s="79"/>
      <c r="K881" s="79"/>
      <c r="L881" s="79"/>
      <c r="M881" s="79"/>
      <c r="N881" s="79"/>
      <c r="O881" s="79"/>
      <c r="P881" s="79"/>
      <c r="Q881" s="79"/>
    </row>
    <row r="882" spans="1:17" ht="13.2">
      <c r="A882" s="79"/>
      <c r="B882" s="79"/>
      <c r="C882" s="79"/>
      <c r="D882" s="79"/>
      <c r="E882" s="79"/>
      <c r="F882" s="79"/>
      <c r="G882" s="79"/>
      <c r="H882" s="79"/>
      <c r="I882" s="79"/>
      <c r="J882" s="79"/>
      <c r="K882" s="79"/>
      <c r="L882" s="79"/>
      <c r="M882" s="79"/>
      <c r="N882" s="79"/>
      <c r="O882" s="79"/>
      <c r="P882" s="79"/>
      <c r="Q882" s="79"/>
    </row>
    <row r="883" spans="1:17" ht="13.2">
      <c r="A883" s="79"/>
      <c r="B883" s="79"/>
      <c r="C883" s="79"/>
      <c r="D883" s="79"/>
      <c r="E883" s="79"/>
      <c r="F883" s="79"/>
      <c r="G883" s="79"/>
      <c r="H883" s="79"/>
      <c r="I883" s="79"/>
      <c r="J883" s="79"/>
      <c r="K883" s="79"/>
      <c r="L883" s="79"/>
      <c r="M883" s="79"/>
      <c r="N883" s="79"/>
      <c r="O883" s="79"/>
      <c r="P883" s="79"/>
      <c r="Q883" s="79"/>
    </row>
    <row r="884" spans="1:17" ht="13.2">
      <c r="A884" s="79"/>
      <c r="B884" s="79"/>
      <c r="C884" s="79"/>
      <c r="D884" s="79"/>
      <c r="E884" s="79"/>
      <c r="F884" s="79"/>
      <c r="G884" s="79"/>
      <c r="H884" s="79"/>
      <c r="I884" s="79"/>
      <c r="J884" s="79"/>
      <c r="K884" s="79"/>
      <c r="L884" s="79"/>
      <c r="M884" s="79"/>
      <c r="N884" s="79"/>
      <c r="O884" s="79"/>
      <c r="P884" s="79"/>
      <c r="Q884" s="79"/>
    </row>
    <row r="885" spans="1:17" ht="13.2">
      <c r="A885" s="79"/>
      <c r="B885" s="79"/>
      <c r="C885" s="79"/>
      <c r="D885" s="79"/>
      <c r="E885" s="79"/>
      <c r="F885" s="79"/>
      <c r="G885" s="79"/>
      <c r="H885" s="79"/>
      <c r="I885" s="79"/>
      <c r="J885" s="79"/>
      <c r="K885" s="79"/>
      <c r="L885" s="79"/>
      <c r="M885" s="79"/>
      <c r="N885" s="79"/>
      <c r="O885" s="79"/>
      <c r="P885" s="79"/>
      <c r="Q885" s="79"/>
    </row>
    <row r="886" spans="1:17" ht="13.2">
      <c r="A886" s="79"/>
      <c r="B886" s="79"/>
      <c r="C886" s="79"/>
      <c r="D886" s="79"/>
      <c r="E886" s="79"/>
      <c r="F886" s="79"/>
      <c r="G886" s="79"/>
      <c r="H886" s="79"/>
      <c r="I886" s="79"/>
      <c r="J886" s="79"/>
      <c r="K886" s="79"/>
      <c r="L886" s="79"/>
      <c r="M886" s="79"/>
      <c r="N886" s="79"/>
      <c r="O886" s="79"/>
      <c r="P886" s="79"/>
      <c r="Q886" s="79"/>
    </row>
    <row r="887" spans="1:17" ht="13.2">
      <c r="A887" s="79"/>
      <c r="B887" s="79"/>
      <c r="C887" s="79"/>
      <c r="D887" s="79"/>
      <c r="E887" s="79"/>
      <c r="F887" s="79"/>
      <c r="G887" s="79"/>
      <c r="H887" s="79"/>
      <c r="I887" s="79"/>
      <c r="J887" s="79"/>
      <c r="K887" s="79"/>
      <c r="L887" s="79"/>
      <c r="M887" s="79"/>
      <c r="N887" s="79"/>
      <c r="O887" s="79"/>
      <c r="P887" s="79"/>
      <c r="Q887" s="79"/>
    </row>
    <row r="888" spans="1:17" ht="13.2">
      <c r="A888" s="79"/>
      <c r="B888" s="79"/>
      <c r="C888" s="79"/>
      <c r="D888" s="79"/>
      <c r="E888" s="79"/>
      <c r="F888" s="79"/>
      <c r="G888" s="79"/>
      <c r="H888" s="79"/>
      <c r="I888" s="79"/>
      <c r="J888" s="79"/>
      <c r="K888" s="79"/>
      <c r="L888" s="79"/>
      <c r="M888" s="79"/>
      <c r="N888" s="79"/>
      <c r="O888" s="79"/>
      <c r="P888" s="79"/>
      <c r="Q888" s="79"/>
    </row>
    <row r="889" spans="1:17" ht="13.2">
      <c r="A889" s="79"/>
      <c r="B889" s="79"/>
      <c r="C889" s="79"/>
      <c r="D889" s="79"/>
      <c r="E889" s="79"/>
      <c r="F889" s="79"/>
      <c r="G889" s="79"/>
      <c r="H889" s="79"/>
      <c r="I889" s="79"/>
      <c r="J889" s="79"/>
      <c r="K889" s="79"/>
      <c r="L889" s="79"/>
      <c r="M889" s="79"/>
      <c r="N889" s="79"/>
      <c r="O889" s="79"/>
      <c r="P889" s="79"/>
      <c r="Q889" s="79"/>
    </row>
    <row r="890" spans="1:17" ht="13.2">
      <c r="A890" s="79"/>
      <c r="B890" s="79"/>
      <c r="C890" s="79"/>
      <c r="D890" s="79"/>
      <c r="E890" s="79"/>
      <c r="F890" s="79"/>
      <c r="G890" s="79"/>
      <c r="H890" s="79"/>
      <c r="I890" s="79"/>
      <c r="J890" s="79"/>
      <c r="K890" s="79"/>
      <c r="L890" s="79"/>
      <c r="M890" s="79"/>
      <c r="N890" s="79"/>
      <c r="O890" s="79"/>
      <c r="P890" s="79"/>
      <c r="Q890" s="79"/>
    </row>
    <row r="891" spans="1:17" ht="13.2">
      <c r="A891" s="79"/>
      <c r="B891" s="79"/>
      <c r="C891" s="79"/>
      <c r="D891" s="79"/>
      <c r="E891" s="79"/>
      <c r="F891" s="79"/>
      <c r="G891" s="79"/>
      <c r="H891" s="79"/>
      <c r="I891" s="79"/>
      <c r="J891" s="79"/>
      <c r="K891" s="79"/>
      <c r="L891" s="79"/>
      <c r="M891" s="79"/>
      <c r="N891" s="79"/>
      <c r="O891" s="79"/>
      <c r="P891" s="79"/>
      <c r="Q891" s="79"/>
    </row>
    <row r="892" spans="1:17" ht="13.2">
      <c r="A892" s="79"/>
      <c r="B892" s="79"/>
      <c r="C892" s="79"/>
      <c r="D892" s="79"/>
      <c r="E892" s="79"/>
      <c r="F892" s="79"/>
      <c r="G892" s="79"/>
      <c r="H892" s="79"/>
      <c r="I892" s="79"/>
      <c r="J892" s="79"/>
      <c r="K892" s="79"/>
      <c r="L892" s="79"/>
      <c r="M892" s="79"/>
      <c r="N892" s="79"/>
      <c r="O892" s="79"/>
      <c r="P892" s="79"/>
      <c r="Q892" s="79"/>
    </row>
    <row r="893" spans="1:17" ht="13.2">
      <c r="A893" s="79"/>
      <c r="B893" s="79"/>
      <c r="C893" s="79"/>
      <c r="D893" s="79"/>
      <c r="E893" s="79"/>
      <c r="F893" s="79"/>
      <c r="G893" s="79"/>
      <c r="H893" s="79"/>
      <c r="I893" s="79"/>
      <c r="J893" s="79"/>
      <c r="K893" s="79"/>
      <c r="L893" s="79"/>
      <c r="M893" s="79"/>
      <c r="N893" s="79"/>
      <c r="O893" s="79"/>
      <c r="P893" s="79"/>
      <c r="Q893" s="79"/>
    </row>
    <row r="894" spans="1:17" ht="13.2">
      <c r="A894" s="79"/>
      <c r="B894" s="79"/>
      <c r="C894" s="79"/>
      <c r="D894" s="79"/>
      <c r="E894" s="79"/>
      <c r="F894" s="79"/>
      <c r="G894" s="79"/>
      <c r="H894" s="79"/>
      <c r="I894" s="79"/>
      <c r="J894" s="79"/>
      <c r="K894" s="79"/>
      <c r="L894" s="79"/>
      <c r="M894" s="79"/>
      <c r="N894" s="79"/>
      <c r="O894" s="79"/>
      <c r="P894" s="79"/>
      <c r="Q894" s="79"/>
    </row>
    <row r="895" spans="1:17" ht="13.2">
      <c r="A895" s="79"/>
      <c r="B895" s="79"/>
      <c r="C895" s="79"/>
      <c r="D895" s="79"/>
      <c r="E895" s="79"/>
      <c r="F895" s="79"/>
      <c r="G895" s="79"/>
      <c r="H895" s="79"/>
      <c r="I895" s="79"/>
      <c r="J895" s="79"/>
      <c r="K895" s="79"/>
      <c r="L895" s="79"/>
      <c r="M895" s="79"/>
      <c r="N895" s="79"/>
      <c r="O895" s="79"/>
      <c r="P895" s="79"/>
      <c r="Q895" s="79"/>
    </row>
    <row r="896" spans="1:17" ht="13.2">
      <c r="A896" s="79"/>
      <c r="B896" s="79"/>
      <c r="C896" s="79"/>
      <c r="D896" s="79"/>
      <c r="E896" s="79"/>
      <c r="F896" s="79"/>
      <c r="G896" s="79"/>
      <c r="H896" s="79"/>
      <c r="I896" s="79"/>
      <c r="J896" s="79"/>
      <c r="K896" s="79"/>
      <c r="L896" s="79"/>
      <c r="M896" s="79"/>
      <c r="N896" s="79"/>
      <c r="O896" s="79"/>
      <c r="P896" s="79"/>
      <c r="Q896" s="79"/>
    </row>
    <row r="897" spans="1:17" ht="13.2">
      <c r="A897" s="79"/>
      <c r="B897" s="79"/>
      <c r="C897" s="79"/>
      <c r="D897" s="79"/>
      <c r="E897" s="79"/>
      <c r="F897" s="79"/>
      <c r="G897" s="79"/>
      <c r="H897" s="79"/>
      <c r="I897" s="79"/>
      <c r="J897" s="79"/>
      <c r="K897" s="79"/>
      <c r="L897" s="79"/>
      <c r="M897" s="79"/>
      <c r="N897" s="79"/>
      <c r="O897" s="79"/>
      <c r="P897" s="79"/>
      <c r="Q897" s="79"/>
    </row>
    <row r="898" spans="1:17" ht="13.2">
      <c r="A898" s="79"/>
      <c r="B898" s="79"/>
      <c r="C898" s="79"/>
      <c r="D898" s="79"/>
      <c r="E898" s="79"/>
      <c r="F898" s="79"/>
      <c r="G898" s="79"/>
      <c r="H898" s="79"/>
      <c r="I898" s="79"/>
      <c r="J898" s="79"/>
      <c r="K898" s="79"/>
      <c r="L898" s="79"/>
      <c r="M898" s="79"/>
      <c r="N898" s="79"/>
      <c r="O898" s="79"/>
      <c r="P898" s="79"/>
      <c r="Q898" s="79"/>
    </row>
    <row r="899" spans="1:17" ht="13.2">
      <c r="A899" s="79"/>
      <c r="B899" s="79"/>
      <c r="C899" s="79"/>
      <c r="D899" s="79"/>
      <c r="E899" s="79"/>
      <c r="F899" s="79"/>
      <c r="G899" s="79"/>
      <c r="H899" s="79"/>
      <c r="I899" s="79"/>
      <c r="J899" s="79"/>
      <c r="K899" s="79"/>
      <c r="L899" s="79"/>
      <c r="M899" s="79"/>
      <c r="N899" s="79"/>
      <c r="O899" s="79"/>
      <c r="P899" s="79"/>
      <c r="Q899" s="79"/>
    </row>
    <row r="900" spans="1:17" ht="13.2">
      <c r="A900" s="79"/>
      <c r="B900" s="79"/>
      <c r="C900" s="79"/>
      <c r="D900" s="79"/>
      <c r="E900" s="79"/>
      <c r="F900" s="79"/>
      <c r="G900" s="79"/>
      <c r="H900" s="79"/>
      <c r="I900" s="79"/>
      <c r="J900" s="79"/>
      <c r="K900" s="79"/>
      <c r="L900" s="79"/>
      <c r="M900" s="79"/>
      <c r="N900" s="79"/>
      <c r="O900" s="79"/>
      <c r="P900" s="79"/>
      <c r="Q900" s="79"/>
    </row>
    <row r="901" spans="1:17" ht="13.2">
      <c r="A901" s="79"/>
      <c r="B901" s="79"/>
      <c r="C901" s="79"/>
      <c r="D901" s="79"/>
      <c r="E901" s="79"/>
      <c r="F901" s="79"/>
      <c r="G901" s="79"/>
      <c r="H901" s="79"/>
      <c r="I901" s="79"/>
      <c r="J901" s="79"/>
      <c r="K901" s="79"/>
      <c r="L901" s="79"/>
      <c r="M901" s="79"/>
      <c r="N901" s="79"/>
      <c r="O901" s="79"/>
      <c r="P901" s="79"/>
      <c r="Q901" s="79"/>
    </row>
    <row r="902" spans="1:17" ht="13.2">
      <c r="A902" s="79"/>
      <c r="B902" s="79"/>
      <c r="C902" s="79"/>
      <c r="D902" s="79"/>
      <c r="E902" s="79"/>
      <c r="F902" s="79"/>
      <c r="G902" s="79"/>
      <c r="H902" s="79"/>
      <c r="I902" s="79"/>
      <c r="J902" s="79"/>
      <c r="K902" s="79"/>
      <c r="L902" s="79"/>
      <c r="M902" s="79"/>
      <c r="N902" s="79"/>
      <c r="O902" s="79"/>
      <c r="P902" s="79"/>
      <c r="Q902" s="79"/>
    </row>
    <row r="903" spans="1:17" ht="13.2">
      <c r="A903" s="79"/>
      <c r="B903" s="79"/>
      <c r="C903" s="79"/>
      <c r="D903" s="79"/>
      <c r="E903" s="79"/>
      <c r="F903" s="79"/>
      <c r="G903" s="79"/>
      <c r="H903" s="79"/>
      <c r="I903" s="79"/>
      <c r="J903" s="79"/>
      <c r="K903" s="79"/>
      <c r="L903" s="79"/>
      <c r="M903" s="79"/>
      <c r="N903" s="79"/>
      <c r="O903" s="79"/>
      <c r="P903" s="79"/>
      <c r="Q903" s="79"/>
    </row>
    <row r="904" spans="1:17" ht="13.2">
      <c r="A904" s="79"/>
      <c r="B904" s="79"/>
      <c r="C904" s="79"/>
      <c r="D904" s="79"/>
      <c r="E904" s="79"/>
      <c r="F904" s="79"/>
      <c r="G904" s="79"/>
      <c r="H904" s="79"/>
      <c r="I904" s="79"/>
      <c r="J904" s="79"/>
      <c r="K904" s="79"/>
      <c r="L904" s="79"/>
      <c r="M904" s="79"/>
      <c r="N904" s="79"/>
      <c r="O904" s="79"/>
      <c r="P904" s="79"/>
      <c r="Q904" s="79"/>
    </row>
    <row r="905" spans="1:17" ht="13.2">
      <c r="A905" s="79"/>
      <c r="B905" s="79"/>
      <c r="C905" s="79"/>
      <c r="D905" s="79"/>
      <c r="E905" s="79"/>
      <c r="F905" s="79"/>
      <c r="G905" s="79"/>
      <c r="H905" s="79"/>
      <c r="I905" s="79"/>
      <c r="J905" s="79"/>
      <c r="K905" s="79"/>
      <c r="L905" s="79"/>
      <c r="M905" s="79"/>
      <c r="N905" s="79"/>
      <c r="O905" s="79"/>
      <c r="P905" s="79"/>
      <c r="Q905" s="79"/>
    </row>
    <row r="906" spans="1:17" ht="13.2">
      <c r="A906" s="79"/>
      <c r="B906" s="79"/>
      <c r="C906" s="79"/>
      <c r="D906" s="79"/>
      <c r="E906" s="79"/>
      <c r="F906" s="79"/>
      <c r="G906" s="79"/>
      <c r="H906" s="79"/>
      <c r="I906" s="79"/>
      <c r="J906" s="79"/>
      <c r="K906" s="79"/>
      <c r="L906" s="79"/>
      <c r="M906" s="79"/>
      <c r="N906" s="79"/>
      <c r="O906" s="79"/>
      <c r="P906" s="79"/>
      <c r="Q906" s="79"/>
    </row>
    <row r="907" spans="1:17" ht="13.2">
      <c r="A907" s="79"/>
      <c r="B907" s="79"/>
      <c r="C907" s="79"/>
      <c r="D907" s="79"/>
      <c r="E907" s="79"/>
      <c r="F907" s="79"/>
      <c r="G907" s="79"/>
      <c r="H907" s="79"/>
      <c r="I907" s="79"/>
      <c r="J907" s="79"/>
      <c r="K907" s="79"/>
      <c r="L907" s="79"/>
      <c r="M907" s="79"/>
      <c r="N907" s="79"/>
      <c r="O907" s="79"/>
      <c r="P907" s="79"/>
      <c r="Q907" s="79"/>
    </row>
    <row r="908" spans="1:17" ht="13.2">
      <c r="A908" s="79"/>
      <c r="B908" s="79"/>
      <c r="C908" s="79"/>
      <c r="D908" s="79"/>
      <c r="E908" s="79"/>
      <c r="F908" s="79"/>
      <c r="G908" s="79"/>
      <c r="H908" s="79"/>
      <c r="I908" s="79"/>
      <c r="J908" s="79"/>
      <c r="K908" s="79"/>
      <c r="L908" s="79"/>
      <c r="M908" s="79"/>
      <c r="N908" s="79"/>
      <c r="O908" s="79"/>
      <c r="P908" s="79"/>
      <c r="Q908" s="79"/>
    </row>
    <row r="909" spans="1:17" ht="13.2">
      <c r="A909" s="79"/>
      <c r="B909" s="79"/>
      <c r="C909" s="79"/>
      <c r="D909" s="79"/>
      <c r="E909" s="79"/>
      <c r="F909" s="79"/>
      <c r="G909" s="79"/>
      <c r="H909" s="79"/>
      <c r="I909" s="79"/>
      <c r="J909" s="79"/>
      <c r="K909" s="79"/>
      <c r="L909" s="79"/>
      <c r="M909" s="79"/>
      <c r="N909" s="79"/>
      <c r="O909" s="79"/>
      <c r="P909" s="79"/>
      <c r="Q909" s="79"/>
    </row>
    <row r="910" spans="1:17" ht="13.2">
      <c r="A910" s="79"/>
      <c r="B910" s="79"/>
      <c r="C910" s="79"/>
      <c r="D910" s="79"/>
      <c r="E910" s="79"/>
      <c r="F910" s="79"/>
      <c r="G910" s="79"/>
      <c r="H910" s="79"/>
      <c r="I910" s="79"/>
      <c r="J910" s="79"/>
      <c r="K910" s="79"/>
      <c r="L910" s="79"/>
      <c r="M910" s="79"/>
      <c r="N910" s="79"/>
      <c r="O910" s="79"/>
      <c r="P910" s="79"/>
      <c r="Q910" s="79"/>
    </row>
    <row r="911" spans="1:17" ht="13.2">
      <c r="A911" s="79"/>
      <c r="B911" s="79"/>
      <c r="C911" s="79"/>
      <c r="D911" s="79"/>
      <c r="E911" s="79"/>
      <c r="F911" s="79"/>
      <c r="G911" s="79"/>
      <c r="H911" s="79"/>
      <c r="I911" s="79"/>
      <c r="J911" s="79"/>
      <c r="K911" s="79"/>
      <c r="L911" s="79"/>
      <c r="M911" s="79"/>
      <c r="N911" s="79"/>
      <c r="O911" s="79"/>
      <c r="P911" s="79"/>
      <c r="Q911" s="79"/>
    </row>
    <row r="912" spans="1:17" ht="13.2">
      <c r="A912" s="79"/>
      <c r="B912" s="79"/>
      <c r="C912" s="79"/>
      <c r="D912" s="79"/>
      <c r="E912" s="79"/>
      <c r="F912" s="79"/>
      <c r="G912" s="79"/>
      <c r="H912" s="79"/>
      <c r="I912" s="79"/>
      <c r="J912" s="79"/>
      <c r="K912" s="79"/>
      <c r="L912" s="79"/>
      <c r="M912" s="79"/>
      <c r="N912" s="79"/>
      <c r="O912" s="79"/>
      <c r="P912" s="79"/>
      <c r="Q912" s="79"/>
    </row>
    <row r="913" spans="1:17" ht="13.2">
      <c r="A913" s="79"/>
      <c r="B913" s="79"/>
      <c r="C913" s="79"/>
      <c r="D913" s="79"/>
      <c r="E913" s="79"/>
      <c r="F913" s="79"/>
      <c r="G913" s="79"/>
      <c r="H913" s="79"/>
      <c r="I913" s="79"/>
      <c r="J913" s="79"/>
      <c r="K913" s="79"/>
      <c r="L913" s="79"/>
      <c r="M913" s="79"/>
      <c r="N913" s="79"/>
      <c r="O913" s="79"/>
      <c r="P913" s="79"/>
      <c r="Q913" s="79"/>
    </row>
    <row r="914" spans="1:17" ht="13.2">
      <c r="A914" s="79"/>
      <c r="B914" s="79"/>
      <c r="C914" s="79"/>
      <c r="D914" s="79"/>
      <c r="E914" s="79"/>
      <c r="F914" s="79"/>
      <c r="G914" s="79"/>
      <c r="H914" s="79"/>
      <c r="I914" s="79"/>
      <c r="J914" s="79"/>
      <c r="K914" s="79"/>
      <c r="L914" s="79"/>
      <c r="M914" s="79"/>
      <c r="N914" s="79"/>
      <c r="O914" s="79"/>
      <c r="P914" s="79"/>
      <c r="Q914" s="79"/>
    </row>
    <row r="915" spans="1:17" ht="13.2">
      <c r="A915" s="79"/>
      <c r="B915" s="79"/>
      <c r="C915" s="79"/>
      <c r="D915" s="79"/>
      <c r="E915" s="79"/>
      <c r="F915" s="79"/>
      <c r="G915" s="79"/>
      <c r="H915" s="79"/>
      <c r="I915" s="79"/>
      <c r="J915" s="79"/>
      <c r="K915" s="79"/>
      <c r="L915" s="79"/>
      <c r="M915" s="79"/>
      <c r="N915" s="79"/>
      <c r="O915" s="79"/>
      <c r="P915" s="79"/>
      <c r="Q915" s="79"/>
    </row>
    <row r="916" spans="1:17" ht="13.2">
      <c r="A916" s="79"/>
      <c r="B916" s="79"/>
      <c r="C916" s="79"/>
      <c r="D916" s="79"/>
      <c r="E916" s="79"/>
      <c r="F916" s="79"/>
      <c r="G916" s="79"/>
      <c r="H916" s="79"/>
      <c r="I916" s="79"/>
      <c r="J916" s="79"/>
      <c r="K916" s="79"/>
      <c r="L916" s="79"/>
      <c r="M916" s="79"/>
      <c r="N916" s="79"/>
      <c r="O916" s="79"/>
      <c r="P916" s="79"/>
      <c r="Q916" s="79"/>
    </row>
    <row r="917" spans="1:17" ht="13.2">
      <c r="A917" s="79"/>
      <c r="B917" s="79"/>
      <c r="C917" s="79"/>
      <c r="D917" s="79"/>
      <c r="E917" s="79"/>
      <c r="F917" s="79"/>
      <c r="G917" s="79"/>
      <c r="H917" s="79"/>
      <c r="I917" s="79"/>
      <c r="J917" s="79"/>
      <c r="K917" s="79"/>
      <c r="L917" s="79"/>
      <c r="M917" s="79"/>
      <c r="N917" s="79"/>
      <c r="O917" s="79"/>
      <c r="P917" s="79"/>
      <c r="Q917" s="79"/>
    </row>
    <row r="918" spans="1:17" ht="13.2">
      <c r="A918" s="79"/>
      <c r="B918" s="79"/>
      <c r="C918" s="79"/>
      <c r="D918" s="79"/>
      <c r="E918" s="79"/>
      <c r="F918" s="79"/>
      <c r="G918" s="79"/>
      <c r="H918" s="79"/>
      <c r="I918" s="79"/>
      <c r="J918" s="79"/>
      <c r="K918" s="79"/>
      <c r="L918" s="79"/>
      <c r="M918" s="79"/>
      <c r="N918" s="79"/>
      <c r="O918" s="79"/>
      <c r="P918" s="79"/>
      <c r="Q918" s="79"/>
    </row>
    <row r="919" spans="1:17" ht="13.2">
      <c r="A919" s="79"/>
      <c r="B919" s="79"/>
      <c r="C919" s="79"/>
      <c r="D919" s="79"/>
      <c r="E919" s="79"/>
      <c r="F919" s="79"/>
      <c r="G919" s="79"/>
      <c r="H919" s="79"/>
      <c r="I919" s="79"/>
      <c r="J919" s="79"/>
      <c r="K919" s="79"/>
      <c r="L919" s="79"/>
      <c r="M919" s="79"/>
      <c r="N919" s="79"/>
      <c r="O919" s="79"/>
      <c r="P919" s="79"/>
      <c r="Q919" s="79"/>
    </row>
    <row r="920" spans="1:17" ht="13.2">
      <c r="A920" s="79"/>
      <c r="B920" s="79"/>
      <c r="C920" s="79"/>
      <c r="D920" s="79"/>
      <c r="E920" s="79"/>
      <c r="F920" s="79"/>
      <c r="G920" s="79"/>
      <c r="H920" s="79"/>
      <c r="I920" s="79"/>
      <c r="J920" s="79"/>
      <c r="K920" s="79"/>
      <c r="L920" s="79"/>
      <c r="M920" s="79"/>
      <c r="N920" s="79"/>
      <c r="O920" s="79"/>
      <c r="P920" s="79"/>
      <c r="Q920" s="79"/>
    </row>
    <row r="921" spans="1:17" ht="13.2">
      <c r="A921" s="79"/>
      <c r="B921" s="79"/>
      <c r="C921" s="79"/>
      <c r="D921" s="79"/>
      <c r="E921" s="79"/>
      <c r="F921" s="79"/>
      <c r="G921" s="79"/>
      <c r="H921" s="79"/>
      <c r="I921" s="79"/>
      <c r="J921" s="79"/>
      <c r="K921" s="79"/>
      <c r="L921" s="79"/>
      <c r="M921" s="79"/>
      <c r="N921" s="79"/>
      <c r="O921" s="79"/>
      <c r="P921" s="79"/>
      <c r="Q921" s="79"/>
    </row>
    <row r="922" spans="1:17" ht="13.2">
      <c r="A922" s="79"/>
      <c r="B922" s="79"/>
      <c r="C922" s="79"/>
      <c r="D922" s="79"/>
      <c r="E922" s="79"/>
      <c r="F922" s="79"/>
      <c r="G922" s="79"/>
      <c r="H922" s="79"/>
      <c r="I922" s="79"/>
      <c r="J922" s="79"/>
      <c r="K922" s="79"/>
      <c r="L922" s="79"/>
      <c r="M922" s="79"/>
      <c r="N922" s="79"/>
      <c r="O922" s="79"/>
      <c r="P922" s="79"/>
      <c r="Q922" s="79"/>
    </row>
    <row r="923" spans="1:17" ht="13.2">
      <c r="A923" s="79"/>
      <c r="B923" s="79"/>
      <c r="C923" s="79"/>
      <c r="D923" s="79"/>
      <c r="E923" s="79"/>
      <c r="F923" s="79"/>
      <c r="G923" s="79"/>
      <c r="H923" s="79"/>
      <c r="I923" s="79"/>
      <c r="J923" s="79"/>
      <c r="K923" s="79"/>
      <c r="L923" s="79"/>
      <c r="M923" s="79"/>
      <c r="N923" s="79"/>
      <c r="O923" s="79"/>
      <c r="P923" s="79"/>
      <c r="Q923" s="79"/>
    </row>
    <row r="924" spans="1:17" ht="13.2">
      <c r="A924" s="79"/>
      <c r="B924" s="79"/>
      <c r="C924" s="79"/>
      <c r="D924" s="79"/>
      <c r="E924" s="79"/>
      <c r="F924" s="79"/>
      <c r="G924" s="79"/>
      <c r="H924" s="79"/>
      <c r="I924" s="79"/>
      <c r="J924" s="79"/>
      <c r="K924" s="79"/>
      <c r="L924" s="79"/>
      <c r="M924" s="79"/>
      <c r="N924" s="79"/>
      <c r="O924" s="79"/>
      <c r="P924" s="79"/>
      <c r="Q924" s="79"/>
    </row>
    <row r="925" spans="1:17" ht="13.2">
      <c r="A925" s="79"/>
      <c r="B925" s="79"/>
      <c r="C925" s="79"/>
      <c r="D925" s="79"/>
      <c r="E925" s="79"/>
      <c r="F925" s="79"/>
      <c r="G925" s="79"/>
      <c r="H925" s="79"/>
      <c r="I925" s="79"/>
      <c r="J925" s="79"/>
      <c r="K925" s="79"/>
      <c r="L925" s="79"/>
      <c r="M925" s="79"/>
      <c r="N925" s="79"/>
      <c r="O925" s="79"/>
      <c r="P925" s="79"/>
      <c r="Q925" s="79"/>
    </row>
    <row r="926" spans="1:17" ht="13.2">
      <c r="A926" s="79"/>
      <c r="B926" s="79"/>
      <c r="C926" s="79"/>
      <c r="D926" s="79"/>
      <c r="E926" s="79"/>
      <c r="F926" s="79"/>
      <c r="G926" s="79"/>
      <c r="H926" s="79"/>
      <c r="I926" s="79"/>
      <c r="J926" s="79"/>
      <c r="K926" s="79"/>
      <c r="L926" s="79"/>
      <c r="M926" s="79"/>
      <c r="N926" s="79"/>
      <c r="O926" s="79"/>
      <c r="P926" s="79"/>
      <c r="Q926" s="79"/>
    </row>
    <row r="927" spans="1:17" ht="13.2">
      <c r="A927" s="79"/>
      <c r="B927" s="79"/>
      <c r="C927" s="79"/>
      <c r="D927" s="79"/>
      <c r="E927" s="79"/>
      <c r="F927" s="79"/>
      <c r="G927" s="79"/>
      <c r="H927" s="79"/>
      <c r="I927" s="79"/>
      <c r="J927" s="79"/>
      <c r="K927" s="79"/>
      <c r="L927" s="79"/>
      <c r="M927" s="79"/>
      <c r="N927" s="79"/>
      <c r="O927" s="79"/>
      <c r="P927" s="79"/>
      <c r="Q927" s="79"/>
    </row>
    <row r="928" spans="1:17" ht="13.2">
      <c r="A928" s="79"/>
      <c r="B928" s="79"/>
      <c r="C928" s="79"/>
      <c r="D928" s="79"/>
      <c r="E928" s="79"/>
      <c r="F928" s="79"/>
      <c r="G928" s="79"/>
      <c r="H928" s="79"/>
      <c r="I928" s="79"/>
      <c r="J928" s="79"/>
      <c r="K928" s="79"/>
      <c r="L928" s="79"/>
      <c r="M928" s="79"/>
      <c r="N928" s="79"/>
      <c r="O928" s="79"/>
      <c r="P928" s="79"/>
      <c r="Q928" s="79"/>
    </row>
    <row r="929" spans="1:17" ht="13.2">
      <c r="A929" s="79"/>
      <c r="B929" s="79"/>
      <c r="C929" s="79"/>
      <c r="D929" s="79"/>
      <c r="E929" s="79"/>
      <c r="F929" s="79"/>
      <c r="G929" s="79"/>
      <c r="H929" s="79"/>
      <c r="I929" s="79"/>
      <c r="J929" s="79"/>
      <c r="K929" s="79"/>
      <c r="L929" s="79"/>
      <c r="M929" s="79"/>
      <c r="N929" s="79"/>
      <c r="O929" s="79"/>
      <c r="P929" s="79"/>
      <c r="Q929" s="79"/>
    </row>
    <row r="930" spans="1:17" ht="13.2">
      <c r="A930" s="79"/>
      <c r="B930" s="79"/>
      <c r="C930" s="79"/>
      <c r="D930" s="79"/>
      <c r="E930" s="79"/>
      <c r="F930" s="79"/>
      <c r="G930" s="79"/>
      <c r="H930" s="79"/>
      <c r="I930" s="79"/>
      <c r="J930" s="79"/>
      <c r="K930" s="79"/>
      <c r="L930" s="79"/>
      <c r="M930" s="79"/>
      <c r="N930" s="79"/>
      <c r="O930" s="79"/>
      <c r="P930" s="79"/>
      <c r="Q930" s="79"/>
    </row>
    <row r="931" spans="1:17" ht="13.2">
      <c r="A931" s="79"/>
      <c r="B931" s="79"/>
      <c r="C931" s="79"/>
      <c r="D931" s="79"/>
      <c r="E931" s="79"/>
      <c r="F931" s="79"/>
      <c r="G931" s="79"/>
      <c r="H931" s="79"/>
      <c r="I931" s="79"/>
      <c r="J931" s="79"/>
      <c r="K931" s="79"/>
      <c r="L931" s="79"/>
      <c r="M931" s="79"/>
      <c r="N931" s="79"/>
      <c r="O931" s="79"/>
      <c r="P931" s="79"/>
      <c r="Q931" s="79"/>
    </row>
    <row r="932" spans="1:17" ht="13.2">
      <c r="A932" s="79"/>
      <c r="B932" s="79"/>
      <c r="C932" s="79"/>
      <c r="D932" s="79"/>
      <c r="E932" s="79"/>
      <c r="F932" s="79"/>
      <c r="G932" s="79"/>
      <c r="H932" s="79"/>
      <c r="I932" s="79"/>
      <c r="J932" s="79"/>
      <c r="K932" s="79"/>
      <c r="L932" s="79"/>
      <c r="M932" s="79"/>
      <c r="N932" s="79"/>
      <c r="O932" s="79"/>
      <c r="P932" s="79"/>
      <c r="Q932" s="79"/>
    </row>
    <row r="933" spans="1:17" ht="13.2">
      <c r="A933" s="79"/>
      <c r="B933" s="79"/>
      <c r="C933" s="79"/>
      <c r="D933" s="79"/>
      <c r="E933" s="79"/>
      <c r="F933" s="79"/>
      <c r="G933" s="79"/>
      <c r="H933" s="79"/>
      <c r="I933" s="79"/>
      <c r="J933" s="79"/>
      <c r="K933" s="79"/>
      <c r="L933" s="79"/>
      <c r="M933" s="79"/>
      <c r="N933" s="79"/>
      <c r="O933" s="79"/>
      <c r="P933" s="79"/>
      <c r="Q933" s="79"/>
    </row>
    <row r="934" spans="1:17" ht="13.2">
      <c r="A934" s="79"/>
      <c r="B934" s="79"/>
      <c r="C934" s="79"/>
      <c r="D934" s="79"/>
      <c r="E934" s="79"/>
      <c r="F934" s="79"/>
      <c r="G934" s="79"/>
      <c r="H934" s="79"/>
      <c r="I934" s="79"/>
      <c r="J934" s="79"/>
      <c r="K934" s="79"/>
      <c r="L934" s="79"/>
      <c r="M934" s="79"/>
      <c r="N934" s="79"/>
      <c r="O934" s="79"/>
      <c r="P934" s="79"/>
      <c r="Q934" s="79"/>
    </row>
    <row r="935" spans="1:17" ht="13.2">
      <c r="A935" s="79"/>
      <c r="B935" s="79"/>
      <c r="C935" s="79"/>
      <c r="D935" s="79"/>
      <c r="E935" s="79"/>
      <c r="F935" s="79"/>
      <c r="G935" s="79"/>
      <c r="H935" s="79"/>
      <c r="I935" s="79"/>
      <c r="J935" s="79"/>
      <c r="K935" s="79"/>
      <c r="L935" s="79"/>
      <c r="M935" s="79"/>
      <c r="N935" s="79"/>
      <c r="O935" s="79"/>
      <c r="P935" s="79"/>
      <c r="Q935" s="79"/>
    </row>
    <row r="936" spans="1:17" ht="13.2">
      <c r="A936" s="79"/>
      <c r="B936" s="79"/>
      <c r="C936" s="79"/>
      <c r="D936" s="79"/>
      <c r="E936" s="79"/>
      <c r="F936" s="79"/>
      <c r="G936" s="79"/>
      <c r="H936" s="79"/>
      <c r="I936" s="79"/>
      <c r="J936" s="79"/>
      <c r="K936" s="79"/>
      <c r="L936" s="79"/>
      <c r="M936" s="79"/>
      <c r="N936" s="79"/>
      <c r="O936" s="79"/>
      <c r="P936" s="79"/>
      <c r="Q936" s="79"/>
    </row>
    <row r="937" spans="1:17" ht="13.2">
      <c r="A937" s="79"/>
      <c r="B937" s="79"/>
      <c r="C937" s="79"/>
      <c r="D937" s="79"/>
      <c r="E937" s="79"/>
      <c r="F937" s="79"/>
      <c r="G937" s="79"/>
      <c r="H937" s="79"/>
      <c r="I937" s="79"/>
      <c r="J937" s="79"/>
      <c r="K937" s="79"/>
      <c r="L937" s="79"/>
      <c r="M937" s="79"/>
      <c r="N937" s="79"/>
      <c r="O937" s="79"/>
      <c r="P937" s="79"/>
      <c r="Q937" s="79"/>
    </row>
    <row r="938" spans="1:17" ht="13.2">
      <c r="A938" s="79"/>
      <c r="B938" s="79"/>
      <c r="C938" s="79"/>
      <c r="D938" s="79"/>
      <c r="E938" s="79"/>
      <c r="F938" s="79"/>
      <c r="G938" s="79"/>
      <c r="H938" s="79"/>
      <c r="I938" s="79"/>
      <c r="J938" s="79"/>
      <c r="K938" s="79"/>
      <c r="L938" s="79"/>
      <c r="M938" s="79"/>
      <c r="N938" s="79"/>
      <c r="O938" s="79"/>
      <c r="P938" s="79"/>
      <c r="Q938" s="79"/>
    </row>
    <row r="939" spans="1:17" ht="13.2">
      <c r="A939" s="79"/>
      <c r="B939" s="79"/>
      <c r="C939" s="79"/>
      <c r="D939" s="79"/>
      <c r="E939" s="79"/>
      <c r="F939" s="79"/>
      <c r="G939" s="79"/>
      <c r="H939" s="79"/>
      <c r="I939" s="79"/>
      <c r="J939" s="79"/>
      <c r="K939" s="79"/>
      <c r="L939" s="79"/>
      <c r="M939" s="79"/>
      <c r="N939" s="79"/>
      <c r="O939" s="79"/>
      <c r="P939" s="79"/>
      <c r="Q939" s="79"/>
    </row>
    <row r="940" spans="1:17" ht="13.2">
      <c r="A940" s="79"/>
      <c r="B940" s="79"/>
      <c r="C940" s="79"/>
      <c r="D940" s="79"/>
      <c r="E940" s="79"/>
      <c r="F940" s="79"/>
      <c r="G940" s="79"/>
      <c r="H940" s="79"/>
      <c r="I940" s="79"/>
      <c r="J940" s="79"/>
      <c r="K940" s="79"/>
      <c r="L940" s="79"/>
      <c r="M940" s="79"/>
      <c r="N940" s="79"/>
      <c r="O940" s="79"/>
      <c r="P940" s="79"/>
      <c r="Q940" s="79"/>
    </row>
    <row r="941" spans="1:17" ht="13.2">
      <c r="A941" s="79"/>
      <c r="B941" s="79"/>
      <c r="C941" s="79"/>
      <c r="D941" s="79"/>
      <c r="E941" s="79"/>
      <c r="F941" s="79"/>
      <c r="G941" s="79"/>
      <c r="H941" s="79"/>
      <c r="I941" s="79"/>
      <c r="J941" s="79"/>
      <c r="K941" s="79"/>
      <c r="L941" s="79"/>
      <c r="M941" s="79"/>
      <c r="N941" s="79"/>
      <c r="O941" s="79"/>
      <c r="P941" s="79"/>
      <c r="Q941" s="79"/>
    </row>
    <row r="942" spans="1:17" ht="13.2">
      <c r="A942" s="79"/>
      <c r="B942" s="79"/>
      <c r="C942" s="79"/>
      <c r="D942" s="79"/>
      <c r="E942" s="79"/>
      <c r="F942" s="79"/>
      <c r="G942" s="79"/>
      <c r="H942" s="79"/>
      <c r="I942" s="79"/>
      <c r="J942" s="79"/>
      <c r="K942" s="79"/>
      <c r="L942" s="79"/>
      <c r="M942" s="79"/>
      <c r="N942" s="79"/>
      <c r="O942" s="79"/>
      <c r="P942" s="79"/>
      <c r="Q942" s="79"/>
    </row>
    <row r="943" spans="1:17" ht="13.2">
      <c r="A943" s="79"/>
      <c r="B943" s="79"/>
      <c r="C943" s="79"/>
      <c r="D943" s="79"/>
      <c r="E943" s="79"/>
      <c r="F943" s="79"/>
      <c r="G943" s="79"/>
      <c r="H943" s="79"/>
      <c r="I943" s="79"/>
      <c r="J943" s="79"/>
      <c r="K943" s="79"/>
      <c r="L943" s="79"/>
      <c r="M943" s="79"/>
      <c r="N943" s="79"/>
      <c r="O943" s="79"/>
      <c r="P943" s="79"/>
      <c r="Q943" s="79"/>
    </row>
    <row r="944" spans="1:17" ht="13.2">
      <c r="A944" s="79"/>
      <c r="B944" s="79"/>
      <c r="C944" s="79"/>
      <c r="D944" s="79"/>
      <c r="E944" s="79"/>
      <c r="F944" s="79"/>
      <c r="G944" s="79"/>
      <c r="H944" s="79"/>
      <c r="I944" s="79"/>
      <c r="J944" s="79"/>
      <c r="K944" s="79"/>
      <c r="L944" s="79"/>
      <c r="M944" s="79"/>
      <c r="N944" s="79"/>
      <c r="O944" s="79"/>
      <c r="P944" s="79"/>
      <c r="Q944" s="79"/>
    </row>
    <row r="945" spans="1:17" ht="13.2">
      <c r="A945" s="79"/>
      <c r="B945" s="79"/>
      <c r="C945" s="79"/>
      <c r="D945" s="79"/>
      <c r="E945" s="79"/>
      <c r="F945" s="79"/>
      <c r="G945" s="79"/>
      <c r="H945" s="79"/>
      <c r="I945" s="79"/>
      <c r="J945" s="79"/>
      <c r="K945" s="79"/>
      <c r="L945" s="79"/>
      <c r="M945" s="79"/>
      <c r="N945" s="79"/>
      <c r="O945" s="79"/>
      <c r="P945" s="79"/>
      <c r="Q945" s="79"/>
    </row>
    <row r="946" spans="1:17" ht="13.2">
      <c r="A946" s="79"/>
      <c r="B946" s="79"/>
      <c r="C946" s="79"/>
      <c r="D946" s="79"/>
      <c r="E946" s="79"/>
      <c r="F946" s="79"/>
      <c r="G946" s="79"/>
      <c r="H946" s="79"/>
      <c r="I946" s="79"/>
      <c r="J946" s="79"/>
      <c r="K946" s="79"/>
      <c r="L946" s="79"/>
      <c r="M946" s="79"/>
      <c r="N946" s="79"/>
      <c r="O946" s="79"/>
      <c r="P946" s="79"/>
      <c r="Q946" s="79"/>
    </row>
    <row r="947" spans="1:17" ht="13.2">
      <c r="A947" s="79"/>
      <c r="B947" s="79"/>
      <c r="C947" s="79"/>
      <c r="D947" s="79"/>
      <c r="E947" s="79"/>
      <c r="F947" s="79"/>
      <c r="G947" s="79"/>
      <c r="H947" s="79"/>
      <c r="I947" s="79"/>
      <c r="J947" s="79"/>
      <c r="K947" s="79"/>
      <c r="L947" s="79"/>
      <c r="M947" s="79"/>
      <c r="N947" s="79"/>
      <c r="O947" s="79"/>
      <c r="P947" s="79"/>
      <c r="Q947" s="79"/>
    </row>
    <row r="948" spans="1:17" ht="13.2">
      <c r="A948" s="79"/>
      <c r="B948" s="79"/>
      <c r="C948" s="79"/>
      <c r="D948" s="79"/>
      <c r="E948" s="79"/>
      <c r="F948" s="79"/>
      <c r="G948" s="79"/>
      <c r="H948" s="79"/>
      <c r="I948" s="79"/>
      <c r="J948" s="79"/>
      <c r="K948" s="79"/>
      <c r="L948" s="79"/>
      <c r="M948" s="79"/>
      <c r="N948" s="79"/>
      <c r="O948" s="79"/>
      <c r="P948" s="79"/>
      <c r="Q948" s="79"/>
    </row>
    <row r="949" spans="1:17" ht="13.2">
      <c r="A949" s="79"/>
      <c r="B949" s="79"/>
      <c r="C949" s="79"/>
      <c r="D949" s="79"/>
      <c r="E949" s="79"/>
      <c r="F949" s="79"/>
      <c r="G949" s="79"/>
      <c r="H949" s="79"/>
      <c r="I949" s="79"/>
      <c r="J949" s="79"/>
      <c r="K949" s="79"/>
      <c r="L949" s="79"/>
      <c r="M949" s="79"/>
      <c r="N949" s="79"/>
      <c r="O949" s="79"/>
      <c r="P949" s="79"/>
      <c r="Q949" s="79"/>
    </row>
    <row r="950" spans="1:17" ht="13.2">
      <c r="A950" s="79"/>
      <c r="B950" s="79"/>
      <c r="C950" s="79"/>
      <c r="D950" s="79"/>
      <c r="E950" s="79"/>
      <c r="F950" s="79"/>
      <c r="G950" s="79"/>
      <c r="H950" s="79"/>
      <c r="I950" s="79"/>
      <c r="J950" s="79"/>
      <c r="K950" s="79"/>
      <c r="L950" s="79"/>
      <c r="M950" s="79"/>
      <c r="N950" s="79"/>
      <c r="O950" s="79"/>
      <c r="P950" s="79"/>
      <c r="Q950" s="79"/>
    </row>
    <row r="951" spans="1:17" ht="13.2">
      <c r="A951" s="79"/>
      <c r="B951" s="79"/>
      <c r="C951" s="79"/>
      <c r="D951" s="79"/>
      <c r="E951" s="79"/>
      <c r="F951" s="79"/>
      <c r="G951" s="79"/>
      <c r="H951" s="79"/>
      <c r="I951" s="79"/>
      <c r="J951" s="79"/>
      <c r="K951" s="79"/>
      <c r="L951" s="79"/>
      <c r="M951" s="79"/>
      <c r="N951" s="79"/>
      <c r="O951" s="79"/>
      <c r="P951" s="79"/>
      <c r="Q951" s="79"/>
    </row>
    <row r="952" spans="1:17" ht="13.2">
      <c r="A952" s="79"/>
      <c r="B952" s="79"/>
      <c r="C952" s="79"/>
      <c r="D952" s="79"/>
      <c r="E952" s="79"/>
      <c r="F952" s="79"/>
      <c r="G952" s="79"/>
      <c r="H952" s="79"/>
      <c r="I952" s="79"/>
      <c r="J952" s="79"/>
      <c r="K952" s="79"/>
      <c r="L952" s="79"/>
      <c r="M952" s="79"/>
      <c r="N952" s="79"/>
      <c r="O952" s="79"/>
      <c r="P952" s="79"/>
      <c r="Q952" s="79"/>
    </row>
    <row r="953" spans="1:17" ht="13.2">
      <c r="A953" s="79"/>
      <c r="B953" s="79"/>
      <c r="C953" s="79"/>
      <c r="D953" s="79"/>
      <c r="E953" s="79"/>
      <c r="F953" s="79"/>
      <c r="G953" s="79"/>
      <c r="H953" s="79"/>
      <c r="I953" s="79"/>
      <c r="J953" s="79"/>
      <c r="K953" s="79"/>
      <c r="L953" s="79"/>
      <c r="M953" s="79"/>
      <c r="N953" s="79"/>
      <c r="O953" s="79"/>
      <c r="P953" s="79"/>
      <c r="Q953" s="79"/>
    </row>
    <row r="954" spans="1:17" ht="13.2">
      <c r="A954" s="79"/>
      <c r="B954" s="79"/>
      <c r="C954" s="79"/>
      <c r="D954" s="79"/>
      <c r="E954" s="79"/>
      <c r="F954" s="79"/>
      <c r="G954" s="79"/>
      <c r="H954" s="79"/>
      <c r="I954" s="79"/>
      <c r="J954" s="79"/>
      <c r="K954" s="79"/>
      <c r="L954" s="79"/>
      <c r="M954" s="79"/>
      <c r="N954" s="79"/>
      <c r="O954" s="79"/>
      <c r="P954" s="79"/>
      <c r="Q954" s="79"/>
    </row>
    <row r="955" spans="1:17" ht="13.2">
      <c r="A955" s="79"/>
      <c r="B955" s="79"/>
      <c r="C955" s="79"/>
      <c r="D955" s="79"/>
      <c r="E955" s="79"/>
      <c r="F955" s="79"/>
      <c r="G955" s="79"/>
      <c r="H955" s="79"/>
      <c r="I955" s="79"/>
      <c r="J955" s="79"/>
      <c r="K955" s="79"/>
      <c r="L955" s="79"/>
      <c r="M955" s="79"/>
      <c r="N955" s="79"/>
      <c r="O955" s="79"/>
      <c r="P955" s="79"/>
      <c r="Q955" s="79"/>
    </row>
    <row r="956" spans="1:17" ht="13.2">
      <c r="A956" s="79"/>
      <c r="B956" s="79"/>
      <c r="C956" s="79"/>
      <c r="D956" s="79"/>
      <c r="E956" s="79"/>
      <c r="F956" s="79"/>
      <c r="G956" s="79"/>
      <c r="H956" s="79"/>
      <c r="I956" s="79"/>
      <c r="J956" s="79"/>
      <c r="K956" s="79"/>
      <c r="L956" s="79"/>
      <c r="M956" s="79"/>
      <c r="N956" s="79"/>
      <c r="O956" s="79"/>
      <c r="P956" s="79"/>
      <c r="Q956" s="79"/>
    </row>
    <row r="957" spans="1:17" ht="13.2">
      <c r="A957" s="79"/>
      <c r="B957" s="79"/>
      <c r="C957" s="79"/>
      <c r="D957" s="79"/>
      <c r="E957" s="79"/>
      <c r="F957" s="79"/>
      <c r="G957" s="79"/>
      <c r="H957" s="79"/>
      <c r="I957" s="79"/>
      <c r="J957" s="79"/>
      <c r="K957" s="79"/>
      <c r="L957" s="79"/>
      <c r="M957" s="79"/>
      <c r="N957" s="79"/>
      <c r="O957" s="79"/>
      <c r="P957" s="79"/>
      <c r="Q957" s="79"/>
    </row>
    <row r="958" spans="1:17" ht="13.2">
      <c r="A958" s="79"/>
      <c r="B958" s="79"/>
      <c r="C958" s="79"/>
      <c r="D958" s="79"/>
      <c r="E958" s="79"/>
      <c r="F958" s="79"/>
      <c r="G958" s="79"/>
      <c r="H958" s="79"/>
      <c r="I958" s="79"/>
      <c r="J958" s="79"/>
      <c r="K958" s="79"/>
      <c r="L958" s="79"/>
      <c r="M958" s="79"/>
      <c r="N958" s="79"/>
      <c r="O958" s="79"/>
      <c r="P958" s="79"/>
      <c r="Q958" s="79"/>
    </row>
    <row r="959" spans="1:17" ht="13.2">
      <c r="A959" s="79"/>
      <c r="B959" s="79"/>
      <c r="C959" s="79"/>
      <c r="D959" s="79"/>
      <c r="E959" s="79"/>
      <c r="F959" s="79"/>
      <c r="G959" s="79"/>
      <c r="H959" s="79"/>
      <c r="I959" s="79"/>
      <c r="J959" s="79"/>
      <c r="K959" s="79"/>
      <c r="L959" s="79"/>
      <c r="M959" s="79"/>
      <c r="N959" s="79"/>
      <c r="O959" s="79"/>
      <c r="P959" s="79"/>
      <c r="Q959" s="79"/>
    </row>
    <row r="960" spans="1:17" ht="13.2">
      <c r="A960" s="79"/>
      <c r="B960" s="79"/>
      <c r="C960" s="79"/>
      <c r="D960" s="79"/>
      <c r="E960" s="79"/>
      <c r="F960" s="79"/>
      <c r="G960" s="79"/>
      <c r="H960" s="79"/>
      <c r="I960" s="79"/>
      <c r="J960" s="79"/>
      <c r="K960" s="79"/>
      <c r="L960" s="79"/>
      <c r="M960" s="79"/>
      <c r="N960" s="79"/>
      <c r="O960" s="79"/>
      <c r="P960" s="79"/>
      <c r="Q960" s="79"/>
    </row>
    <row r="961" spans="1:17" ht="13.2">
      <c r="A961" s="79"/>
      <c r="B961" s="79"/>
      <c r="C961" s="79"/>
      <c r="D961" s="79"/>
      <c r="E961" s="79"/>
      <c r="F961" s="79"/>
      <c r="G961" s="79"/>
      <c r="H961" s="79"/>
      <c r="I961" s="79"/>
      <c r="J961" s="79"/>
      <c r="K961" s="79"/>
      <c r="L961" s="79"/>
      <c r="M961" s="79"/>
      <c r="N961" s="79"/>
      <c r="O961" s="79"/>
      <c r="P961" s="79"/>
      <c r="Q961" s="79"/>
    </row>
    <row r="962" spans="1:17" ht="13.2">
      <c r="A962" s="79"/>
      <c r="B962" s="79"/>
      <c r="C962" s="79"/>
      <c r="D962" s="79"/>
      <c r="E962" s="79"/>
      <c r="F962" s="79"/>
      <c r="G962" s="79"/>
      <c r="H962" s="79"/>
      <c r="I962" s="79"/>
      <c r="J962" s="79"/>
      <c r="K962" s="79"/>
      <c r="L962" s="79"/>
      <c r="M962" s="79"/>
      <c r="N962" s="79"/>
      <c r="O962" s="79"/>
      <c r="P962" s="79"/>
      <c r="Q962" s="79"/>
    </row>
    <row r="963" spans="1:17" ht="13.2">
      <c r="A963" s="79"/>
      <c r="B963" s="79"/>
      <c r="C963" s="79"/>
      <c r="D963" s="79"/>
      <c r="E963" s="79"/>
      <c r="F963" s="79"/>
      <c r="G963" s="79"/>
      <c r="H963" s="79"/>
      <c r="I963" s="79"/>
      <c r="J963" s="79"/>
      <c r="K963" s="79"/>
      <c r="L963" s="79"/>
      <c r="M963" s="79"/>
      <c r="N963" s="79"/>
      <c r="O963" s="79"/>
      <c r="P963" s="79"/>
      <c r="Q963" s="79"/>
    </row>
    <row r="964" spans="1:17" ht="13.2">
      <c r="A964" s="79"/>
      <c r="B964" s="79"/>
      <c r="C964" s="79"/>
      <c r="D964" s="79"/>
      <c r="E964" s="79"/>
      <c r="F964" s="79"/>
      <c r="G964" s="79"/>
      <c r="H964" s="79"/>
      <c r="I964" s="79"/>
      <c r="J964" s="79"/>
      <c r="K964" s="79"/>
      <c r="L964" s="79"/>
      <c r="M964" s="79"/>
      <c r="N964" s="79"/>
      <c r="O964" s="79"/>
      <c r="P964" s="79"/>
      <c r="Q964" s="79"/>
    </row>
    <row r="965" spans="1:17" ht="13.2">
      <c r="A965" s="79"/>
      <c r="B965" s="79"/>
      <c r="C965" s="79"/>
      <c r="D965" s="79"/>
      <c r="E965" s="79"/>
      <c r="F965" s="79"/>
      <c r="G965" s="79"/>
      <c r="H965" s="79"/>
      <c r="I965" s="79"/>
      <c r="J965" s="79"/>
      <c r="K965" s="79"/>
      <c r="L965" s="79"/>
      <c r="M965" s="79"/>
      <c r="N965" s="79"/>
      <c r="O965" s="79"/>
      <c r="P965" s="79"/>
      <c r="Q965" s="79"/>
    </row>
    <row r="966" spans="1:17" ht="13.2">
      <c r="A966" s="79"/>
      <c r="B966" s="79"/>
      <c r="C966" s="79"/>
      <c r="D966" s="79"/>
      <c r="E966" s="79"/>
      <c r="F966" s="79"/>
      <c r="G966" s="79"/>
      <c r="H966" s="79"/>
      <c r="I966" s="79"/>
      <c r="J966" s="79"/>
      <c r="K966" s="79"/>
      <c r="L966" s="79"/>
      <c r="M966" s="79"/>
      <c r="N966" s="79"/>
      <c r="O966" s="79"/>
      <c r="P966" s="79"/>
      <c r="Q966" s="79"/>
    </row>
    <row r="967" spans="1:17" ht="13.2">
      <c r="A967" s="79"/>
      <c r="B967" s="79"/>
      <c r="C967" s="79"/>
      <c r="D967" s="79"/>
      <c r="E967" s="79"/>
      <c r="F967" s="79"/>
      <c r="G967" s="79"/>
      <c r="H967" s="79"/>
      <c r="I967" s="79"/>
      <c r="J967" s="79"/>
      <c r="K967" s="79"/>
      <c r="L967" s="79"/>
      <c r="M967" s="79"/>
      <c r="N967" s="79"/>
      <c r="O967" s="79"/>
      <c r="P967" s="79"/>
      <c r="Q967" s="79"/>
    </row>
    <row r="968" spans="1:17" ht="13.2">
      <c r="A968" s="79"/>
      <c r="B968" s="79"/>
      <c r="C968" s="79"/>
      <c r="D968" s="79"/>
      <c r="E968" s="79"/>
      <c r="F968" s="79"/>
      <c r="G968" s="79"/>
      <c r="H968" s="79"/>
      <c r="I968" s="79"/>
      <c r="J968" s="79"/>
      <c r="K968" s="79"/>
      <c r="L968" s="79"/>
      <c r="M968" s="79"/>
      <c r="N968" s="79"/>
      <c r="O968" s="79"/>
      <c r="P968" s="79"/>
      <c r="Q968" s="79"/>
    </row>
    <row r="969" spans="1:17" ht="13.2">
      <c r="A969" s="79"/>
      <c r="B969" s="79"/>
      <c r="C969" s="79"/>
      <c r="D969" s="79"/>
      <c r="E969" s="79"/>
      <c r="F969" s="79"/>
      <c r="G969" s="79"/>
      <c r="H969" s="79"/>
      <c r="I969" s="79"/>
      <c r="J969" s="79"/>
      <c r="K969" s="79"/>
      <c r="L969" s="79"/>
      <c r="M969" s="79"/>
      <c r="N969" s="79"/>
      <c r="O969" s="79"/>
      <c r="P969" s="79"/>
      <c r="Q969" s="79"/>
    </row>
    <row r="970" spans="1:17" ht="13.2">
      <c r="A970" s="79"/>
      <c r="B970" s="79"/>
      <c r="C970" s="79"/>
      <c r="D970" s="79"/>
      <c r="E970" s="79"/>
      <c r="F970" s="79"/>
      <c r="G970" s="79"/>
      <c r="H970" s="79"/>
      <c r="I970" s="79"/>
      <c r="J970" s="79"/>
      <c r="K970" s="79"/>
      <c r="L970" s="79"/>
      <c r="M970" s="79"/>
      <c r="N970" s="79"/>
      <c r="O970" s="79"/>
      <c r="P970" s="79"/>
      <c r="Q970" s="79"/>
    </row>
    <row r="971" spans="1:17" ht="13.2">
      <c r="A971" s="79"/>
      <c r="B971" s="79"/>
      <c r="C971" s="79"/>
      <c r="D971" s="79"/>
      <c r="E971" s="79"/>
      <c r="F971" s="79"/>
      <c r="G971" s="79"/>
      <c r="H971" s="79"/>
      <c r="I971" s="79"/>
      <c r="J971" s="79"/>
      <c r="K971" s="79"/>
      <c r="L971" s="79"/>
      <c r="M971" s="79"/>
      <c r="N971" s="79"/>
      <c r="O971" s="79"/>
      <c r="P971" s="79"/>
      <c r="Q971" s="79"/>
    </row>
    <row r="972" spans="1:17" ht="13.2">
      <c r="A972" s="79"/>
      <c r="B972" s="79"/>
      <c r="C972" s="79"/>
      <c r="D972" s="79"/>
      <c r="E972" s="79"/>
      <c r="F972" s="79"/>
      <c r="G972" s="79"/>
      <c r="H972" s="79"/>
      <c r="I972" s="79"/>
      <c r="J972" s="79"/>
      <c r="K972" s="79"/>
      <c r="L972" s="79"/>
      <c r="M972" s="79"/>
      <c r="N972" s="79"/>
      <c r="O972" s="79"/>
      <c r="P972" s="79"/>
      <c r="Q972" s="79"/>
    </row>
    <row r="973" spans="1:17" ht="13.2">
      <c r="A973" s="79"/>
      <c r="B973" s="79"/>
      <c r="C973" s="79"/>
      <c r="D973" s="79"/>
      <c r="E973" s="79"/>
      <c r="F973" s="79"/>
      <c r="G973" s="79"/>
      <c r="H973" s="79"/>
      <c r="I973" s="79"/>
      <c r="J973" s="79"/>
      <c r="K973" s="79"/>
      <c r="L973" s="79"/>
      <c r="M973" s="79"/>
      <c r="N973" s="79"/>
      <c r="O973" s="79"/>
      <c r="P973" s="79"/>
      <c r="Q973" s="79"/>
    </row>
    <row r="974" spans="1:17" ht="13.2">
      <c r="A974" s="79"/>
      <c r="B974" s="79"/>
      <c r="C974" s="79"/>
      <c r="D974" s="79"/>
      <c r="E974" s="79"/>
      <c r="F974" s="79"/>
      <c r="G974" s="79"/>
      <c r="H974" s="79"/>
      <c r="I974" s="79"/>
      <c r="J974" s="79"/>
      <c r="K974" s="79"/>
      <c r="L974" s="79"/>
      <c r="M974" s="79"/>
      <c r="N974" s="79"/>
      <c r="O974" s="79"/>
      <c r="P974" s="79"/>
      <c r="Q974" s="79"/>
    </row>
    <row r="975" spans="1:17" ht="13.2">
      <c r="A975" s="79"/>
      <c r="B975" s="79"/>
      <c r="C975" s="79"/>
      <c r="D975" s="79"/>
      <c r="E975" s="79"/>
      <c r="F975" s="79"/>
      <c r="G975" s="79"/>
      <c r="H975" s="79"/>
      <c r="I975" s="79"/>
      <c r="J975" s="79"/>
      <c r="K975" s="79"/>
      <c r="L975" s="79"/>
      <c r="M975" s="79"/>
      <c r="N975" s="79"/>
      <c r="O975" s="79"/>
      <c r="P975" s="79"/>
      <c r="Q975" s="79"/>
    </row>
    <row r="976" spans="1:17" ht="13.2">
      <c r="A976" s="79"/>
      <c r="B976" s="79"/>
      <c r="C976" s="79"/>
      <c r="D976" s="79"/>
      <c r="E976" s="79"/>
      <c r="F976" s="79"/>
      <c r="G976" s="79"/>
      <c r="H976" s="79"/>
      <c r="I976" s="79"/>
      <c r="J976" s="79"/>
      <c r="K976" s="79"/>
      <c r="L976" s="79"/>
      <c r="M976" s="79"/>
      <c r="N976" s="79"/>
      <c r="O976" s="79"/>
      <c r="P976" s="79"/>
      <c r="Q976" s="79"/>
    </row>
    <row r="977" spans="1:17" ht="13.2">
      <c r="A977" s="79"/>
      <c r="B977" s="79"/>
      <c r="C977" s="79"/>
      <c r="D977" s="79"/>
      <c r="E977" s="79"/>
      <c r="F977" s="79"/>
      <c r="G977" s="79"/>
      <c r="H977" s="79"/>
      <c r="I977" s="79"/>
      <c r="J977" s="79"/>
      <c r="K977" s="79"/>
      <c r="L977" s="79"/>
      <c r="M977" s="79"/>
      <c r="N977" s="79"/>
      <c r="O977" s="79"/>
      <c r="P977" s="79"/>
      <c r="Q977" s="79"/>
    </row>
    <row r="978" spans="1:17" ht="13.2">
      <c r="A978" s="79"/>
      <c r="B978" s="79"/>
      <c r="C978" s="79"/>
      <c r="D978" s="79"/>
      <c r="E978" s="79"/>
      <c r="F978" s="79"/>
      <c r="G978" s="79"/>
      <c r="H978" s="79"/>
      <c r="I978" s="79"/>
      <c r="J978" s="79"/>
      <c r="K978" s="79"/>
      <c r="L978" s="79"/>
      <c r="M978" s="79"/>
      <c r="N978" s="79"/>
      <c r="O978" s="79"/>
      <c r="P978" s="79"/>
      <c r="Q978" s="79"/>
    </row>
    <row r="979" spans="1:17" ht="13.2">
      <c r="A979" s="79"/>
      <c r="B979" s="79"/>
      <c r="C979" s="79"/>
      <c r="D979" s="79"/>
      <c r="E979" s="79"/>
      <c r="F979" s="79"/>
      <c r="G979" s="79"/>
      <c r="H979" s="79"/>
      <c r="I979" s="79"/>
      <c r="J979" s="79"/>
      <c r="K979" s="79"/>
      <c r="L979" s="79"/>
      <c r="M979" s="79"/>
      <c r="N979" s="79"/>
      <c r="O979" s="79"/>
      <c r="P979" s="79"/>
      <c r="Q979" s="79"/>
    </row>
    <row r="980" spans="1:17" ht="13.2">
      <c r="A980" s="79"/>
      <c r="B980" s="79"/>
      <c r="C980" s="79"/>
      <c r="D980" s="79"/>
      <c r="E980" s="79"/>
      <c r="F980" s="79"/>
      <c r="G980" s="79"/>
      <c r="H980" s="79"/>
      <c r="I980" s="79"/>
      <c r="J980" s="79"/>
      <c r="K980" s="79"/>
      <c r="L980" s="79"/>
      <c r="M980" s="79"/>
      <c r="N980" s="79"/>
      <c r="O980" s="79"/>
      <c r="P980" s="79"/>
      <c r="Q980" s="79"/>
    </row>
    <row r="981" spans="1:17" ht="13.2">
      <c r="A981" s="79"/>
      <c r="B981" s="79"/>
      <c r="C981" s="79"/>
      <c r="D981" s="79"/>
      <c r="E981" s="79"/>
      <c r="F981" s="79"/>
      <c r="G981" s="79"/>
      <c r="H981" s="79"/>
      <c r="I981" s="79"/>
      <c r="J981" s="79"/>
      <c r="K981" s="79"/>
      <c r="L981" s="79"/>
      <c r="M981" s="79"/>
      <c r="N981" s="79"/>
      <c r="O981" s="79"/>
      <c r="P981" s="79"/>
      <c r="Q981" s="79"/>
    </row>
    <row r="982" spans="1:17" ht="13.2">
      <c r="A982" s="79"/>
      <c r="B982" s="79"/>
      <c r="C982" s="79"/>
      <c r="D982" s="79"/>
      <c r="E982" s="79"/>
      <c r="F982" s="79"/>
      <c r="G982" s="79"/>
      <c r="H982" s="79"/>
      <c r="I982" s="79"/>
      <c r="J982" s="79"/>
      <c r="K982" s="79"/>
      <c r="L982" s="79"/>
      <c r="M982" s="79"/>
      <c r="N982" s="79"/>
      <c r="O982" s="79"/>
      <c r="P982" s="79"/>
      <c r="Q982" s="79"/>
    </row>
    <row r="983" spans="1:17" ht="13.2">
      <c r="A983" s="79"/>
      <c r="B983" s="79"/>
      <c r="C983" s="79"/>
      <c r="D983" s="79"/>
      <c r="E983" s="79"/>
      <c r="F983" s="79"/>
      <c r="G983" s="79"/>
      <c r="H983" s="79"/>
      <c r="I983" s="79"/>
      <c r="J983" s="79"/>
      <c r="K983" s="79"/>
      <c r="L983" s="79"/>
      <c r="M983" s="79"/>
      <c r="N983" s="79"/>
      <c r="O983" s="79"/>
      <c r="P983" s="79"/>
      <c r="Q983" s="79"/>
    </row>
    <row r="984" spans="1:17" ht="13.2">
      <c r="A984" s="79"/>
      <c r="B984" s="79"/>
      <c r="C984" s="79"/>
      <c r="D984" s="79"/>
      <c r="E984" s="79"/>
      <c r="F984" s="79"/>
      <c r="G984" s="79"/>
      <c r="H984" s="79"/>
      <c r="I984" s="79"/>
      <c r="J984" s="79"/>
      <c r="K984" s="79"/>
      <c r="L984" s="79"/>
      <c r="M984" s="79"/>
      <c r="N984" s="79"/>
      <c r="O984" s="79"/>
      <c r="P984" s="79"/>
      <c r="Q984" s="79"/>
    </row>
    <row r="985" spans="1:17" ht="13.2">
      <c r="A985" s="79"/>
      <c r="B985" s="79"/>
      <c r="C985" s="79"/>
      <c r="D985" s="79"/>
      <c r="E985" s="79"/>
      <c r="F985" s="79"/>
      <c r="G985" s="79"/>
      <c r="H985" s="79"/>
      <c r="I985" s="79"/>
      <c r="J985" s="79"/>
      <c r="K985" s="79"/>
      <c r="L985" s="79"/>
      <c r="M985" s="79"/>
      <c r="N985" s="79"/>
      <c r="O985" s="79"/>
      <c r="P985" s="79"/>
      <c r="Q985" s="79"/>
    </row>
    <row r="986" spans="1:17" ht="13.2">
      <c r="A986" s="79"/>
      <c r="B986" s="79"/>
      <c r="C986" s="79"/>
      <c r="D986" s="79"/>
      <c r="E986" s="79"/>
      <c r="F986" s="79"/>
      <c r="G986" s="79"/>
      <c r="H986" s="79"/>
      <c r="I986" s="79"/>
      <c r="J986" s="79"/>
      <c r="K986" s="79"/>
      <c r="L986" s="79"/>
      <c r="M986" s="79"/>
      <c r="N986" s="79"/>
      <c r="O986" s="79"/>
      <c r="P986" s="79"/>
      <c r="Q986" s="79"/>
    </row>
    <row r="987" spans="1:17" ht="13.2">
      <c r="A987" s="79"/>
      <c r="B987" s="79"/>
      <c r="C987" s="79"/>
      <c r="D987" s="79"/>
      <c r="E987" s="79"/>
      <c r="F987" s="79"/>
      <c r="G987" s="79"/>
      <c r="H987" s="79"/>
      <c r="I987" s="79"/>
      <c r="J987" s="79"/>
      <c r="K987" s="79"/>
      <c r="L987" s="79"/>
      <c r="M987" s="79"/>
      <c r="N987" s="79"/>
      <c r="O987" s="79"/>
      <c r="P987" s="79"/>
      <c r="Q987" s="79"/>
    </row>
    <row r="988" spans="1:17" ht="13.2">
      <c r="A988" s="79"/>
      <c r="B988" s="79"/>
      <c r="C988" s="79"/>
      <c r="D988" s="79"/>
      <c r="E988" s="79"/>
      <c r="F988" s="79"/>
      <c r="G988" s="79"/>
      <c r="H988" s="79"/>
      <c r="I988" s="79"/>
      <c r="J988" s="79"/>
      <c r="K988" s="79"/>
      <c r="L988" s="79"/>
      <c r="M988" s="79"/>
      <c r="N988" s="79"/>
      <c r="O988" s="79"/>
      <c r="P988" s="79"/>
      <c r="Q988" s="79"/>
    </row>
    <row r="989" spans="1:17" ht="13.2">
      <c r="A989" s="79"/>
      <c r="B989" s="79"/>
      <c r="C989" s="79"/>
      <c r="D989" s="79"/>
      <c r="E989" s="79"/>
      <c r="F989" s="79"/>
      <c r="G989" s="79"/>
      <c r="H989" s="79"/>
      <c r="I989" s="79"/>
      <c r="J989" s="79"/>
      <c r="K989" s="79"/>
      <c r="L989" s="79"/>
      <c r="M989" s="79"/>
      <c r="N989" s="79"/>
      <c r="O989" s="79"/>
      <c r="P989" s="79"/>
      <c r="Q989" s="79"/>
    </row>
    <row r="990" spans="1:17" ht="13.2">
      <c r="A990" s="79"/>
      <c r="B990" s="79"/>
      <c r="C990" s="79"/>
      <c r="D990" s="79"/>
      <c r="E990" s="79"/>
      <c r="F990" s="79"/>
      <c r="G990" s="79"/>
      <c r="H990" s="79"/>
      <c r="I990" s="79"/>
      <c r="J990" s="79"/>
      <c r="K990" s="79"/>
      <c r="L990" s="79"/>
      <c r="M990" s="79"/>
      <c r="N990" s="79"/>
      <c r="O990" s="79"/>
      <c r="P990" s="79"/>
      <c r="Q990" s="79"/>
    </row>
    <row r="991" spans="1:17" ht="13.2">
      <c r="A991" s="79"/>
      <c r="B991" s="79"/>
      <c r="C991" s="79"/>
      <c r="D991" s="79"/>
      <c r="E991" s="79"/>
      <c r="F991" s="79"/>
      <c r="G991" s="79"/>
      <c r="H991" s="79"/>
      <c r="I991" s="79"/>
      <c r="J991" s="79"/>
      <c r="K991" s="79"/>
      <c r="L991" s="79"/>
      <c r="M991" s="79"/>
      <c r="N991" s="79"/>
      <c r="O991" s="79"/>
      <c r="P991" s="79"/>
      <c r="Q991" s="79"/>
    </row>
    <row r="992" spans="1:17" ht="13.2">
      <c r="A992" s="79"/>
      <c r="B992" s="79"/>
      <c r="C992" s="79"/>
      <c r="D992" s="79"/>
      <c r="E992" s="79"/>
      <c r="F992" s="79"/>
      <c r="G992" s="79"/>
      <c r="H992" s="79"/>
      <c r="I992" s="79"/>
      <c r="J992" s="79"/>
      <c r="K992" s="79"/>
      <c r="L992" s="79"/>
      <c r="M992" s="79"/>
      <c r="N992" s="79"/>
      <c r="O992" s="79"/>
      <c r="P992" s="79"/>
      <c r="Q992" s="79"/>
    </row>
    <row r="993" spans="1:17" ht="13.2">
      <c r="A993" s="79"/>
      <c r="B993" s="79"/>
      <c r="C993" s="79"/>
      <c r="D993" s="79"/>
      <c r="E993" s="79"/>
      <c r="F993" s="79"/>
      <c r="G993" s="79"/>
      <c r="H993" s="79"/>
      <c r="I993" s="79"/>
      <c r="J993" s="79"/>
      <c r="K993" s="79"/>
      <c r="L993" s="79"/>
      <c r="M993" s="79"/>
      <c r="N993" s="79"/>
      <c r="O993" s="79"/>
      <c r="P993" s="79"/>
      <c r="Q993" s="79"/>
    </row>
    <row r="994" spans="1:17" ht="13.2">
      <c r="A994" s="79"/>
      <c r="B994" s="79"/>
      <c r="C994" s="79"/>
      <c r="D994" s="79"/>
      <c r="E994" s="79"/>
      <c r="F994" s="79"/>
      <c r="G994" s="79"/>
      <c r="H994" s="79"/>
      <c r="I994" s="79"/>
      <c r="J994" s="79"/>
      <c r="K994" s="79"/>
      <c r="L994" s="79"/>
      <c r="M994" s="79"/>
      <c r="N994" s="79"/>
      <c r="O994" s="79"/>
      <c r="P994" s="79"/>
      <c r="Q994" s="79"/>
    </row>
    <row r="995" spans="1:17" ht="13.2">
      <c r="A995" s="79"/>
      <c r="B995" s="79"/>
      <c r="C995" s="79"/>
      <c r="D995" s="79"/>
      <c r="E995" s="79"/>
      <c r="F995" s="79"/>
      <c r="G995" s="79"/>
      <c r="H995" s="79"/>
      <c r="I995" s="79"/>
      <c r="J995" s="79"/>
      <c r="K995" s="79"/>
      <c r="L995" s="79"/>
      <c r="M995" s="79"/>
      <c r="N995" s="79"/>
      <c r="O995" s="79"/>
      <c r="P995" s="79"/>
      <c r="Q995" s="79"/>
    </row>
    <row r="996" spans="1:17" ht="13.2">
      <c r="A996" s="79"/>
      <c r="B996" s="79"/>
      <c r="C996" s="79"/>
      <c r="D996" s="79"/>
      <c r="E996" s="79"/>
      <c r="F996" s="79"/>
      <c r="G996" s="79"/>
      <c r="H996" s="79"/>
      <c r="I996" s="79"/>
      <c r="J996" s="79"/>
      <c r="K996" s="79"/>
      <c r="L996" s="79"/>
      <c r="M996" s="79"/>
      <c r="N996" s="79"/>
      <c r="O996" s="79"/>
      <c r="P996" s="79"/>
      <c r="Q996" s="79"/>
    </row>
    <row r="997" spans="1:17" ht="13.2">
      <c r="A997" s="79"/>
      <c r="B997" s="79"/>
      <c r="C997" s="79"/>
      <c r="D997" s="79"/>
      <c r="E997" s="79"/>
      <c r="F997" s="79"/>
      <c r="G997" s="79"/>
      <c r="H997" s="79"/>
      <c r="I997" s="79"/>
      <c r="J997" s="79"/>
      <c r="K997" s="79"/>
      <c r="L997" s="79"/>
      <c r="M997" s="79"/>
      <c r="N997" s="79"/>
      <c r="O997" s="79"/>
      <c r="P997" s="79"/>
      <c r="Q997" s="79"/>
    </row>
    <row r="998" spans="1:17" ht="13.2">
      <c r="A998" s="79"/>
      <c r="B998" s="79"/>
      <c r="C998" s="79"/>
      <c r="D998" s="79"/>
      <c r="E998" s="79"/>
      <c r="F998" s="79"/>
      <c r="G998" s="79"/>
      <c r="H998" s="79"/>
      <c r="I998" s="79"/>
      <c r="J998" s="79"/>
      <c r="K998" s="79"/>
      <c r="L998" s="79"/>
      <c r="M998" s="79"/>
      <c r="N998" s="79"/>
      <c r="O998" s="79"/>
      <c r="P998" s="79"/>
      <c r="Q998" s="79"/>
    </row>
    <row r="999" spans="1:17" ht="13.2">
      <c r="A999" s="79"/>
      <c r="B999" s="79"/>
      <c r="C999" s="79"/>
      <c r="D999" s="79"/>
      <c r="E999" s="79"/>
      <c r="F999" s="79"/>
      <c r="G999" s="79"/>
      <c r="H999" s="79"/>
      <c r="I999" s="79"/>
      <c r="J999" s="79"/>
      <c r="K999" s="79"/>
      <c r="L999" s="79"/>
      <c r="M999" s="79"/>
      <c r="N999" s="79"/>
      <c r="O999" s="79"/>
      <c r="P999" s="79"/>
      <c r="Q999" s="79"/>
    </row>
    <row r="1000" spans="1:17" ht="13.2">
      <c r="A1000" s="79"/>
      <c r="B1000" s="79"/>
      <c r="C1000" s="79"/>
      <c r="D1000" s="79"/>
      <c r="E1000" s="79"/>
      <c r="F1000" s="79"/>
      <c r="G1000" s="79"/>
      <c r="H1000" s="79"/>
      <c r="I1000" s="79"/>
      <c r="J1000" s="79"/>
      <c r="K1000" s="79"/>
      <c r="L1000" s="79"/>
      <c r="M1000" s="79"/>
      <c r="N1000" s="79"/>
      <c r="O1000" s="79"/>
      <c r="P1000" s="79"/>
      <c r="Q1000" s="79"/>
    </row>
    <row r="1001" spans="1:17" ht="13.2">
      <c r="A1001" s="79"/>
      <c r="B1001" s="79"/>
      <c r="C1001" s="79"/>
      <c r="D1001" s="79"/>
      <c r="E1001" s="79"/>
      <c r="F1001" s="79"/>
      <c r="G1001" s="79"/>
      <c r="H1001" s="79"/>
      <c r="I1001" s="79"/>
      <c r="J1001" s="79"/>
      <c r="K1001" s="79"/>
      <c r="L1001" s="79"/>
      <c r="M1001" s="79"/>
      <c r="N1001" s="79"/>
      <c r="O1001" s="79"/>
      <c r="P1001" s="79"/>
      <c r="Q1001" s="79"/>
    </row>
    <row r="1002" spans="1:17" ht="13.2">
      <c r="A1002" s="79"/>
      <c r="B1002" s="79"/>
      <c r="C1002" s="79"/>
      <c r="D1002" s="79"/>
      <c r="E1002" s="79"/>
      <c r="F1002" s="79"/>
      <c r="G1002" s="79"/>
      <c r="H1002" s="79"/>
      <c r="I1002" s="79"/>
      <c r="J1002" s="79"/>
      <c r="K1002" s="79"/>
      <c r="L1002" s="79"/>
      <c r="M1002" s="79"/>
      <c r="N1002" s="79"/>
      <c r="O1002" s="79"/>
      <c r="P1002" s="79"/>
      <c r="Q1002" s="79"/>
    </row>
    <row r="1003" spans="1:17" ht="13.2">
      <c r="A1003" s="79"/>
      <c r="B1003" s="79"/>
      <c r="C1003" s="79"/>
      <c r="D1003" s="79"/>
      <c r="E1003" s="79"/>
      <c r="F1003" s="79"/>
      <c r="G1003" s="79"/>
      <c r="H1003" s="79"/>
      <c r="I1003" s="79"/>
      <c r="J1003" s="79"/>
      <c r="K1003" s="79"/>
      <c r="L1003" s="79"/>
      <c r="M1003" s="79"/>
      <c r="N1003" s="79"/>
      <c r="O1003" s="79"/>
      <c r="P1003" s="79"/>
      <c r="Q1003" s="79"/>
    </row>
    <row r="1004" spans="1:17" ht="13.2">
      <c r="A1004" s="79"/>
      <c r="B1004" s="79"/>
      <c r="C1004" s="79"/>
      <c r="D1004" s="79"/>
      <c r="E1004" s="79"/>
      <c r="F1004" s="79"/>
      <c r="G1004" s="79"/>
      <c r="H1004" s="79"/>
      <c r="I1004" s="79"/>
      <c r="J1004" s="79"/>
      <c r="K1004" s="79"/>
      <c r="L1004" s="79"/>
      <c r="M1004" s="79"/>
      <c r="N1004" s="79"/>
      <c r="O1004" s="79"/>
      <c r="P1004" s="79"/>
      <c r="Q1004" s="79"/>
    </row>
    <row r="1005" spans="1:17" ht="13.2">
      <c r="A1005" s="79"/>
      <c r="B1005" s="79"/>
      <c r="C1005" s="79"/>
      <c r="D1005" s="79"/>
      <c r="E1005" s="79"/>
      <c r="F1005" s="79"/>
      <c r="G1005" s="79"/>
      <c r="H1005" s="79"/>
      <c r="I1005" s="79"/>
      <c r="J1005" s="79"/>
      <c r="K1005" s="79"/>
      <c r="L1005" s="79"/>
      <c r="M1005" s="79"/>
      <c r="N1005" s="79"/>
      <c r="O1005" s="79"/>
      <c r="P1005" s="79"/>
      <c r="Q1005" s="79"/>
    </row>
    <row r="1006" spans="1:17" ht="13.2">
      <c r="A1006" s="79"/>
      <c r="B1006" s="79"/>
      <c r="C1006" s="79"/>
      <c r="D1006" s="79"/>
      <c r="E1006" s="79"/>
      <c r="F1006" s="79"/>
      <c r="G1006" s="79"/>
      <c r="H1006" s="79"/>
      <c r="I1006" s="79"/>
      <c r="J1006" s="79"/>
      <c r="K1006" s="79"/>
      <c r="L1006" s="79"/>
      <c r="M1006" s="79"/>
      <c r="N1006" s="79"/>
      <c r="O1006" s="79"/>
      <c r="P1006" s="79"/>
      <c r="Q1006" s="79"/>
    </row>
    <row r="1007" spans="1:17" ht="13.2">
      <c r="A1007" s="79"/>
      <c r="B1007" s="79"/>
      <c r="C1007" s="79"/>
      <c r="D1007" s="79"/>
      <c r="E1007" s="79"/>
      <c r="F1007" s="79"/>
      <c r="G1007" s="79"/>
      <c r="H1007" s="79"/>
      <c r="I1007" s="79"/>
      <c r="J1007" s="79"/>
      <c r="K1007" s="79"/>
      <c r="L1007" s="79"/>
      <c r="M1007" s="79"/>
      <c r="N1007" s="79"/>
      <c r="O1007" s="79"/>
      <c r="P1007" s="79"/>
      <c r="Q1007" s="79"/>
    </row>
    <row r="1008" spans="1:17" ht="13.2">
      <c r="A1008" s="79"/>
      <c r="B1008" s="79"/>
      <c r="C1008" s="79"/>
      <c r="D1008" s="79"/>
      <c r="E1008" s="79"/>
      <c r="F1008" s="79"/>
      <c r="G1008" s="79"/>
      <c r="H1008" s="79"/>
      <c r="I1008" s="79"/>
      <c r="J1008" s="79"/>
      <c r="K1008" s="79"/>
      <c r="L1008" s="79"/>
      <c r="M1008" s="79"/>
      <c r="N1008" s="79"/>
      <c r="O1008" s="79"/>
      <c r="P1008" s="79"/>
      <c r="Q1008" s="79"/>
    </row>
    <row r="1009" spans="1:17" ht="13.2">
      <c r="A1009" s="79"/>
      <c r="B1009" s="79"/>
      <c r="C1009" s="79"/>
      <c r="D1009" s="79"/>
      <c r="E1009" s="79"/>
      <c r="F1009" s="79"/>
      <c r="G1009" s="79"/>
      <c r="H1009" s="79"/>
      <c r="I1009" s="79"/>
      <c r="J1009" s="79"/>
      <c r="K1009" s="79"/>
      <c r="L1009" s="79"/>
      <c r="M1009" s="79"/>
      <c r="N1009" s="79"/>
      <c r="O1009" s="79"/>
      <c r="P1009" s="79"/>
      <c r="Q1009" s="79"/>
    </row>
    <row r="1010" spans="1:17" ht="13.2">
      <c r="A1010" s="79"/>
      <c r="B1010" s="79"/>
      <c r="C1010" s="79"/>
      <c r="D1010" s="79"/>
      <c r="E1010" s="79"/>
      <c r="F1010" s="79"/>
      <c r="G1010" s="79"/>
      <c r="H1010" s="79"/>
      <c r="I1010" s="79"/>
      <c r="J1010" s="79"/>
      <c r="K1010" s="79"/>
      <c r="L1010" s="79"/>
      <c r="M1010" s="79"/>
      <c r="N1010" s="79"/>
      <c r="O1010" s="79"/>
      <c r="P1010" s="79"/>
      <c r="Q1010" s="79"/>
    </row>
    <row r="1011" spans="1:17" ht="13.2">
      <c r="A1011" s="79"/>
      <c r="B1011" s="79"/>
      <c r="C1011" s="79"/>
      <c r="D1011" s="79"/>
      <c r="E1011" s="79"/>
      <c r="F1011" s="79"/>
      <c r="G1011" s="79"/>
      <c r="H1011" s="79"/>
      <c r="I1011" s="79"/>
      <c r="J1011" s="79"/>
      <c r="K1011" s="79"/>
      <c r="L1011" s="79"/>
      <c r="M1011" s="79"/>
      <c r="N1011" s="79"/>
      <c r="O1011" s="79"/>
      <c r="P1011" s="79"/>
      <c r="Q1011" s="79"/>
    </row>
    <row r="1012" spans="1:17" ht="13.2">
      <c r="A1012" s="79"/>
      <c r="B1012" s="79"/>
      <c r="C1012" s="79"/>
      <c r="D1012" s="79"/>
      <c r="E1012" s="79"/>
      <c r="F1012" s="79"/>
      <c r="G1012" s="79"/>
      <c r="H1012" s="79"/>
      <c r="I1012" s="79"/>
      <c r="J1012" s="79"/>
      <c r="K1012" s="79"/>
      <c r="L1012" s="79"/>
      <c r="M1012" s="79"/>
      <c r="N1012" s="79"/>
      <c r="O1012" s="79"/>
      <c r="P1012" s="79"/>
      <c r="Q1012" s="79"/>
    </row>
    <row r="1013" spans="1:17" ht="13.2">
      <c r="A1013" s="79"/>
      <c r="B1013" s="79"/>
      <c r="C1013" s="79"/>
      <c r="D1013" s="79"/>
      <c r="E1013" s="79"/>
      <c r="F1013" s="79"/>
      <c r="G1013" s="79"/>
      <c r="H1013" s="79"/>
      <c r="I1013" s="79"/>
      <c r="J1013" s="79"/>
      <c r="K1013" s="79"/>
      <c r="L1013" s="79"/>
      <c r="M1013" s="79"/>
      <c r="N1013" s="79"/>
      <c r="O1013" s="79"/>
      <c r="P1013" s="79"/>
      <c r="Q1013" s="79"/>
    </row>
    <row r="1014" spans="1:17" ht="13.2">
      <c r="A1014" s="79"/>
      <c r="B1014" s="79"/>
      <c r="C1014" s="79"/>
      <c r="D1014" s="79"/>
      <c r="E1014" s="79"/>
      <c r="F1014" s="79"/>
      <c r="G1014" s="79"/>
      <c r="H1014" s="79"/>
      <c r="I1014" s="79"/>
      <c r="J1014" s="79"/>
      <c r="K1014" s="79"/>
      <c r="L1014" s="79"/>
      <c r="M1014" s="79"/>
      <c r="N1014" s="79"/>
      <c r="O1014" s="79"/>
      <c r="P1014" s="79"/>
      <c r="Q1014" s="79"/>
    </row>
    <row r="1015" spans="1:17" ht="13.2">
      <c r="A1015" s="79"/>
      <c r="B1015" s="79"/>
      <c r="C1015" s="79"/>
      <c r="D1015" s="79"/>
      <c r="E1015" s="79"/>
      <c r="F1015" s="79"/>
      <c r="G1015" s="79"/>
      <c r="H1015" s="79"/>
      <c r="I1015" s="79"/>
      <c r="J1015" s="79"/>
      <c r="K1015" s="79"/>
      <c r="L1015" s="79"/>
      <c r="M1015" s="79"/>
      <c r="N1015" s="79"/>
      <c r="O1015" s="79"/>
      <c r="P1015" s="79"/>
      <c r="Q1015" s="79"/>
    </row>
    <row r="1016" spans="1:17" ht="13.2">
      <c r="A1016" s="79"/>
      <c r="B1016" s="79"/>
      <c r="C1016" s="79"/>
      <c r="D1016" s="79"/>
      <c r="E1016" s="79"/>
      <c r="F1016" s="79"/>
      <c r="G1016" s="79"/>
      <c r="H1016" s="79"/>
      <c r="I1016" s="79"/>
      <c r="J1016" s="79"/>
      <c r="K1016" s="79"/>
      <c r="L1016" s="79"/>
      <c r="M1016" s="79"/>
      <c r="N1016" s="79"/>
      <c r="O1016" s="79"/>
      <c r="P1016" s="79"/>
      <c r="Q1016" s="79"/>
    </row>
    <row r="1017" spans="1:17" ht="13.2">
      <c r="A1017" s="79"/>
      <c r="B1017" s="79"/>
      <c r="C1017" s="79"/>
      <c r="D1017" s="79"/>
      <c r="E1017" s="79"/>
      <c r="F1017" s="79"/>
      <c r="G1017" s="79"/>
      <c r="H1017" s="79"/>
      <c r="I1017" s="79"/>
      <c r="J1017" s="79"/>
      <c r="K1017" s="79"/>
      <c r="L1017" s="79"/>
      <c r="M1017" s="79"/>
      <c r="N1017" s="79"/>
      <c r="O1017" s="79"/>
      <c r="P1017" s="79"/>
      <c r="Q1017" s="7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B1000"/>
  <sheetViews>
    <sheetView tabSelected="1" topLeftCell="A73" workbookViewId="0">
      <selection activeCell="B95" sqref="B95"/>
    </sheetView>
  </sheetViews>
  <sheetFormatPr defaultColWidth="12.6640625" defaultRowHeight="15.75" customHeight="1"/>
  <cols>
    <col min="1" max="1" width="47.44140625" customWidth="1"/>
    <col min="2" max="2" width="52.6640625" customWidth="1"/>
  </cols>
  <sheetData>
    <row r="1" spans="1:54" ht="13.8">
      <c r="A1" s="89" t="s">
        <v>5006</v>
      </c>
      <c r="B1" s="90" t="s">
        <v>4892</v>
      </c>
      <c r="C1" s="89" t="s">
        <v>5007</v>
      </c>
      <c r="D1" s="91" t="s">
        <v>5008</v>
      </c>
      <c r="E1" s="91" t="s">
        <v>9</v>
      </c>
      <c r="F1" s="91" t="s">
        <v>10</v>
      </c>
      <c r="G1" s="91" t="s">
        <v>5009</v>
      </c>
      <c r="H1" s="91" t="s">
        <v>5010</v>
      </c>
      <c r="I1" s="91" t="s">
        <v>5011</v>
      </c>
      <c r="J1" s="91" t="s">
        <v>5012</v>
      </c>
      <c r="K1" s="91" t="s">
        <v>5013</v>
      </c>
      <c r="L1" s="91" t="s">
        <v>5014</v>
      </c>
      <c r="M1" s="91" t="s">
        <v>5015</v>
      </c>
      <c r="N1" s="91" t="s">
        <v>5016</v>
      </c>
      <c r="O1" s="91" t="s">
        <v>5017</v>
      </c>
      <c r="P1" s="91" t="s">
        <v>5018</v>
      </c>
      <c r="Q1" s="91" t="s">
        <v>5019</v>
      </c>
      <c r="R1" s="91" t="s">
        <v>5020</v>
      </c>
      <c r="S1" s="91" t="s">
        <v>5021</v>
      </c>
      <c r="T1" s="91" t="s">
        <v>5022</v>
      </c>
      <c r="U1" s="91" t="s">
        <v>5023</v>
      </c>
      <c r="V1" s="91" t="s">
        <v>5024</v>
      </c>
      <c r="W1" s="91" t="s">
        <v>5025</v>
      </c>
      <c r="X1" s="91" t="s">
        <v>5026</v>
      </c>
      <c r="Y1" s="91" t="s">
        <v>5027</v>
      </c>
      <c r="Z1" s="91" t="s">
        <v>5028</v>
      </c>
      <c r="AA1" s="91" t="s">
        <v>5029</v>
      </c>
      <c r="AB1" s="91" t="s">
        <v>5030</v>
      </c>
      <c r="AC1" s="91" t="s">
        <v>5031</v>
      </c>
      <c r="AD1" s="91" t="s">
        <v>5032</v>
      </c>
      <c r="AE1" s="91" t="s">
        <v>5033</v>
      </c>
      <c r="AF1" s="91" t="s">
        <v>5034</v>
      </c>
      <c r="AG1" s="91" t="s">
        <v>5035</v>
      </c>
      <c r="AH1" s="91" t="s">
        <v>5036</v>
      </c>
      <c r="AI1" s="90" t="s">
        <v>5037</v>
      </c>
      <c r="AJ1" s="90" t="s">
        <v>5038</v>
      </c>
      <c r="AK1" s="90" t="s">
        <v>5039</v>
      </c>
      <c r="AL1" s="92" t="s">
        <v>5040</v>
      </c>
      <c r="AM1" s="91" t="s">
        <v>5041</v>
      </c>
      <c r="AN1" s="91" t="s">
        <v>5042</v>
      </c>
      <c r="AO1" s="91" t="s">
        <v>5043</v>
      </c>
      <c r="AP1" s="91" t="s">
        <v>5044</v>
      </c>
      <c r="AQ1" s="91" t="s">
        <v>5045</v>
      </c>
      <c r="AR1" s="91" t="s">
        <v>5046</v>
      </c>
      <c r="AS1" s="91" t="s">
        <v>5047</v>
      </c>
      <c r="AT1" s="91" t="s">
        <v>5048</v>
      </c>
      <c r="AU1" s="91" t="s">
        <v>5049</v>
      </c>
      <c r="AV1" s="91" t="s">
        <v>5050</v>
      </c>
      <c r="AW1" s="91" t="s">
        <v>5051</v>
      </c>
      <c r="AX1" s="91" t="s">
        <v>5052</v>
      </c>
      <c r="AY1" s="91" t="s">
        <v>5053</v>
      </c>
      <c r="AZ1" s="91" t="s">
        <v>5054</v>
      </c>
      <c r="BA1" s="91" t="s">
        <v>5055</v>
      </c>
      <c r="BB1" s="93"/>
    </row>
    <row r="2" spans="1:54" ht="13.8">
      <c r="A2" s="94" t="s">
        <v>5056</v>
      </c>
      <c r="B2" s="95" t="s">
        <v>4898</v>
      </c>
      <c r="C2" s="96">
        <v>30606</v>
      </c>
      <c r="D2" s="94" t="s">
        <v>2665</v>
      </c>
      <c r="E2" s="94" t="s">
        <v>4899</v>
      </c>
      <c r="F2" s="97" t="s">
        <v>4900</v>
      </c>
      <c r="G2" s="95">
        <v>4808004749</v>
      </c>
      <c r="H2" s="98" t="s">
        <v>5057</v>
      </c>
      <c r="I2" s="95">
        <v>48183000575</v>
      </c>
      <c r="J2" s="98" t="s">
        <v>5058</v>
      </c>
      <c r="K2" s="95" t="s">
        <v>5059</v>
      </c>
      <c r="L2" s="98" t="s">
        <v>5060</v>
      </c>
      <c r="M2" s="98" t="s">
        <v>5061</v>
      </c>
      <c r="N2" s="98" t="s">
        <v>5062</v>
      </c>
      <c r="O2" s="98" t="s">
        <v>5062</v>
      </c>
      <c r="P2" s="95">
        <v>906755553</v>
      </c>
      <c r="Q2" s="98" t="s">
        <v>5063</v>
      </c>
      <c r="R2" s="98" t="s">
        <v>5064</v>
      </c>
      <c r="S2" s="99"/>
      <c r="T2" s="100">
        <v>39091</v>
      </c>
      <c r="U2" s="100">
        <v>39624</v>
      </c>
      <c r="V2" s="98" t="s">
        <v>5065</v>
      </c>
      <c r="W2" s="98" t="s">
        <v>5066</v>
      </c>
      <c r="X2" s="98" t="s">
        <v>5067</v>
      </c>
      <c r="Y2" s="98" t="s">
        <v>5068</v>
      </c>
      <c r="Z2" s="99"/>
      <c r="AA2" s="98" t="s">
        <v>5069</v>
      </c>
      <c r="AB2" s="95" t="s">
        <v>5070</v>
      </c>
      <c r="AC2" s="99"/>
      <c r="AD2" s="98" t="s">
        <v>5071</v>
      </c>
      <c r="AE2" s="95" t="s">
        <v>5072</v>
      </c>
      <c r="AF2" s="98" t="s">
        <v>5073</v>
      </c>
      <c r="AG2" s="95">
        <v>0</v>
      </c>
      <c r="AH2" s="94" t="s">
        <v>5074</v>
      </c>
      <c r="AI2" s="94" t="s">
        <v>5075</v>
      </c>
      <c r="AJ2" s="98" t="s">
        <v>5076</v>
      </c>
      <c r="AK2" s="98" t="s">
        <v>5077</v>
      </c>
      <c r="AL2" s="101" t="s">
        <v>5078</v>
      </c>
      <c r="AM2" s="99"/>
      <c r="AN2" s="98" t="s">
        <v>5079</v>
      </c>
      <c r="AO2" s="98" t="s">
        <v>5080</v>
      </c>
      <c r="AP2" s="98" t="s">
        <v>5081</v>
      </c>
      <c r="AQ2" s="102">
        <v>2024</v>
      </c>
      <c r="AR2" s="98" t="s">
        <v>5082</v>
      </c>
      <c r="AS2" s="99"/>
      <c r="AT2" s="98" t="s">
        <v>5083</v>
      </c>
      <c r="AU2" s="98" t="s">
        <v>5084</v>
      </c>
      <c r="AV2" s="99"/>
      <c r="AW2" s="94" t="s">
        <v>5074</v>
      </c>
      <c r="AX2" s="95">
        <v>0</v>
      </c>
      <c r="AY2" s="98" t="s">
        <v>5085</v>
      </c>
      <c r="AZ2" s="102">
        <v>2</v>
      </c>
      <c r="BA2" s="102" t="s">
        <v>5086</v>
      </c>
      <c r="BB2" s="93"/>
    </row>
    <row r="3" spans="1:54" ht="13.8">
      <c r="A3" s="94" t="s">
        <v>5087</v>
      </c>
      <c r="B3" s="95" t="s">
        <v>4904</v>
      </c>
      <c r="C3" s="96">
        <v>30237</v>
      </c>
      <c r="D3" s="94" t="s">
        <v>2656</v>
      </c>
      <c r="E3" s="94" t="s">
        <v>4899</v>
      </c>
      <c r="F3" s="97" t="s">
        <v>4900</v>
      </c>
      <c r="G3" s="103">
        <v>4812039456</v>
      </c>
      <c r="H3" s="98" t="s">
        <v>5057</v>
      </c>
      <c r="I3" s="95">
        <v>42082005737</v>
      </c>
      <c r="J3" s="98" t="s">
        <v>5088</v>
      </c>
      <c r="K3" s="95" t="s">
        <v>5089</v>
      </c>
      <c r="L3" s="98" t="s">
        <v>5090</v>
      </c>
      <c r="M3" s="98" t="s">
        <v>5091</v>
      </c>
      <c r="N3" s="98" t="s">
        <v>5092</v>
      </c>
      <c r="O3" s="98" t="s">
        <v>5092</v>
      </c>
      <c r="P3" s="95">
        <v>983633596</v>
      </c>
      <c r="Q3" s="98" t="s">
        <v>5093</v>
      </c>
      <c r="R3" s="98" t="s">
        <v>5094</v>
      </c>
      <c r="S3" s="99"/>
      <c r="T3" s="100">
        <v>38733</v>
      </c>
      <c r="U3" s="100">
        <v>39448</v>
      </c>
      <c r="V3" s="98" t="s">
        <v>5095</v>
      </c>
      <c r="W3" s="98" t="s">
        <v>5068</v>
      </c>
      <c r="X3" s="98" t="s">
        <v>5096</v>
      </c>
      <c r="Y3" s="98" t="s">
        <v>5066</v>
      </c>
      <c r="Z3" s="99"/>
      <c r="AA3" s="98" t="s">
        <v>5069</v>
      </c>
      <c r="AB3" s="95" t="s">
        <v>5097</v>
      </c>
      <c r="AC3" s="98" t="s">
        <v>5098</v>
      </c>
      <c r="AD3" s="98" t="s">
        <v>5099</v>
      </c>
      <c r="AE3" s="95" t="s">
        <v>5100</v>
      </c>
      <c r="AF3" s="99"/>
      <c r="AG3" s="95">
        <v>1</v>
      </c>
      <c r="AH3" s="94" t="s">
        <v>5074</v>
      </c>
      <c r="AI3" s="94" t="s">
        <v>5101</v>
      </c>
      <c r="AJ3" s="98" t="s">
        <v>5102</v>
      </c>
      <c r="AK3" s="98" t="s">
        <v>5103</v>
      </c>
      <c r="AL3" s="101" t="s">
        <v>5104</v>
      </c>
      <c r="AM3" s="98" t="s">
        <v>5105</v>
      </c>
      <c r="AN3" s="98" t="s">
        <v>5079</v>
      </c>
      <c r="AO3" s="98" t="s">
        <v>5080</v>
      </c>
      <c r="AP3" s="102">
        <v>75</v>
      </c>
      <c r="AQ3" s="102">
        <v>2013</v>
      </c>
      <c r="AR3" s="98" t="s">
        <v>5106</v>
      </c>
      <c r="AS3" s="99"/>
      <c r="AT3" s="98" t="s">
        <v>5083</v>
      </c>
      <c r="AU3" s="98" t="s">
        <v>5107</v>
      </c>
      <c r="AV3" s="95">
        <v>2017</v>
      </c>
      <c r="AW3" s="94" t="s">
        <v>5108</v>
      </c>
      <c r="AX3" s="95">
        <v>0</v>
      </c>
      <c r="AY3" s="98" t="s">
        <v>5109</v>
      </c>
      <c r="AZ3" s="102">
        <v>3</v>
      </c>
      <c r="BA3" s="102" t="s">
        <v>5110</v>
      </c>
      <c r="BB3" s="93"/>
    </row>
    <row r="4" spans="1:54" ht="13.8">
      <c r="A4" s="94" t="s">
        <v>4805</v>
      </c>
      <c r="B4" s="95" t="s">
        <v>4806</v>
      </c>
      <c r="C4" s="100">
        <v>27964</v>
      </c>
      <c r="D4" s="94" t="s">
        <v>2656</v>
      </c>
      <c r="E4" s="94" t="s">
        <v>4899</v>
      </c>
      <c r="F4" s="97" t="s">
        <v>4900</v>
      </c>
      <c r="G4" s="95">
        <v>402001276</v>
      </c>
      <c r="H4" s="98" t="s">
        <v>5057</v>
      </c>
      <c r="I4" s="95">
        <v>51076018881</v>
      </c>
      <c r="J4" s="98" t="s">
        <v>5088</v>
      </c>
      <c r="K4" s="95" t="s">
        <v>5111</v>
      </c>
      <c r="L4" s="98" t="s">
        <v>5112</v>
      </c>
      <c r="M4" s="98" t="s">
        <v>5113</v>
      </c>
      <c r="N4" s="98" t="s">
        <v>5114</v>
      </c>
      <c r="O4" s="98" t="s">
        <v>5114</v>
      </c>
      <c r="P4" s="95">
        <v>905234706</v>
      </c>
      <c r="Q4" s="98" t="s">
        <v>5115</v>
      </c>
      <c r="R4" s="98" t="s">
        <v>5094</v>
      </c>
      <c r="S4" s="98" t="s">
        <v>5116</v>
      </c>
      <c r="T4" s="100">
        <v>36416</v>
      </c>
      <c r="U4" s="100">
        <v>36900</v>
      </c>
      <c r="V4" s="98" t="s">
        <v>5117</v>
      </c>
      <c r="W4" s="98" t="s">
        <v>5066</v>
      </c>
      <c r="X4" s="98" t="s">
        <v>5096</v>
      </c>
      <c r="Y4" s="99"/>
      <c r="Z4" s="99"/>
      <c r="AA4" s="98" t="s">
        <v>5118</v>
      </c>
      <c r="AB4" s="104">
        <v>45292</v>
      </c>
      <c r="AC4" s="98" t="s">
        <v>5119</v>
      </c>
      <c r="AD4" s="98" t="s">
        <v>5120</v>
      </c>
      <c r="AE4" s="95" t="s">
        <v>5121</v>
      </c>
      <c r="AF4" s="99"/>
      <c r="AG4" s="95">
        <v>1</v>
      </c>
      <c r="AH4" s="94" t="s">
        <v>5074</v>
      </c>
      <c r="AI4" s="94" t="s">
        <v>5122</v>
      </c>
      <c r="AJ4" s="98" t="s">
        <v>5123</v>
      </c>
      <c r="AK4" s="98" t="s">
        <v>5124</v>
      </c>
      <c r="AL4" s="101" t="s">
        <v>5104</v>
      </c>
      <c r="AM4" s="98" t="s">
        <v>5105</v>
      </c>
      <c r="AN4" s="98" t="s">
        <v>5079</v>
      </c>
      <c r="AO4" s="98" t="s">
        <v>5080</v>
      </c>
      <c r="AP4" s="102">
        <v>75</v>
      </c>
      <c r="AQ4" s="102">
        <v>2010</v>
      </c>
      <c r="AR4" s="98" t="s">
        <v>5106</v>
      </c>
      <c r="AS4" s="99"/>
      <c r="AT4" s="99"/>
      <c r="AU4" s="98" t="s">
        <v>5125</v>
      </c>
      <c r="AV4" s="95">
        <v>2015</v>
      </c>
      <c r="AW4" s="94" t="s">
        <v>5108</v>
      </c>
      <c r="AX4" s="95">
        <v>0</v>
      </c>
      <c r="AY4" s="98" t="s">
        <v>5109</v>
      </c>
      <c r="AZ4" s="102">
        <v>4</v>
      </c>
      <c r="BA4" s="102" t="s">
        <v>5126</v>
      </c>
      <c r="BB4" s="93"/>
    </row>
    <row r="5" spans="1:54" ht="13.8">
      <c r="A5" s="94" t="s">
        <v>5127</v>
      </c>
      <c r="B5" s="95" t="s">
        <v>4907</v>
      </c>
      <c r="C5" s="100">
        <v>27990</v>
      </c>
      <c r="D5" s="94" t="s">
        <v>2656</v>
      </c>
      <c r="E5" s="94" t="s">
        <v>4899</v>
      </c>
      <c r="F5" s="97" t="s">
        <v>4900</v>
      </c>
      <c r="G5" s="95">
        <v>402001322</v>
      </c>
      <c r="H5" s="98" t="s">
        <v>5057</v>
      </c>
      <c r="I5" s="95">
        <v>49076015697</v>
      </c>
      <c r="J5" s="98" t="s">
        <v>5088</v>
      </c>
      <c r="K5" s="95" t="s">
        <v>5089</v>
      </c>
      <c r="L5" s="98" t="s">
        <v>5128</v>
      </c>
      <c r="M5" s="98" t="s">
        <v>5129</v>
      </c>
      <c r="N5" s="98" t="s">
        <v>5130</v>
      </c>
      <c r="O5" s="98" t="s">
        <v>5130</v>
      </c>
      <c r="P5" s="95">
        <v>916804202</v>
      </c>
      <c r="Q5" s="98" t="s">
        <v>5131</v>
      </c>
      <c r="R5" s="98" t="s">
        <v>5094</v>
      </c>
      <c r="S5" s="99"/>
      <c r="T5" s="100">
        <v>36171</v>
      </c>
      <c r="U5" s="100">
        <v>36901</v>
      </c>
      <c r="V5" s="98" t="s">
        <v>5095</v>
      </c>
      <c r="W5" s="98" t="s">
        <v>5068</v>
      </c>
      <c r="X5" s="98" t="s">
        <v>5096</v>
      </c>
      <c r="Y5" s="98" t="s">
        <v>5066</v>
      </c>
      <c r="Z5" s="99"/>
      <c r="AA5" s="98" t="s">
        <v>5069</v>
      </c>
      <c r="AB5" s="104">
        <v>44930</v>
      </c>
      <c r="AC5" s="99"/>
      <c r="AD5" s="98" t="s">
        <v>5132</v>
      </c>
      <c r="AE5" s="104">
        <v>39114</v>
      </c>
      <c r="AF5" s="99"/>
      <c r="AG5" s="95">
        <v>1</v>
      </c>
      <c r="AH5" s="94" t="s">
        <v>5074</v>
      </c>
      <c r="AI5" s="94" t="s">
        <v>5133</v>
      </c>
      <c r="AJ5" s="98" t="s">
        <v>5134</v>
      </c>
      <c r="AK5" s="98" t="s">
        <v>2746</v>
      </c>
      <c r="AL5" s="101" t="s">
        <v>5078</v>
      </c>
      <c r="AM5" s="98" t="s">
        <v>5105</v>
      </c>
      <c r="AN5" s="98" t="s">
        <v>5079</v>
      </c>
      <c r="AO5" s="98" t="s">
        <v>5080</v>
      </c>
      <c r="AP5" s="102">
        <v>75</v>
      </c>
      <c r="AQ5" s="102">
        <v>2013</v>
      </c>
      <c r="AR5" s="98" t="s">
        <v>5106</v>
      </c>
      <c r="AS5" s="99"/>
      <c r="AT5" s="98" t="s">
        <v>5083</v>
      </c>
      <c r="AU5" s="98" t="s">
        <v>5135</v>
      </c>
      <c r="AV5" s="95">
        <v>0</v>
      </c>
      <c r="AW5" s="94" t="s">
        <v>5074</v>
      </c>
      <c r="AX5" s="95">
        <v>0</v>
      </c>
      <c r="AY5" s="98" t="s">
        <v>5085</v>
      </c>
      <c r="AZ5" s="102">
        <v>3</v>
      </c>
      <c r="BA5" s="105">
        <v>46239</v>
      </c>
      <c r="BB5" s="93"/>
    </row>
    <row r="6" spans="1:54" ht="13.8">
      <c r="A6" s="94" t="s">
        <v>5136</v>
      </c>
      <c r="B6" s="95" t="s">
        <v>4909</v>
      </c>
      <c r="C6" s="96">
        <v>32487</v>
      </c>
      <c r="D6" s="94" t="s">
        <v>2656</v>
      </c>
      <c r="E6" s="94" t="s">
        <v>4910</v>
      </c>
      <c r="F6" s="97" t="s">
        <v>4911</v>
      </c>
      <c r="G6" s="95">
        <v>4608002127</v>
      </c>
      <c r="H6" s="98" t="s">
        <v>5057</v>
      </c>
      <c r="I6" s="95">
        <v>34083020960</v>
      </c>
      <c r="J6" s="98" t="s">
        <v>5088</v>
      </c>
      <c r="K6" s="95" t="s">
        <v>5137</v>
      </c>
      <c r="L6" s="98" t="s">
        <v>5138</v>
      </c>
      <c r="M6" s="98" t="s">
        <v>5139</v>
      </c>
      <c r="N6" s="98" t="s">
        <v>5140</v>
      </c>
      <c r="O6" s="98" t="s">
        <v>5140</v>
      </c>
      <c r="P6" s="95">
        <v>983556083</v>
      </c>
      <c r="Q6" s="98" t="s">
        <v>5141</v>
      </c>
      <c r="R6" s="98" t="s">
        <v>5094</v>
      </c>
      <c r="S6" s="99"/>
      <c r="T6" s="100">
        <v>41640</v>
      </c>
      <c r="U6" s="100">
        <v>42005</v>
      </c>
      <c r="V6" s="98" t="s">
        <v>5095</v>
      </c>
      <c r="W6" s="98" t="s">
        <v>5142</v>
      </c>
      <c r="X6" s="98" t="s">
        <v>5096</v>
      </c>
      <c r="Y6" s="99"/>
      <c r="Z6" s="99"/>
      <c r="AA6" s="98" t="s">
        <v>5143</v>
      </c>
      <c r="AB6" s="95" t="s">
        <v>5144</v>
      </c>
      <c r="AC6" s="98" t="s">
        <v>5145</v>
      </c>
      <c r="AD6" s="98" t="s">
        <v>5146</v>
      </c>
      <c r="AE6" s="95" t="s">
        <v>5147</v>
      </c>
      <c r="AF6" s="99"/>
      <c r="AG6" s="95">
        <v>1</v>
      </c>
      <c r="AH6" s="94" t="s">
        <v>5084</v>
      </c>
      <c r="AI6" s="94" t="s">
        <v>5133</v>
      </c>
      <c r="AJ6" s="98" t="s">
        <v>5134</v>
      </c>
      <c r="AK6" s="98" t="s">
        <v>5148</v>
      </c>
      <c r="AL6" s="101" t="s">
        <v>5149</v>
      </c>
      <c r="AM6" s="99"/>
      <c r="AN6" s="98" t="s">
        <v>5079</v>
      </c>
      <c r="AO6" s="98" t="s">
        <v>5080</v>
      </c>
      <c r="AP6" s="98" t="s">
        <v>5150</v>
      </c>
      <c r="AQ6" s="102">
        <v>2023</v>
      </c>
      <c r="AR6" s="98" t="s">
        <v>5082</v>
      </c>
      <c r="AS6" s="98" t="s">
        <v>5142</v>
      </c>
      <c r="AT6" s="99"/>
      <c r="AU6" s="98" t="s">
        <v>5151</v>
      </c>
      <c r="AV6" s="95">
        <v>0</v>
      </c>
      <c r="AW6" s="94" t="s">
        <v>5084</v>
      </c>
      <c r="AX6" s="95">
        <v>0</v>
      </c>
      <c r="AY6" s="98" t="s">
        <v>5152</v>
      </c>
      <c r="AZ6" s="102">
        <v>5</v>
      </c>
      <c r="BA6" s="102" t="s">
        <v>5153</v>
      </c>
      <c r="BB6" s="93"/>
    </row>
    <row r="7" spans="1:54" ht="13.8">
      <c r="A7" s="94" t="s">
        <v>5154</v>
      </c>
      <c r="B7" s="95" t="s">
        <v>4913</v>
      </c>
      <c r="C7" s="100">
        <v>31722</v>
      </c>
      <c r="D7" s="94" t="s">
        <v>2665</v>
      </c>
      <c r="E7" s="94" t="s">
        <v>4910</v>
      </c>
      <c r="F7" s="97" t="s">
        <v>4911</v>
      </c>
      <c r="G7" s="95">
        <v>4814009042</v>
      </c>
      <c r="H7" s="98" t="s">
        <v>5057</v>
      </c>
      <c r="I7" s="95">
        <v>48186001781</v>
      </c>
      <c r="J7" s="98" t="s">
        <v>5088</v>
      </c>
      <c r="K7" s="95" t="s">
        <v>5089</v>
      </c>
      <c r="L7" s="98" t="s">
        <v>5155</v>
      </c>
      <c r="M7" s="98" t="s">
        <v>5156</v>
      </c>
      <c r="N7" s="98" t="s">
        <v>5157</v>
      </c>
      <c r="O7" s="98" t="s">
        <v>5158</v>
      </c>
      <c r="P7" s="95">
        <v>935501109</v>
      </c>
      <c r="Q7" s="98" t="s">
        <v>5159</v>
      </c>
      <c r="R7" s="98" t="s">
        <v>5094</v>
      </c>
      <c r="S7" s="99"/>
      <c r="T7" s="100">
        <v>40553</v>
      </c>
      <c r="U7" s="100">
        <v>40918</v>
      </c>
      <c r="V7" s="98" t="s">
        <v>5095</v>
      </c>
      <c r="W7" s="98" t="s">
        <v>5142</v>
      </c>
      <c r="X7" s="98" t="s">
        <v>5096</v>
      </c>
      <c r="Y7" s="98" t="s">
        <v>5160</v>
      </c>
      <c r="Z7" s="99"/>
      <c r="AA7" s="99"/>
      <c r="AB7" s="95" t="s">
        <v>5161</v>
      </c>
      <c r="AC7" s="99"/>
      <c r="AD7" s="99"/>
      <c r="AE7" s="95" t="s">
        <v>5161</v>
      </c>
      <c r="AF7" s="99"/>
      <c r="AG7" s="95">
        <v>1</v>
      </c>
      <c r="AH7" s="94" t="s">
        <v>5162</v>
      </c>
      <c r="AI7" s="94" t="s">
        <v>5163</v>
      </c>
      <c r="AJ7" s="98" t="s">
        <v>5164</v>
      </c>
      <c r="AK7" s="98" t="s">
        <v>5165</v>
      </c>
      <c r="AL7" s="101" t="s">
        <v>5142</v>
      </c>
      <c r="AM7" s="98" t="s">
        <v>5166</v>
      </c>
      <c r="AN7" s="98" t="s">
        <v>5079</v>
      </c>
      <c r="AO7" s="98" t="s">
        <v>5080</v>
      </c>
      <c r="AP7" s="102">
        <v>806</v>
      </c>
      <c r="AQ7" s="102">
        <v>2012</v>
      </c>
      <c r="AR7" s="99"/>
      <c r="AS7" s="98" t="s">
        <v>5142</v>
      </c>
      <c r="AT7" s="99"/>
      <c r="AU7" s="98" t="s">
        <v>5135</v>
      </c>
      <c r="AV7" s="95">
        <v>0</v>
      </c>
      <c r="AW7" s="94" t="s">
        <v>5162</v>
      </c>
      <c r="AX7" s="95">
        <v>0</v>
      </c>
      <c r="AY7" s="98" t="s">
        <v>5167</v>
      </c>
      <c r="AZ7" s="102">
        <v>4</v>
      </c>
      <c r="BA7" s="102" t="s">
        <v>5168</v>
      </c>
      <c r="BB7" s="93"/>
    </row>
    <row r="8" spans="1:54" ht="13.8">
      <c r="A8" s="94" t="s">
        <v>5169</v>
      </c>
      <c r="B8" s="95" t="s">
        <v>4915</v>
      </c>
      <c r="C8" s="100">
        <v>30536</v>
      </c>
      <c r="D8" s="94" t="s">
        <v>2656</v>
      </c>
      <c r="E8" s="94" t="s">
        <v>4910</v>
      </c>
      <c r="F8" s="97" t="s">
        <v>4911</v>
      </c>
      <c r="G8" s="95">
        <v>4811044773</v>
      </c>
      <c r="H8" s="98" t="s">
        <v>5057</v>
      </c>
      <c r="I8" s="95">
        <v>44088000371</v>
      </c>
      <c r="J8" s="98" t="s">
        <v>5088</v>
      </c>
      <c r="K8" s="95" t="s">
        <v>5170</v>
      </c>
      <c r="L8" s="98" t="s">
        <v>5171</v>
      </c>
      <c r="M8" s="98" t="s">
        <v>5172</v>
      </c>
      <c r="N8" s="98" t="s">
        <v>5173</v>
      </c>
      <c r="O8" s="98" t="s">
        <v>5174</v>
      </c>
      <c r="P8" s="95">
        <v>901950505</v>
      </c>
      <c r="Q8" s="98" t="s">
        <v>5175</v>
      </c>
      <c r="R8" s="98" t="s">
        <v>5094</v>
      </c>
      <c r="S8" s="99"/>
      <c r="T8" s="100">
        <v>40553</v>
      </c>
      <c r="U8" s="100">
        <v>40918</v>
      </c>
      <c r="V8" s="98" t="s">
        <v>5095</v>
      </c>
      <c r="W8" s="98" t="s">
        <v>5068</v>
      </c>
      <c r="X8" s="98" t="s">
        <v>5096</v>
      </c>
      <c r="Y8" s="99"/>
      <c r="Z8" s="99"/>
      <c r="AA8" s="98" t="s">
        <v>5143</v>
      </c>
      <c r="AB8" s="104">
        <v>45266</v>
      </c>
      <c r="AC8" s="98" t="s">
        <v>5176</v>
      </c>
      <c r="AD8" s="99"/>
      <c r="AE8" s="95" t="s">
        <v>5177</v>
      </c>
      <c r="AF8" s="99"/>
      <c r="AG8" s="95">
        <v>1</v>
      </c>
      <c r="AH8" s="94" t="s">
        <v>5074</v>
      </c>
      <c r="AI8" s="94" t="s">
        <v>5133</v>
      </c>
      <c r="AJ8" s="98" t="s">
        <v>5134</v>
      </c>
      <c r="AK8" s="98" t="s">
        <v>5178</v>
      </c>
      <c r="AL8" s="101" t="s">
        <v>5149</v>
      </c>
      <c r="AM8" s="98" t="s">
        <v>5179</v>
      </c>
      <c r="AN8" s="98" t="s">
        <v>5079</v>
      </c>
      <c r="AO8" s="98" t="s">
        <v>5080</v>
      </c>
      <c r="AP8" s="102">
        <v>800</v>
      </c>
      <c r="AQ8" s="102">
        <v>2013</v>
      </c>
      <c r="AR8" s="98" t="s">
        <v>5082</v>
      </c>
      <c r="AS8" s="99"/>
      <c r="AT8" s="99"/>
      <c r="AU8" s="98" t="s">
        <v>5107</v>
      </c>
      <c r="AV8" s="95">
        <v>0</v>
      </c>
      <c r="AW8" s="94" t="s">
        <v>5074</v>
      </c>
      <c r="AX8" s="95">
        <v>0</v>
      </c>
      <c r="AY8" s="98" t="s">
        <v>5152</v>
      </c>
      <c r="AZ8" s="102">
        <v>5</v>
      </c>
      <c r="BA8" s="102" t="s">
        <v>5153</v>
      </c>
      <c r="BB8" s="93"/>
    </row>
    <row r="9" spans="1:54" ht="13.8">
      <c r="A9" s="94" t="s">
        <v>5180</v>
      </c>
      <c r="B9" s="95" t="s">
        <v>4917</v>
      </c>
      <c r="C9" s="96">
        <v>36825</v>
      </c>
      <c r="D9" s="94" t="s">
        <v>2665</v>
      </c>
      <c r="E9" s="94" t="s">
        <v>4910</v>
      </c>
      <c r="F9" s="97" t="s">
        <v>4911</v>
      </c>
      <c r="G9" s="95">
        <v>4820445811</v>
      </c>
      <c r="H9" s="98" t="s">
        <v>5181</v>
      </c>
      <c r="I9" s="95">
        <v>48300005343</v>
      </c>
      <c r="J9" s="98" t="s">
        <v>5182</v>
      </c>
      <c r="K9" s="104">
        <v>44474</v>
      </c>
      <c r="L9" s="98" t="s">
        <v>5183</v>
      </c>
      <c r="M9" s="98" t="s">
        <v>5184</v>
      </c>
      <c r="N9" s="98" t="s">
        <v>5185</v>
      </c>
      <c r="O9" s="98" t="s">
        <v>5185</v>
      </c>
      <c r="P9" s="95">
        <v>934976504</v>
      </c>
      <c r="Q9" s="98" t="s">
        <v>5186</v>
      </c>
      <c r="R9" s="98" t="s">
        <v>5094</v>
      </c>
      <c r="S9" s="99"/>
      <c r="T9" s="100">
        <v>45658</v>
      </c>
      <c r="U9" s="100">
        <v>46023</v>
      </c>
      <c r="V9" s="99"/>
      <c r="W9" s="98" t="s">
        <v>5142</v>
      </c>
      <c r="X9" s="98" t="s">
        <v>5187</v>
      </c>
      <c r="Y9" s="99"/>
      <c r="Z9" s="99"/>
      <c r="AA9" s="99"/>
      <c r="AB9" s="99"/>
      <c r="AC9" s="99"/>
      <c r="AD9" s="99"/>
      <c r="AE9" s="99"/>
      <c r="AF9" s="99"/>
      <c r="AG9" s="95">
        <v>0</v>
      </c>
      <c r="AH9" s="94" t="s">
        <v>5162</v>
      </c>
      <c r="AI9" s="94" t="s">
        <v>5075</v>
      </c>
      <c r="AJ9" s="98" t="s">
        <v>5076</v>
      </c>
      <c r="AK9" s="98" t="s">
        <v>2941</v>
      </c>
      <c r="AL9" s="101" t="s">
        <v>5142</v>
      </c>
      <c r="AM9" s="99"/>
      <c r="AN9" s="98" t="s">
        <v>5079</v>
      </c>
      <c r="AO9" s="98" t="s">
        <v>5080</v>
      </c>
      <c r="AP9" s="98" t="s">
        <v>5188</v>
      </c>
      <c r="AQ9" s="99"/>
      <c r="AR9" s="99"/>
      <c r="AS9" s="99"/>
      <c r="AT9" s="99"/>
      <c r="AU9" s="98" t="s">
        <v>5162</v>
      </c>
      <c r="AV9" s="99"/>
      <c r="AW9" s="94" t="s">
        <v>5162</v>
      </c>
      <c r="AX9" s="95">
        <v>0</v>
      </c>
      <c r="AY9" s="98" t="s">
        <v>5167</v>
      </c>
      <c r="AZ9" s="102">
        <v>1</v>
      </c>
      <c r="BA9" s="102" t="s">
        <v>5189</v>
      </c>
      <c r="BB9" s="93"/>
    </row>
    <row r="10" spans="1:54" ht="13.8">
      <c r="A10" s="94" t="s">
        <v>5190</v>
      </c>
      <c r="B10" s="95" t="s">
        <v>4919</v>
      </c>
      <c r="C10" s="100">
        <v>31560</v>
      </c>
      <c r="D10" s="94" t="s">
        <v>2665</v>
      </c>
      <c r="E10" s="94" t="s">
        <v>4910</v>
      </c>
      <c r="F10" s="97" t="s">
        <v>4911</v>
      </c>
      <c r="G10" s="95">
        <v>4811044855</v>
      </c>
      <c r="H10" s="98" t="s">
        <v>5057</v>
      </c>
      <c r="I10" s="95">
        <v>49186001273</v>
      </c>
      <c r="J10" s="98" t="s">
        <v>5088</v>
      </c>
      <c r="K10" s="95" t="s">
        <v>5191</v>
      </c>
      <c r="L10" s="98" t="s">
        <v>5192</v>
      </c>
      <c r="M10" s="98" t="s">
        <v>5193</v>
      </c>
      <c r="N10" s="98" t="s">
        <v>5194</v>
      </c>
      <c r="O10" s="98" t="s">
        <v>5194</v>
      </c>
      <c r="P10" s="95">
        <v>906542259</v>
      </c>
      <c r="Q10" s="98" t="s">
        <v>5195</v>
      </c>
      <c r="R10" s="98" t="s">
        <v>5094</v>
      </c>
      <c r="S10" s="99"/>
      <c r="T10" s="100">
        <v>40553</v>
      </c>
      <c r="U10" s="100">
        <v>40918</v>
      </c>
      <c r="V10" s="98" t="s">
        <v>5196</v>
      </c>
      <c r="W10" s="98" t="s">
        <v>5142</v>
      </c>
      <c r="X10" s="98" t="s">
        <v>5096</v>
      </c>
      <c r="Y10" s="98" t="s">
        <v>5197</v>
      </c>
      <c r="Z10" s="99"/>
      <c r="AA10" s="99"/>
      <c r="AB10" s="95" t="s">
        <v>5161</v>
      </c>
      <c r="AC10" s="99"/>
      <c r="AD10" s="99"/>
      <c r="AE10" s="95" t="s">
        <v>5161</v>
      </c>
      <c r="AF10" s="99"/>
      <c r="AG10" s="95">
        <v>0</v>
      </c>
      <c r="AH10" s="94" t="s">
        <v>5084</v>
      </c>
      <c r="AI10" s="94" t="s">
        <v>5122</v>
      </c>
      <c r="AJ10" s="98" t="s">
        <v>5123</v>
      </c>
      <c r="AK10" s="98" t="s">
        <v>5198</v>
      </c>
      <c r="AL10" s="101" t="s">
        <v>5142</v>
      </c>
      <c r="AM10" s="98" t="s">
        <v>5199</v>
      </c>
      <c r="AN10" s="98" t="s">
        <v>5079</v>
      </c>
      <c r="AO10" s="98" t="s">
        <v>5080</v>
      </c>
      <c r="AP10" s="102">
        <v>805</v>
      </c>
      <c r="AQ10" s="102">
        <v>2015</v>
      </c>
      <c r="AR10" s="98" t="s">
        <v>5200</v>
      </c>
      <c r="AS10" s="99"/>
      <c r="AT10" s="99"/>
      <c r="AU10" s="99"/>
      <c r="AV10" s="95">
        <v>0</v>
      </c>
      <c r="AW10" s="94" t="s">
        <v>5084</v>
      </c>
      <c r="AX10" s="95">
        <v>0</v>
      </c>
      <c r="AY10" s="98" t="s">
        <v>5167</v>
      </c>
      <c r="AZ10" s="102">
        <v>5</v>
      </c>
      <c r="BA10" s="102" t="s">
        <v>5153</v>
      </c>
      <c r="BB10" s="93"/>
    </row>
    <row r="11" spans="1:54" ht="13.8">
      <c r="A11" s="94" t="s">
        <v>5201</v>
      </c>
      <c r="B11" s="95" t="s">
        <v>4921</v>
      </c>
      <c r="C11" s="100">
        <v>28378</v>
      </c>
      <c r="D11" s="94" t="s">
        <v>2665</v>
      </c>
      <c r="E11" s="94" t="s">
        <v>4910</v>
      </c>
      <c r="F11" s="97" t="s">
        <v>4911</v>
      </c>
      <c r="G11" s="95">
        <v>402009905</v>
      </c>
      <c r="H11" s="98" t="s">
        <v>5057</v>
      </c>
      <c r="I11" s="95">
        <v>31177010139</v>
      </c>
      <c r="J11" s="98" t="s">
        <v>5088</v>
      </c>
      <c r="K11" s="95" t="s">
        <v>5202</v>
      </c>
      <c r="L11" s="98" t="s">
        <v>5203</v>
      </c>
      <c r="M11" s="98" t="s">
        <v>5204</v>
      </c>
      <c r="N11" s="98" t="s">
        <v>5205</v>
      </c>
      <c r="O11" s="98" t="s">
        <v>5206</v>
      </c>
      <c r="P11" s="95">
        <v>905139695</v>
      </c>
      <c r="Q11" s="98" t="s">
        <v>5207</v>
      </c>
      <c r="R11" s="98" t="s">
        <v>5094</v>
      </c>
      <c r="S11" s="99"/>
      <c r="T11" s="100">
        <v>37058</v>
      </c>
      <c r="U11" s="100">
        <v>39271</v>
      </c>
      <c r="V11" s="98" t="s">
        <v>5095</v>
      </c>
      <c r="W11" s="98" t="s">
        <v>5142</v>
      </c>
      <c r="X11" s="98" t="s">
        <v>5096</v>
      </c>
      <c r="Y11" s="98" t="s">
        <v>5208</v>
      </c>
      <c r="Z11" s="99"/>
      <c r="AA11" s="99"/>
      <c r="AB11" s="95" t="s">
        <v>5161</v>
      </c>
      <c r="AC11" s="99"/>
      <c r="AD11" s="99"/>
      <c r="AE11" s="95" t="s">
        <v>5209</v>
      </c>
      <c r="AF11" s="99"/>
      <c r="AG11" s="95">
        <v>1</v>
      </c>
      <c r="AH11" s="94" t="s">
        <v>5084</v>
      </c>
      <c r="AI11" s="106"/>
      <c r="AJ11" s="99"/>
      <c r="AK11" s="98" t="s">
        <v>5210</v>
      </c>
      <c r="AL11" s="101" t="s">
        <v>5142</v>
      </c>
      <c r="AM11" s="98" t="s">
        <v>5188</v>
      </c>
      <c r="AN11" s="98" t="s">
        <v>5079</v>
      </c>
      <c r="AO11" s="98" t="s">
        <v>5080</v>
      </c>
      <c r="AP11" s="102">
        <v>807</v>
      </c>
      <c r="AQ11" s="102">
        <v>2008</v>
      </c>
      <c r="AR11" s="98" t="s">
        <v>5200</v>
      </c>
      <c r="AS11" s="99"/>
      <c r="AT11" s="99"/>
      <c r="AU11" s="98" t="s">
        <v>5107</v>
      </c>
      <c r="AV11" s="95">
        <v>0</v>
      </c>
      <c r="AW11" s="94" t="s">
        <v>5084</v>
      </c>
      <c r="AX11" s="95">
        <v>0</v>
      </c>
      <c r="AY11" s="98" t="s">
        <v>5167</v>
      </c>
      <c r="AZ11" s="102">
        <v>8</v>
      </c>
      <c r="BA11" s="102" t="s">
        <v>5211</v>
      </c>
      <c r="BB11" s="93"/>
    </row>
    <row r="12" spans="1:54" ht="15.75" customHeight="1">
      <c r="A12" s="94" t="s">
        <v>5212</v>
      </c>
      <c r="B12" s="95" t="s">
        <v>4923</v>
      </c>
      <c r="C12" s="96">
        <v>27677</v>
      </c>
      <c r="D12" s="94" t="s">
        <v>2665</v>
      </c>
      <c r="E12" s="94" t="s">
        <v>4910</v>
      </c>
      <c r="F12" s="97" t="s">
        <v>4911</v>
      </c>
      <c r="G12" s="95">
        <v>3497065695</v>
      </c>
      <c r="H12" s="98" t="s">
        <v>5057</v>
      </c>
      <c r="I12" s="95">
        <v>49175014137</v>
      </c>
      <c r="J12" s="98" t="s">
        <v>5088</v>
      </c>
      <c r="K12" s="95" t="s">
        <v>5089</v>
      </c>
      <c r="L12" s="98" t="s">
        <v>5213</v>
      </c>
      <c r="M12" s="98" t="s">
        <v>5214</v>
      </c>
      <c r="N12" s="98" t="s">
        <v>5215</v>
      </c>
      <c r="O12" s="98" t="s">
        <v>5216</v>
      </c>
      <c r="P12" s="95">
        <v>983979207</v>
      </c>
      <c r="Q12" s="107" t="s">
        <v>5217</v>
      </c>
      <c r="R12" s="98" t="s">
        <v>5094</v>
      </c>
      <c r="S12" s="99"/>
      <c r="T12" s="100">
        <v>35194</v>
      </c>
      <c r="U12" s="108" t="s">
        <v>5161</v>
      </c>
      <c r="V12" s="99"/>
      <c r="W12" s="98" t="s">
        <v>5142</v>
      </c>
      <c r="X12" s="98" t="s">
        <v>5096</v>
      </c>
      <c r="Y12" s="98" t="s">
        <v>5208</v>
      </c>
      <c r="Z12" s="99"/>
      <c r="AA12" s="99"/>
      <c r="AB12" s="95" t="s">
        <v>5161</v>
      </c>
      <c r="AC12" s="99"/>
      <c r="AD12" s="99"/>
      <c r="AE12" s="95" t="s">
        <v>5161</v>
      </c>
      <c r="AF12" s="99"/>
      <c r="AG12" s="95">
        <v>1</v>
      </c>
      <c r="AH12" s="94" t="s">
        <v>5162</v>
      </c>
      <c r="AI12" s="94" t="s">
        <v>5133</v>
      </c>
      <c r="AJ12" s="98" t="s">
        <v>5134</v>
      </c>
      <c r="AK12" s="98" t="s">
        <v>3153</v>
      </c>
      <c r="AL12" s="101" t="s">
        <v>5142</v>
      </c>
      <c r="AM12" s="98" t="s">
        <v>5218</v>
      </c>
      <c r="AN12" s="98" t="s">
        <v>5219</v>
      </c>
      <c r="AO12" s="98" t="s">
        <v>5080</v>
      </c>
      <c r="AP12" s="102">
        <v>803</v>
      </c>
      <c r="AQ12" s="102">
        <v>2000</v>
      </c>
      <c r="AR12" s="99"/>
      <c r="AS12" s="98" t="s">
        <v>5142</v>
      </c>
      <c r="AT12" s="99"/>
      <c r="AU12" s="98" t="s">
        <v>5220</v>
      </c>
      <c r="AV12" s="95">
        <v>0</v>
      </c>
      <c r="AW12" s="94" t="s">
        <v>5162</v>
      </c>
      <c r="AX12" s="95">
        <v>0</v>
      </c>
      <c r="AY12" s="98" t="s">
        <v>5167</v>
      </c>
      <c r="AZ12" s="102">
        <v>9</v>
      </c>
      <c r="BA12" s="102" t="s">
        <v>5221</v>
      </c>
      <c r="BB12" s="93"/>
    </row>
    <row r="13" spans="1:54" ht="13.8">
      <c r="A13" s="94" t="s">
        <v>5222</v>
      </c>
      <c r="B13" s="95" t="s">
        <v>4925</v>
      </c>
      <c r="C13" s="100">
        <v>32593</v>
      </c>
      <c r="D13" s="94" t="s">
        <v>2665</v>
      </c>
      <c r="E13" s="94" t="s">
        <v>4910</v>
      </c>
      <c r="F13" s="97" t="s">
        <v>4911</v>
      </c>
      <c r="G13" s="95">
        <v>4811044856</v>
      </c>
      <c r="H13" s="98" t="s">
        <v>5057</v>
      </c>
      <c r="I13" s="95">
        <v>48189005862</v>
      </c>
      <c r="J13" s="98" t="s">
        <v>5088</v>
      </c>
      <c r="K13" s="104">
        <v>44234</v>
      </c>
      <c r="L13" s="98" t="s">
        <v>5223</v>
      </c>
      <c r="M13" s="98" t="s">
        <v>5224</v>
      </c>
      <c r="N13" s="98" t="s">
        <v>5225</v>
      </c>
      <c r="O13" s="98" t="s">
        <v>5225</v>
      </c>
      <c r="P13" s="95">
        <v>982765416</v>
      </c>
      <c r="Q13" s="98" t="s">
        <v>5226</v>
      </c>
      <c r="R13" s="98" t="s">
        <v>5094</v>
      </c>
      <c r="S13" s="99"/>
      <c r="T13" s="100">
        <v>40553</v>
      </c>
      <c r="U13" s="100">
        <v>40919</v>
      </c>
      <c r="V13" s="98" t="s">
        <v>5179</v>
      </c>
      <c r="W13" s="98" t="s">
        <v>5142</v>
      </c>
      <c r="X13" s="98" t="s">
        <v>5096</v>
      </c>
      <c r="Y13" s="99"/>
      <c r="Z13" s="99"/>
      <c r="AA13" s="99"/>
      <c r="AB13" s="95" t="s">
        <v>5161</v>
      </c>
      <c r="AC13" s="99"/>
      <c r="AD13" s="99"/>
      <c r="AE13" s="95" t="s">
        <v>5161</v>
      </c>
      <c r="AF13" s="99"/>
      <c r="AG13" s="95">
        <v>1</v>
      </c>
      <c r="AH13" s="94" t="s">
        <v>5084</v>
      </c>
      <c r="AI13" s="94" t="s">
        <v>5163</v>
      </c>
      <c r="AJ13" s="98" t="s">
        <v>5164</v>
      </c>
      <c r="AK13" s="98" t="s">
        <v>5227</v>
      </c>
      <c r="AL13" s="101" t="s">
        <v>5142</v>
      </c>
      <c r="AM13" s="98" t="s">
        <v>5179</v>
      </c>
      <c r="AN13" s="98" t="s">
        <v>5079</v>
      </c>
      <c r="AO13" s="98" t="s">
        <v>5080</v>
      </c>
      <c r="AP13" s="102">
        <v>800</v>
      </c>
      <c r="AQ13" s="102">
        <v>2015</v>
      </c>
      <c r="AR13" s="99"/>
      <c r="AS13" s="98" t="s">
        <v>5142</v>
      </c>
      <c r="AT13" s="99"/>
      <c r="AU13" s="98" t="s">
        <v>5228</v>
      </c>
      <c r="AV13" s="95">
        <v>0</v>
      </c>
      <c r="AW13" s="94" t="s">
        <v>5084</v>
      </c>
      <c r="AX13" s="95">
        <v>0</v>
      </c>
      <c r="AY13" s="98" t="s">
        <v>5167</v>
      </c>
      <c r="AZ13" s="102">
        <v>5</v>
      </c>
      <c r="BA13" s="102" t="s">
        <v>5153</v>
      </c>
      <c r="BB13" s="93"/>
    </row>
    <row r="14" spans="1:54" ht="13.8">
      <c r="A14" s="94" t="s">
        <v>5229</v>
      </c>
      <c r="B14" s="95" t="s">
        <v>4927</v>
      </c>
      <c r="C14" s="96">
        <v>34617</v>
      </c>
      <c r="D14" s="94" t="s">
        <v>2656</v>
      </c>
      <c r="E14" s="94" t="s">
        <v>4910</v>
      </c>
      <c r="F14" s="97" t="s">
        <v>4911</v>
      </c>
      <c r="G14" s="95">
        <v>4921171072</v>
      </c>
      <c r="H14" s="98" t="s">
        <v>5057</v>
      </c>
      <c r="I14" s="95">
        <v>49094010613</v>
      </c>
      <c r="J14" s="98" t="s">
        <v>5088</v>
      </c>
      <c r="K14" s="104">
        <v>44990</v>
      </c>
      <c r="L14" s="98" t="s">
        <v>5230</v>
      </c>
      <c r="M14" s="98" t="s">
        <v>5231</v>
      </c>
      <c r="N14" s="98" t="s">
        <v>5232</v>
      </c>
      <c r="O14" s="98" t="s">
        <v>5233</v>
      </c>
      <c r="P14" s="95">
        <v>387847330</v>
      </c>
      <c r="Q14" s="98" t="s">
        <v>5234</v>
      </c>
      <c r="R14" s="98" t="s">
        <v>5094</v>
      </c>
      <c r="S14" s="99"/>
      <c r="T14" s="100">
        <v>44199</v>
      </c>
      <c r="U14" s="100">
        <v>44637</v>
      </c>
      <c r="V14" s="99"/>
      <c r="W14" s="98" t="s">
        <v>5142</v>
      </c>
      <c r="X14" s="98" t="s">
        <v>5187</v>
      </c>
      <c r="Y14" s="99"/>
      <c r="Z14" s="99"/>
      <c r="AA14" s="99"/>
      <c r="AB14" s="99"/>
      <c r="AC14" s="99"/>
      <c r="AD14" s="99"/>
      <c r="AE14" s="95" t="s">
        <v>5235</v>
      </c>
      <c r="AF14" s="99"/>
      <c r="AG14" s="95">
        <v>0</v>
      </c>
      <c r="AH14" s="94" t="s">
        <v>5084</v>
      </c>
      <c r="AI14" s="94" t="s">
        <v>5163</v>
      </c>
      <c r="AJ14" s="98" t="s">
        <v>5164</v>
      </c>
      <c r="AK14" s="98" t="s">
        <v>5236</v>
      </c>
      <c r="AL14" s="101" t="s">
        <v>5142</v>
      </c>
      <c r="AM14" s="99"/>
      <c r="AN14" s="98" t="s">
        <v>5079</v>
      </c>
      <c r="AO14" s="98" t="s">
        <v>5080</v>
      </c>
      <c r="AP14" s="98" t="s">
        <v>5166</v>
      </c>
      <c r="AQ14" s="102">
        <v>2021</v>
      </c>
      <c r="AR14" s="98" t="s">
        <v>5200</v>
      </c>
      <c r="AS14" s="98" t="s">
        <v>5142</v>
      </c>
      <c r="AT14" s="99"/>
      <c r="AU14" s="98" t="s">
        <v>5162</v>
      </c>
      <c r="AV14" s="99"/>
      <c r="AW14" s="94" t="s">
        <v>5084</v>
      </c>
      <c r="AX14" s="95">
        <v>0</v>
      </c>
      <c r="AY14" s="98" t="s">
        <v>5167</v>
      </c>
      <c r="AZ14" s="102">
        <v>2</v>
      </c>
      <c r="BA14" s="102" t="s">
        <v>5237</v>
      </c>
      <c r="BB14" s="93"/>
    </row>
    <row r="15" spans="1:54" ht="13.8">
      <c r="A15" s="94" t="s">
        <v>5238</v>
      </c>
      <c r="B15" s="95" t="s">
        <v>4929</v>
      </c>
      <c r="C15" s="100">
        <v>30020</v>
      </c>
      <c r="D15" s="94" t="s">
        <v>2656</v>
      </c>
      <c r="E15" s="94" t="s">
        <v>4910</v>
      </c>
      <c r="F15" s="97" t="s">
        <v>4911</v>
      </c>
      <c r="G15" s="95">
        <v>4808004736</v>
      </c>
      <c r="H15" s="98" t="s">
        <v>5057</v>
      </c>
      <c r="I15" s="95">
        <v>40082026898</v>
      </c>
      <c r="J15" s="98" t="s">
        <v>5088</v>
      </c>
      <c r="K15" s="104">
        <v>44805</v>
      </c>
      <c r="L15" s="98" t="s">
        <v>5239</v>
      </c>
      <c r="M15" s="98" t="s">
        <v>5240</v>
      </c>
      <c r="N15" s="98" t="s">
        <v>5241</v>
      </c>
      <c r="O15" s="98" t="s">
        <v>5241</v>
      </c>
      <c r="P15" s="95">
        <v>934796127</v>
      </c>
      <c r="Q15" s="98" t="s">
        <v>5242</v>
      </c>
      <c r="R15" s="98" t="s">
        <v>5094</v>
      </c>
      <c r="S15" s="99"/>
      <c r="T15" s="100">
        <v>39086</v>
      </c>
      <c r="U15" s="100">
        <v>39455</v>
      </c>
      <c r="V15" s="98" t="s">
        <v>5243</v>
      </c>
      <c r="W15" s="98" t="s">
        <v>5068</v>
      </c>
      <c r="X15" s="98" t="s">
        <v>5096</v>
      </c>
      <c r="Y15" s="98" t="s">
        <v>5068</v>
      </c>
      <c r="Z15" s="99"/>
      <c r="AA15" s="98" t="s">
        <v>5244</v>
      </c>
      <c r="AB15" s="95" t="s">
        <v>5245</v>
      </c>
      <c r="AC15" s="99"/>
      <c r="AD15" s="98" t="s">
        <v>5246</v>
      </c>
      <c r="AE15" s="95" t="s">
        <v>5247</v>
      </c>
      <c r="AF15" s="99"/>
      <c r="AG15" s="95">
        <v>1</v>
      </c>
      <c r="AH15" s="94" t="s">
        <v>5074</v>
      </c>
      <c r="AI15" s="94" t="s">
        <v>5101</v>
      </c>
      <c r="AJ15" s="98" t="s">
        <v>5102</v>
      </c>
      <c r="AK15" s="98" t="s">
        <v>5248</v>
      </c>
      <c r="AL15" s="101" t="s">
        <v>5078</v>
      </c>
      <c r="AM15" s="99"/>
      <c r="AN15" s="98" t="s">
        <v>5079</v>
      </c>
      <c r="AO15" s="98" t="s">
        <v>5080</v>
      </c>
      <c r="AP15" s="98" t="s">
        <v>5179</v>
      </c>
      <c r="AQ15" s="102">
        <v>2020</v>
      </c>
      <c r="AR15" s="98" t="s">
        <v>5106</v>
      </c>
      <c r="AS15" s="99"/>
      <c r="AT15" s="98" t="s">
        <v>5083</v>
      </c>
      <c r="AU15" s="98" t="s">
        <v>5135</v>
      </c>
      <c r="AV15" s="95">
        <v>0</v>
      </c>
      <c r="AW15" s="94" t="s">
        <v>5074</v>
      </c>
      <c r="AX15" s="95">
        <v>0</v>
      </c>
      <c r="AY15" s="98" t="s">
        <v>5085</v>
      </c>
      <c r="AZ15" s="102">
        <v>2</v>
      </c>
      <c r="BA15" s="102" t="s">
        <v>5086</v>
      </c>
      <c r="BB15" s="93"/>
    </row>
    <row r="16" spans="1:54" ht="13.8">
      <c r="A16" s="94" t="s">
        <v>5249</v>
      </c>
      <c r="B16" s="95" t="s">
        <v>4931</v>
      </c>
      <c r="C16" s="96">
        <v>30234</v>
      </c>
      <c r="D16" s="94" t="s">
        <v>2665</v>
      </c>
      <c r="E16" s="94" t="s">
        <v>4910</v>
      </c>
      <c r="F16" s="97" t="s">
        <v>4911</v>
      </c>
      <c r="G16" s="95">
        <v>4810005101</v>
      </c>
      <c r="H16" s="98" t="s">
        <v>5057</v>
      </c>
      <c r="I16" s="95">
        <v>40182012005</v>
      </c>
      <c r="J16" s="98" t="s">
        <v>5088</v>
      </c>
      <c r="K16" s="95" t="s">
        <v>5250</v>
      </c>
      <c r="L16" s="98" t="s">
        <v>5251</v>
      </c>
      <c r="M16" s="98" t="s">
        <v>5252</v>
      </c>
      <c r="N16" s="98" t="s">
        <v>5253</v>
      </c>
      <c r="O16" s="98" t="s">
        <v>5254</v>
      </c>
      <c r="P16" s="95">
        <v>982466932</v>
      </c>
      <c r="Q16" s="98" t="s">
        <v>5255</v>
      </c>
      <c r="R16" s="98" t="s">
        <v>5094</v>
      </c>
      <c r="S16" s="98" t="s">
        <v>5116</v>
      </c>
      <c r="T16" s="100">
        <v>42736</v>
      </c>
      <c r="U16" s="100">
        <v>40544</v>
      </c>
      <c r="V16" s="98" t="s">
        <v>5243</v>
      </c>
      <c r="W16" s="98" t="s">
        <v>5142</v>
      </c>
      <c r="X16" s="98" t="s">
        <v>5096</v>
      </c>
      <c r="Y16" s="98" t="s">
        <v>5208</v>
      </c>
      <c r="Z16" s="99"/>
      <c r="AA16" s="99"/>
      <c r="AB16" s="95" t="s">
        <v>5161</v>
      </c>
      <c r="AC16" s="99"/>
      <c r="AD16" s="99"/>
      <c r="AE16" s="95" t="s">
        <v>5256</v>
      </c>
      <c r="AF16" s="99"/>
      <c r="AG16" s="95">
        <v>1</v>
      </c>
      <c r="AH16" s="94" t="s">
        <v>5162</v>
      </c>
      <c r="AI16" s="94" t="s">
        <v>5163</v>
      </c>
      <c r="AJ16" s="98" t="s">
        <v>5164</v>
      </c>
      <c r="AK16" s="98" t="s">
        <v>5257</v>
      </c>
      <c r="AL16" s="101" t="s">
        <v>5142</v>
      </c>
      <c r="AM16" s="98" t="s">
        <v>5258</v>
      </c>
      <c r="AN16" s="98" t="s">
        <v>5259</v>
      </c>
      <c r="AO16" s="98" t="s">
        <v>5080</v>
      </c>
      <c r="AP16" s="102">
        <v>116</v>
      </c>
      <c r="AQ16" s="102">
        <v>2007</v>
      </c>
      <c r="AR16" s="98" t="s">
        <v>5200</v>
      </c>
      <c r="AS16" s="99"/>
      <c r="AT16" s="99"/>
      <c r="AU16" s="98" t="s">
        <v>5228</v>
      </c>
      <c r="AV16" s="95">
        <v>0</v>
      </c>
      <c r="AW16" s="94" t="s">
        <v>5162</v>
      </c>
      <c r="AX16" s="95">
        <v>0</v>
      </c>
      <c r="AY16" s="98" t="s">
        <v>5167</v>
      </c>
      <c r="AZ16" s="102">
        <v>6</v>
      </c>
      <c r="BA16" s="102" t="s">
        <v>5260</v>
      </c>
      <c r="BB16" s="93"/>
    </row>
    <row r="17" spans="1:54" ht="13.8">
      <c r="A17" s="94" t="s">
        <v>594</v>
      </c>
      <c r="B17" s="95" t="s">
        <v>4933</v>
      </c>
      <c r="C17" s="100">
        <v>31936</v>
      </c>
      <c r="D17" s="94" t="s">
        <v>2665</v>
      </c>
      <c r="E17" s="94" t="s">
        <v>4910</v>
      </c>
      <c r="F17" s="97" t="s">
        <v>4911</v>
      </c>
      <c r="G17" s="95">
        <v>4813008508</v>
      </c>
      <c r="H17" s="98" t="s">
        <v>5057</v>
      </c>
      <c r="I17" s="95">
        <v>40187008763</v>
      </c>
      <c r="J17" s="98" t="s">
        <v>5088</v>
      </c>
      <c r="K17" s="95" t="s">
        <v>5261</v>
      </c>
      <c r="L17" s="98" t="s">
        <v>5262</v>
      </c>
      <c r="M17" s="98" t="s">
        <v>5263</v>
      </c>
      <c r="N17" s="98" t="s">
        <v>5264</v>
      </c>
      <c r="O17" s="98" t="s">
        <v>5264</v>
      </c>
      <c r="P17" s="95">
        <v>984431043</v>
      </c>
      <c r="Q17" s="98" t="s">
        <v>5265</v>
      </c>
      <c r="R17" s="98" t="s">
        <v>5094</v>
      </c>
      <c r="S17" s="99"/>
      <c r="T17" s="100">
        <v>40920</v>
      </c>
      <c r="U17" s="100">
        <v>41286</v>
      </c>
      <c r="V17" s="98" t="s">
        <v>5095</v>
      </c>
      <c r="W17" s="98" t="s">
        <v>5142</v>
      </c>
      <c r="X17" s="98" t="s">
        <v>5096</v>
      </c>
      <c r="Y17" s="99"/>
      <c r="Z17" s="99"/>
      <c r="AA17" s="99"/>
      <c r="AB17" s="95" t="s">
        <v>5161</v>
      </c>
      <c r="AC17" s="99"/>
      <c r="AD17" s="99"/>
      <c r="AE17" s="95" t="s">
        <v>5161</v>
      </c>
      <c r="AF17" s="99"/>
      <c r="AG17" s="95">
        <v>1</v>
      </c>
      <c r="AH17" s="94" t="s">
        <v>5162</v>
      </c>
      <c r="AI17" s="94" t="s">
        <v>5122</v>
      </c>
      <c r="AJ17" s="98" t="s">
        <v>5266</v>
      </c>
      <c r="AK17" s="98" t="s">
        <v>5267</v>
      </c>
      <c r="AL17" s="101" t="s">
        <v>5142</v>
      </c>
      <c r="AM17" s="98" t="s">
        <v>5268</v>
      </c>
      <c r="AN17" s="98" t="s">
        <v>5079</v>
      </c>
      <c r="AO17" s="98" t="s">
        <v>5080</v>
      </c>
      <c r="AP17" s="102">
        <v>83</v>
      </c>
      <c r="AQ17" s="102">
        <v>2010</v>
      </c>
      <c r="AR17" s="99"/>
      <c r="AS17" s="98" t="s">
        <v>5142</v>
      </c>
      <c r="AT17" s="99"/>
      <c r="AU17" s="98" t="s">
        <v>5220</v>
      </c>
      <c r="AV17" s="95">
        <v>0</v>
      </c>
      <c r="AW17" s="94" t="s">
        <v>5162</v>
      </c>
      <c r="AX17" s="95">
        <v>0</v>
      </c>
      <c r="AY17" s="98" t="s">
        <v>5167</v>
      </c>
      <c r="AZ17" s="102">
        <v>5</v>
      </c>
      <c r="BA17" s="102" t="s">
        <v>5153</v>
      </c>
      <c r="BB17" s="93"/>
    </row>
    <row r="18" spans="1:54" ht="13.8">
      <c r="A18" s="94" t="s">
        <v>5269</v>
      </c>
      <c r="B18" s="95" t="s">
        <v>4935</v>
      </c>
      <c r="C18" s="100">
        <v>30008</v>
      </c>
      <c r="D18" s="94" t="s">
        <v>2656</v>
      </c>
      <c r="E18" s="94" t="s">
        <v>4910</v>
      </c>
      <c r="F18" s="97" t="s">
        <v>4911</v>
      </c>
      <c r="G18" s="95">
        <v>4808000512</v>
      </c>
      <c r="H18" s="98" t="s">
        <v>5057</v>
      </c>
      <c r="I18" s="95">
        <v>48082005089</v>
      </c>
      <c r="J18" s="98" t="s">
        <v>5088</v>
      </c>
      <c r="K18" s="95" t="s">
        <v>5270</v>
      </c>
      <c r="L18" s="98" t="s">
        <v>5271</v>
      </c>
      <c r="M18" s="98" t="s">
        <v>5272</v>
      </c>
      <c r="N18" s="98" t="s">
        <v>5273</v>
      </c>
      <c r="O18" s="98" t="s">
        <v>5273</v>
      </c>
      <c r="P18" s="95">
        <v>905997364</v>
      </c>
      <c r="Q18" s="98" t="s">
        <v>5274</v>
      </c>
      <c r="R18" s="98" t="s">
        <v>5094</v>
      </c>
      <c r="S18" s="99"/>
      <c r="T18" s="100">
        <v>39814</v>
      </c>
      <c r="U18" s="100">
        <v>40179</v>
      </c>
      <c r="V18" s="98" t="s">
        <v>5095</v>
      </c>
      <c r="W18" s="98" t="s">
        <v>5142</v>
      </c>
      <c r="X18" s="98" t="s">
        <v>5096</v>
      </c>
      <c r="Y18" s="99"/>
      <c r="Z18" s="99"/>
      <c r="AA18" s="99"/>
      <c r="AB18" s="95" t="s">
        <v>5161</v>
      </c>
      <c r="AC18" s="99"/>
      <c r="AD18" s="99"/>
      <c r="AE18" s="104">
        <v>42739</v>
      </c>
      <c r="AF18" s="99"/>
      <c r="AG18" s="95">
        <v>1</v>
      </c>
      <c r="AH18" s="94" t="s">
        <v>5084</v>
      </c>
      <c r="AI18" s="94" t="s">
        <v>5122</v>
      </c>
      <c r="AJ18" s="98" t="s">
        <v>5266</v>
      </c>
      <c r="AK18" s="98" t="s">
        <v>5275</v>
      </c>
      <c r="AL18" s="101" t="s">
        <v>5142</v>
      </c>
      <c r="AM18" s="98" t="s">
        <v>5268</v>
      </c>
      <c r="AN18" s="98" t="s">
        <v>5079</v>
      </c>
      <c r="AO18" s="98" t="s">
        <v>5080</v>
      </c>
      <c r="AP18" s="102">
        <v>83</v>
      </c>
      <c r="AQ18" s="102">
        <v>2009</v>
      </c>
      <c r="AR18" s="98" t="s">
        <v>5200</v>
      </c>
      <c r="AS18" s="98" t="s">
        <v>5142</v>
      </c>
      <c r="AT18" s="99"/>
      <c r="AU18" s="98" t="s">
        <v>5220</v>
      </c>
      <c r="AV18" s="95">
        <v>0</v>
      </c>
      <c r="AW18" s="94" t="s">
        <v>5084</v>
      </c>
      <c r="AX18" s="95">
        <v>0</v>
      </c>
      <c r="AY18" s="98" t="s">
        <v>5167</v>
      </c>
      <c r="AZ18" s="102">
        <v>5</v>
      </c>
      <c r="BA18" s="102" t="s">
        <v>5153</v>
      </c>
      <c r="BB18" s="93"/>
    </row>
    <row r="19" spans="1:54" ht="13.8">
      <c r="A19" s="94" t="s">
        <v>5276</v>
      </c>
      <c r="B19" s="95" t="s">
        <v>4937</v>
      </c>
      <c r="C19" s="96">
        <v>27688</v>
      </c>
      <c r="D19" s="94" t="s">
        <v>2665</v>
      </c>
      <c r="E19" s="94" t="s">
        <v>4910</v>
      </c>
      <c r="F19" s="97" t="s">
        <v>4911</v>
      </c>
      <c r="G19" s="95">
        <v>402009934</v>
      </c>
      <c r="H19" s="98" t="s">
        <v>5057</v>
      </c>
      <c r="I19" s="95">
        <v>49175004270</v>
      </c>
      <c r="J19" s="98" t="s">
        <v>5088</v>
      </c>
      <c r="K19" s="95" t="s">
        <v>5277</v>
      </c>
      <c r="L19" s="98" t="s">
        <v>5278</v>
      </c>
      <c r="M19" s="98" t="s">
        <v>5279</v>
      </c>
      <c r="N19" s="98" t="s">
        <v>5280</v>
      </c>
      <c r="O19" s="98" t="s">
        <v>5281</v>
      </c>
      <c r="P19" s="95">
        <v>988088068</v>
      </c>
      <c r="Q19" s="98" t="s">
        <v>5282</v>
      </c>
      <c r="R19" s="98" t="s">
        <v>5094</v>
      </c>
      <c r="S19" s="99"/>
      <c r="T19" s="100">
        <v>37277</v>
      </c>
      <c r="U19" s="96">
        <v>39749</v>
      </c>
      <c r="V19" s="98" t="s">
        <v>5283</v>
      </c>
      <c r="W19" s="98" t="s">
        <v>5142</v>
      </c>
      <c r="X19" s="98" t="s">
        <v>5096</v>
      </c>
      <c r="Y19" s="98" t="s">
        <v>5284</v>
      </c>
      <c r="Z19" s="99"/>
      <c r="AA19" s="99"/>
      <c r="AB19" s="95" t="s">
        <v>5161</v>
      </c>
      <c r="AC19" s="99"/>
      <c r="AD19" s="99"/>
      <c r="AE19" s="95" t="s">
        <v>5161</v>
      </c>
      <c r="AF19" s="99"/>
      <c r="AG19" s="95">
        <v>1</v>
      </c>
      <c r="AH19" s="94" t="s">
        <v>5084</v>
      </c>
      <c r="AI19" s="94" t="s">
        <v>5122</v>
      </c>
      <c r="AJ19" s="98" t="s">
        <v>5266</v>
      </c>
      <c r="AK19" s="98" t="s">
        <v>5285</v>
      </c>
      <c r="AL19" s="101" t="s">
        <v>5142</v>
      </c>
      <c r="AM19" s="99"/>
      <c r="AN19" s="98" t="s">
        <v>5079</v>
      </c>
      <c r="AO19" s="98" t="s">
        <v>5080</v>
      </c>
      <c r="AP19" s="98" t="s">
        <v>5243</v>
      </c>
      <c r="AQ19" s="102">
        <v>2020</v>
      </c>
      <c r="AR19" s="99"/>
      <c r="AS19" s="98" t="s">
        <v>5142</v>
      </c>
      <c r="AT19" s="99"/>
      <c r="AU19" s="99"/>
      <c r="AV19" s="95">
        <v>0</v>
      </c>
      <c r="AW19" s="94" t="s">
        <v>5084</v>
      </c>
      <c r="AX19" s="95">
        <v>0</v>
      </c>
      <c r="AY19" s="98" t="s">
        <v>5167</v>
      </c>
      <c r="AZ19" s="102">
        <v>7</v>
      </c>
      <c r="BA19" s="102" t="s">
        <v>5286</v>
      </c>
      <c r="BB19" s="93"/>
    </row>
    <row r="20" spans="1:54" ht="13.8">
      <c r="A20" s="94" t="s">
        <v>5287</v>
      </c>
      <c r="B20" s="95" t="s">
        <v>4939</v>
      </c>
      <c r="C20" s="100">
        <v>35262</v>
      </c>
      <c r="D20" s="94" t="s">
        <v>2665</v>
      </c>
      <c r="E20" s="94" t="s">
        <v>4910</v>
      </c>
      <c r="F20" s="97" t="s">
        <v>4911</v>
      </c>
      <c r="G20" s="95">
        <v>4024907834</v>
      </c>
      <c r="H20" s="98" t="s">
        <v>5057</v>
      </c>
      <c r="I20" s="95">
        <v>40196026207</v>
      </c>
      <c r="J20" s="98" t="s">
        <v>5088</v>
      </c>
      <c r="K20" s="104">
        <v>44663</v>
      </c>
      <c r="L20" s="98" t="s">
        <v>5288</v>
      </c>
      <c r="M20" s="98" t="s">
        <v>5289</v>
      </c>
      <c r="N20" s="98" t="s">
        <v>5289</v>
      </c>
      <c r="O20" s="98" t="s">
        <v>5290</v>
      </c>
      <c r="P20" s="95">
        <v>328721898</v>
      </c>
      <c r="Q20" s="98" t="s">
        <v>5291</v>
      </c>
      <c r="R20" s="98" t="s">
        <v>5094</v>
      </c>
      <c r="S20" s="99"/>
      <c r="T20" s="100">
        <v>44568</v>
      </c>
      <c r="U20" s="100">
        <v>44933</v>
      </c>
      <c r="V20" s="99"/>
      <c r="W20" s="98" t="s">
        <v>5142</v>
      </c>
      <c r="X20" s="98" t="s">
        <v>5187</v>
      </c>
      <c r="Y20" s="99"/>
      <c r="Z20" s="99"/>
      <c r="AA20" s="99"/>
      <c r="AB20" s="99"/>
      <c r="AC20" s="99"/>
      <c r="AD20" s="99"/>
      <c r="AE20" s="99"/>
      <c r="AF20" s="99"/>
      <c r="AG20" s="95">
        <v>0</v>
      </c>
      <c r="AH20" s="94" t="s">
        <v>5162</v>
      </c>
      <c r="AI20" s="94" t="s">
        <v>5122</v>
      </c>
      <c r="AJ20" s="98" t="s">
        <v>5266</v>
      </c>
      <c r="AK20" s="98" t="s">
        <v>5292</v>
      </c>
      <c r="AL20" s="101" t="s">
        <v>5142</v>
      </c>
      <c r="AM20" s="99"/>
      <c r="AN20" s="98" t="s">
        <v>5079</v>
      </c>
      <c r="AO20" s="98" t="s">
        <v>5080</v>
      </c>
      <c r="AP20" s="98" t="s">
        <v>5188</v>
      </c>
      <c r="AQ20" s="102">
        <v>2018</v>
      </c>
      <c r="AR20" s="99"/>
      <c r="AS20" s="99"/>
      <c r="AT20" s="99"/>
      <c r="AU20" s="98" t="s">
        <v>5151</v>
      </c>
      <c r="AV20" s="99"/>
      <c r="AW20" s="94" t="s">
        <v>5162</v>
      </c>
      <c r="AX20" s="95">
        <v>0</v>
      </c>
      <c r="AY20" s="98" t="s">
        <v>5167</v>
      </c>
      <c r="AZ20" s="102">
        <v>1</v>
      </c>
      <c r="BA20" s="102" t="s">
        <v>5189</v>
      </c>
      <c r="BB20" s="93"/>
    </row>
    <row r="21" spans="1:54" ht="13.8">
      <c r="A21" s="94" t="s">
        <v>5293</v>
      </c>
      <c r="B21" s="95" t="s">
        <v>4941</v>
      </c>
      <c r="C21" s="96">
        <v>34268</v>
      </c>
      <c r="D21" s="94" t="s">
        <v>2665</v>
      </c>
      <c r="E21" s="94" t="s">
        <v>4910</v>
      </c>
      <c r="F21" s="97" t="s">
        <v>4911</v>
      </c>
      <c r="G21" s="95">
        <v>4820064891</v>
      </c>
      <c r="H21" s="98" t="s">
        <v>5181</v>
      </c>
      <c r="I21" s="95">
        <v>48193007223</v>
      </c>
      <c r="J21" s="98" t="s">
        <v>5088</v>
      </c>
      <c r="K21" s="95" t="s">
        <v>5277</v>
      </c>
      <c r="L21" s="98" t="s">
        <v>5294</v>
      </c>
      <c r="M21" s="98" t="s">
        <v>5272</v>
      </c>
      <c r="N21" s="98" t="s">
        <v>5295</v>
      </c>
      <c r="O21" s="98" t="s">
        <v>5295</v>
      </c>
      <c r="P21" s="95">
        <v>905576586</v>
      </c>
      <c r="Q21" s="98" t="s">
        <v>5296</v>
      </c>
      <c r="R21" s="98" t="s">
        <v>5297</v>
      </c>
      <c r="S21" s="99"/>
      <c r="T21" s="100">
        <v>43997</v>
      </c>
      <c r="U21" s="100">
        <v>44362</v>
      </c>
      <c r="V21" s="99"/>
      <c r="W21" s="98" t="s">
        <v>5298</v>
      </c>
      <c r="X21" s="98" t="s">
        <v>5096</v>
      </c>
      <c r="Y21" s="99"/>
      <c r="Z21" s="99"/>
      <c r="AA21" s="99"/>
      <c r="AB21" s="99"/>
      <c r="AC21" s="99"/>
      <c r="AD21" s="99"/>
      <c r="AE21" s="99"/>
      <c r="AF21" s="99"/>
      <c r="AG21" s="95">
        <v>0</v>
      </c>
      <c r="AH21" s="94" t="s">
        <v>5162</v>
      </c>
      <c r="AI21" s="106"/>
      <c r="AJ21" s="99"/>
      <c r="AK21" s="98" t="s">
        <v>3000</v>
      </c>
      <c r="AL21" s="101" t="s">
        <v>5142</v>
      </c>
      <c r="AM21" s="99"/>
      <c r="AN21" s="98" t="s">
        <v>5079</v>
      </c>
      <c r="AO21" s="98" t="s">
        <v>5080</v>
      </c>
      <c r="AP21" s="98" t="s">
        <v>5188</v>
      </c>
      <c r="AQ21" s="102">
        <v>2015</v>
      </c>
      <c r="AR21" s="99"/>
      <c r="AS21" s="99"/>
      <c r="AT21" s="99"/>
      <c r="AU21" s="98" t="s">
        <v>5162</v>
      </c>
      <c r="AV21" s="99"/>
      <c r="AW21" s="94" t="s">
        <v>5162</v>
      </c>
      <c r="AX21" s="95">
        <v>0</v>
      </c>
      <c r="AY21" s="98" t="s">
        <v>5167</v>
      </c>
      <c r="AZ21" s="102">
        <v>2</v>
      </c>
      <c r="BA21" s="102" t="s">
        <v>5237</v>
      </c>
      <c r="BB21" s="93"/>
    </row>
    <row r="22" spans="1:54" ht="13.8">
      <c r="A22" s="94" t="s">
        <v>5299</v>
      </c>
      <c r="B22" s="95" t="s">
        <v>4943</v>
      </c>
      <c r="C22" s="100">
        <v>33820</v>
      </c>
      <c r="D22" s="94" t="s">
        <v>2656</v>
      </c>
      <c r="E22" s="94" t="s">
        <v>4910</v>
      </c>
      <c r="F22" s="97" t="s">
        <v>4911</v>
      </c>
      <c r="G22" s="95">
        <v>4915002837</v>
      </c>
      <c r="H22" s="98" t="s">
        <v>5181</v>
      </c>
      <c r="I22" s="95">
        <v>48092001504</v>
      </c>
      <c r="J22" s="98" t="s">
        <v>5088</v>
      </c>
      <c r="K22" s="95" t="s">
        <v>5277</v>
      </c>
      <c r="L22" s="98" t="s">
        <v>5300</v>
      </c>
      <c r="M22" s="98" t="s">
        <v>5301</v>
      </c>
      <c r="N22" s="98" t="s">
        <v>5302</v>
      </c>
      <c r="O22" s="98" t="s">
        <v>5302</v>
      </c>
      <c r="P22" s="95">
        <v>914440543</v>
      </c>
      <c r="Q22" s="98" t="s">
        <v>5303</v>
      </c>
      <c r="R22" s="98" t="s">
        <v>5094</v>
      </c>
      <c r="S22" s="99"/>
      <c r="T22" s="100">
        <v>42738</v>
      </c>
      <c r="U22" s="100">
        <v>43103</v>
      </c>
      <c r="V22" s="98" t="s">
        <v>5095</v>
      </c>
      <c r="W22" s="98" t="s">
        <v>5142</v>
      </c>
      <c r="X22" s="98" t="s">
        <v>5096</v>
      </c>
      <c r="Y22" s="99"/>
      <c r="Z22" s="99"/>
      <c r="AA22" s="99"/>
      <c r="AB22" s="99"/>
      <c r="AC22" s="99"/>
      <c r="AD22" s="99"/>
      <c r="AE22" s="99"/>
      <c r="AF22" s="99"/>
      <c r="AG22" s="95">
        <v>1</v>
      </c>
      <c r="AH22" s="94" t="s">
        <v>5162</v>
      </c>
      <c r="AI22" s="94" t="s">
        <v>5122</v>
      </c>
      <c r="AJ22" s="98" t="s">
        <v>5123</v>
      </c>
      <c r="AK22" s="98" t="s">
        <v>5304</v>
      </c>
      <c r="AL22" s="101" t="s">
        <v>5142</v>
      </c>
      <c r="AM22" s="98" t="s">
        <v>5268</v>
      </c>
      <c r="AN22" s="98" t="s">
        <v>5079</v>
      </c>
      <c r="AO22" s="98" t="s">
        <v>5080</v>
      </c>
      <c r="AP22" s="102">
        <v>83</v>
      </c>
      <c r="AQ22" s="102">
        <v>2014</v>
      </c>
      <c r="AR22" s="99"/>
      <c r="AS22" s="98" t="s">
        <v>5142</v>
      </c>
      <c r="AT22" s="99"/>
      <c r="AU22" s="98" t="s">
        <v>5228</v>
      </c>
      <c r="AV22" s="99"/>
      <c r="AW22" s="94" t="s">
        <v>5162</v>
      </c>
      <c r="AX22" s="95">
        <v>0</v>
      </c>
      <c r="AY22" s="98" t="s">
        <v>5167</v>
      </c>
      <c r="AZ22" s="102">
        <v>3</v>
      </c>
      <c r="BA22" s="102">
        <v>3</v>
      </c>
      <c r="BB22" s="93"/>
    </row>
    <row r="23" spans="1:54" ht="13.8">
      <c r="A23" s="94" t="s">
        <v>5305</v>
      </c>
      <c r="B23" s="95" t="s">
        <v>4945</v>
      </c>
      <c r="C23" s="100">
        <v>30711</v>
      </c>
      <c r="D23" s="94" t="s">
        <v>2665</v>
      </c>
      <c r="E23" s="94" t="s">
        <v>4946</v>
      </c>
      <c r="F23" s="97" t="s">
        <v>4947</v>
      </c>
      <c r="G23" s="95">
        <v>4808006652</v>
      </c>
      <c r="H23" s="98" t="s">
        <v>5057</v>
      </c>
      <c r="I23" s="95">
        <v>49184015243</v>
      </c>
      <c r="J23" s="98" t="s">
        <v>5088</v>
      </c>
      <c r="K23" s="95" t="s">
        <v>5306</v>
      </c>
      <c r="L23" s="98" t="s">
        <v>5307</v>
      </c>
      <c r="M23" s="98" t="s">
        <v>5214</v>
      </c>
      <c r="N23" s="98" t="s">
        <v>5308</v>
      </c>
      <c r="O23" s="98" t="s">
        <v>5309</v>
      </c>
      <c r="P23" s="95">
        <v>905526633</v>
      </c>
      <c r="Q23" s="98" t="s">
        <v>5310</v>
      </c>
      <c r="R23" s="98" t="s">
        <v>5094</v>
      </c>
      <c r="S23" s="99"/>
      <c r="T23" s="100">
        <v>42740</v>
      </c>
      <c r="U23" s="100">
        <v>42740</v>
      </c>
      <c r="V23" s="98" t="s">
        <v>5095</v>
      </c>
      <c r="W23" s="98" t="s">
        <v>5311</v>
      </c>
      <c r="X23" s="98" t="s">
        <v>5096</v>
      </c>
      <c r="Y23" s="98" t="s">
        <v>5311</v>
      </c>
      <c r="Z23" s="99"/>
      <c r="AA23" s="98" t="s">
        <v>5143</v>
      </c>
      <c r="AB23" s="95" t="s">
        <v>5144</v>
      </c>
      <c r="AC23" s="98" t="s">
        <v>5312</v>
      </c>
      <c r="AD23" s="99"/>
      <c r="AE23" s="104">
        <v>42984</v>
      </c>
      <c r="AF23" s="99"/>
      <c r="AG23" s="95">
        <v>1</v>
      </c>
      <c r="AH23" s="94" t="s">
        <v>5084</v>
      </c>
      <c r="AI23" s="94" t="s">
        <v>5163</v>
      </c>
      <c r="AJ23" s="98" t="s">
        <v>5164</v>
      </c>
      <c r="AK23" s="98" t="s">
        <v>5257</v>
      </c>
      <c r="AL23" s="101" t="s">
        <v>5311</v>
      </c>
      <c r="AM23" s="98" t="s">
        <v>5313</v>
      </c>
      <c r="AN23" s="98" t="s">
        <v>5079</v>
      </c>
      <c r="AO23" s="98" t="s">
        <v>5080</v>
      </c>
      <c r="AP23" s="102">
        <v>81</v>
      </c>
      <c r="AQ23" s="102">
        <v>2012</v>
      </c>
      <c r="AR23" s="98" t="s">
        <v>5082</v>
      </c>
      <c r="AS23" s="99"/>
      <c r="AT23" s="99"/>
      <c r="AU23" s="98" t="s">
        <v>5228</v>
      </c>
      <c r="AV23" s="99"/>
      <c r="AW23" s="94" t="s">
        <v>5084</v>
      </c>
      <c r="AX23" s="95">
        <v>0</v>
      </c>
      <c r="AY23" s="98" t="s">
        <v>5167</v>
      </c>
      <c r="AZ23" s="102">
        <v>7</v>
      </c>
      <c r="BA23" s="102" t="s">
        <v>5286</v>
      </c>
      <c r="BB23" s="93"/>
    </row>
    <row r="24" spans="1:54" ht="13.8">
      <c r="A24" s="94" t="s">
        <v>1209</v>
      </c>
      <c r="B24" s="95" t="s">
        <v>4949</v>
      </c>
      <c r="C24" s="100">
        <v>29447</v>
      </c>
      <c r="D24" s="94" t="s">
        <v>2656</v>
      </c>
      <c r="E24" s="94" t="s">
        <v>4946</v>
      </c>
      <c r="F24" s="97" t="s">
        <v>4947</v>
      </c>
      <c r="G24" s="95">
        <v>4808000487</v>
      </c>
      <c r="H24" s="98" t="s">
        <v>5057</v>
      </c>
      <c r="I24" s="95">
        <v>49080008895</v>
      </c>
      <c r="J24" s="98" t="s">
        <v>5088</v>
      </c>
      <c r="K24" s="95" t="s">
        <v>5089</v>
      </c>
      <c r="L24" s="98" t="s">
        <v>5314</v>
      </c>
      <c r="M24" s="98" t="s">
        <v>5315</v>
      </c>
      <c r="N24" s="98" t="s">
        <v>5316</v>
      </c>
      <c r="O24" s="98" t="s">
        <v>5316</v>
      </c>
      <c r="P24" s="95">
        <v>982201344</v>
      </c>
      <c r="Q24" s="98" t="s">
        <v>5317</v>
      </c>
      <c r="R24" s="98" t="s">
        <v>5094</v>
      </c>
      <c r="S24" s="99"/>
      <c r="T24" s="100">
        <v>38245</v>
      </c>
      <c r="U24" s="100">
        <v>39311</v>
      </c>
      <c r="V24" s="98" t="s">
        <v>5095</v>
      </c>
      <c r="W24" s="98" t="s">
        <v>5068</v>
      </c>
      <c r="X24" s="98" t="s">
        <v>5096</v>
      </c>
      <c r="Y24" s="98" t="s">
        <v>5066</v>
      </c>
      <c r="Z24" s="99"/>
      <c r="AA24" s="98" t="s">
        <v>5244</v>
      </c>
      <c r="AB24" s="95" t="s">
        <v>5318</v>
      </c>
      <c r="AC24" s="99"/>
      <c r="AD24" s="98" t="s">
        <v>5319</v>
      </c>
      <c r="AE24" s="104">
        <v>41860</v>
      </c>
      <c r="AF24" s="99"/>
      <c r="AG24" s="95">
        <v>1</v>
      </c>
      <c r="AH24" s="94" t="s">
        <v>5084</v>
      </c>
      <c r="AI24" s="94" t="s">
        <v>5101</v>
      </c>
      <c r="AJ24" s="98" t="s">
        <v>5320</v>
      </c>
      <c r="AK24" s="98" t="s">
        <v>5178</v>
      </c>
      <c r="AL24" s="101" t="s">
        <v>5078</v>
      </c>
      <c r="AM24" s="98" t="s">
        <v>5179</v>
      </c>
      <c r="AN24" s="98" t="s">
        <v>5079</v>
      </c>
      <c r="AO24" s="98" t="s">
        <v>5080</v>
      </c>
      <c r="AP24" s="102">
        <v>800</v>
      </c>
      <c r="AQ24" s="102">
        <v>2008</v>
      </c>
      <c r="AR24" s="98" t="s">
        <v>5082</v>
      </c>
      <c r="AS24" s="99"/>
      <c r="AT24" s="98" t="s">
        <v>5083</v>
      </c>
      <c r="AU24" s="98" t="s">
        <v>5135</v>
      </c>
      <c r="AV24" s="95">
        <v>0</v>
      </c>
      <c r="AW24" s="94" t="s">
        <v>5084</v>
      </c>
      <c r="AX24" s="95">
        <v>0</v>
      </c>
      <c r="AY24" s="98" t="s">
        <v>5085</v>
      </c>
      <c r="AZ24" s="102">
        <v>2</v>
      </c>
      <c r="BA24" s="102" t="s">
        <v>5086</v>
      </c>
      <c r="BB24" s="93"/>
    </row>
    <row r="25" spans="1:54" ht="13.8">
      <c r="A25" s="94" t="s">
        <v>5321</v>
      </c>
      <c r="B25" s="95" t="s">
        <v>4951</v>
      </c>
      <c r="C25" s="100">
        <v>30411</v>
      </c>
      <c r="D25" s="94" t="s">
        <v>2665</v>
      </c>
      <c r="E25" s="94" t="s">
        <v>4946</v>
      </c>
      <c r="F25" s="97" t="s">
        <v>4947</v>
      </c>
      <c r="G25" s="95">
        <v>407001246</v>
      </c>
      <c r="H25" s="98" t="s">
        <v>5057</v>
      </c>
      <c r="I25" s="95">
        <v>49183015782</v>
      </c>
      <c r="J25" s="98" t="s">
        <v>5088</v>
      </c>
      <c r="K25" s="95" t="s">
        <v>5089</v>
      </c>
      <c r="L25" s="98" t="s">
        <v>5322</v>
      </c>
      <c r="M25" s="98" t="s">
        <v>5323</v>
      </c>
      <c r="N25" s="98" t="s">
        <v>5324</v>
      </c>
      <c r="O25" s="98" t="s">
        <v>5324</v>
      </c>
      <c r="P25" s="95">
        <v>386632919</v>
      </c>
      <c r="Q25" s="98" t="s">
        <v>5325</v>
      </c>
      <c r="R25" s="98" t="s">
        <v>5094</v>
      </c>
      <c r="S25" s="98" t="s">
        <v>5116</v>
      </c>
      <c r="T25" s="100">
        <v>39814</v>
      </c>
      <c r="U25" s="100">
        <v>40179</v>
      </c>
      <c r="V25" s="98" t="s">
        <v>5095</v>
      </c>
      <c r="W25" s="98" t="s">
        <v>5311</v>
      </c>
      <c r="X25" s="98" t="s">
        <v>5096</v>
      </c>
      <c r="Y25" s="98" t="s">
        <v>5311</v>
      </c>
      <c r="Z25" s="99"/>
      <c r="AA25" s="99"/>
      <c r="AB25" s="95" t="s">
        <v>5161</v>
      </c>
      <c r="AC25" s="99"/>
      <c r="AD25" s="99"/>
      <c r="AE25" s="95" t="s">
        <v>5326</v>
      </c>
      <c r="AF25" s="99"/>
      <c r="AG25" s="95">
        <v>1</v>
      </c>
      <c r="AH25" s="94" t="s">
        <v>5162</v>
      </c>
      <c r="AI25" s="94" t="s">
        <v>5163</v>
      </c>
      <c r="AJ25" s="98" t="s">
        <v>5164</v>
      </c>
      <c r="AK25" s="98" t="s">
        <v>5257</v>
      </c>
      <c r="AL25" s="101" t="s">
        <v>5311</v>
      </c>
      <c r="AM25" s="98" t="s">
        <v>5313</v>
      </c>
      <c r="AN25" s="98" t="s">
        <v>5259</v>
      </c>
      <c r="AO25" s="98" t="s">
        <v>5080</v>
      </c>
      <c r="AP25" s="102">
        <v>81</v>
      </c>
      <c r="AQ25" s="102">
        <v>2008</v>
      </c>
      <c r="AR25" s="98" t="s">
        <v>5200</v>
      </c>
      <c r="AS25" s="99"/>
      <c r="AT25" s="99"/>
      <c r="AU25" s="98" t="s">
        <v>5125</v>
      </c>
      <c r="AV25" s="95">
        <v>0</v>
      </c>
      <c r="AW25" s="94" t="s">
        <v>5162</v>
      </c>
      <c r="AX25" s="95">
        <v>0</v>
      </c>
      <c r="AY25" s="98" t="s">
        <v>5167</v>
      </c>
      <c r="AZ25" s="102">
        <v>6</v>
      </c>
      <c r="BA25" s="102" t="s">
        <v>5260</v>
      </c>
      <c r="BB25" s="93"/>
    </row>
    <row r="26" spans="1:54" ht="13.8">
      <c r="A26" s="94" t="s">
        <v>5327</v>
      </c>
      <c r="B26" s="95" t="s">
        <v>4953</v>
      </c>
      <c r="C26" s="100">
        <v>35936</v>
      </c>
      <c r="D26" s="94" t="s">
        <v>2656</v>
      </c>
      <c r="E26" s="94" t="s">
        <v>4946</v>
      </c>
      <c r="F26" s="97" t="s">
        <v>4947</v>
      </c>
      <c r="G26" s="95">
        <v>4920592866</v>
      </c>
      <c r="H26" s="98" t="s">
        <v>5057</v>
      </c>
      <c r="I26" s="95">
        <v>49098011804</v>
      </c>
      <c r="J26" s="98" t="s">
        <v>5088</v>
      </c>
      <c r="K26" s="95" t="s">
        <v>5170</v>
      </c>
      <c r="L26" s="98" t="s">
        <v>5328</v>
      </c>
      <c r="M26" s="98" t="s">
        <v>5329</v>
      </c>
      <c r="N26" s="98" t="s">
        <v>5330</v>
      </c>
      <c r="O26" s="98" t="s">
        <v>5329</v>
      </c>
      <c r="P26" s="95">
        <v>703007356</v>
      </c>
      <c r="Q26" s="98" t="s">
        <v>5331</v>
      </c>
      <c r="R26" s="98" t="s">
        <v>5094</v>
      </c>
      <c r="S26" s="99"/>
      <c r="T26" s="100">
        <v>45658</v>
      </c>
      <c r="U26" s="100">
        <v>46023</v>
      </c>
      <c r="V26" s="99"/>
      <c r="W26" s="98" t="s">
        <v>5142</v>
      </c>
      <c r="X26" s="98" t="s">
        <v>5187</v>
      </c>
      <c r="Y26" s="99"/>
      <c r="Z26" s="99"/>
      <c r="AA26" s="99"/>
      <c r="AB26" s="99"/>
      <c r="AC26" s="99"/>
      <c r="AD26" s="99"/>
      <c r="AE26" s="99"/>
      <c r="AF26" s="99"/>
      <c r="AG26" s="95">
        <v>0</v>
      </c>
      <c r="AH26" s="94" t="s">
        <v>5162</v>
      </c>
      <c r="AI26" s="94" t="s">
        <v>5101</v>
      </c>
      <c r="AJ26" s="98" t="s">
        <v>5102</v>
      </c>
      <c r="AK26" s="98" t="s">
        <v>5332</v>
      </c>
      <c r="AL26" s="101" t="s">
        <v>5142</v>
      </c>
      <c r="AM26" s="99"/>
      <c r="AN26" s="98" t="s">
        <v>5079</v>
      </c>
      <c r="AO26" s="98" t="s">
        <v>5080</v>
      </c>
      <c r="AP26" s="98" t="s">
        <v>5333</v>
      </c>
      <c r="AQ26" s="102">
        <v>2022</v>
      </c>
      <c r="AR26" s="99"/>
      <c r="AS26" s="99"/>
      <c r="AT26" s="99"/>
      <c r="AU26" s="98" t="s">
        <v>5228</v>
      </c>
      <c r="AV26" s="99"/>
      <c r="AW26" s="94" t="s">
        <v>5162</v>
      </c>
      <c r="AX26" s="95">
        <v>0</v>
      </c>
      <c r="AY26" s="98" t="s">
        <v>5167</v>
      </c>
      <c r="AZ26" s="102">
        <v>1</v>
      </c>
      <c r="BA26" s="102" t="s">
        <v>5189</v>
      </c>
      <c r="BB26" s="93"/>
    </row>
    <row r="27" spans="1:54" ht="13.8">
      <c r="A27" s="94" t="s">
        <v>5334</v>
      </c>
      <c r="B27" s="95" t="s">
        <v>4955</v>
      </c>
      <c r="C27" s="100">
        <v>29005</v>
      </c>
      <c r="D27" s="94" t="s">
        <v>2665</v>
      </c>
      <c r="E27" s="94" t="s">
        <v>4946</v>
      </c>
      <c r="F27" s="97" t="s">
        <v>4947</v>
      </c>
      <c r="G27" s="95">
        <v>4809014889</v>
      </c>
      <c r="H27" s="98" t="s">
        <v>5057</v>
      </c>
      <c r="I27" s="95">
        <v>48179003288</v>
      </c>
      <c r="J27" s="98" t="s">
        <v>5088</v>
      </c>
      <c r="K27" s="95" t="s">
        <v>5089</v>
      </c>
      <c r="L27" s="98" t="s">
        <v>5335</v>
      </c>
      <c r="M27" s="98" t="s">
        <v>5336</v>
      </c>
      <c r="N27" s="98" t="s">
        <v>5337</v>
      </c>
      <c r="O27" s="98" t="s">
        <v>5337</v>
      </c>
      <c r="P27" s="95">
        <v>914162994</v>
      </c>
      <c r="Q27" s="98" t="s">
        <v>5338</v>
      </c>
      <c r="R27" s="98" t="s">
        <v>5094</v>
      </c>
      <c r="S27" s="99"/>
      <c r="T27" s="100">
        <v>40553</v>
      </c>
      <c r="U27" s="100">
        <v>40918</v>
      </c>
      <c r="V27" s="98" t="s">
        <v>5095</v>
      </c>
      <c r="W27" s="98" t="s">
        <v>5311</v>
      </c>
      <c r="X27" s="98" t="s">
        <v>5096</v>
      </c>
      <c r="Y27" s="98" t="s">
        <v>5311</v>
      </c>
      <c r="Z27" s="99"/>
      <c r="AA27" s="99"/>
      <c r="AB27" s="99"/>
      <c r="AC27" s="99"/>
      <c r="AD27" s="98" t="s">
        <v>5143</v>
      </c>
      <c r="AE27" s="95" t="s">
        <v>5161</v>
      </c>
      <c r="AF27" s="99"/>
      <c r="AG27" s="95">
        <v>1</v>
      </c>
      <c r="AH27" s="94" t="s">
        <v>5162</v>
      </c>
      <c r="AI27" s="94" t="s">
        <v>5163</v>
      </c>
      <c r="AJ27" s="98" t="s">
        <v>5164</v>
      </c>
      <c r="AK27" s="98" t="s">
        <v>5257</v>
      </c>
      <c r="AL27" s="101" t="s">
        <v>5311</v>
      </c>
      <c r="AM27" s="98" t="s">
        <v>5166</v>
      </c>
      <c r="AN27" s="98" t="s">
        <v>5079</v>
      </c>
      <c r="AO27" s="98" t="s">
        <v>5080</v>
      </c>
      <c r="AP27" s="102">
        <v>806</v>
      </c>
      <c r="AQ27" s="102">
        <v>2011</v>
      </c>
      <c r="AR27" s="98" t="s">
        <v>5082</v>
      </c>
      <c r="AS27" s="99"/>
      <c r="AT27" s="99"/>
      <c r="AU27" s="98" t="s">
        <v>5228</v>
      </c>
      <c r="AV27" s="95">
        <v>0</v>
      </c>
      <c r="AW27" s="94" t="s">
        <v>5162</v>
      </c>
      <c r="AX27" s="95">
        <v>0</v>
      </c>
      <c r="AY27" s="98" t="s">
        <v>5167</v>
      </c>
      <c r="AZ27" s="102">
        <v>5</v>
      </c>
      <c r="BA27" s="102" t="s">
        <v>5153</v>
      </c>
      <c r="BB27" s="93"/>
    </row>
    <row r="28" spans="1:54" ht="13.8">
      <c r="A28" s="94" t="s">
        <v>5339</v>
      </c>
      <c r="B28" s="95" t="s">
        <v>4957</v>
      </c>
      <c r="C28" s="100">
        <v>30107</v>
      </c>
      <c r="D28" s="94" t="s">
        <v>2656</v>
      </c>
      <c r="E28" s="94" t="s">
        <v>4946</v>
      </c>
      <c r="F28" s="97" t="s">
        <v>4947</v>
      </c>
      <c r="G28" s="95">
        <v>109030138</v>
      </c>
      <c r="H28" s="98" t="s">
        <v>5057</v>
      </c>
      <c r="I28" s="95">
        <v>44082004919</v>
      </c>
      <c r="J28" s="98" t="s">
        <v>5088</v>
      </c>
      <c r="K28" s="95" t="s">
        <v>5340</v>
      </c>
      <c r="L28" s="98" t="s">
        <v>5341</v>
      </c>
      <c r="M28" s="98" t="s">
        <v>5342</v>
      </c>
      <c r="N28" s="98" t="s">
        <v>5343</v>
      </c>
      <c r="O28" s="98" t="s">
        <v>5344</v>
      </c>
      <c r="P28" s="95">
        <v>941377868</v>
      </c>
      <c r="Q28" s="98" t="s">
        <v>5345</v>
      </c>
      <c r="R28" s="98" t="s">
        <v>5094</v>
      </c>
      <c r="S28" s="99"/>
      <c r="T28" s="100">
        <v>42738</v>
      </c>
      <c r="U28" s="100">
        <v>43103</v>
      </c>
      <c r="V28" s="98" t="s">
        <v>5095</v>
      </c>
      <c r="W28" s="98" t="s">
        <v>5142</v>
      </c>
      <c r="X28" s="98" t="s">
        <v>5096</v>
      </c>
      <c r="Y28" s="99"/>
      <c r="Z28" s="99"/>
      <c r="AA28" s="99"/>
      <c r="AB28" s="99"/>
      <c r="AC28" s="99"/>
      <c r="AD28" s="99"/>
      <c r="AE28" s="99"/>
      <c r="AF28" s="99"/>
      <c r="AG28" s="95">
        <v>1</v>
      </c>
      <c r="AH28" s="94" t="s">
        <v>5162</v>
      </c>
      <c r="AI28" s="94" t="s">
        <v>5075</v>
      </c>
      <c r="AJ28" s="98" t="s">
        <v>5076</v>
      </c>
      <c r="AK28" s="98" t="s">
        <v>2941</v>
      </c>
      <c r="AL28" s="101" t="s">
        <v>5142</v>
      </c>
      <c r="AM28" s="98" t="s">
        <v>5346</v>
      </c>
      <c r="AN28" s="98" t="s">
        <v>5079</v>
      </c>
      <c r="AO28" s="98" t="s">
        <v>5080</v>
      </c>
      <c r="AP28" s="102">
        <v>174</v>
      </c>
      <c r="AQ28" s="102">
        <v>2006</v>
      </c>
      <c r="AR28" s="99"/>
      <c r="AS28" s="98" t="s">
        <v>5142</v>
      </c>
      <c r="AT28" s="99"/>
      <c r="AU28" s="98" t="s">
        <v>5162</v>
      </c>
      <c r="AV28" s="99"/>
      <c r="AW28" s="94" t="s">
        <v>5162</v>
      </c>
      <c r="AX28" s="95">
        <v>0</v>
      </c>
      <c r="AY28" s="98" t="s">
        <v>5167</v>
      </c>
      <c r="AZ28" s="102">
        <v>3</v>
      </c>
      <c r="BA28" s="102">
        <v>3</v>
      </c>
      <c r="BB28" s="93"/>
    </row>
    <row r="29" spans="1:54" ht="13.8">
      <c r="A29" s="94" t="s">
        <v>5347</v>
      </c>
      <c r="B29" s="95" t="s">
        <v>4959</v>
      </c>
      <c r="C29" s="100">
        <v>34234</v>
      </c>
      <c r="D29" s="94" t="s">
        <v>2665</v>
      </c>
      <c r="E29" s="94" t="s">
        <v>4946</v>
      </c>
      <c r="F29" s="97" t="s">
        <v>4947</v>
      </c>
      <c r="G29" s="95">
        <v>4816014026</v>
      </c>
      <c r="H29" s="98" t="s">
        <v>5057</v>
      </c>
      <c r="I29" s="95">
        <v>48193005597</v>
      </c>
      <c r="J29" s="98" t="s">
        <v>5088</v>
      </c>
      <c r="K29" s="95" t="s">
        <v>5089</v>
      </c>
      <c r="L29" s="98" t="s">
        <v>5348</v>
      </c>
      <c r="M29" s="98" t="s">
        <v>5349</v>
      </c>
      <c r="N29" s="98" t="s">
        <v>5350</v>
      </c>
      <c r="O29" s="98" t="s">
        <v>5350</v>
      </c>
      <c r="P29" s="95">
        <v>983146878</v>
      </c>
      <c r="Q29" s="98" t="s">
        <v>5351</v>
      </c>
      <c r="R29" s="98" t="s">
        <v>5094</v>
      </c>
      <c r="S29" s="99"/>
      <c r="T29" s="100">
        <v>44199</v>
      </c>
      <c r="U29" s="109"/>
      <c r="V29" s="99"/>
      <c r="W29" s="98" t="s">
        <v>5142</v>
      </c>
      <c r="X29" s="98" t="s">
        <v>5187</v>
      </c>
      <c r="Y29" s="99"/>
      <c r="Z29" s="99"/>
      <c r="AA29" s="99"/>
      <c r="AB29" s="99"/>
      <c r="AC29" s="99"/>
      <c r="AD29" s="99"/>
      <c r="AE29" s="99"/>
      <c r="AF29" s="99"/>
      <c r="AG29" s="95">
        <v>0</v>
      </c>
      <c r="AH29" s="94" t="s">
        <v>5084</v>
      </c>
      <c r="AI29" s="94" t="s">
        <v>5163</v>
      </c>
      <c r="AJ29" s="98" t="s">
        <v>5164</v>
      </c>
      <c r="AK29" s="98" t="s">
        <v>5257</v>
      </c>
      <c r="AL29" s="101" t="s">
        <v>5142</v>
      </c>
      <c r="AM29" s="99"/>
      <c r="AN29" s="98" t="s">
        <v>5079</v>
      </c>
      <c r="AO29" s="98" t="s">
        <v>5080</v>
      </c>
      <c r="AP29" s="98" t="s">
        <v>5166</v>
      </c>
      <c r="AQ29" s="102">
        <v>2015</v>
      </c>
      <c r="AR29" s="99"/>
      <c r="AS29" s="99"/>
      <c r="AT29" s="99"/>
      <c r="AU29" s="98" t="s">
        <v>5228</v>
      </c>
      <c r="AV29" s="99"/>
      <c r="AW29" s="94" t="s">
        <v>5084</v>
      </c>
      <c r="AX29" s="95">
        <v>0</v>
      </c>
      <c r="AY29" s="98" t="s">
        <v>5167</v>
      </c>
      <c r="AZ29" s="102">
        <v>2</v>
      </c>
      <c r="BA29" s="102" t="s">
        <v>5237</v>
      </c>
      <c r="BB29" s="93"/>
    </row>
    <row r="30" spans="1:54" ht="13.8">
      <c r="A30" s="94" t="s">
        <v>5352</v>
      </c>
      <c r="B30" s="95" t="s">
        <v>4961</v>
      </c>
      <c r="C30" s="100">
        <v>30803</v>
      </c>
      <c r="D30" s="94" t="s">
        <v>2665</v>
      </c>
      <c r="E30" s="94" t="s">
        <v>4946</v>
      </c>
      <c r="F30" s="97" t="s">
        <v>4947</v>
      </c>
      <c r="G30" s="95">
        <v>407014713</v>
      </c>
      <c r="H30" s="98" t="s">
        <v>5057</v>
      </c>
      <c r="I30" s="95">
        <v>48184002233</v>
      </c>
      <c r="J30" s="98" t="s">
        <v>5088</v>
      </c>
      <c r="K30" s="95" t="s">
        <v>5353</v>
      </c>
      <c r="L30" s="98" t="s">
        <v>5328</v>
      </c>
      <c r="M30" s="98" t="s">
        <v>5354</v>
      </c>
      <c r="N30" s="98" t="s">
        <v>5355</v>
      </c>
      <c r="O30" s="98" t="s">
        <v>5356</v>
      </c>
      <c r="P30" s="95">
        <v>935375382</v>
      </c>
      <c r="Q30" s="98" t="s">
        <v>5357</v>
      </c>
      <c r="R30" s="98" t="s">
        <v>5094</v>
      </c>
      <c r="S30" s="99"/>
      <c r="T30" s="100">
        <v>44568</v>
      </c>
      <c r="U30" s="100">
        <v>44568</v>
      </c>
      <c r="V30" s="99"/>
      <c r="W30" s="98" t="s">
        <v>5311</v>
      </c>
      <c r="X30" s="98" t="s">
        <v>5187</v>
      </c>
      <c r="Y30" s="99"/>
      <c r="Z30" s="99"/>
      <c r="AA30" s="99"/>
      <c r="AB30" s="99"/>
      <c r="AC30" s="99"/>
      <c r="AD30" s="99"/>
      <c r="AE30" s="99"/>
      <c r="AF30" s="99"/>
      <c r="AG30" s="95">
        <v>0</v>
      </c>
      <c r="AH30" s="94" t="s">
        <v>5162</v>
      </c>
      <c r="AI30" s="94" t="s">
        <v>5163</v>
      </c>
      <c r="AJ30" s="98" t="s">
        <v>5164</v>
      </c>
      <c r="AK30" s="98" t="s">
        <v>5358</v>
      </c>
      <c r="AL30" s="101" t="s">
        <v>5311</v>
      </c>
      <c r="AM30" s="99"/>
      <c r="AN30" s="98" t="s">
        <v>5079</v>
      </c>
      <c r="AO30" s="98" t="s">
        <v>5080</v>
      </c>
      <c r="AP30" s="98" t="s">
        <v>5166</v>
      </c>
      <c r="AQ30" s="102">
        <v>2007</v>
      </c>
      <c r="AR30" s="99"/>
      <c r="AS30" s="99"/>
      <c r="AT30" s="99"/>
      <c r="AU30" s="98" t="s">
        <v>5220</v>
      </c>
      <c r="AV30" s="99"/>
      <c r="AW30" s="94" t="s">
        <v>5162</v>
      </c>
      <c r="AX30" s="95">
        <v>0</v>
      </c>
      <c r="AY30" s="98" t="s">
        <v>5167</v>
      </c>
      <c r="AZ30" s="102">
        <v>5</v>
      </c>
      <c r="BA30" s="102" t="s">
        <v>5153</v>
      </c>
      <c r="BB30" s="93"/>
    </row>
    <row r="31" spans="1:54" ht="13.8">
      <c r="A31" s="94" t="s">
        <v>5359</v>
      </c>
      <c r="B31" s="95" t="s">
        <v>4963</v>
      </c>
      <c r="C31" s="96">
        <v>27725</v>
      </c>
      <c r="D31" s="94" t="s">
        <v>2665</v>
      </c>
      <c r="E31" s="94" t="s">
        <v>4946</v>
      </c>
      <c r="F31" s="97" t="s">
        <v>4947</v>
      </c>
      <c r="G31" s="95">
        <v>405013694</v>
      </c>
      <c r="H31" s="98" t="s">
        <v>5057</v>
      </c>
      <c r="I31" s="95">
        <v>48175007379</v>
      </c>
      <c r="J31" s="98" t="s">
        <v>5088</v>
      </c>
      <c r="K31" s="104">
        <v>44444</v>
      </c>
      <c r="L31" s="98" t="s">
        <v>5360</v>
      </c>
      <c r="M31" s="98" t="s">
        <v>5361</v>
      </c>
      <c r="N31" s="98" t="s">
        <v>5362</v>
      </c>
      <c r="O31" s="98" t="s">
        <v>5362</v>
      </c>
      <c r="P31" s="95">
        <v>935676404</v>
      </c>
      <c r="Q31" s="98" t="s">
        <v>5363</v>
      </c>
      <c r="R31" s="98" t="s">
        <v>5094</v>
      </c>
      <c r="S31" s="99"/>
      <c r="T31" s="100">
        <v>40553</v>
      </c>
      <c r="U31" s="100">
        <v>40918</v>
      </c>
      <c r="V31" s="98" t="s">
        <v>5095</v>
      </c>
      <c r="W31" s="98" t="s">
        <v>5142</v>
      </c>
      <c r="X31" s="98" t="s">
        <v>5096</v>
      </c>
      <c r="Y31" s="98" t="s">
        <v>5364</v>
      </c>
      <c r="Z31" s="99"/>
      <c r="AA31" s="99"/>
      <c r="AB31" s="95" t="s">
        <v>5161</v>
      </c>
      <c r="AC31" s="99"/>
      <c r="AD31" s="99"/>
      <c r="AE31" s="95" t="s">
        <v>5161</v>
      </c>
      <c r="AF31" s="99"/>
      <c r="AG31" s="95">
        <v>1</v>
      </c>
      <c r="AH31" s="94" t="s">
        <v>5162</v>
      </c>
      <c r="AI31" s="94" t="s">
        <v>5163</v>
      </c>
      <c r="AJ31" s="98" t="s">
        <v>5365</v>
      </c>
      <c r="AK31" s="98" t="s">
        <v>5366</v>
      </c>
      <c r="AL31" s="101" t="s">
        <v>5142</v>
      </c>
      <c r="AM31" s="98" t="s">
        <v>5346</v>
      </c>
      <c r="AN31" s="98" t="s">
        <v>5079</v>
      </c>
      <c r="AO31" s="98" t="s">
        <v>5080</v>
      </c>
      <c r="AP31" s="102">
        <v>174</v>
      </c>
      <c r="AQ31" s="102">
        <v>1999</v>
      </c>
      <c r="AR31" s="99"/>
      <c r="AS31" s="98" t="s">
        <v>5142</v>
      </c>
      <c r="AT31" s="99"/>
      <c r="AU31" s="98" t="s">
        <v>5220</v>
      </c>
      <c r="AV31" s="95">
        <v>0</v>
      </c>
      <c r="AW31" s="94" t="s">
        <v>5162</v>
      </c>
      <c r="AX31" s="95">
        <v>0</v>
      </c>
      <c r="AY31" s="98" t="s">
        <v>5167</v>
      </c>
      <c r="AZ31" s="102">
        <v>5</v>
      </c>
      <c r="BA31" s="102" t="s">
        <v>5153</v>
      </c>
      <c r="BB31" s="93"/>
    </row>
    <row r="32" spans="1:54" ht="13.8">
      <c r="A32" s="94" t="s">
        <v>5367</v>
      </c>
      <c r="B32" s="95" t="s">
        <v>4965</v>
      </c>
      <c r="C32" s="100">
        <v>25344</v>
      </c>
      <c r="D32" s="94" t="s">
        <v>2665</v>
      </c>
      <c r="E32" s="94" t="s">
        <v>4966</v>
      </c>
      <c r="F32" s="97" t="s">
        <v>4967</v>
      </c>
      <c r="G32" s="95">
        <v>3497065528</v>
      </c>
      <c r="H32" s="98" t="s">
        <v>5057</v>
      </c>
      <c r="I32" s="95">
        <v>49169012746</v>
      </c>
      <c r="J32" s="98" t="s">
        <v>5088</v>
      </c>
      <c r="K32" s="95" t="s">
        <v>5089</v>
      </c>
      <c r="L32" s="98" t="s">
        <v>5368</v>
      </c>
      <c r="M32" s="98" t="s">
        <v>5369</v>
      </c>
      <c r="N32" s="98" t="s">
        <v>5370</v>
      </c>
      <c r="O32" s="98" t="s">
        <v>5370</v>
      </c>
      <c r="P32" s="95">
        <v>905639977</v>
      </c>
      <c r="Q32" s="98" t="s">
        <v>5371</v>
      </c>
      <c r="R32" s="98" t="s">
        <v>5094</v>
      </c>
      <c r="S32" s="99"/>
      <c r="T32" s="96">
        <v>33527</v>
      </c>
      <c r="U32" s="108" t="s">
        <v>5161</v>
      </c>
      <c r="V32" s="98" t="s">
        <v>5372</v>
      </c>
      <c r="W32" s="98" t="s">
        <v>5373</v>
      </c>
      <c r="X32" s="98" t="s">
        <v>5067</v>
      </c>
      <c r="Y32" s="99"/>
      <c r="Z32" s="99"/>
      <c r="AA32" s="99"/>
      <c r="AB32" s="95" t="s">
        <v>5161</v>
      </c>
      <c r="AC32" s="99"/>
      <c r="AD32" s="99"/>
      <c r="AE32" s="95" t="s">
        <v>5374</v>
      </c>
      <c r="AF32" s="99"/>
      <c r="AG32" s="95">
        <v>1</v>
      </c>
      <c r="AH32" s="94" t="s">
        <v>5162</v>
      </c>
      <c r="AI32" s="94" t="s">
        <v>5122</v>
      </c>
      <c r="AJ32" s="98" t="s">
        <v>5123</v>
      </c>
      <c r="AK32" s="98" t="s">
        <v>5304</v>
      </c>
      <c r="AL32" s="101" t="s">
        <v>5375</v>
      </c>
      <c r="AM32" s="98" t="s">
        <v>5268</v>
      </c>
      <c r="AN32" s="98" t="s">
        <v>5376</v>
      </c>
      <c r="AO32" s="98" t="s">
        <v>5080</v>
      </c>
      <c r="AP32" s="102">
        <v>83</v>
      </c>
      <c r="AQ32" s="102">
        <v>2001</v>
      </c>
      <c r="AR32" s="98" t="s">
        <v>5200</v>
      </c>
      <c r="AS32" s="99"/>
      <c r="AT32" s="99"/>
      <c r="AU32" s="98" t="s">
        <v>5135</v>
      </c>
      <c r="AV32" s="95">
        <v>0</v>
      </c>
      <c r="AW32" s="94" t="s">
        <v>5162</v>
      </c>
      <c r="AX32" s="95">
        <v>0</v>
      </c>
      <c r="AY32" s="98" t="s">
        <v>5377</v>
      </c>
      <c r="AZ32" s="102">
        <v>9</v>
      </c>
      <c r="BA32" s="102" t="s">
        <v>5221</v>
      </c>
      <c r="BB32" s="93"/>
    </row>
    <row r="33" spans="1:54" ht="13.8">
      <c r="A33" s="94" t="s">
        <v>5378</v>
      </c>
      <c r="B33" s="95" t="s">
        <v>4969</v>
      </c>
      <c r="C33" s="96">
        <v>36853</v>
      </c>
      <c r="D33" s="94" t="s">
        <v>2656</v>
      </c>
      <c r="E33" s="94" t="s">
        <v>4966</v>
      </c>
      <c r="F33" s="97" t="s">
        <v>4967</v>
      </c>
      <c r="G33" s="95">
        <v>5220337654</v>
      </c>
      <c r="H33" s="98" t="s">
        <v>5181</v>
      </c>
      <c r="I33" s="95">
        <v>52200013154</v>
      </c>
      <c r="J33" s="98" t="s">
        <v>5088</v>
      </c>
      <c r="K33" s="95" t="s">
        <v>5089</v>
      </c>
      <c r="L33" s="98" t="s">
        <v>5379</v>
      </c>
      <c r="M33" s="98" t="s">
        <v>5380</v>
      </c>
      <c r="N33" s="98" t="s">
        <v>5381</v>
      </c>
      <c r="O33" s="98" t="s">
        <v>5382</v>
      </c>
      <c r="P33" s="95">
        <v>935434565</v>
      </c>
      <c r="Q33" s="98" t="s">
        <v>5383</v>
      </c>
      <c r="R33" s="98" t="s">
        <v>5094</v>
      </c>
      <c r="S33" s="99"/>
      <c r="T33" s="100">
        <v>44927</v>
      </c>
      <c r="U33" s="100">
        <v>45292</v>
      </c>
      <c r="V33" s="99"/>
      <c r="W33" s="98" t="s">
        <v>5142</v>
      </c>
      <c r="X33" s="98" t="s">
        <v>5187</v>
      </c>
      <c r="Y33" s="99"/>
      <c r="Z33" s="99"/>
      <c r="AA33" s="99"/>
      <c r="AB33" s="99"/>
      <c r="AC33" s="99"/>
      <c r="AD33" s="99"/>
      <c r="AE33" s="95" t="s">
        <v>5384</v>
      </c>
      <c r="AF33" s="99"/>
      <c r="AG33" s="95">
        <v>0</v>
      </c>
      <c r="AH33" s="94" t="s">
        <v>5162</v>
      </c>
      <c r="AI33" s="94" t="s">
        <v>5122</v>
      </c>
      <c r="AJ33" s="98" t="s">
        <v>5266</v>
      </c>
      <c r="AK33" s="98" t="s">
        <v>5385</v>
      </c>
      <c r="AL33" s="101" t="s">
        <v>5142</v>
      </c>
      <c r="AM33" s="99"/>
      <c r="AN33" s="98" t="s">
        <v>5079</v>
      </c>
      <c r="AO33" s="98" t="s">
        <v>5080</v>
      </c>
      <c r="AP33" s="98" t="s">
        <v>5188</v>
      </c>
      <c r="AQ33" s="102">
        <v>2022</v>
      </c>
      <c r="AR33" s="98" t="s">
        <v>5200</v>
      </c>
      <c r="AS33" s="98" t="s">
        <v>5142</v>
      </c>
      <c r="AT33" s="99"/>
      <c r="AU33" s="98" t="s">
        <v>5151</v>
      </c>
      <c r="AV33" s="99"/>
      <c r="AW33" s="94" t="s">
        <v>5162</v>
      </c>
      <c r="AX33" s="95">
        <v>0</v>
      </c>
      <c r="AY33" s="98" t="s">
        <v>5167</v>
      </c>
      <c r="AZ33" s="102">
        <v>1</v>
      </c>
      <c r="BA33" s="102" t="s">
        <v>5189</v>
      </c>
      <c r="BB33" s="93"/>
    </row>
    <row r="34" spans="1:54" ht="13.8">
      <c r="A34" s="94" t="s">
        <v>5386</v>
      </c>
      <c r="B34" s="95" t="s">
        <v>4971</v>
      </c>
      <c r="C34" s="100">
        <v>32280</v>
      </c>
      <c r="D34" s="94" t="s">
        <v>2656</v>
      </c>
      <c r="E34" s="94" t="s">
        <v>4966</v>
      </c>
      <c r="F34" s="97" t="s">
        <v>4967</v>
      </c>
      <c r="G34" s="95">
        <v>4514001385</v>
      </c>
      <c r="H34" s="98" t="s">
        <v>5057</v>
      </c>
      <c r="I34" s="95">
        <v>45088005201</v>
      </c>
      <c r="J34" s="98" t="s">
        <v>5088</v>
      </c>
      <c r="K34" s="104">
        <v>44778</v>
      </c>
      <c r="L34" s="98" t="s">
        <v>5387</v>
      </c>
      <c r="M34" s="98" t="s">
        <v>5388</v>
      </c>
      <c r="N34" s="98" t="s">
        <v>5388</v>
      </c>
      <c r="O34" s="98" t="s">
        <v>5389</v>
      </c>
      <c r="P34" s="95">
        <v>856755708</v>
      </c>
      <c r="Q34" s="98" t="s">
        <v>5390</v>
      </c>
      <c r="R34" s="98" t="s">
        <v>5094</v>
      </c>
      <c r="S34" s="99"/>
      <c r="T34" s="100">
        <v>43477</v>
      </c>
      <c r="U34" s="100">
        <v>43842</v>
      </c>
      <c r="V34" s="99"/>
      <c r="W34" s="98" t="s">
        <v>5142</v>
      </c>
      <c r="X34" s="98" t="s">
        <v>5096</v>
      </c>
      <c r="Y34" s="99"/>
      <c r="Z34" s="99"/>
      <c r="AA34" s="99"/>
      <c r="AB34" s="99"/>
      <c r="AC34" s="99"/>
      <c r="AD34" s="99"/>
      <c r="AE34" s="99"/>
      <c r="AF34" s="99"/>
      <c r="AG34" s="95">
        <v>0</v>
      </c>
      <c r="AH34" s="94" t="s">
        <v>5162</v>
      </c>
      <c r="AI34" s="94" t="s">
        <v>5101</v>
      </c>
      <c r="AJ34" s="98" t="s">
        <v>5102</v>
      </c>
      <c r="AK34" s="98" t="s">
        <v>5391</v>
      </c>
      <c r="AL34" s="101" t="s">
        <v>5142</v>
      </c>
      <c r="AM34" s="99"/>
      <c r="AN34" s="98" t="s">
        <v>5079</v>
      </c>
      <c r="AO34" s="98" t="s">
        <v>5080</v>
      </c>
      <c r="AP34" s="98" t="s">
        <v>5392</v>
      </c>
      <c r="AQ34" s="102">
        <v>2013</v>
      </c>
      <c r="AR34" s="99"/>
      <c r="AS34" s="98" t="s">
        <v>5142</v>
      </c>
      <c r="AT34" s="99"/>
      <c r="AU34" s="98" t="s">
        <v>5162</v>
      </c>
      <c r="AV34" s="99"/>
      <c r="AW34" s="94" t="s">
        <v>5162</v>
      </c>
      <c r="AX34" s="95">
        <v>0</v>
      </c>
      <c r="AY34" s="98" t="s">
        <v>5167</v>
      </c>
      <c r="AZ34" s="102">
        <v>2</v>
      </c>
      <c r="BA34" s="102" t="s">
        <v>5237</v>
      </c>
      <c r="BB34" s="93"/>
    </row>
    <row r="35" spans="1:54" ht="13.8">
      <c r="A35" s="94" t="s">
        <v>5393</v>
      </c>
      <c r="B35" s="95" t="s">
        <v>4973</v>
      </c>
      <c r="C35" s="100">
        <v>32918</v>
      </c>
      <c r="D35" s="94" t="s">
        <v>2656</v>
      </c>
      <c r="E35" s="94" t="s">
        <v>4966</v>
      </c>
      <c r="F35" s="97" t="s">
        <v>4967</v>
      </c>
      <c r="G35" s="95">
        <v>4814009045</v>
      </c>
      <c r="H35" s="98" t="s">
        <v>5057</v>
      </c>
      <c r="I35" s="95">
        <v>48090000612</v>
      </c>
      <c r="J35" s="98" t="s">
        <v>5088</v>
      </c>
      <c r="K35" s="104">
        <v>45323</v>
      </c>
      <c r="L35" s="98" t="s">
        <v>5394</v>
      </c>
      <c r="M35" s="98" t="s">
        <v>5395</v>
      </c>
      <c r="N35" s="98" t="s">
        <v>5396</v>
      </c>
      <c r="O35" s="98" t="s">
        <v>5396</v>
      </c>
      <c r="P35" s="95">
        <v>935080081</v>
      </c>
      <c r="Q35" s="98" t="s">
        <v>5397</v>
      </c>
      <c r="R35" s="98" t="s">
        <v>5094</v>
      </c>
      <c r="S35" s="99"/>
      <c r="T35" s="100">
        <v>41640</v>
      </c>
      <c r="U35" s="100">
        <v>42005</v>
      </c>
      <c r="V35" s="98" t="s">
        <v>5243</v>
      </c>
      <c r="W35" s="98" t="s">
        <v>5142</v>
      </c>
      <c r="X35" s="98" t="s">
        <v>5096</v>
      </c>
      <c r="Y35" s="99"/>
      <c r="Z35" s="99"/>
      <c r="AA35" s="98" t="s">
        <v>5143</v>
      </c>
      <c r="AB35" s="95" t="s">
        <v>5144</v>
      </c>
      <c r="AC35" s="99"/>
      <c r="AD35" s="98" t="s">
        <v>5398</v>
      </c>
      <c r="AE35" s="95" t="s">
        <v>5399</v>
      </c>
      <c r="AF35" s="99"/>
      <c r="AG35" s="95">
        <v>1</v>
      </c>
      <c r="AH35" s="94" t="s">
        <v>5084</v>
      </c>
      <c r="AI35" s="94" t="s">
        <v>5122</v>
      </c>
      <c r="AJ35" s="98" t="s">
        <v>5266</v>
      </c>
      <c r="AK35" s="98" t="s">
        <v>5400</v>
      </c>
      <c r="AL35" s="101" t="s">
        <v>5142</v>
      </c>
      <c r="AM35" s="99"/>
      <c r="AN35" s="98" t="s">
        <v>5079</v>
      </c>
      <c r="AO35" s="98" t="s">
        <v>5080</v>
      </c>
      <c r="AP35" s="98" t="s">
        <v>5188</v>
      </c>
      <c r="AQ35" s="102">
        <v>2021</v>
      </c>
      <c r="AR35" s="99"/>
      <c r="AS35" s="98" t="s">
        <v>5142</v>
      </c>
      <c r="AT35" s="98" t="s">
        <v>5083</v>
      </c>
      <c r="AU35" s="98" t="s">
        <v>5228</v>
      </c>
      <c r="AV35" s="95">
        <v>0</v>
      </c>
      <c r="AW35" s="94" t="s">
        <v>5084</v>
      </c>
      <c r="AX35" s="95">
        <v>0</v>
      </c>
      <c r="AY35" s="98" t="s">
        <v>5167</v>
      </c>
      <c r="AZ35" s="102">
        <v>4</v>
      </c>
      <c r="BA35" s="102" t="s">
        <v>5168</v>
      </c>
      <c r="BB35" s="93"/>
    </row>
    <row r="36" spans="1:54" ht="13.8">
      <c r="A36" s="94" t="s">
        <v>5401</v>
      </c>
      <c r="B36" s="95" t="s">
        <v>4975</v>
      </c>
      <c r="C36" s="100">
        <v>28890</v>
      </c>
      <c r="D36" s="94" t="s">
        <v>2656</v>
      </c>
      <c r="E36" s="94" t="s">
        <v>4966</v>
      </c>
      <c r="F36" s="97" t="s">
        <v>4967</v>
      </c>
      <c r="G36" s="95">
        <v>4812039458</v>
      </c>
      <c r="H36" s="98" t="s">
        <v>5057</v>
      </c>
      <c r="I36" s="95">
        <v>48079002469</v>
      </c>
      <c r="J36" s="98" t="s">
        <v>5088</v>
      </c>
      <c r="K36" s="95" t="s">
        <v>5089</v>
      </c>
      <c r="L36" s="98" t="s">
        <v>5402</v>
      </c>
      <c r="M36" s="98" t="s">
        <v>5156</v>
      </c>
      <c r="N36" s="98" t="s">
        <v>5403</v>
      </c>
      <c r="O36" s="98" t="s">
        <v>5404</v>
      </c>
      <c r="P36" s="95">
        <v>793399744</v>
      </c>
      <c r="Q36" s="98" t="s">
        <v>5405</v>
      </c>
      <c r="R36" s="98" t="s">
        <v>5094</v>
      </c>
      <c r="S36" s="99"/>
      <c r="T36" s="100">
        <v>38127</v>
      </c>
      <c r="U36" s="100">
        <v>40553</v>
      </c>
      <c r="V36" s="98" t="s">
        <v>5095</v>
      </c>
      <c r="W36" s="98" t="s">
        <v>5406</v>
      </c>
      <c r="X36" s="98" t="s">
        <v>5096</v>
      </c>
      <c r="Y36" s="99"/>
      <c r="Z36" s="99"/>
      <c r="AA36" s="99"/>
      <c r="AB36" s="95" t="s">
        <v>5161</v>
      </c>
      <c r="AC36" s="99"/>
      <c r="AD36" s="99"/>
      <c r="AE36" s="95" t="s">
        <v>5161</v>
      </c>
      <c r="AF36" s="99"/>
      <c r="AG36" s="95">
        <v>1</v>
      </c>
      <c r="AH36" s="94" t="s">
        <v>5162</v>
      </c>
      <c r="AI36" s="94" t="s">
        <v>5122</v>
      </c>
      <c r="AJ36" s="98" t="s">
        <v>5407</v>
      </c>
      <c r="AK36" s="98" t="s">
        <v>5408</v>
      </c>
      <c r="AL36" s="101" t="s">
        <v>5406</v>
      </c>
      <c r="AM36" s="98" t="s">
        <v>5409</v>
      </c>
      <c r="AN36" s="98" t="s">
        <v>5079</v>
      </c>
      <c r="AO36" s="98" t="s">
        <v>5080</v>
      </c>
      <c r="AP36" s="102">
        <v>144</v>
      </c>
      <c r="AQ36" s="102">
        <v>2010</v>
      </c>
      <c r="AR36" s="99"/>
      <c r="AS36" s="99"/>
      <c r="AT36" s="99"/>
      <c r="AU36" s="98" t="s">
        <v>5220</v>
      </c>
      <c r="AV36" s="95">
        <v>0</v>
      </c>
      <c r="AW36" s="94" t="s">
        <v>5162</v>
      </c>
      <c r="AX36" s="95">
        <v>0</v>
      </c>
      <c r="AY36" s="98" t="s">
        <v>5152</v>
      </c>
      <c r="AZ36" s="102">
        <v>5</v>
      </c>
      <c r="BA36" s="102" t="s">
        <v>5153</v>
      </c>
      <c r="BB36" s="93"/>
    </row>
    <row r="37" spans="1:54" ht="13.8">
      <c r="A37" s="94" t="s">
        <v>889</v>
      </c>
      <c r="B37" s="95" t="s">
        <v>4977</v>
      </c>
      <c r="C37" s="100">
        <v>26703</v>
      </c>
      <c r="D37" s="94" t="s">
        <v>2665</v>
      </c>
      <c r="E37" s="94" t="s">
        <v>4966</v>
      </c>
      <c r="F37" s="97" t="s">
        <v>4967</v>
      </c>
      <c r="G37" s="95">
        <v>4809012904</v>
      </c>
      <c r="H37" s="98" t="s">
        <v>5057</v>
      </c>
      <c r="I37" s="95">
        <v>40173027375</v>
      </c>
      <c r="J37" s="98" t="s">
        <v>5088</v>
      </c>
      <c r="K37" s="95" t="s">
        <v>5089</v>
      </c>
      <c r="L37" s="98" t="s">
        <v>5410</v>
      </c>
      <c r="M37" s="98" t="s">
        <v>5411</v>
      </c>
      <c r="N37" s="98" t="s">
        <v>5412</v>
      </c>
      <c r="O37" s="98" t="s">
        <v>5412</v>
      </c>
      <c r="P37" s="95">
        <v>906556609</v>
      </c>
      <c r="Q37" s="98" t="s">
        <v>5413</v>
      </c>
      <c r="R37" s="98" t="s">
        <v>5094</v>
      </c>
      <c r="S37" s="99"/>
      <c r="T37" s="100">
        <v>39814</v>
      </c>
      <c r="U37" s="100">
        <v>40179</v>
      </c>
      <c r="V37" s="98" t="s">
        <v>5095</v>
      </c>
      <c r="W37" s="98" t="s">
        <v>5406</v>
      </c>
      <c r="X37" s="98" t="s">
        <v>5096</v>
      </c>
      <c r="Y37" s="99"/>
      <c r="Z37" s="99"/>
      <c r="AA37" s="99"/>
      <c r="AB37" s="95" t="s">
        <v>5161</v>
      </c>
      <c r="AC37" s="99"/>
      <c r="AD37" s="99"/>
      <c r="AE37" s="95" t="s">
        <v>5161</v>
      </c>
      <c r="AF37" s="99"/>
      <c r="AG37" s="95">
        <v>1</v>
      </c>
      <c r="AH37" s="94" t="s">
        <v>5162</v>
      </c>
      <c r="AI37" s="94" t="s">
        <v>5122</v>
      </c>
      <c r="AJ37" s="98" t="s">
        <v>5407</v>
      </c>
      <c r="AK37" s="98" t="s">
        <v>5408</v>
      </c>
      <c r="AL37" s="101" t="s">
        <v>5406</v>
      </c>
      <c r="AM37" s="98" t="s">
        <v>5409</v>
      </c>
      <c r="AN37" s="98" t="s">
        <v>5079</v>
      </c>
      <c r="AO37" s="98" t="s">
        <v>5080</v>
      </c>
      <c r="AP37" s="102">
        <v>144</v>
      </c>
      <c r="AQ37" s="102">
        <v>2008</v>
      </c>
      <c r="AR37" s="99"/>
      <c r="AS37" s="99"/>
      <c r="AT37" s="99"/>
      <c r="AU37" s="98" t="s">
        <v>5220</v>
      </c>
      <c r="AV37" s="95">
        <v>0</v>
      </c>
      <c r="AW37" s="94" t="s">
        <v>5162</v>
      </c>
      <c r="AX37" s="95">
        <v>0</v>
      </c>
      <c r="AY37" s="98" t="s">
        <v>5152</v>
      </c>
      <c r="AZ37" s="102">
        <v>6</v>
      </c>
      <c r="BA37" s="102" t="s">
        <v>5260</v>
      </c>
      <c r="BB37" s="93"/>
    </row>
    <row r="38" spans="1:54" ht="13.8">
      <c r="A38" s="94" t="s">
        <v>5414</v>
      </c>
      <c r="B38" s="95" t="s">
        <v>4979</v>
      </c>
      <c r="C38" s="100">
        <v>32193</v>
      </c>
      <c r="D38" s="94" t="s">
        <v>2656</v>
      </c>
      <c r="E38" s="94" t="s">
        <v>4966</v>
      </c>
      <c r="F38" s="97" t="s">
        <v>4967</v>
      </c>
      <c r="G38" s="95">
        <v>4810031396</v>
      </c>
      <c r="H38" s="98" t="s">
        <v>5181</v>
      </c>
      <c r="I38" s="95">
        <v>44088002279</v>
      </c>
      <c r="J38" s="98" t="s">
        <v>5088</v>
      </c>
      <c r="K38" s="95" t="s">
        <v>5277</v>
      </c>
      <c r="L38" s="98" t="s">
        <v>5415</v>
      </c>
      <c r="M38" s="98" t="s">
        <v>5416</v>
      </c>
      <c r="N38" s="98" t="s">
        <v>5417</v>
      </c>
      <c r="O38" s="98" t="s">
        <v>5418</v>
      </c>
      <c r="P38" s="95">
        <v>916045729</v>
      </c>
      <c r="Q38" s="98" t="s">
        <v>5419</v>
      </c>
      <c r="R38" s="98" t="s">
        <v>5094</v>
      </c>
      <c r="S38" s="99"/>
      <c r="T38" s="100">
        <v>40189</v>
      </c>
      <c r="U38" s="100">
        <v>40554</v>
      </c>
      <c r="V38" s="98" t="s">
        <v>5095</v>
      </c>
      <c r="W38" s="98" t="s">
        <v>5068</v>
      </c>
      <c r="X38" s="98" t="s">
        <v>5096</v>
      </c>
      <c r="Y38" s="98" t="s">
        <v>5068</v>
      </c>
      <c r="Z38" s="99"/>
      <c r="AA38" s="98" t="s">
        <v>5244</v>
      </c>
      <c r="AB38" s="95" t="s">
        <v>5420</v>
      </c>
      <c r="AC38" s="98" t="s">
        <v>5421</v>
      </c>
      <c r="AD38" s="98" t="s">
        <v>5422</v>
      </c>
      <c r="AE38" s="95" t="s">
        <v>5423</v>
      </c>
      <c r="AF38" s="99"/>
      <c r="AG38" s="95">
        <v>1</v>
      </c>
      <c r="AH38" s="94" t="s">
        <v>5074</v>
      </c>
      <c r="AI38" s="94" t="s">
        <v>5133</v>
      </c>
      <c r="AJ38" s="98" t="s">
        <v>5134</v>
      </c>
      <c r="AK38" s="98" t="s">
        <v>5424</v>
      </c>
      <c r="AL38" s="101" t="s">
        <v>5078</v>
      </c>
      <c r="AM38" s="99"/>
      <c r="AN38" s="98" t="s">
        <v>5079</v>
      </c>
      <c r="AO38" s="98" t="s">
        <v>5080</v>
      </c>
      <c r="AP38" s="98" t="s">
        <v>5425</v>
      </c>
      <c r="AQ38" s="102">
        <v>2023</v>
      </c>
      <c r="AR38" s="98" t="s">
        <v>5082</v>
      </c>
      <c r="AS38" s="99"/>
      <c r="AT38" s="98" t="s">
        <v>5083</v>
      </c>
      <c r="AU38" s="98" t="s">
        <v>5135</v>
      </c>
      <c r="AV38" s="95">
        <v>0</v>
      </c>
      <c r="AW38" s="94" t="s">
        <v>5074</v>
      </c>
      <c r="AX38" s="95">
        <v>0</v>
      </c>
      <c r="AY38" s="98" t="s">
        <v>5085</v>
      </c>
      <c r="AZ38" s="102">
        <v>1</v>
      </c>
      <c r="BA38" s="110">
        <v>46116</v>
      </c>
      <c r="BB38" s="93"/>
    </row>
    <row r="39" spans="1:54" ht="13.8">
      <c r="A39" s="94" t="s">
        <v>5426</v>
      </c>
      <c r="B39" s="95" t="s">
        <v>4981</v>
      </c>
      <c r="C39" s="100">
        <v>30946</v>
      </c>
      <c r="D39" s="94" t="s">
        <v>2665</v>
      </c>
      <c r="E39" s="94" t="s">
        <v>4966</v>
      </c>
      <c r="F39" s="97" t="s">
        <v>4967</v>
      </c>
      <c r="G39" s="95">
        <v>4810005106</v>
      </c>
      <c r="H39" s="98" t="s">
        <v>5057</v>
      </c>
      <c r="I39" s="95">
        <v>48184006609</v>
      </c>
      <c r="J39" s="98" t="s">
        <v>5088</v>
      </c>
      <c r="K39" s="95" t="s">
        <v>5089</v>
      </c>
      <c r="L39" s="98" t="s">
        <v>5427</v>
      </c>
      <c r="M39" s="98" t="s">
        <v>5224</v>
      </c>
      <c r="N39" s="98" t="s">
        <v>5428</v>
      </c>
      <c r="O39" s="98" t="s">
        <v>5428</v>
      </c>
      <c r="P39" s="95">
        <v>905519039</v>
      </c>
      <c r="Q39" s="98" t="s">
        <v>5429</v>
      </c>
      <c r="R39" s="98" t="s">
        <v>5094</v>
      </c>
      <c r="S39" s="99"/>
      <c r="T39" s="100">
        <v>40179</v>
      </c>
      <c r="U39" s="100">
        <v>40544</v>
      </c>
      <c r="V39" s="98" t="s">
        <v>5095</v>
      </c>
      <c r="W39" s="98" t="s">
        <v>5406</v>
      </c>
      <c r="X39" s="98" t="s">
        <v>5096</v>
      </c>
      <c r="Y39" s="99"/>
      <c r="Z39" s="99"/>
      <c r="AA39" s="99"/>
      <c r="AB39" s="95" t="s">
        <v>5161</v>
      </c>
      <c r="AC39" s="99"/>
      <c r="AD39" s="99"/>
      <c r="AE39" s="95" t="s">
        <v>5161</v>
      </c>
      <c r="AF39" s="99"/>
      <c r="AG39" s="95">
        <v>1</v>
      </c>
      <c r="AH39" s="94" t="s">
        <v>5162</v>
      </c>
      <c r="AI39" s="94" t="s">
        <v>5122</v>
      </c>
      <c r="AJ39" s="98" t="s">
        <v>5407</v>
      </c>
      <c r="AK39" s="98" t="s">
        <v>5408</v>
      </c>
      <c r="AL39" s="101" t="s">
        <v>5406</v>
      </c>
      <c r="AM39" s="98" t="s">
        <v>5409</v>
      </c>
      <c r="AN39" s="98" t="s">
        <v>5079</v>
      </c>
      <c r="AO39" s="98" t="s">
        <v>5080</v>
      </c>
      <c r="AP39" s="102">
        <v>144</v>
      </c>
      <c r="AQ39" s="102">
        <v>2007</v>
      </c>
      <c r="AR39" s="99"/>
      <c r="AS39" s="99"/>
      <c r="AT39" s="99"/>
      <c r="AU39" s="98" t="s">
        <v>5135</v>
      </c>
      <c r="AV39" s="95">
        <v>0</v>
      </c>
      <c r="AW39" s="94" t="s">
        <v>5162</v>
      </c>
      <c r="AX39" s="95">
        <v>0</v>
      </c>
      <c r="AY39" s="98" t="s">
        <v>5152</v>
      </c>
      <c r="AZ39" s="102">
        <v>6</v>
      </c>
      <c r="BA39" s="102" t="s">
        <v>5260</v>
      </c>
      <c r="BB39" s="93"/>
    </row>
    <row r="40" spans="1:54" ht="13.8">
      <c r="A40" s="94" t="s">
        <v>5430</v>
      </c>
      <c r="B40" s="95" t="s">
        <v>4983</v>
      </c>
      <c r="C40" s="96">
        <v>26603</v>
      </c>
      <c r="D40" s="94" t="s">
        <v>2665</v>
      </c>
      <c r="E40" s="94" t="s">
        <v>4966</v>
      </c>
      <c r="F40" s="97" t="s">
        <v>4967</v>
      </c>
      <c r="G40" s="95">
        <v>402001306</v>
      </c>
      <c r="H40" s="98" t="s">
        <v>5057</v>
      </c>
      <c r="I40" s="95">
        <v>52172020911</v>
      </c>
      <c r="J40" s="98" t="s">
        <v>5088</v>
      </c>
      <c r="K40" s="95" t="s">
        <v>5089</v>
      </c>
      <c r="L40" s="98" t="s">
        <v>5431</v>
      </c>
      <c r="M40" s="98" t="s">
        <v>5432</v>
      </c>
      <c r="N40" s="98" t="s">
        <v>5433</v>
      </c>
      <c r="O40" s="98" t="s">
        <v>5433</v>
      </c>
      <c r="P40" s="95">
        <v>925228249</v>
      </c>
      <c r="Q40" s="98" t="s">
        <v>5434</v>
      </c>
      <c r="R40" s="98" t="s">
        <v>5094</v>
      </c>
      <c r="S40" s="99"/>
      <c r="T40" s="100">
        <v>36802</v>
      </c>
      <c r="U40" s="100">
        <v>40089</v>
      </c>
      <c r="V40" s="98" t="s">
        <v>5095</v>
      </c>
      <c r="W40" s="98" t="s">
        <v>5406</v>
      </c>
      <c r="X40" s="98" t="s">
        <v>5096</v>
      </c>
      <c r="Y40" s="98" t="s">
        <v>5435</v>
      </c>
      <c r="Z40" s="99"/>
      <c r="AA40" s="99"/>
      <c r="AB40" s="99"/>
      <c r="AC40" s="99"/>
      <c r="AD40" s="98" t="s">
        <v>5436</v>
      </c>
      <c r="AE40" s="95" t="s">
        <v>5161</v>
      </c>
      <c r="AF40" s="99"/>
      <c r="AG40" s="95">
        <v>1</v>
      </c>
      <c r="AH40" s="94" t="s">
        <v>5162</v>
      </c>
      <c r="AI40" s="94" t="s">
        <v>5122</v>
      </c>
      <c r="AJ40" s="98" t="s">
        <v>5266</v>
      </c>
      <c r="AK40" s="98" t="s">
        <v>5437</v>
      </c>
      <c r="AL40" s="101" t="s">
        <v>5406</v>
      </c>
      <c r="AM40" s="98" t="s">
        <v>5438</v>
      </c>
      <c r="AN40" s="98" t="s">
        <v>5079</v>
      </c>
      <c r="AO40" s="98" t="s">
        <v>5080</v>
      </c>
      <c r="AP40" s="102">
        <v>3</v>
      </c>
      <c r="AQ40" s="102">
        <v>1994</v>
      </c>
      <c r="AR40" s="99"/>
      <c r="AS40" s="99"/>
      <c r="AT40" s="99"/>
      <c r="AU40" s="98" t="s">
        <v>5135</v>
      </c>
      <c r="AV40" s="95">
        <v>0</v>
      </c>
      <c r="AW40" s="94" t="s">
        <v>5162</v>
      </c>
      <c r="AX40" s="95">
        <v>0</v>
      </c>
      <c r="AY40" s="98" t="s">
        <v>5152</v>
      </c>
      <c r="AZ40" s="102">
        <v>9</v>
      </c>
      <c r="BA40" s="102" t="s">
        <v>5221</v>
      </c>
      <c r="BB40" s="93"/>
    </row>
    <row r="41" spans="1:54" ht="13.8">
      <c r="A41" s="94" t="s">
        <v>5439</v>
      </c>
      <c r="B41" s="95" t="s">
        <v>4985</v>
      </c>
      <c r="C41" s="100">
        <v>31942</v>
      </c>
      <c r="D41" s="94" t="s">
        <v>2656</v>
      </c>
      <c r="E41" s="94" t="s">
        <v>4966</v>
      </c>
      <c r="F41" s="97" t="s">
        <v>4967</v>
      </c>
      <c r="G41" s="95">
        <v>4816037920</v>
      </c>
      <c r="H41" s="98" t="s">
        <v>5057</v>
      </c>
      <c r="I41" s="95">
        <v>44087007969</v>
      </c>
      <c r="J41" s="98" t="s">
        <v>5088</v>
      </c>
      <c r="K41" s="104">
        <v>44572</v>
      </c>
      <c r="L41" s="98" t="s">
        <v>5440</v>
      </c>
      <c r="M41" s="98" t="s">
        <v>5441</v>
      </c>
      <c r="N41" s="98" t="s">
        <v>5442</v>
      </c>
      <c r="O41" s="98" t="s">
        <v>5443</v>
      </c>
      <c r="P41" s="95">
        <v>936175456</v>
      </c>
      <c r="Q41" s="98" t="s">
        <v>5444</v>
      </c>
      <c r="R41" s="98" t="s">
        <v>5094</v>
      </c>
      <c r="S41" s="99"/>
      <c r="T41" s="100">
        <v>44568</v>
      </c>
      <c r="U41" s="100">
        <v>44568</v>
      </c>
      <c r="V41" s="99"/>
      <c r="W41" s="98" t="s">
        <v>5142</v>
      </c>
      <c r="X41" s="98" t="s">
        <v>5187</v>
      </c>
      <c r="Y41" s="99"/>
      <c r="Z41" s="99"/>
      <c r="AA41" s="99"/>
      <c r="AB41" s="99"/>
      <c r="AC41" s="99"/>
      <c r="AD41" s="99"/>
      <c r="AE41" s="104">
        <v>44805</v>
      </c>
      <c r="AF41" s="99"/>
      <c r="AG41" s="95">
        <v>0</v>
      </c>
      <c r="AH41" s="94" t="s">
        <v>5162</v>
      </c>
      <c r="AI41" s="94" t="s">
        <v>5133</v>
      </c>
      <c r="AJ41" s="98" t="s">
        <v>5134</v>
      </c>
      <c r="AK41" s="98" t="s">
        <v>2966</v>
      </c>
      <c r="AL41" s="101" t="s">
        <v>5142</v>
      </c>
      <c r="AM41" s="99"/>
      <c r="AN41" s="98" t="s">
        <v>5079</v>
      </c>
      <c r="AO41" s="98" t="s">
        <v>5080</v>
      </c>
      <c r="AP41" s="98" t="s">
        <v>5188</v>
      </c>
      <c r="AQ41" s="102">
        <v>2012</v>
      </c>
      <c r="AR41" s="98" t="s">
        <v>5200</v>
      </c>
      <c r="AS41" s="98" t="s">
        <v>5142</v>
      </c>
      <c r="AT41" s="99"/>
      <c r="AU41" s="98" t="s">
        <v>5151</v>
      </c>
      <c r="AV41" s="99"/>
      <c r="AW41" s="94" t="s">
        <v>5162</v>
      </c>
      <c r="AX41" s="95">
        <v>0</v>
      </c>
      <c r="AY41" s="98" t="s">
        <v>5167</v>
      </c>
      <c r="AZ41" s="102">
        <v>2</v>
      </c>
      <c r="BA41" s="102" t="s">
        <v>5237</v>
      </c>
      <c r="BB41" s="93"/>
    </row>
    <row r="42" spans="1:54" ht="13.8">
      <c r="A42" s="94" t="s">
        <v>5445</v>
      </c>
      <c r="B42" s="95" t="s">
        <v>4987</v>
      </c>
      <c r="C42" s="100">
        <v>33101</v>
      </c>
      <c r="D42" s="94" t="s">
        <v>2665</v>
      </c>
      <c r="E42" s="94" t="s">
        <v>4966</v>
      </c>
      <c r="F42" s="97" t="s">
        <v>4967</v>
      </c>
      <c r="G42" s="95">
        <v>4814009952</v>
      </c>
      <c r="H42" s="98" t="s">
        <v>5057</v>
      </c>
      <c r="I42" s="95">
        <v>52190018961</v>
      </c>
      <c r="J42" s="98" t="s">
        <v>5088</v>
      </c>
      <c r="K42" s="95" t="s">
        <v>5089</v>
      </c>
      <c r="L42" s="98" t="s">
        <v>5446</v>
      </c>
      <c r="M42" s="98" t="s">
        <v>5447</v>
      </c>
      <c r="N42" s="98" t="s">
        <v>5448</v>
      </c>
      <c r="O42" s="98" t="s">
        <v>5448</v>
      </c>
      <c r="P42" s="95">
        <v>773499429</v>
      </c>
      <c r="Q42" s="98" t="s">
        <v>5449</v>
      </c>
      <c r="R42" s="98" t="s">
        <v>5094</v>
      </c>
      <c r="S42" s="99"/>
      <c r="T42" s="100">
        <v>41642</v>
      </c>
      <c r="U42" s="109"/>
      <c r="V42" s="98" t="s">
        <v>5095</v>
      </c>
      <c r="W42" s="98" t="s">
        <v>5450</v>
      </c>
      <c r="X42" s="98" t="s">
        <v>5096</v>
      </c>
      <c r="Y42" s="98" t="s">
        <v>5450</v>
      </c>
      <c r="Z42" s="99"/>
      <c r="AA42" s="99"/>
      <c r="AB42" s="99"/>
      <c r="AC42" s="99"/>
      <c r="AD42" s="99"/>
      <c r="AE42" s="99"/>
      <c r="AF42" s="99"/>
      <c r="AG42" s="95">
        <v>1</v>
      </c>
      <c r="AH42" s="94" t="s">
        <v>5162</v>
      </c>
      <c r="AI42" s="94" t="s">
        <v>5451</v>
      </c>
      <c r="AJ42" s="98" t="s">
        <v>5452</v>
      </c>
      <c r="AK42" s="98" t="s">
        <v>5453</v>
      </c>
      <c r="AL42" s="101" t="s">
        <v>5454</v>
      </c>
      <c r="AM42" s="99"/>
      <c r="AN42" s="98" t="s">
        <v>5455</v>
      </c>
      <c r="AO42" s="98" t="s">
        <v>5080</v>
      </c>
      <c r="AP42" s="98" t="s">
        <v>5456</v>
      </c>
      <c r="AQ42" s="102">
        <v>2022</v>
      </c>
      <c r="AR42" s="99"/>
      <c r="AS42" s="99"/>
      <c r="AT42" s="99"/>
      <c r="AU42" s="98" t="s">
        <v>5220</v>
      </c>
      <c r="AV42" s="99"/>
      <c r="AW42" s="94" t="s">
        <v>5162</v>
      </c>
      <c r="AX42" s="95">
        <v>0</v>
      </c>
      <c r="AY42" s="98" t="s">
        <v>5457</v>
      </c>
      <c r="AZ42" s="102">
        <v>6</v>
      </c>
      <c r="BA42" s="102" t="s">
        <v>5458</v>
      </c>
      <c r="BB42" s="93"/>
    </row>
    <row r="43" spans="1:54" ht="13.8">
      <c r="A43" s="94" t="s">
        <v>5459</v>
      </c>
      <c r="B43" s="95" t="s">
        <v>4989</v>
      </c>
      <c r="C43" s="100">
        <v>31839</v>
      </c>
      <c r="D43" s="94" t="s">
        <v>2665</v>
      </c>
      <c r="E43" s="94" t="s">
        <v>4966</v>
      </c>
      <c r="F43" s="97" t="s">
        <v>4967</v>
      </c>
      <c r="G43" s="95">
        <v>4815010569</v>
      </c>
      <c r="H43" s="98" t="s">
        <v>5057</v>
      </c>
      <c r="I43" s="95">
        <v>52187013514</v>
      </c>
      <c r="J43" s="98" t="s">
        <v>5088</v>
      </c>
      <c r="K43" s="95" t="s">
        <v>5089</v>
      </c>
      <c r="L43" s="98" t="s">
        <v>5446</v>
      </c>
      <c r="M43" s="98" t="s">
        <v>5460</v>
      </c>
      <c r="N43" s="98" t="s">
        <v>5461</v>
      </c>
      <c r="O43" s="98" t="s">
        <v>5461</v>
      </c>
      <c r="P43" s="95">
        <v>903386997</v>
      </c>
      <c r="Q43" s="98" t="s">
        <v>5462</v>
      </c>
      <c r="R43" s="98" t="s">
        <v>5094</v>
      </c>
      <c r="S43" s="99"/>
      <c r="T43" s="100">
        <v>43477</v>
      </c>
      <c r="U43" s="100">
        <v>43477</v>
      </c>
      <c r="V43" s="98" t="s">
        <v>5243</v>
      </c>
      <c r="W43" s="98" t="s">
        <v>5142</v>
      </c>
      <c r="X43" s="98" t="s">
        <v>5096</v>
      </c>
      <c r="Y43" s="99"/>
      <c r="Z43" s="99"/>
      <c r="AA43" s="99"/>
      <c r="AB43" s="99"/>
      <c r="AC43" s="99"/>
      <c r="AD43" s="99"/>
      <c r="AE43" s="99"/>
      <c r="AF43" s="99"/>
      <c r="AG43" s="95">
        <v>1</v>
      </c>
      <c r="AH43" s="94" t="s">
        <v>5162</v>
      </c>
      <c r="AI43" s="94" t="s">
        <v>5163</v>
      </c>
      <c r="AJ43" s="98" t="s">
        <v>5164</v>
      </c>
      <c r="AK43" s="98" t="s">
        <v>5257</v>
      </c>
      <c r="AL43" s="101" t="s">
        <v>5142</v>
      </c>
      <c r="AM43" s="99"/>
      <c r="AN43" s="98" t="s">
        <v>5079</v>
      </c>
      <c r="AO43" s="98" t="s">
        <v>5080</v>
      </c>
      <c r="AP43" s="98" t="s">
        <v>5463</v>
      </c>
      <c r="AQ43" s="102">
        <v>2013</v>
      </c>
      <c r="AR43" s="99"/>
      <c r="AS43" s="98" t="s">
        <v>5142</v>
      </c>
      <c r="AT43" s="99"/>
      <c r="AU43" s="98" t="s">
        <v>5151</v>
      </c>
      <c r="AV43" s="99"/>
      <c r="AW43" s="94" t="s">
        <v>5162</v>
      </c>
      <c r="AX43" s="95">
        <v>0</v>
      </c>
      <c r="AY43" s="98" t="s">
        <v>5167</v>
      </c>
      <c r="AZ43" s="102">
        <v>2</v>
      </c>
      <c r="BA43" s="102" t="s">
        <v>5237</v>
      </c>
      <c r="BB43" s="93"/>
    </row>
    <row r="44" spans="1:54" ht="13.8">
      <c r="A44" s="94" t="s">
        <v>5464</v>
      </c>
      <c r="B44" s="95" t="s">
        <v>4991</v>
      </c>
      <c r="C44" s="100">
        <v>29607</v>
      </c>
      <c r="D44" s="94" t="s">
        <v>2665</v>
      </c>
      <c r="E44" s="94" t="s">
        <v>4966</v>
      </c>
      <c r="F44" s="97" t="s">
        <v>4967</v>
      </c>
      <c r="G44" s="95">
        <v>4813017671</v>
      </c>
      <c r="H44" s="98" t="s">
        <v>5057</v>
      </c>
      <c r="I44" s="95">
        <v>48181004487</v>
      </c>
      <c r="J44" s="98" t="s">
        <v>5088</v>
      </c>
      <c r="K44" s="95" t="s">
        <v>5089</v>
      </c>
      <c r="L44" s="98" t="s">
        <v>5155</v>
      </c>
      <c r="M44" s="98" t="s">
        <v>5465</v>
      </c>
      <c r="N44" s="98" t="s">
        <v>5466</v>
      </c>
      <c r="O44" s="98" t="s">
        <v>5467</v>
      </c>
      <c r="P44" s="95">
        <v>917980247</v>
      </c>
      <c r="Q44" s="98" t="s">
        <v>5468</v>
      </c>
      <c r="R44" s="98" t="s">
        <v>5094</v>
      </c>
      <c r="S44" s="99"/>
      <c r="T44" s="100">
        <v>41642</v>
      </c>
      <c r="U44" s="108" t="s">
        <v>5161</v>
      </c>
      <c r="V44" s="98" t="s">
        <v>5095</v>
      </c>
      <c r="W44" s="98" t="s">
        <v>5469</v>
      </c>
      <c r="X44" s="98" t="s">
        <v>5096</v>
      </c>
      <c r="Y44" s="98" t="s">
        <v>5469</v>
      </c>
      <c r="Z44" s="99"/>
      <c r="AA44" s="99"/>
      <c r="AB44" s="95" t="s">
        <v>5161</v>
      </c>
      <c r="AC44" s="99"/>
      <c r="AD44" s="99"/>
      <c r="AE44" s="95" t="s">
        <v>5161</v>
      </c>
      <c r="AF44" s="99"/>
      <c r="AG44" s="95">
        <v>1</v>
      </c>
      <c r="AH44" s="94" t="s">
        <v>5470</v>
      </c>
      <c r="AI44" s="94" t="s">
        <v>5133</v>
      </c>
      <c r="AJ44" s="98" t="s">
        <v>5134</v>
      </c>
      <c r="AK44" s="98" t="s">
        <v>5471</v>
      </c>
      <c r="AL44" s="101" t="s">
        <v>5472</v>
      </c>
      <c r="AM44" s="98" t="s">
        <v>5268</v>
      </c>
      <c r="AN44" s="98" t="s">
        <v>5259</v>
      </c>
      <c r="AO44" s="98" t="s">
        <v>5080</v>
      </c>
      <c r="AP44" s="102">
        <v>83</v>
      </c>
      <c r="AQ44" s="102">
        <v>2007</v>
      </c>
      <c r="AR44" s="99"/>
      <c r="AS44" s="99"/>
      <c r="AT44" s="99"/>
      <c r="AU44" s="98" t="s">
        <v>5228</v>
      </c>
      <c r="AV44" s="95">
        <v>0</v>
      </c>
      <c r="AW44" s="94" t="s">
        <v>5470</v>
      </c>
      <c r="AX44" s="95">
        <v>0</v>
      </c>
      <c r="AY44" s="98" t="s">
        <v>5472</v>
      </c>
      <c r="AZ44" s="102">
        <v>6</v>
      </c>
      <c r="BA44" s="102" t="s">
        <v>5473</v>
      </c>
      <c r="BB44" s="93"/>
    </row>
    <row r="45" spans="1:54" ht="13.8">
      <c r="A45" s="94" t="s">
        <v>5474</v>
      </c>
      <c r="B45" s="95" t="s">
        <v>4993</v>
      </c>
      <c r="C45" s="96">
        <v>35783</v>
      </c>
      <c r="D45" s="94" t="s">
        <v>2665</v>
      </c>
      <c r="E45" s="94" t="s">
        <v>4966</v>
      </c>
      <c r="F45" s="97" t="s">
        <v>4967</v>
      </c>
      <c r="G45" s="95">
        <v>4820454293</v>
      </c>
      <c r="H45" s="98" t="s">
        <v>5057</v>
      </c>
      <c r="I45" s="95">
        <v>48197003134</v>
      </c>
      <c r="J45" s="98" t="s">
        <v>5088</v>
      </c>
      <c r="K45" s="95" t="s">
        <v>5475</v>
      </c>
      <c r="L45" s="98" t="s">
        <v>5476</v>
      </c>
      <c r="M45" s="98" t="s">
        <v>5477</v>
      </c>
      <c r="N45" s="98" t="s">
        <v>5477</v>
      </c>
      <c r="O45" s="98" t="s">
        <v>5478</v>
      </c>
      <c r="P45" s="95">
        <v>375509799</v>
      </c>
      <c r="Q45" s="98" t="s">
        <v>5479</v>
      </c>
      <c r="R45" s="98" t="s">
        <v>5094</v>
      </c>
      <c r="S45" s="99"/>
      <c r="T45" s="100">
        <v>46023</v>
      </c>
      <c r="U45" s="109"/>
      <c r="V45" s="99"/>
      <c r="W45" s="99"/>
      <c r="X45" s="98" t="s">
        <v>5480</v>
      </c>
      <c r="Y45" s="99"/>
      <c r="Z45" s="99"/>
      <c r="AA45" s="99"/>
      <c r="AB45" s="99"/>
      <c r="AC45" s="99"/>
      <c r="AD45" s="99"/>
      <c r="AE45" s="99"/>
      <c r="AF45" s="99"/>
      <c r="AG45" s="95">
        <v>0</v>
      </c>
      <c r="AH45" s="94" t="s">
        <v>5162</v>
      </c>
      <c r="AI45" s="94" t="s">
        <v>5122</v>
      </c>
      <c r="AJ45" s="98" t="s">
        <v>5481</v>
      </c>
      <c r="AK45" s="98" t="s">
        <v>5482</v>
      </c>
      <c r="AL45" s="101" t="s">
        <v>5142</v>
      </c>
      <c r="AM45" s="99"/>
      <c r="AN45" s="98" t="s">
        <v>5079</v>
      </c>
      <c r="AO45" s="98" t="s">
        <v>5080</v>
      </c>
      <c r="AP45" s="98" t="s">
        <v>5179</v>
      </c>
      <c r="AQ45" s="102">
        <v>2020</v>
      </c>
      <c r="AR45" s="99"/>
      <c r="AS45" s="99"/>
      <c r="AT45" s="99"/>
      <c r="AU45" s="98" t="s">
        <v>5483</v>
      </c>
      <c r="AV45" s="99"/>
      <c r="AW45" s="94" t="s">
        <v>5162</v>
      </c>
      <c r="AX45" s="95">
        <v>1</v>
      </c>
      <c r="AY45" s="98" t="s">
        <v>5167</v>
      </c>
      <c r="AZ45" s="102">
        <v>1</v>
      </c>
      <c r="BA45" s="102" t="s">
        <v>5189</v>
      </c>
      <c r="BB45" s="93"/>
    </row>
    <row r="46" spans="1:54" ht="13.8">
      <c r="A46" s="94" t="s">
        <v>649</v>
      </c>
      <c r="B46" s="95" t="s">
        <v>4995</v>
      </c>
      <c r="C46" s="100">
        <v>30794</v>
      </c>
      <c r="D46" s="94" t="s">
        <v>2665</v>
      </c>
      <c r="E46" s="94" t="s">
        <v>1328</v>
      </c>
      <c r="F46" s="97" t="s">
        <v>1329</v>
      </c>
      <c r="G46" s="95">
        <v>4808000431</v>
      </c>
      <c r="H46" s="98" t="s">
        <v>5057</v>
      </c>
      <c r="I46" s="95">
        <v>49183016227</v>
      </c>
      <c r="J46" s="98" t="s">
        <v>5088</v>
      </c>
      <c r="K46" s="95" t="s">
        <v>5089</v>
      </c>
      <c r="L46" s="98" t="s">
        <v>5484</v>
      </c>
      <c r="M46" s="98" t="s">
        <v>5485</v>
      </c>
      <c r="N46" s="98" t="s">
        <v>5486</v>
      </c>
      <c r="O46" s="98" t="s">
        <v>5487</v>
      </c>
      <c r="P46" s="95">
        <v>774531780</v>
      </c>
      <c r="Q46" s="98" t="s">
        <v>5488</v>
      </c>
      <c r="R46" s="98" t="s">
        <v>5094</v>
      </c>
      <c r="S46" s="99"/>
      <c r="T46" s="100">
        <v>39086</v>
      </c>
      <c r="U46" s="100">
        <v>39456</v>
      </c>
      <c r="V46" s="98" t="s">
        <v>5243</v>
      </c>
      <c r="W46" s="98" t="s">
        <v>5068</v>
      </c>
      <c r="X46" s="98" t="s">
        <v>5096</v>
      </c>
      <c r="Y46" s="98" t="s">
        <v>5068</v>
      </c>
      <c r="Z46" s="99"/>
      <c r="AA46" s="99"/>
      <c r="AB46" s="95" t="s">
        <v>5161</v>
      </c>
      <c r="AC46" s="99"/>
      <c r="AD46" s="99"/>
      <c r="AE46" s="95" t="s">
        <v>5161</v>
      </c>
      <c r="AF46" s="99"/>
      <c r="AG46" s="95">
        <v>1</v>
      </c>
      <c r="AH46" s="94" t="s">
        <v>5074</v>
      </c>
      <c r="AI46" s="94" t="s">
        <v>5075</v>
      </c>
      <c r="AJ46" s="98" t="s">
        <v>5489</v>
      </c>
      <c r="AK46" s="98" t="s">
        <v>5490</v>
      </c>
      <c r="AL46" s="101" t="s">
        <v>5078</v>
      </c>
      <c r="AM46" s="99"/>
      <c r="AN46" s="98" t="s">
        <v>5079</v>
      </c>
      <c r="AO46" s="98" t="s">
        <v>5080</v>
      </c>
      <c r="AP46" s="98" t="s">
        <v>5179</v>
      </c>
      <c r="AQ46" s="102">
        <v>2010</v>
      </c>
      <c r="AR46" s="99"/>
      <c r="AS46" s="99"/>
      <c r="AT46" s="99"/>
      <c r="AU46" s="98" t="s">
        <v>5135</v>
      </c>
      <c r="AV46" s="95">
        <v>0</v>
      </c>
      <c r="AW46" s="94" t="s">
        <v>5074</v>
      </c>
      <c r="AX46" s="95">
        <v>0</v>
      </c>
      <c r="AY46" s="98" t="s">
        <v>5085</v>
      </c>
      <c r="AZ46" s="102">
        <v>2</v>
      </c>
      <c r="BA46" s="102" t="s">
        <v>5086</v>
      </c>
      <c r="BB46" s="93"/>
    </row>
    <row r="47" spans="1:54" ht="13.8">
      <c r="A47" s="94" t="s">
        <v>5491</v>
      </c>
      <c r="B47" s="95" t="s">
        <v>4997</v>
      </c>
      <c r="C47" s="100">
        <v>30317</v>
      </c>
      <c r="D47" s="94" t="s">
        <v>2665</v>
      </c>
      <c r="E47" s="94" t="s">
        <v>1328</v>
      </c>
      <c r="F47" s="97" t="s">
        <v>1329</v>
      </c>
      <c r="G47" s="95">
        <v>4808004725</v>
      </c>
      <c r="H47" s="98" t="s">
        <v>5057</v>
      </c>
      <c r="I47" s="95">
        <v>49184007361</v>
      </c>
      <c r="J47" s="98" t="s">
        <v>5088</v>
      </c>
      <c r="K47" s="95" t="s">
        <v>5089</v>
      </c>
      <c r="L47" s="98" t="s">
        <v>5492</v>
      </c>
      <c r="M47" s="98" t="s">
        <v>5493</v>
      </c>
      <c r="N47" s="98" t="s">
        <v>5494</v>
      </c>
      <c r="O47" s="98" t="s">
        <v>5494</v>
      </c>
      <c r="P47" s="95">
        <v>905062242</v>
      </c>
      <c r="Q47" s="98" t="s">
        <v>5495</v>
      </c>
      <c r="R47" s="98" t="s">
        <v>5094</v>
      </c>
      <c r="S47" s="99"/>
      <c r="T47" s="100">
        <v>38362</v>
      </c>
      <c r="U47" s="100">
        <v>38727</v>
      </c>
      <c r="V47" s="98" t="s">
        <v>5095</v>
      </c>
      <c r="W47" s="98" t="s">
        <v>5068</v>
      </c>
      <c r="X47" s="98" t="s">
        <v>5096</v>
      </c>
      <c r="Y47" s="98" t="s">
        <v>5066</v>
      </c>
      <c r="Z47" s="99"/>
      <c r="AA47" s="99"/>
      <c r="AB47" s="99"/>
      <c r="AC47" s="99"/>
      <c r="AD47" s="98" t="s">
        <v>5496</v>
      </c>
      <c r="AE47" s="95" t="s">
        <v>5497</v>
      </c>
      <c r="AF47" s="99"/>
      <c r="AG47" s="95">
        <v>1</v>
      </c>
      <c r="AH47" s="94" t="s">
        <v>5084</v>
      </c>
      <c r="AI47" s="94" t="s">
        <v>5075</v>
      </c>
      <c r="AJ47" s="98" t="s">
        <v>5076</v>
      </c>
      <c r="AK47" s="98" t="s">
        <v>5498</v>
      </c>
      <c r="AL47" s="101" t="s">
        <v>5078</v>
      </c>
      <c r="AM47" s="98" t="s">
        <v>2915</v>
      </c>
      <c r="AN47" s="98" t="s">
        <v>5079</v>
      </c>
      <c r="AO47" s="98" t="s">
        <v>2915</v>
      </c>
      <c r="AP47" s="102">
        <v>911</v>
      </c>
      <c r="AQ47" s="102">
        <v>2016</v>
      </c>
      <c r="AR47" s="98" t="s">
        <v>5082</v>
      </c>
      <c r="AS47" s="99"/>
      <c r="AT47" s="98" t="s">
        <v>5083</v>
      </c>
      <c r="AU47" s="98" t="s">
        <v>5074</v>
      </c>
      <c r="AV47" s="95">
        <v>0</v>
      </c>
      <c r="AW47" s="94" t="s">
        <v>5084</v>
      </c>
      <c r="AX47" s="95">
        <v>0</v>
      </c>
      <c r="AY47" s="98" t="s">
        <v>5085</v>
      </c>
      <c r="AZ47" s="102">
        <v>2</v>
      </c>
      <c r="BA47" s="102" t="s">
        <v>5086</v>
      </c>
      <c r="BB47" s="93"/>
    </row>
    <row r="48" spans="1:54" ht="13.8">
      <c r="A48" s="94" t="s">
        <v>5499</v>
      </c>
      <c r="B48" s="95" t="s">
        <v>4999</v>
      </c>
      <c r="C48" s="100">
        <v>27514</v>
      </c>
      <c r="D48" s="94" t="s">
        <v>2656</v>
      </c>
      <c r="E48" s="94" t="s">
        <v>1328</v>
      </c>
      <c r="F48" s="97" t="s">
        <v>1329</v>
      </c>
      <c r="G48" s="95">
        <v>402001222</v>
      </c>
      <c r="H48" s="98" t="s">
        <v>5057</v>
      </c>
      <c r="I48" s="95">
        <v>44075013194</v>
      </c>
      <c r="J48" s="98" t="s">
        <v>5088</v>
      </c>
      <c r="K48" s="95" t="s">
        <v>5089</v>
      </c>
      <c r="L48" s="98" t="s">
        <v>5500</v>
      </c>
      <c r="M48" s="98" t="s">
        <v>5501</v>
      </c>
      <c r="N48" s="98" t="s">
        <v>5502</v>
      </c>
      <c r="O48" s="98" t="s">
        <v>5502</v>
      </c>
      <c r="P48" s="95">
        <v>935222304</v>
      </c>
      <c r="Q48" s="98" t="s">
        <v>5503</v>
      </c>
      <c r="R48" s="98" t="s">
        <v>5094</v>
      </c>
      <c r="S48" s="99"/>
      <c r="T48" s="100">
        <v>35805</v>
      </c>
      <c r="U48" s="100">
        <v>36534</v>
      </c>
      <c r="V48" s="98" t="s">
        <v>5095</v>
      </c>
      <c r="W48" s="98" t="s">
        <v>5068</v>
      </c>
      <c r="X48" s="98" t="s">
        <v>5096</v>
      </c>
      <c r="Y48" s="98" t="s">
        <v>5068</v>
      </c>
      <c r="Z48" s="99"/>
      <c r="AA48" s="99"/>
      <c r="AB48" s="104">
        <v>40182</v>
      </c>
      <c r="AC48" s="99"/>
      <c r="AD48" s="98" t="s">
        <v>5504</v>
      </c>
      <c r="AE48" s="95" t="s">
        <v>5161</v>
      </c>
      <c r="AF48" s="99"/>
      <c r="AG48" s="95">
        <v>1</v>
      </c>
      <c r="AH48" s="94" t="s">
        <v>5074</v>
      </c>
      <c r="AI48" s="94" t="s">
        <v>5133</v>
      </c>
      <c r="AJ48" s="98" t="s">
        <v>5134</v>
      </c>
      <c r="AK48" s="98" t="s">
        <v>5498</v>
      </c>
      <c r="AL48" s="101" t="s">
        <v>5078</v>
      </c>
      <c r="AM48" s="99"/>
      <c r="AN48" s="98" t="s">
        <v>5079</v>
      </c>
      <c r="AO48" s="98" t="s">
        <v>5080</v>
      </c>
      <c r="AP48" s="98" t="s">
        <v>5392</v>
      </c>
      <c r="AQ48" s="102">
        <v>2024</v>
      </c>
      <c r="AR48" s="98" t="s">
        <v>5200</v>
      </c>
      <c r="AS48" s="99"/>
      <c r="AT48" s="98" t="s">
        <v>5083</v>
      </c>
      <c r="AU48" s="98" t="s">
        <v>5084</v>
      </c>
      <c r="AV48" s="95">
        <v>0</v>
      </c>
      <c r="AW48" s="94" t="s">
        <v>5074</v>
      </c>
      <c r="AX48" s="95">
        <v>0</v>
      </c>
      <c r="AY48" s="98" t="s">
        <v>5085</v>
      </c>
      <c r="AZ48" s="102">
        <v>3</v>
      </c>
      <c r="BA48" s="105">
        <v>46239</v>
      </c>
      <c r="BB48" s="93"/>
    </row>
    <row r="49" spans="1:54" ht="13.8">
      <c r="A49" s="94" t="s">
        <v>5505</v>
      </c>
      <c r="B49" s="95" t="s">
        <v>5001</v>
      </c>
      <c r="C49" s="100">
        <v>29104</v>
      </c>
      <c r="D49" s="94" t="s">
        <v>2656</v>
      </c>
      <c r="E49" s="94" t="s">
        <v>1328</v>
      </c>
      <c r="F49" s="97" t="s">
        <v>1329</v>
      </c>
      <c r="G49" s="95">
        <v>3001002393</v>
      </c>
      <c r="H49" s="98" t="s">
        <v>5057</v>
      </c>
      <c r="I49" s="95">
        <v>42079005599</v>
      </c>
      <c r="J49" s="98" t="s">
        <v>5088</v>
      </c>
      <c r="K49" s="95" t="s">
        <v>5089</v>
      </c>
      <c r="L49" s="98" t="s">
        <v>5506</v>
      </c>
      <c r="M49" s="98" t="s">
        <v>5507</v>
      </c>
      <c r="N49" s="98" t="s">
        <v>5508</v>
      </c>
      <c r="O49" s="98" t="s">
        <v>5508</v>
      </c>
      <c r="P49" s="95">
        <v>935110108</v>
      </c>
      <c r="Q49" s="98" t="s">
        <v>5509</v>
      </c>
      <c r="R49" s="98" t="s">
        <v>5094</v>
      </c>
      <c r="S49" s="98" t="s">
        <v>5116</v>
      </c>
      <c r="T49" s="100">
        <v>40179</v>
      </c>
      <c r="U49" s="100">
        <v>40544</v>
      </c>
      <c r="V49" s="98" t="s">
        <v>5095</v>
      </c>
      <c r="W49" s="98" t="s">
        <v>5068</v>
      </c>
      <c r="X49" s="98" t="s">
        <v>5096</v>
      </c>
      <c r="Y49" s="98" t="s">
        <v>5068</v>
      </c>
      <c r="Z49" s="99"/>
      <c r="AA49" s="99"/>
      <c r="AB49" s="99"/>
      <c r="AC49" s="98" t="s">
        <v>5510</v>
      </c>
      <c r="AD49" s="99"/>
      <c r="AE49" s="95" t="s">
        <v>5511</v>
      </c>
      <c r="AF49" s="99"/>
      <c r="AG49" s="95">
        <v>1</v>
      </c>
      <c r="AH49" s="94" t="s">
        <v>5074</v>
      </c>
      <c r="AI49" s="94" t="s">
        <v>5075</v>
      </c>
      <c r="AJ49" s="98" t="s">
        <v>5489</v>
      </c>
      <c r="AK49" s="98" t="s">
        <v>5512</v>
      </c>
      <c r="AL49" s="101" t="s">
        <v>5104</v>
      </c>
      <c r="AM49" s="99"/>
      <c r="AN49" s="98" t="s">
        <v>5079</v>
      </c>
      <c r="AO49" s="98" t="s">
        <v>5080</v>
      </c>
      <c r="AP49" s="98" t="s">
        <v>5513</v>
      </c>
      <c r="AQ49" s="102">
        <v>2014</v>
      </c>
      <c r="AR49" s="98" t="s">
        <v>5082</v>
      </c>
      <c r="AS49" s="99"/>
      <c r="AT49" s="99"/>
      <c r="AU49" s="98" t="s">
        <v>5220</v>
      </c>
      <c r="AV49" s="95">
        <v>2022</v>
      </c>
      <c r="AW49" s="94" t="s">
        <v>5108</v>
      </c>
      <c r="AX49" s="95">
        <v>0</v>
      </c>
      <c r="AY49" s="98" t="s">
        <v>5109</v>
      </c>
      <c r="AZ49" s="102">
        <v>1</v>
      </c>
      <c r="BA49" s="110">
        <v>46059</v>
      </c>
      <c r="BB49" s="93"/>
    </row>
    <row r="50" spans="1:54" ht="13.8">
      <c r="A50" s="94" t="s">
        <v>268</v>
      </c>
      <c r="B50" s="95" t="s">
        <v>5003</v>
      </c>
      <c r="C50" s="100">
        <v>30395</v>
      </c>
      <c r="D50" s="94" t="s">
        <v>2665</v>
      </c>
      <c r="E50" s="94" t="s">
        <v>1328</v>
      </c>
      <c r="F50" s="97" t="s">
        <v>1329</v>
      </c>
      <c r="G50" s="95">
        <v>5121499348</v>
      </c>
      <c r="H50" s="98" t="s">
        <v>5181</v>
      </c>
      <c r="I50" s="95">
        <v>51085019585</v>
      </c>
      <c r="J50" s="98" t="s">
        <v>5088</v>
      </c>
      <c r="K50" s="95" t="s">
        <v>5514</v>
      </c>
      <c r="L50" s="98" t="s">
        <v>5515</v>
      </c>
      <c r="M50" s="98" t="s">
        <v>5516</v>
      </c>
      <c r="N50" s="98" t="s">
        <v>5517</v>
      </c>
      <c r="O50" s="98" t="s">
        <v>5518</v>
      </c>
      <c r="P50" s="95">
        <v>974434972</v>
      </c>
      <c r="Q50" s="98" t="s">
        <v>5519</v>
      </c>
      <c r="R50" s="98" t="s">
        <v>5094</v>
      </c>
      <c r="S50" s="99"/>
      <c r="T50" s="100">
        <v>43477</v>
      </c>
      <c r="U50" s="100">
        <v>43842</v>
      </c>
      <c r="V50" s="99"/>
      <c r="W50" s="98" t="s">
        <v>5068</v>
      </c>
      <c r="X50" s="98" t="s">
        <v>5096</v>
      </c>
      <c r="Y50" s="99"/>
      <c r="Z50" s="99"/>
      <c r="AA50" s="99"/>
      <c r="AB50" s="99"/>
      <c r="AC50" s="99"/>
      <c r="AD50" s="99"/>
      <c r="AE50" s="99"/>
      <c r="AF50" s="99"/>
      <c r="AG50" s="95">
        <v>0</v>
      </c>
      <c r="AH50" s="94" t="s">
        <v>5074</v>
      </c>
      <c r="AI50" s="94" t="s">
        <v>5075</v>
      </c>
      <c r="AJ50" s="98" t="s">
        <v>5134</v>
      </c>
      <c r="AK50" s="98" t="s">
        <v>5520</v>
      </c>
      <c r="AL50" s="101" t="s">
        <v>5078</v>
      </c>
      <c r="AM50" s="99"/>
      <c r="AN50" s="98" t="s">
        <v>5079</v>
      </c>
      <c r="AO50" s="98" t="s">
        <v>5080</v>
      </c>
      <c r="AP50" s="98" t="s">
        <v>5521</v>
      </c>
      <c r="AQ50" s="102">
        <v>2018</v>
      </c>
      <c r="AR50" s="99"/>
      <c r="AS50" s="99"/>
      <c r="AT50" s="99"/>
      <c r="AU50" s="98" t="s">
        <v>5151</v>
      </c>
      <c r="AV50" s="99"/>
      <c r="AW50" s="94" t="s">
        <v>5074</v>
      </c>
      <c r="AX50" s="95">
        <v>0</v>
      </c>
      <c r="AY50" s="98" t="s">
        <v>5152</v>
      </c>
      <c r="AZ50" s="102">
        <v>4</v>
      </c>
      <c r="BA50" s="102" t="s">
        <v>5168</v>
      </c>
      <c r="BB50" s="93"/>
    </row>
    <row r="51" spans="1:54" ht="13.8">
      <c r="A51" s="94" t="s">
        <v>5522</v>
      </c>
      <c r="B51" s="95" t="s">
        <v>5005</v>
      </c>
      <c r="C51" s="100">
        <v>31213</v>
      </c>
      <c r="D51" s="94" t="s">
        <v>2656</v>
      </c>
      <c r="E51" s="94" t="s">
        <v>1328</v>
      </c>
      <c r="F51" s="97" t="s">
        <v>1329</v>
      </c>
      <c r="G51" s="95">
        <v>7908508189</v>
      </c>
      <c r="H51" s="98" t="s">
        <v>5057</v>
      </c>
      <c r="I51" s="95">
        <v>54183006404</v>
      </c>
      <c r="J51" s="98" t="s">
        <v>5088</v>
      </c>
      <c r="K51" s="95" t="s">
        <v>5089</v>
      </c>
      <c r="L51" s="98" t="s">
        <v>5523</v>
      </c>
      <c r="M51" s="98" t="s">
        <v>5524</v>
      </c>
      <c r="N51" s="98" t="s">
        <v>5525</v>
      </c>
      <c r="O51" s="98" t="s">
        <v>5526</v>
      </c>
      <c r="P51" s="95">
        <v>905151781</v>
      </c>
      <c r="Q51" s="98" t="s">
        <v>5527</v>
      </c>
      <c r="R51" s="98" t="s">
        <v>5094</v>
      </c>
      <c r="S51" s="99"/>
      <c r="T51" s="100">
        <v>41284</v>
      </c>
      <c r="U51" s="100">
        <v>41284</v>
      </c>
      <c r="V51" s="98" t="s">
        <v>5243</v>
      </c>
      <c r="W51" s="98" t="s">
        <v>5068</v>
      </c>
      <c r="X51" s="98" t="s">
        <v>5096</v>
      </c>
      <c r="Y51" s="98" t="s">
        <v>5068</v>
      </c>
      <c r="Z51" s="99"/>
      <c r="AA51" s="99"/>
      <c r="AB51" s="95" t="s">
        <v>5161</v>
      </c>
      <c r="AC51" s="99"/>
      <c r="AD51" s="99"/>
      <c r="AE51" s="95" t="s">
        <v>5161</v>
      </c>
      <c r="AF51" s="99"/>
      <c r="AG51" s="95">
        <v>1</v>
      </c>
      <c r="AH51" s="94" t="s">
        <v>5074</v>
      </c>
      <c r="AI51" s="94" t="s">
        <v>5133</v>
      </c>
      <c r="AJ51" s="98" t="s">
        <v>5489</v>
      </c>
      <c r="AK51" s="98" t="s">
        <v>5528</v>
      </c>
      <c r="AL51" s="101" t="s">
        <v>5149</v>
      </c>
      <c r="AM51" s="99"/>
      <c r="AN51" s="98" t="s">
        <v>5079</v>
      </c>
      <c r="AO51" s="98" t="s">
        <v>3209</v>
      </c>
      <c r="AP51" s="98" t="s">
        <v>5529</v>
      </c>
      <c r="AQ51" s="102">
        <v>2012</v>
      </c>
      <c r="AR51" s="99"/>
      <c r="AS51" s="99"/>
      <c r="AT51" s="99"/>
      <c r="AU51" s="98" t="s">
        <v>5162</v>
      </c>
      <c r="AV51" s="95">
        <v>0</v>
      </c>
      <c r="AW51" s="94" t="s">
        <v>5074</v>
      </c>
      <c r="AX51" s="95">
        <v>0</v>
      </c>
      <c r="AY51" s="98" t="s">
        <v>5085</v>
      </c>
      <c r="AZ51" s="102">
        <v>2</v>
      </c>
      <c r="BA51" s="102" t="s">
        <v>5086</v>
      </c>
      <c r="BB51" s="93"/>
    </row>
    <row r="52" spans="1:54" ht="13.8">
      <c r="A52" s="94" t="s">
        <v>5530</v>
      </c>
      <c r="B52" s="95" t="s">
        <v>5531</v>
      </c>
      <c r="C52" s="96">
        <v>31771</v>
      </c>
      <c r="D52" s="94" t="s">
        <v>2656</v>
      </c>
      <c r="E52" s="94" t="s">
        <v>1328</v>
      </c>
      <c r="F52" s="97" t="s">
        <v>1329</v>
      </c>
      <c r="G52" s="95">
        <v>4810031400</v>
      </c>
      <c r="H52" s="98" t="s">
        <v>5181</v>
      </c>
      <c r="I52" s="95">
        <v>48086003512</v>
      </c>
      <c r="J52" s="98" t="s">
        <v>5088</v>
      </c>
      <c r="K52" s="95" t="s">
        <v>5089</v>
      </c>
      <c r="L52" s="98" t="s">
        <v>5532</v>
      </c>
      <c r="M52" s="98" t="s">
        <v>5533</v>
      </c>
      <c r="N52" s="98" t="s">
        <v>5534</v>
      </c>
      <c r="O52" s="98" t="s">
        <v>5535</v>
      </c>
      <c r="P52" s="95">
        <v>967404040</v>
      </c>
      <c r="Q52" s="98" t="s">
        <v>5536</v>
      </c>
      <c r="R52" s="98" t="s">
        <v>5094</v>
      </c>
      <c r="S52" s="99"/>
      <c r="T52" s="100">
        <v>40189</v>
      </c>
      <c r="U52" s="100">
        <v>40554</v>
      </c>
      <c r="V52" s="98" t="s">
        <v>5095</v>
      </c>
      <c r="W52" s="98" t="s">
        <v>5068</v>
      </c>
      <c r="X52" s="98" t="s">
        <v>5096</v>
      </c>
      <c r="Y52" s="98" t="s">
        <v>5068</v>
      </c>
      <c r="Z52" s="99"/>
      <c r="AA52" s="99"/>
      <c r="AB52" s="99"/>
      <c r="AC52" s="99"/>
      <c r="AD52" s="99"/>
      <c r="AE52" s="95" t="s">
        <v>5161</v>
      </c>
      <c r="AF52" s="99"/>
      <c r="AG52" s="95">
        <v>1</v>
      </c>
      <c r="AH52" s="94" t="s">
        <v>5074</v>
      </c>
      <c r="AI52" s="94" t="s">
        <v>5075</v>
      </c>
      <c r="AJ52" s="98" t="s">
        <v>5076</v>
      </c>
      <c r="AK52" s="98" t="s">
        <v>5498</v>
      </c>
      <c r="AL52" s="101" t="s">
        <v>5149</v>
      </c>
      <c r="AM52" s="98" t="s">
        <v>4044</v>
      </c>
      <c r="AN52" s="98" t="s">
        <v>5079</v>
      </c>
      <c r="AO52" s="98" t="s">
        <v>4044</v>
      </c>
      <c r="AP52" s="102">
        <v>929</v>
      </c>
      <c r="AQ52" s="102">
        <v>2014</v>
      </c>
      <c r="AR52" s="99"/>
      <c r="AS52" s="99"/>
      <c r="AT52" s="98" t="s">
        <v>5083</v>
      </c>
      <c r="AU52" s="98" t="s">
        <v>5074</v>
      </c>
      <c r="AV52" s="95">
        <v>0</v>
      </c>
      <c r="AW52" s="94" t="s">
        <v>5074</v>
      </c>
      <c r="AX52" s="95">
        <v>0</v>
      </c>
      <c r="AY52" s="98" t="s">
        <v>5152</v>
      </c>
      <c r="AZ52" s="102">
        <v>6</v>
      </c>
      <c r="BA52" s="102" t="s">
        <v>5260</v>
      </c>
      <c r="BB52" s="93"/>
    </row>
    <row r="53" spans="1:54" ht="13.8">
      <c r="A53" s="94" t="s">
        <v>5537</v>
      </c>
      <c r="B53" s="95" t="s">
        <v>5538</v>
      </c>
      <c r="C53" s="96">
        <v>29932</v>
      </c>
      <c r="D53" s="94" t="s">
        <v>2665</v>
      </c>
      <c r="E53" s="94" t="s">
        <v>1328</v>
      </c>
      <c r="F53" s="97" t="s">
        <v>1329</v>
      </c>
      <c r="G53" s="95">
        <v>4808000461</v>
      </c>
      <c r="H53" s="98" t="s">
        <v>5057</v>
      </c>
      <c r="I53" s="95">
        <v>48181002845</v>
      </c>
      <c r="J53" s="98" t="s">
        <v>5088</v>
      </c>
      <c r="K53" s="104">
        <v>44474</v>
      </c>
      <c r="L53" s="98" t="s">
        <v>5539</v>
      </c>
      <c r="M53" s="98" t="s">
        <v>5156</v>
      </c>
      <c r="N53" s="98" t="s">
        <v>5540</v>
      </c>
      <c r="O53" s="98" t="s">
        <v>5540</v>
      </c>
      <c r="P53" s="95">
        <v>905121281</v>
      </c>
      <c r="Q53" s="98" t="s">
        <v>5541</v>
      </c>
      <c r="R53" s="98" t="s">
        <v>5094</v>
      </c>
      <c r="S53" s="99"/>
      <c r="T53" s="100">
        <v>38032</v>
      </c>
      <c r="U53" s="100">
        <v>38355</v>
      </c>
      <c r="V53" s="98" t="s">
        <v>5542</v>
      </c>
      <c r="W53" s="98" t="s">
        <v>5068</v>
      </c>
      <c r="X53" s="98" t="s">
        <v>5096</v>
      </c>
      <c r="Y53" s="98" t="s">
        <v>5068</v>
      </c>
      <c r="Z53" s="99"/>
      <c r="AA53" s="99"/>
      <c r="AB53" s="99"/>
      <c r="AC53" s="98" t="s">
        <v>5543</v>
      </c>
      <c r="AD53" s="99"/>
      <c r="AE53" s="95" t="s">
        <v>5161</v>
      </c>
      <c r="AF53" s="99"/>
      <c r="AG53" s="95">
        <v>1</v>
      </c>
      <c r="AH53" s="94" t="s">
        <v>5074</v>
      </c>
      <c r="AI53" s="94" t="s">
        <v>5133</v>
      </c>
      <c r="AJ53" s="98" t="s">
        <v>5134</v>
      </c>
      <c r="AK53" s="98" t="s">
        <v>5544</v>
      </c>
      <c r="AL53" s="101" t="s">
        <v>5078</v>
      </c>
      <c r="AM53" s="99"/>
      <c r="AN53" s="98" t="s">
        <v>5079</v>
      </c>
      <c r="AO53" s="98" t="s">
        <v>5080</v>
      </c>
      <c r="AP53" s="98" t="s">
        <v>5425</v>
      </c>
      <c r="AQ53" s="102">
        <v>2023</v>
      </c>
      <c r="AR53" s="98" t="s">
        <v>5082</v>
      </c>
      <c r="AS53" s="99"/>
      <c r="AT53" s="99"/>
      <c r="AU53" s="98" t="s">
        <v>5084</v>
      </c>
      <c r="AV53" s="95">
        <v>0</v>
      </c>
      <c r="AW53" s="94" t="s">
        <v>5074</v>
      </c>
      <c r="AX53" s="95">
        <v>0</v>
      </c>
      <c r="AY53" s="98" t="s">
        <v>5085</v>
      </c>
      <c r="AZ53" s="102">
        <v>2</v>
      </c>
      <c r="BA53" s="102" t="s">
        <v>5086</v>
      </c>
      <c r="BB53" s="93"/>
    </row>
    <row r="54" spans="1:54" ht="13.8">
      <c r="A54" s="94" t="s">
        <v>566</v>
      </c>
      <c r="B54" s="95" t="s">
        <v>5545</v>
      </c>
      <c r="C54" s="100">
        <v>29466</v>
      </c>
      <c r="D54" s="94" t="s">
        <v>2656</v>
      </c>
      <c r="E54" s="94" t="s">
        <v>1328</v>
      </c>
      <c r="F54" s="97" t="s">
        <v>1329</v>
      </c>
      <c r="G54" s="95">
        <v>6304001239</v>
      </c>
      <c r="H54" s="98" t="s">
        <v>5057</v>
      </c>
      <c r="I54" s="95">
        <v>42074015887</v>
      </c>
      <c r="J54" s="98" t="s">
        <v>5088</v>
      </c>
      <c r="K54" s="95" t="s">
        <v>5546</v>
      </c>
      <c r="L54" s="98" t="s">
        <v>5547</v>
      </c>
      <c r="M54" s="98" t="s">
        <v>5548</v>
      </c>
      <c r="N54" s="98" t="s">
        <v>5549</v>
      </c>
      <c r="O54" s="98" t="s">
        <v>5550</v>
      </c>
      <c r="P54" s="95">
        <v>914111101</v>
      </c>
      <c r="Q54" s="98" t="s">
        <v>5551</v>
      </c>
      <c r="R54" s="98" t="s">
        <v>5094</v>
      </c>
      <c r="S54" s="99"/>
      <c r="T54" s="100">
        <v>44199</v>
      </c>
      <c r="U54" s="109"/>
      <c r="V54" s="99"/>
      <c r="W54" s="98" t="s">
        <v>5068</v>
      </c>
      <c r="X54" s="98" t="s">
        <v>5187</v>
      </c>
      <c r="Y54" s="99"/>
      <c r="Z54" s="99"/>
      <c r="AA54" s="99"/>
      <c r="AB54" s="99"/>
      <c r="AC54" s="99"/>
      <c r="AD54" s="99"/>
      <c r="AE54" s="104">
        <v>39056</v>
      </c>
      <c r="AF54" s="99"/>
      <c r="AG54" s="95">
        <v>0</v>
      </c>
      <c r="AH54" s="94" t="s">
        <v>5074</v>
      </c>
      <c r="AI54" s="94" t="s">
        <v>5133</v>
      </c>
      <c r="AJ54" s="98" t="s">
        <v>5134</v>
      </c>
      <c r="AK54" s="98" t="s">
        <v>2755</v>
      </c>
      <c r="AL54" s="101" t="s">
        <v>5104</v>
      </c>
      <c r="AM54" s="99"/>
      <c r="AN54" s="98" t="s">
        <v>5079</v>
      </c>
      <c r="AO54" s="98" t="s">
        <v>5080</v>
      </c>
      <c r="AP54" s="98" t="s">
        <v>5552</v>
      </c>
      <c r="AQ54" s="102">
        <v>2009</v>
      </c>
      <c r="AR54" s="98" t="s">
        <v>5106</v>
      </c>
      <c r="AS54" s="99"/>
      <c r="AT54" s="98" t="s">
        <v>5083</v>
      </c>
      <c r="AU54" s="98" t="s">
        <v>5162</v>
      </c>
      <c r="AV54" s="95">
        <v>2013</v>
      </c>
      <c r="AW54" s="94" t="s">
        <v>5108</v>
      </c>
      <c r="AX54" s="95">
        <v>0</v>
      </c>
      <c r="AY54" s="98" t="s">
        <v>5109</v>
      </c>
      <c r="AZ54" s="102">
        <v>1</v>
      </c>
      <c r="BA54" s="110">
        <v>46059</v>
      </c>
      <c r="BB54" s="93"/>
    </row>
    <row r="55" spans="1:54" ht="13.8">
      <c r="A55" s="94" t="s">
        <v>5553</v>
      </c>
      <c r="B55" s="95" t="s">
        <v>4735</v>
      </c>
      <c r="C55" s="100">
        <v>27218</v>
      </c>
      <c r="D55" s="94" t="s">
        <v>2656</v>
      </c>
      <c r="E55" s="94" t="s">
        <v>1328</v>
      </c>
      <c r="F55" s="97" t="s">
        <v>1329</v>
      </c>
      <c r="G55" s="95">
        <v>4811044770</v>
      </c>
      <c r="H55" s="98" t="s">
        <v>5057</v>
      </c>
      <c r="I55" s="95">
        <v>45080003590</v>
      </c>
      <c r="J55" s="98" t="s">
        <v>5088</v>
      </c>
      <c r="K55" s="104">
        <v>44623</v>
      </c>
      <c r="L55" s="98" t="s">
        <v>5554</v>
      </c>
      <c r="M55" s="98" t="s">
        <v>5555</v>
      </c>
      <c r="N55" s="98" t="s">
        <v>5556</v>
      </c>
      <c r="O55" s="98" t="s">
        <v>5557</v>
      </c>
      <c r="P55" s="95">
        <v>914753469</v>
      </c>
      <c r="Q55" s="98" t="s">
        <v>5558</v>
      </c>
      <c r="R55" s="98" t="s">
        <v>5094</v>
      </c>
      <c r="S55" s="99"/>
      <c r="T55" s="100">
        <v>40553</v>
      </c>
      <c r="U55" s="100">
        <v>41276</v>
      </c>
      <c r="V55" s="98" t="s">
        <v>5095</v>
      </c>
      <c r="W55" s="98" t="s">
        <v>5068</v>
      </c>
      <c r="X55" s="98" t="s">
        <v>5096</v>
      </c>
      <c r="Y55" s="98" t="s">
        <v>5068</v>
      </c>
      <c r="Z55" s="99"/>
      <c r="AA55" s="99"/>
      <c r="AB55" s="99"/>
      <c r="AC55" s="99"/>
      <c r="AD55" s="99"/>
      <c r="AE55" s="95" t="s">
        <v>5161</v>
      </c>
      <c r="AF55" s="99"/>
      <c r="AG55" s="95">
        <v>1</v>
      </c>
      <c r="AH55" s="94" t="s">
        <v>5074</v>
      </c>
      <c r="AI55" s="94" t="s">
        <v>5133</v>
      </c>
      <c r="AJ55" s="98" t="s">
        <v>5134</v>
      </c>
      <c r="AK55" s="98" t="s">
        <v>5559</v>
      </c>
      <c r="AL55" s="101" t="s">
        <v>5104</v>
      </c>
      <c r="AM55" s="99"/>
      <c r="AN55" s="98" t="s">
        <v>5079</v>
      </c>
      <c r="AO55" s="98" t="s">
        <v>5080</v>
      </c>
      <c r="AP55" s="98" t="s">
        <v>5560</v>
      </c>
      <c r="AQ55" s="102">
        <v>2019</v>
      </c>
      <c r="AR55" s="99"/>
      <c r="AS55" s="98" t="s">
        <v>5561</v>
      </c>
      <c r="AT55" s="98" t="s">
        <v>5083</v>
      </c>
      <c r="AU55" s="98" t="s">
        <v>5084</v>
      </c>
      <c r="AV55" s="95">
        <v>2025</v>
      </c>
      <c r="AW55" s="94" t="s">
        <v>5108</v>
      </c>
      <c r="AX55" s="95">
        <v>0</v>
      </c>
      <c r="AY55" s="98" t="s">
        <v>5109</v>
      </c>
      <c r="AZ55" s="102">
        <v>1</v>
      </c>
      <c r="BA55" s="110">
        <v>46059</v>
      </c>
      <c r="BB55" s="93"/>
    </row>
    <row r="56" spans="1:54" ht="13.8">
      <c r="A56" s="94" t="s">
        <v>5562</v>
      </c>
      <c r="B56" s="95" t="s">
        <v>5563</v>
      </c>
      <c r="C56" s="100">
        <v>28646</v>
      </c>
      <c r="D56" s="94" t="s">
        <v>2656</v>
      </c>
      <c r="E56" s="94" t="s">
        <v>1328</v>
      </c>
      <c r="F56" s="97" t="s">
        <v>1329</v>
      </c>
      <c r="G56" s="95">
        <v>402003906</v>
      </c>
      <c r="H56" s="98" t="s">
        <v>5057</v>
      </c>
      <c r="I56" s="95">
        <v>49078025722</v>
      </c>
      <c r="J56" s="98" t="s">
        <v>5088</v>
      </c>
      <c r="K56" s="104">
        <v>44444</v>
      </c>
      <c r="L56" s="98" t="s">
        <v>5564</v>
      </c>
      <c r="M56" s="98" t="s">
        <v>5565</v>
      </c>
      <c r="N56" s="98" t="s">
        <v>5566</v>
      </c>
      <c r="O56" s="98" t="s">
        <v>5567</v>
      </c>
      <c r="P56" s="95">
        <v>989284307</v>
      </c>
      <c r="Q56" s="98" t="s">
        <v>5568</v>
      </c>
      <c r="R56" s="98" t="s">
        <v>5094</v>
      </c>
      <c r="S56" s="98" t="s">
        <v>5116</v>
      </c>
      <c r="T56" s="100">
        <v>42597</v>
      </c>
      <c r="U56" s="100">
        <v>42740</v>
      </c>
      <c r="V56" s="98" t="s">
        <v>5095</v>
      </c>
      <c r="W56" s="98" t="s">
        <v>5068</v>
      </c>
      <c r="X56" s="98" t="s">
        <v>5096</v>
      </c>
      <c r="Y56" s="98" t="s">
        <v>5068</v>
      </c>
      <c r="Z56" s="99"/>
      <c r="AA56" s="98" t="s">
        <v>5569</v>
      </c>
      <c r="AB56" s="95" t="s">
        <v>5570</v>
      </c>
      <c r="AC56" s="99"/>
      <c r="AD56" s="98" t="s">
        <v>5510</v>
      </c>
      <c r="AE56" s="95" t="s">
        <v>5571</v>
      </c>
      <c r="AF56" s="99"/>
      <c r="AG56" s="95">
        <v>1</v>
      </c>
      <c r="AH56" s="94" t="s">
        <v>5074</v>
      </c>
      <c r="AI56" s="94" t="s">
        <v>5075</v>
      </c>
      <c r="AJ56" s="98" t="s">
        <v>5076</v>
      </c>
      <c r="AK56" s="98" t="s">
        <v>5498</v>
      </c>
      <c r="AL56" s="101" t="s">
        <v>5078</v>
      </c>
      <c r="AM56" s="98" t="s">
        <v>5199</v>
      </c>
      <c r="AN56" s="98" t="s">
        <v>5079</v>
      </c>
      <c r="AO56" s="98" t="s">
        <v>5080</v>
      </c>
      <c r="AP56" s="102">
        <v>805</v>
      </c>
      <c r="AQ56" s="102">
        <v>2015</v>
      </c>
      <c r="AR56" s="98" t="s">
        <v>5082</v>
      </c>
      <c r="AS56" s="99"/>
      <c r="AT56" s="98" t="s">
        <v>5083</v>
      </c>
      <c r="AU56" s="98" t="s">
        <v>5074</v>
      </c>
      <c r="AV56" s="99"/>
      <c r="AW56" s="94" t="s">
        <v>5074</v>
      </c>
      <c r="AX56" s="95">
        <v>0</v>
      </c>
      <c r="AY56" s="98" t="s">
        <v>5085</v>
      </c>
      <c r="AZ56" s="102">
        <v>3</v>
      </c>
      <c r="BA56" s="105">
        <v>46239</v>
      </c>
      <c r="BB56" s="93"/>
    </row>
    <row r="57" spans="1:54" ht="13.8">
      <c r="A57" s="94" t="s">
        <v>5572</v>
      </c>
      <c r="B57" s="95" t="s">
        <v>5573</v>
      </c>
      <c r="C57" s="100">
        <v>32986</v>
      </c>
      <c r="D57" s="94" t="s">
        <v>2656</v>
      </c>
      <c r="E57" s="94" t="s">
        <v>1328</v>
      </c>
      <c r="F57" s="97" t="s">
        <v>1329</v>
      </c>
      <c r="G57" s="95">
        <v>5620587768</v>
      </c>
      <c r="H57" s="98" t="s">
        <v>5181</v>
      </c>
      <c r="I57" s="95">
        <v>56090012557</v>
      </c>
      <c r="J57" s="98" t="s">
        <v>5088</v>
      </c>
      <c r="K57" s="95" t="s">
        <v>5111</v>
      </c>
      <c r="L57" s="98" t="s">
        <v>5574</v>
      </c>
      <c r="M57" s="98" t="s">
        <v>5575</v>
      </c>
      <c r="N57" s="98" t="s">
        <v>5576</v>
      </c>
      <c r="O57" s="98" t="s">
        <v>5577</v>
      </c>
      <c r="P57" s="95">
        <v>979479490</v>
      </c>
      <c r="Q57" s="98" t="s">
        <v>5578</v>
      </c>
      <c r="R57" s="98" t="s">
        <v>5094</v>
      </c>
      <c r="S57" s="99"/>
      <c r="T57" s="100">
        <v>44932</v>
      </c>
      <c r="U57" s="100">
        <v>45299</v>
      </c>
      <c r="V57" s="99"/>
      <c r="W57" s="98" t="s">
        <v>5068</v>
      </c>
      <c r="X57" s="98" t="s">
        <v>5187</v>
      </c>
      <c r="Y57" s="99"/>
      <c r="Z57" s="99"/>
      <c r="AA57" s="99"/>
      <c r="AB57" s="99"/>
      <c r="AC57" s="99"/>
      <c r="AD57" s="99"/>
      <c r="AE57" s="99"/>
      <c r="AF57" s="99"/>
      <c r="AG57" s="95">
        <v>0</v>
      </c>
      <c r="AH57" s="94" t="s">
        <v>5074</v>
      </c>
      <c r="AI57" s="94" t="s">
        <v>5101</v>
      </c>
      <c r="AJ57" s="98" t="s">
        <v>5102</v>
      </c>
      <c r="AK57" s="98" t="s">
        <v>5528</v>
      </c>
      <c r="AL57" s="101" t="s">
        <v>5149</v>
      </c>
      <c r="AM57" s="99"/>
      <c r="AN57" s="98" t="s">
        <v>5079</v>
      </c>
      <c r="AO57" s="98" t="s">
        <v>5579</v>
      </c>
      <c r="AP57" s="98" t="s">
        <v>5580</v>
      </c>
      <c r="AQ57" s="102">
        <v>2019</v>
      </c>
      <c r="AR57" s="99"/>
      <c r="AS57" s="99"/>
      <c r="AT57" s="99"/>
      <c r="AU57" s="98" t="s">
        <v>5220</v>
      </c>
      <c r="AV57" s="99"/>
      <c r="AW57" s="94" t="s">
        <v>5074</v>
      </c>
      <c r="AX57" s="95">
        <v>0</v>
      </c>
      <c r="AY57" s="98" t="s">
        <v>5152</v>
      </c>
      <c r="AZ57" s="102">
        <v>3</v>
      </c>
      <c r="BA57" s="102">
        <v>3</v>
      </c>
      <c r="BB57" s="93"/>
    </row>
    <row r="58" spans="1:54" ht="13.8">
      <c r="A58" s="94" t="s">
        <v>5581</v>
      </c>
      <c r="B58" s="95" t="s">
        <v>5582</v>
      </c>
      <c r="C58" s="100">
        <v>29240</v>
      </c>
      <c r="D58" s="94" t="s">
        <v>2656</v>
      </c>
      <c r="E58" s="94" t="s">
        <v>1328</v>
      </c>
      <c r="F58" s="97" t="s">
        <v>1329</v>
      </c>
      <c r="G58" s="95">
        <v>4808000506</v>
      </c>
      <c r="H58" s="98" t="s">
        <v>5057</v>
      </c>
      <c r="I58" s="95">
        <v>44080009995</v>
      </c>
      <c r="J58" s="98" t="s">
        <v>5088</v>
      </c>
      <c r="K58" s="95" t="s">
        <v>5089</v>
      </c>
      <c r="L58" s="98" t="s">
        <v>5583</v>
      </c>
      <c r="M58" s="98" t="s">
        <v>5584</v>
      </c>
      <c r="N58" s="98" t="s">
        <v>5585</v>
      </c>
      <c r="O58" s="98" t="s">
        <v>5585</v>
      </c>
      <c r="P58" s="95">
        <v>904169124</v>
      </c>
      <c r="Q58" s="98" t="s">
        <v>5586</v>
      </c>
      <c r="R58" s="98" t="s">
        <v>5094</v>
      </c>
      <c r="S58" s="99"/>
      <c r="T58" s="100">
        <v>38051</v>
      </c>
      <c r="U58" s="100">
        <v>38364</v>
      </c>
      <c r="V58" s="98" t="s">
        <v>5095</v>
      </c>
      <c r="W58" s="98" t="s">
        <v>5068</v>
      </c>
      <c r="X58" s="98" t="s">
        <v>5096</v>
      </c>
      <c r="Y58" s="98" t="s">
        <v>5066</v>
      </c>
      <c r="Z58" s="99"/>
      <c r="AA58" s="98" t="s">
        <v>5587</v>
      </c>
      <c r="AB58" s="95" t="s">
        <v>5318</v>
      </c>
      <c r="AC58" s="99"/>
      <c r="AD58" s="98" t="s">
        <v>5588</v>
      </c>
      <c r="AE58" s="95" t="s">
        <v>5589</v>
      </c>
      <c r="AF58" s="98" t="s">
        <v>5590</v>
      </c>
      <c r="AG58" s="95">
        <v>1</v>
      </c>
      <c r="AH58" s="94" t="s">
        <v>5074</v>
      </c>
      <c r="AI58" s="94" t="s">
        <v>5075</v>
      </c>
      <c r="AJ58" s="98" t="s">
        <v>5489</v>
      </c>
      <c r="AK58" s="98" t="s">
        <v>2746</v>
      </c>
      <c r="AL58" s="101" t="s">
        <v>5104</v>
      </c>
      <c r="AM58" s="99"/>
      <c r="AN58" s="98" t="s">
        <v>5079</v>
      </c>
      <c r="AO58" s="98" t="s">
        <v>5591</v>
      </c>
      <c r="AP58" s="98" t="s">
        <v>5592</v>
      </c>
      <c r="AQ58" s="102">
        <v>2012</v>
      </c>
      <c r="AR58" s="98" t="s">
        <v>5106</v>
      </c>
      <c r="AS58" s="99"/>
      <c r="AT58" s="99"/>
      <c r="AU58" s="98" t="s">
        <v>5162</v>
      </c>
      <c r="AV58" s="95">
        <v>2022</v>
      </c>
      <c r="AW58" s="94" t="s">
        <v>5108</v>
      </c>
      <c r="AX58" s="95">
        <v>0</v>
      </c>
      <c r="AY58" s="98" t="s">
        <v>5109</v>
      </c>
      <c r="AZ58" s="102">
        <v>1</v>
      </c>
      <c r="BA58" s="110">
        <v>46059</v>
      </c>
      <c r="BB58" s="93"/>
    </row>
    <row r="59" spans="1:54" ht="13.8">
      <c r="A59" s="94" t="s">
        <v>5593</v>
      </c>
      <c r="B59" s="95" t="s">
        <v>5594</v>
      </c>
      <c r="C59" s="100">
        <v>26054</v>
      </c>
      <c r="D59" s="94" t="s">
        <v>2656</v>
      </c>
      <c r="E59" s="94" t="s">
        <v>1328</v>
      </c>
      <c r="F59" s="97" t="s">
        <v>1329</v>
      </c>
      <c r="G59" s="95">
        <v>402001273</v>
      </c>
      <c r="H59" s="98" t="s">
        <v>5057</v>
      </c>
      <c r="I59" s="95">
        <v>48071003671</v>
      </c>
      <c r="J59" s="98" t="s">
        <v>5088</v>
      </c>
      <c r="K59" s="95" t="s">
        <v>5277</v>
      </c>
      <c r="L59" s="98" t="s">
        <v>5595</v>
      </c>
      <c r="M59" s="98" t="s">
        <v>5596</v>
      </c>
      <c r="N59" s="98" t="s">
        <v>5596</v>
      </c>
      <c r="O59" s="98" t="s">
        <v>5597</v>
      </c>
      <c r="P59" s="95">
        <v>905430215</v>
      </c>
      <c r="Q59" s="98" t="s">
        <v>5598</v>
      </c>
      <c r="R59" s="98" t="s">
        <v>5094</v>
      </c>
      <c r="S59" s="99"/>
      <c r="T59" s="100">
        <v>35805</v>
      </c>
      <c r="U59" s="100">
        <v>36534</v>
      </c>
      <c r="V59" s="98" t="s">
        <v>5243</v>
      </c>
      <c r="W59" s="98" t="s">
        <v>5068</v>
      </c>
      <c r="X59" s="98" t="s">
        <v>5096</v>
      </c>
      <c r="Y59" s="98" t="s">
        <v>5068</v>
      </c>
      <c r="Z59" s="99"/>
      <c r="AA59" s="99"/>
      <c r="AB59" s="95" t="s">
        <v>5161</v>
      </c>
      <c r="AC59" s="99"/>
      <c r="AD59" s="99"/>
      <c r="AE59" s="95" t="s">
        <v>5161</v>
      </c>
      <c r="AF59" s="99"/>
      <c r="AG59" s="95">
        <v>1</v>
      </c>
      <c r="AH59" s="94" t="s">
        <v>5084</v>
      </c>
      <c r="AI59" s="94" t="s">
        <v>5133</v>
      </c>
      <c r="AJ59" s="98" t="s">
        <v>5134</v>
      </c>
      <c r="AK59" s="98" t="s">
        <v>5498</v>
      </c>
      <c r="AL59" s="101" t="s">
        <v>5149</v>
      </c>
      <c r="AM59" s="98" t="s">
        <v>5199</v>
      </c>
      <c r="AN59" s="98" t="s">
        <v>5079</v>
      </c>
      <c r="AO59" s="98" t="s">
        <v>5080</v>
      </c>
      <c r="AP59" s="102">
        <v>805</v>
      </c>
      <c r="AQ59" s="102">
        <v>2008</v>
      </c>
      <c r="AR59" s="98" t="s">
        <v>5200</v>
      </c>
      <c r="AS59" s="99"/>
      <c r="AT59" s="99"/>
      <c r="AU59" s="98" t="s">
        <v>5084</v>
      </c>
      <c r="AV59" s="95">
        <v>0</v>
      </c>
      <c r="AW59" s="94" t="s">
        <v>5084</v>
      </c>
      <c r="AX59" s="95">
        <v>0</v>
      </c>
      <c r="AY59" s="98" t="s">
        <v>5152</v>
      </c>
      <c r="AZ59" s="102">
        <v>9</v>
      </c>
      <c r="BA59" s="102" t="s">
        <v>5221</v>
      </c>
      <c r="BB59" s="93"/>
    </row>
    <row r="60" spans="1:54" ht="13.8">
      <c r="A60" s="94" t="s">
        <v>5599</v>
      </c>
      <c r="B60" s="95" t="s">
        <v>5600</v>
      </c>
      <c r="C60" s="96">
        <v>30244</v>
      </c>
      <c r="D60" s="94" t="s">
        <v>2656</v>
      </c>
      <c r="E60" s="94" t="s">
        <v>1328</v>
      </c>
      <c r="F60" s="97" t="s">
        <v>1329</v>
      </c>
      <c r="G60" s="95">
        <v>3107000403</v>
      </c>
      <c r="H60" s="98" t="s">
        <v>5057</v>
      </c>
      <c r="I60" s="95">
        <v>40082010928</v>
      </c>
      <c r="J60" s="98" t="s">
        <v>5182</v>
      </c>
      <c r="K60" s="104">
        <v>44359</v>
      </c>
      <c r="L60" s="98" t="s">
        <v>5601</v>
      </c>
      <c r="M60" s="98" t="s">
        <v>5602</v>
      </c>
      <c r="N60" s="98" t="s">
        <v>5603</v>
      </c>
      <c r="O60" s="98" t="s">
        <v>5603</v>
      </c>
      <c r="P60" s="95">
        <v>911838789</v>
      </c>
      <c r="Q60" s="98" t="s">
        <v>5604</v>
      </c>
      <c r="R60" s="98" t="s">
        <v>5094</v>
      </c>
      <c r="S60" s="99"/>
      <c r="T60" s="100">
        <v>45712</v>
      </c>
      <c r="U60" s="109"/>
      <c r="V60" s="99"/>
      <c r="W60" s="98" t="s">
        <v>5068</v>
      </c>
      <c r="X60" s="98" t="s">
        <v>5096</v>
      </c>
      <c r="Y60" s="99"/>
      <c r="Z60" s="99"/>
      <c r="AA60" s="99"/>
      <c r="AB60" s="99"/>
      <c r="AC60" s="99"/>
      <c r="AD60" s="99"/>
      <c r="AE60" s="99"/>
      <c r="AF60" s="99"/>
      <c r="AG60" s="95">
        <v>0</v>
      </c>
      <c r="AH60" s="94" t="s">
        <v>5074</v>
      </c>
      <c r="AI60" s="94" t="s">
        <v>5101</v>
      </c>
      <c r="AJ60" s="98" t="s">
        <v>5102</v>
      </c>
      <c r="AK60" s="98" t="s">
        <v>5528</v>
      </c>
      <c r="AL60" s="101" t="s">
        <v>5104</v>
      </c>
      <c r="AM60" s="99"/>
      <c r="AN60" s="98" t="s">
        <v>5079</v>
      </c>
      <c r="AO60" s="98" t="s">
        <v>5080</v>
      </c>
      <c r="AP60" s="98" t="s">
        <v>5513</v>
      </c>
      <c r="AQ60" s="102">
        <v>2011</v>
      </c>
      <c r="AR60" s="99"/>
      <c r="AS60" s="99"/>
      <c r="AT60" s="99"/>
      <c r="AU60" s="99"/>
      <c r="AV60" s="95">
        <v>2025</v>
      </c>
      <c r="AW60" s="94" t="s">
        <v>5108</v>
      </c>
      <c r="AX60" s="95">
        <v>0</v>
      </c>
      <c r="AY60" s="98" t="s">
        <v>5109</v>
      </c>
      <c r="AZ60" s="102">
        <v>1</v>
      </c>
      <c r="BA60" s="110">
        <v>46059</v>
      </c>
      <c r="BB60" s="93"/>
    </row>
    <row r="61" spans="1:54" ht="13.8">
      <c r="A61" s="94" t="s">
        <v>5605</v>
      </c>
      <c r="B61" s="95" t="s">
        <v>5606</v>
      </c>
      <c r="C61" s="100">
        <v>27077</v>
      </c>
      <c r="D61" s="94" t="s">
        <v>2656</v>
      </c>
      <c r="E61" s="94" t="s">
        <v>1328</v>
      </c>
      <c r="F61" s="97" t="s">
        <v>1329</v>
      </c>
      <c r="G61" s="95">
        <v>3301002300</v>
      </c>
      <c r="H61" s="98" t="s">
        <v>5057</v>
      </c>
      <c r="I61" s="95">
        <v>46074002993</v>
      </c>
      <c r="J61" s="98" t="s">
        <v>5088</v>
      </c>
      <c r="K61" s="95" t="s">
        <v>5607</v>
      </c>
      <c r="L61" s="98" t="s">
        <v>5608</v>
      </c>
      <c r="M61" s="98" t="s">
        <v>5609</v>
      </c>
      <c r="N61" s="98" t="s">
        <v>5610</v>
      </c>
      <c r="O61" s="98" t="s">
        <v>5611</v>
      </c>
      <c r="P61" s="95">
        <v>914019099</v>
      </c>
      <c r="Q61" s="98" t="s">
        <v>5612</v>
      </c>
      <c r="R61" s="98" t="s">
        <v>5094</v>
      </c>
      <c r="S61" s="99"/>
      <c r="T61" s="100">
        <v>36526</v>
      </c>
      <c r="U61" s="100">
        <v>36892</v>
      </c>
      <c r="V61" s="99"/>
      <c r="W61" s="98" t="s">
        <v>5068</v>
      </c>
      <c r="X61" s="98" t="s">
        <v>5096</v>
      </c>
      <c r="Y61" s="98" t="s">
        <v>5068</v>
      </c>
      <c r="Z61" s="99"/>
      <c r="AA61" s="99"/>
      <c r="AB61" s="99"/>
      <c r="AC61" s="99"/>
      <c r="AD61" s="99"/>
      <c r="AE61" s="99"/>
      <c r="AF61" s="99"/>
      <c r="AG61" s="95">
        <v>1</v>
      </c>
      <c r="AH61" s="94" t="s">
        <v>5074</v>
      </c>
      <c r="AI61" s="94" t="s">
        <v>5075</v>
      </c>
      <c r="AJ61" s="98" t="s">
        <v>5076</v>
      </c>
      <c r="AK61" s="98" t="s">
        <v>5498</v>
      </c>
      <c r="AL61" s="101" t="s">
        <v>5149</v>
      </c>
      <c r="AM61" s="98" t="s">
        <v>5613</v>
      </c>
      <c r="AN61" s="98" t="s">
        <v>5079</v>
      </c>
      <c r="AO61" s="98" t="s">
        <v>5080</v>
      </c>
      <c r="AP61" s="102">
        <v>255</v>
      </c>
      <c r="AQ61" s="102">
        <v>2010</v>
      </c>
      <c r="AR61" s="98" t="s">
        <v>5082</v>
      </c>
      <c r="AS61" s="99"/>
      <c r="AT61" s="99"/>
      <c r="AU61" s="98" t="s">
        <v>5074</v>
      </c>
      <c r="AV61" s="99"/>
      <c r="AW61" s="94" t="s">
        <v>5074</v>
      </c>
      <c r="AX61" s="95">
        <v>0</v>
      </c>
      <c r="AY61" s="98" t="s">
        <v>5152</v>
      </c>
      <c r="AZ61" s="102">
        <v>8</v>
      </c>
      <c r="BA61" s="102" t="s">
        <v>5211</v>
      </c>
      <c r="BB61" s="93"/>
    </row>
    <row r="62" spans="1:54" ht="13.8">
      <c r="A62" s="94" t="s">
        <v>5614</v>
      </c>
      <c r="B62" s="95" t="s">
        <v>5615</v>
      </c>
      <c r="C62" s="100">
        <v>28987</v>
      </c>
      <c r="D62" s="94" t="s">
        <v>2656</v>
      </c>
      <c r="E62" s="94" t="s">
        <v>1328</v>
      </c>
      <c r="F62" s="97" t="s">
        <v>1329</v>
      </c>
      <c r="G62" s="95">
        <v>407014730</v>
      </c>
      <c r="H62" s="98" t="s">
        <v>5057</v>
      </c>
      <c r="I62" s="95">
        <v>40079011120</v>
      </c>
      <c r="J62" s="98" t="s">
        <v>5088</v>
      </c>
      <c r="K62" s="95" t="s">
        <v>5089</v>
      </c>
      <c r="L62" s="98" t="s">
        <v>5616</v>
      </c>
      <c r="M62" s="98" t="s">
        <v>5617</v>
      </c>
      <c r="N62" s="98" t="s">
        <v>5224</v>
      </c>
      <c r="O62" s="98" t="s">
        <v>5618</v>
      </c>
      <c r="P62" s="95">
        <v>912535067</v>
      </c>
      <c r="Q62" s="98" t="s">
        <v>5619</v>
      </c>
      <c r="R62" s="98" t="s">
        <v>5094</v>
      </c>
      <c r="S62" s="99"/>
      <c r="T62" s="100">
        <v>42375</v>
      </c>
      <c r="U62" s="100">
        <v>42375</v>
      </c>
      <c r="V62" s="98" t="s">
        <v>5620</v>
      </c>
      <c r="W62" s="98" t="s">
        <v>5068</v>
      </c>
      <c r="X62" s="98" t="s">
        <v>5096</v>
      </c>
      <c r="Y62" s="98" t="s">
        <v>5068</v>
      </c>
      <c r="Z62" s="99"/>
      <c r="AA62" s="99"/>
      <c r="AB62" s="99"/>
      <c r="AC62" s="99"/>
      <c r="AD62" s="99"/>
      <c r="AE62" s="95" t="s">
        <v>5621</v>
      </c>
      <c r="AF62" s="99"/>
      <c r="AG62" s="95">
        <v>1</v>
      </c>
      <c r="AH62" s="94" t="s">
        <v>5074</v>
      </c>
      <c r="AI62" s="94" t="s">
        <v>5075</v>
      </c>
      <c r="AJ62" s="98" t="s">
        <v>5489</v>
      </c>
      <c r="AK62" s="98" t="s">
        <v>5622</v>
      </c>
      <c r="AL62" s="101" t="s">
        <v>5104</v>
      </c>
      <c r="AM62" s="99"/>
      <c r="AN62" s="98" t="s">
        <v>5079</v>
      </c>
      <c r="AO62" s="98" t="s">
        <v>5080</v>
      </c>
      <c r="AP62" s="98" t="s">
        <v>5425</v>
      </c>
      <c r="AQ62" s="102">
        <v>2016</v>
      </c>
      <c r="AR62" s="99"/>
      <c r="AS62" s="99"/>
      <c r="AT62" s="99"/>
      <c r="AU62" s="98" t="s">
        <v>5220</v>
      </c>
      <c r="AV62" s="95">
        <v>2025</v>
      </c>
      <c r="AW62" s="94" t="s">
        <v>5108</v>
      </c>
      <c r="AX62" s="95">
        <v>0</v>
      </c>
      <c r="AY62" s="98" t="s">
        <v>5109</v>
      </c>
      <c r="AZ62" s="102">
        <v>1</v>
      </c>
      <c r="BA62" s="110">
        <v>46059</v>
      </c>
      <c r="BB62" s="93"/>
    </row>
    <row r="63" spans="1:54" ht="13.8">
      <c r="A63" s="94" t="s">
        <v>5623</v>
      </c>
      <c r="B63" s="95" t="s">
        <v>5624</v>
      </c>
      <c r="C63" s="100">
        <v>29691</v>
      </c>
      <c r="D63" s="94" t="s">
        <v>2656</v>
      </c>
      <c r="E63" s="94" t="s">
        <v>1328</v>
      </c>
      <c r="F63" s="97" t="s">
        <v>1329</v>
      </c>
      <c r="G63" s="95">
        <v>4808004739</v>
      </c>
      <c r="H63" s="98" t="s">
        <v>5625</v>
      </c>
      <c r="I63" s="95">
        <v>46081013815</v>
      </c>
      <c r="J63" s="98" t="s">
        <v>5088</v>
      </c>
      <c r="K63" s="95" t="s">
        <v>5277</v>
      </c>
      <c r="L63" s="98" t="s">
        <v>5626</v>
      </c>
      <c r="M63" s="98" t="s">
        <v>5627</v>
      </c>
      <c r="N63" s="98" t="s">
        <v>5628</v>
      </c>
      <c r="O63" s="98" t="s">
        <v>5628</v>
      </c>
      <c r="P63" s="95">
        <v>917966800</v>
      </c>
      <c r="Q63" s="98" t="s">
        <v>5629</v>
      </c>
      <c r="R63" s="98" t="s">
        <v>5094</v>
      </c>
      <c r="S63" s="99"/>
      <c r="T63" s="100">
        <v>39088</v>
      </c>
      <c r="U63" s="100">
        <v>39453</v>
      </c>
      <c r="V63" s="98" t="s">
        <v>5095</v>
      </c>
      <c r="W63" s="98" t="s">
        <v>5068</v>
      </c>
      <c r="X63" s="98" t="s">
        <v>5096</v>
      </c>
      <c r="Y63" s="98" t="s">
        <v>5068</v>
      </c>
      <c r="Z63" s="99"/>
      <c r="AA63" s="99"/>
      <c r="AB63" s="99"/>
      <c r="AC63" s="99"/>
      <c r="AD63" s="98" t="s">
        <v>5630</v>
      </c>
      <c r="AE63" s="104">
        <v>40550</v>
      </c>
      <c r="AF63" s="99"/>
      <c r="AG63" s="95">
        <v>1</v>
      </c>
      <c r="AH63" s="94" t="s">
        <v>5074</v>
      </c>
      <c r="AI63" s="94" t="s">
        <v>5133</v>
      </c>
      <c r="AJ63" s="98" t="s">
        <v>5134</v>
      </c>
      <c r="AK63" s="98" t="s">
        <v>5520</v>
      </c>
      <c r="AL63" s="101" t="s">
        <v>5104</v>
      </c>
      <c r="AM63" s="99"/>
      <c r="AN63" s="98" t="s">
        <v>5079</v>
      </c>
      <c r="AO63" s="98" t="s">
        <v>5080</v>
      </c>
      <c r="AP63" s="98" t="s">
        <v>5218</v>
      </c>
      <c r="AQ63" s="102">
        <v>2011</v>
      </c>
      <c r="AR63" s="98" t="s">
        <v>5082</v>
      </c>
      <c r="AS63" s="99"/>
      <c r="AT63" s="99"/>
      <c r="AU63" s="98" t="s">
        <v>5220</v>
      </c>
      <c r="AV63" s="95">
        <v>2017</v>
      </c>
      <c r="AW63" s="94" t="s">
        <v>5108</v>
      </c>
      <c r="AX63" s="95">
        <v>0</v>
      </c>
      <c r="AY63" s="98" t="s">
        <v>5109</v>
      </c>
      <c r="AZ63" s="102">
        <v>2</v>
      </c>
      <c r="BA63" s="102" t="s">
        <v>5110</v>
      </c>
      <c r="BB63" s="93"/>
    </row>
    <row r="64" spans="1:54" ht="13.8">
      <c r="A64" s="94" t="s">
        <v>5631</v>
      </c>
      <c r="B64" s="95" t="s">
        <v>5632</v>
      </c>
      <c r="C64" s="96">
        <v>29535</v>
      </c>
      <c r="D64" s="94" t="s">
        <v>2656</v>
      </c>
      <c r="E64" s="94" t="s">
        <v>1328</v>
      </c>
      <c r="F64" s="97" t="s">
        <v>1329</v>
      </c>
      <c r="G64" s="95">
        <v>4809017734</v>
      </c>
      <c r="H64" s="98" t="s">
        <v>5057</v>
      </c>
      <c r="I64" s="95">
        <v>45080001078</v>
      </c>
      <c r="J64" s="98" t="s">
        <v>5088</v>
      </c>
      <c r="K64" s="104">
        <v>44201</v>
      </c>
      <c r="L64" s="98" t="s">
        <v>5633</v>
      </c>
      <c r="M64" s="98" t="s">
        <v>5634</v>
      </c>
      <c r="N64" s="98" t="s">
        <v>5635</v>
      </c>
      <c r="O64" s="98" t="s">
        <v>5635</v>
      </c>
      <c r="P64" s="95">
        <v>905373995</v>
      </c>
      <c r="Q64" s="98" t="s">
        <v>5636</v>
      </c>
      <c r="R64" s="98" t="s">
        <v>5094</v>
      </c>
      <c r="S64" s="99"/>
      <c r="T64" s="100">
        <v>37998</v>
      </c>
      <c r="U64" s="100">
        <v>38364</v>
      </c>
      <c r="V64" s="99"/>
      <c r="W64" s="98" t="s">
        <v>5068</v>
      </c>
      <c r="X64" s="98" t="s">
        <v>5096</v>
      </c>
      <c r="Y64" s="99"/>
      <c r="Z64" s="99"/>
      <c r="AA64" s="99"/>
      <c r="AB64" s="99"/>
      <c r="AC64" s="99"/>
      <c r="AD64" s="99"/>
      <c r="AE64" s="99"/>
      <c r="AF64" s="99"/>
      <c r="AG64" s="95">
        <v>0</v>
      </c>
      <c r="AH64" s="94" t="s">
        <v>5074</v>
      </c>
      <c r="AI64" s="94" t="s">
        <v>5075</v>
      </c>
      <c r="AJ64" s="98" t="s">
        <v>5489</v>
      </c>
      <c r="AK64" s="98" t="s">
        <v>5637</v>
      </c>
      <c r="AL64" s="101" t="s">
        <v>5149</v>
      </c>
      <c r="AM64" s="99"/>
      <c r="AN64" s="98" t="s">
        <v>5079</v>
      </c>
      <c r="AO64" s="98" t="s">
        <v>5080</v>
      </c>
      <c r="AP64" s="98" t="s">
        <v>5638</v>
      </c>
      <c r="AQ64" s="102">
        <v>2019</v>
      </c>
      <c r="AR64" s="99"/>
      <c r="AS64" s="99"/>
      <c r="AT64" s="99"/>
      <c r="AU64" s="98" t="s">
        <v>5228</v>
      </c>
      <c r="AV64" s="99"/>
      <c r="AW64" s="94" t="s">
        <v>5074</v>
      </c>
      <c r="AX64" s="95">
        <v>0</v>
      </c>
      <c r="AY64" s="98" t="s">
        <v>5152</v>
      </c>
      <c r="AZ64" s="102">
        <v>4</v>
      </c>
      <c r="BA64" s="102" t="s">
        <v>5168</v>
      </c>
      <c r="BB64" s="93"/>
    </row>
    <row r="65" spans="1:54" ht="13.8">
      <c r="A65" s="94" t="s">
        <v>5639</v>
      </c>
      <c r="B65" s="95" t="s">
        <v>5640</v>
      </c>
      <c r="C65" s="100">
        <v>30100</v>
      </c>
      <c r="D65" s="94" t="s">
        <v>2665</v>
      </c>
      <c r="E65" s="94" t="s">
        <v>1328</v>
      </c>
      <c r="F65" s="97" t="s">
        <v>1329</v>
      </c>
      <c r="G65" s="95">
        <v>4808000540</v>
      </c>
      <c r="H65" s="98" t="s">
        <v>5057</v>
      </c>
      <c r="I65" s="95">
        <v>48182007275</v>
      </c>
      <c r="J65" s="98" t="s">
        <v>5088</v>
      </c>
      <c r="K65" s="95" t="s">
        <v>5089</v>
      </c>
      <c r="L65" s="98" t="s">
        <v>5641</v>
      </c>
      <c r="M65" s="98" t="s">
        <v>5156</v>
      </c>
      <c r="N65" s="98" t="s">
        <v>5642</v>
      </c>
      <c r="O65" s="98" t="s">
        <v>5642</v>
      </c>
      <c r="P65" s="95">
        <v>983405608</v>
      </c>
      <c r="Q65" s="98" t="s">
        <v>5643</v>
      </c>
      <c r="R65" s="98" t="s">
        <v>5094</v>
      </c>
      <c r="S65" s="99"/>
      <c r="T65" s="100">
        <v>43477</v>
      </c>
      <c r="U65" s="100">
        <v>43842</v>
      </c>
      <c r="V65" s="98" t="s">
        <v>5095</v>
      </c>
      <c r="W65" s="98" t="s">
        <v>5068</v>
      </c>
      <c r="X65" s="98" t="s">
        <v>5096</v>
      </c>
      <c r="Y65" s="98" t="s">
        <v>5068</v>
      </c>
      <c r="Z65" s="99"/>
      <c r="AA65" s="99"/>
      <c r="AB65" s="95" t="s">
        <v>5161</v>
      </c>
      <c r="AC65" s="99"/>
      <c r="AD65" s="99"/>
      <c r="AE65" s="95" t="s">
        <v>5644</v>
      </c>
      <c r="AF65" s="99"/>
      <c r="AG65" s="95">
        <v>1</v>
      </c>
      <c r="AH65" s="94" t="s">
        <v>5084</v>
      </c>
      <c r="AI65" s="94" t="s">
        <v>5075</v>
      </c>
      <c r="AJ65" s="98" t="s">
        <v>5489</v>
      </c>
      <c r="AK65" s="98" t="s">
        <v>5645</v>
      </c>
      <c r="AL65" s="101" t="s">
        <v>5078</v>
      </c>
      <c r="AM65" s="99"/>
      <c r="AN65" s="98" t="s">
        <v>5079</v>
      </c>
      <c r="AO65" s="98" t="s">
        <v>5080</v>
      </c>
      <c r="AP65" s="98" t="s">
        <v>5179</v>
      </c>
      <c r="AQ65" s="102">
        <v>2009</v>
      </c>
      <c r="AR65" s="98" t="s">
        <v>5082</v>
      </c>
      <c r="AS65" s="99"/>
      <c r="AT65" s="99"/>
      <c r="AU65" s="98" t="s">
        <v>5162</v>
      </c>
      <c r="AV65" s="95">
        <v>0</v>
      </c>
      <c r="AW65" s="94" t="s">
        <v>5084</v>
      </c>
      <c r="AX65" s="95">
        <v>0</v>
      </c>
      <c r="AY65" s="98" t="s">
        <v>5085</v>
      </c>
      <c r="AZ65" s="102">
        <v>3</v>
      </c>
      <c r="BA65" s="105">
        <v>46239</v>
      </c>
      <c r="BB65" s="93"/>
    </row>
    <row r="66" spans="1:54" ht="13.8">
      <c r="A66" s="94" t="s">
        <v>5646</v>
      </c>
      <c r="B66" s="95" t="s">
        <v>5647</v>
      </c>
      <c r="C66" s="100">
        <v>23202</v>
      </c>
      <c r="D66" s="94" t="s">
        <v>2656</v>
      </c>
      <c r="E66" s="94" t="s">
        <v>1328</v>
      </c>
      <c r="F66" s="97" t="s">
        <v>1329</v>
      </c>
      <c r="G66" s="95">
        <v>3304005581</v>
      </c>
      <c r="H66" s="98" t="s">
        <v>5057</v>
      </c>
      <c r="I66" s="95">
        <v>52063015759</v>
      </c>
      <c r="J66" s="98" t="s">
        <v>5088</v>
      </c>
      <c r="K66" s="95" t="s">
        <v>5353</v>
      </c>
      <c r="L66" s="98" t="s">
        <v>5648</v>
      </c>
      <c r="M66" s="98" t="s">
        <v>5649</v>
      </c>
      <c r="N66" s="98" t="s">
        <v>5650</v>
      </c>
      <c r="O66" s="98" t="s">
        <v>5650</v>
      </c>
      <c r="P66" s="95">
        <v>913111902</v>
      </c>
      <c r="Q66" s="98" t="s">
        <v>5651</v>
      </c>
      <c r="R66" s="98" t="s">
        <v>5094</v>
      </c>
      <c r="S66" s="99"/>
      <c r="T66" s="109"/>
      <c r="U66" s="109"/>
      <c r="V66" s="98" t="s">
        <v>5652</v>
      </c>
      <c r="W66" s="98" t="s">
        <v>5068</v>
      </c>
      <c r="X66" s="98" t="s">
        <v>5653</v>
      </c>
      <c r="Y66" s="98" t="s">
        <v>5068</v>
      </c>
      <c r="Z66" s="99"/>
      <c r="AA66" s="99"/>
      <c r="AB66" s="99"/>
      <c r="AC66" s="99"/>
      <c r="AD66" s="98" t="s">
        <v>5654</v>
      </c>
      <c r="AE66" s="95" t="s">
        <v>5161</v>
      </c>
      <c r="AF66" s="99"/>
      <c r="AG66" s="95">
        <v>1</v>
      </c>
      <c r="AH66" s="94" t="s">
        <v>5074</v>
      </c>
      <c r="AI66" s="94" t="s">
        <v>5133</v>
      </c>
      <c r="AJ66" s="98" t="s">
        <v>5134</v>
      </c>
      <c r="AK66" s="98" t="s">
        <v>5655</v>
      </c>
      <c r="AL66" s="101" t="s">
        <v>5078</v>
      </c>
      <c r="AM66" s="99"/>
      <c r="AN66" s="98" t="s">
        <v>5259</v>
      </c>
      <c r="AO66" s="98" t="s">
        <v>5080</v>
      </c>
      <c r="AP66" s="98" t="s">
        <v>5656</v>
      </c>
      <c r="AQ66" s="102">
        <v>1994</v>
      </c>
      <c r="AR66" s="99"/>
      <c r="AS66" s="99"/>
      <c r="AT66" s="99"/>
      <c r="AU66" s="98" t="s">
        <v>5220</v>
      </c>
      <c r="AV66" s="95">
        <v>0</v>
      </c>
      <c r="AW66" s="94" t="s">
        <v>5074</v>
      </c>
      <c r="AX66" s="95">
        <v>0</v>
      </c>
      <c r="AY66" s="98" t="s">
        <v>5085</v>
      </c>
      <c r="AZ66" s="102">
        <v>7</v>
      </c>
      <c r="BA66" s="102" t="s">
        <v>5657</v>
      </c>
      <c r="BB66" s="93"/>
    </row>
    <row r="67" spans="1:54" ht="13.8">
      <c r="A67" s="94" t="s">
        <v>5658</v>
      </c>
      <c r="B67" s="95" t="s">
        <v>5659</v>
      </c>
      <c r="C67" s="100">
        <v>30434</v>
      </c>
      <c r="D67" s="94" t="s">
        <v>2656</v>
      </c>
      <c r="E67" s="94" t="s">
        <v>1328</v>
      </c>
      <c r="F67" s="97" t="s">
        <v>1329</v>
      </c>
      <c r="G67" s="95">
        <v>4909002565</v>
      </c>
      <c r="H67" s="98" t="s">
        <v>5057</v>
      </c>
      <c r="I67" s="95">
        <v>49083000837</v>
      </c>
      <c r="J67" s="98" t="s">
        <v>5088</v>
      </c>
      <c r="K67" s="104">
        <v>44231</v>
      </c>
      <c r="L67" s="98" t="s">
        <v>5660</v>
      </c>
      <c r="M67" s="98" t="s">
        <v>5661</v>
      </c>
      <c r="N67" s="98" t="s">
        <v>5662</v>
      </c>
      <c r="O67" s="98" t="s">
        <v>5663</v>
      </c>
      <c r="P67" s="95">
        <v>979690755</v>
      </c>
      <c r="Q67" s="98" t="s">
        <v>5664</v>
      </c>
      <c r="R67" s="98" t="s">
        <v>5094</v>
      </c>
      <c r="S67" s="99"/>
      <c r="T67" s="100">
        <v>44569</v>
      </c>
      <c r="U67" s="100">
        <v>44569</v>
      </c>
      <c r="V67" s="99"/>
      <c r="W67" s="98" t="s">
        <v>5068</v>
      </c>
      <c r="X67" s="98" t="s">
        <v>5187</v>
      </c>
      <c r="Y67" s="99"/>
      <c r="Z67" s="99"/>
      <c r="AA67" s="99"/>
      <c r="AB67" s="99"/>
      <c r="AC67" s="99"/>
      <c r="AD67" s="99"/>
      <c r="AE67" s="104">
        <v>41981</v>
      </c>
      <c r="AF67" s="99"/>
      <c r="AG67" s="95">
        <v>0</v>
      </c>
      <c r="AH67" s="94" t="s">
        <v>5074</v>
      </c>
      <c r="AI67" s="94" t="s">
        <v>5075</v>
      </c>
      <c r="AJ67" s="98" t="s">
        <v>5489</v>
      </c>
      <c r="AK67" s="98" t="s">
        <v>5665</v>
      </c>
      <c r="AL67" s="101" t="s">
        <v>5104</v>
      </c>
      <c r="AM67" s="99"/>
      <c r="AN67" s="98" t="s">
        <v>5079</v>
      </c>
      <c r="AO67" s="98" t="s">
        <v>5080</v>
      </c>
      <c r="AP67" s="98" t="s">
        <v>5666</v>
      </c>
      <c r="AQ67" s="102">
        <v>2018</v>
      </c>
      <c r="AR67" s="98" t="s">
        <v>5082</v>
      </c>
      <c r="AS67" s="99"/>
      <c r="AT67" s="99"/>
      <c r="AU67" s="98" t="s">
        <v>5162</v>
      </c>
      <c r="AV67" s="95">
        <v>2025</v>
      </c>
      <c r="AW67" s="94" t="s">
        <v>5108</v>
      </c>
      <c r="AX67" s="95">
        <v>0</v>
      </c>
      <c r="AY67" s="98" t="s">
        <v>5109</v>
      </c>
      <c r="AZ67" s="102">
        <v>1</v>
      </c>
      <c r="BA67" s="110">
        <v>46059</v>
      </c>
      <c r="BB67" s="93"/>
    </row>
    <row r="68" spans="1:54" ht="13.8">
      <c r="A68" s="94" t="s">
        <v>5667</v>
      </c>
      <c r="B68" s="95" t="s">
        <v>5668</v>
      </c>
      <c r="C68" s="100">
        <v>33451</v>
      </c>
      <c r="D68" s="94" t="s">
        <v>2665</v>
      </c>
      <c r="E68" s="94" t="s">
        <v>1328</v>
      </c>
      <c r="F68" s="97" t="s">
        <v>1329</v>
      </c>
      <c r="G68" s="95">
        <v>4921467871</v>
      </c>
      <c r="H68" s="98" t="s">
        <v>5057</v>
      </c>
      <c r="I68" s="95">
        <v>49191010849</v>
      </c>
      <c r="J68" s="98" t="s">
        <v>5088</v>
      </c>
      <c r="K68" s="95" t="s">
        <v>5277</v>
      </c>
      <c r="L68" s="98" t="s">
        <v>5669</v>
      </c>
      <c r="M68" s="98" t="s">
        <v>5670</v>
      </c>
      <c r="N68" s="98" t="s">
        <v>5670</v>
      </c>
      <c r="O68" s="98" t="s">
        <v>5671</v>
      </c>
      <c r="P68" s="95">
        <v>935378990</v>
      </c>
      <c r="Q68" s="98" t="s">
        <v>5672</v>
      </c>
      <c r="R68" s="98" t="s">
        <v>5094</v>
      </c>
      <c r="S68" s="99"/>
      <c r="T68" s="100">
        <v>43477</v>
      </c>
      <c r="U68" s="100">
        <v>44202</v>
      </c>
      <c r="V68" s="99"/>
      <c r="W68" s="98" t="s">
        <v>5068</v>
      </c>
      <c r="X68" s="98" t="s">
        <v>5096</v>
      </c>
      <c r="Y68" s="99"/>
      <c r="Z68" s="99"/>
      <c r="AA68" s="99"/>
      <c r="AB68" s="99"/>
      <c r="AC68" s="99"/>
      <c r="AD68" s="99"/>
      <c r="AE68" s="99"/>
      <c r="AF68" s="99"/>
      <c r="AG68" s="95">
        <v>0</v>
      </c>
      <c r="AH68" s="94" t="s">
        <v>5084</v>
      </c>
      <c r="AI68" s="94" t="s">
        <v>5075</v>
      </c>
      <c r="AJ68" s="98" t="s">
        <v>5489</v>
      </c>
      <c r="AK68" s="98" t="s">
        <v>5673</v>
      </c>
      <c r="AL68" s="101" t="s">
        <v>5149</v>
      </c>
      <c r="AM68" s="99"/>
      <c r="AN68" s="98" t="s">
        <v>5079</v>
      </c>
      <c r="AO68" s="98" t="s">
        <v>5579</v>
      </c>
      <c r="AP68" s="98" t="s">
        <v>5674</v>
      </c>
      <c r="AQ68" s="102">
        <v>2017</v>
      </c>
      <c r="AR68" s="99"/>
      <c r="AS68" s="99"/>
      <c r="AT68" s="99"/>
      <c r="AU68" s="98" t="s">
        <v>5151</v>
      </c>
      <c r="AV68" s="99"/>
      <c r="AW68" s="94" t="s">
        <v>5084</v>
      </c>
      <c r="AX68" s="95">
        <v>0</v>
      </c>
      <c r="AY68" s="98" t="s">
        <v>5152</v>
      </c>
      <c r="AZ68" s="102">
        <v>3</v>
      </c>
      <c r="BA68" s="102">
        <v>3</v>
      </c>
      <c r="BB68" s="93"/>
    </row>
    <row r="69" spans="1:54" ht="13.8">
      <c r="A69" s="94" t="s">
        <v>5675</v>
      </c>
      <c r="B69" s="95" t="s">
        <v>5676</v>
      </c>
      <c r="C69" s="100">
        <v>33547</v>
      </c>
      <c r="D69" s="94" t="s">
        <v>2656</v>
      </c>
      <c r="E69" s="94" t="s">
        <v>1328</v>
      </c>
      <c r="F69" s="97" t="s">
        <v>1329</v>
      </c>
      <c r="G69" s="95">
        <v>4821403389</v>
      </c>
      <c r="H69" s="98" t="s">
        <v>5181</v>
      </c>
      <c r="I69" s="95">
        <v>46091009937</v>
      </c>
      <c r="J69" s="98" t="s">
        <v>5088</v>
      </c>
      <c r="K69" s="104">
        <v>44572</v>
      </c>
      <c r="L69" s="98" t="s">
        <v>5677</v>
      </c>
      <c r="M69" s="98" t="s">
        <v>5678</v>
      </c>
      <c r="N69" s="98" t="s">
        <v>5679</v>
      </c>
      <c r="O69" s="98" t="s">
        <v>5679</v>
      </c>
      <c r="P69" s="95">
        <v>899740591</v>
      </c>
      <c r="Q69" s="98" t="s">
        <v>5680</v>
      </c>
      <c r="R69" s="98" t="s">
        <v>5094</v>
      </c>
      <c r="S69" s="99"/>
      <c r="T69" s="100">
        <v>44932</v>
      </c>
      <c r="U69" s="109"/>
      <c r="V69" s="99"/>
      <c r="W69" s="98" t="s">
        <v>5068</v>
      </c>
      <c r="X69" s="98" t="s">
        <v>5187</v>
      </c>
      <c r="Y69" s="99"/>
      <c r="Z69" s="99"/>
      <c r="AA69" s="99"/>
      <c r="AB69" s="99"/>
      <c r="AC69" s="99"/>
      <c r="AD69" s="99"/>
      <c r="AE69" s="99"/>
      <c r="AF69" s="99"/>
      <c r="AG69" s="95">
        <v>0</v>
      </c>
      <c r="AH69" s="94" t="s">
        <v>5074</v>
      </c>
      <c r="AI69" s="94" t="s">
        <v>5101</v>
      </c>
      <c r="AJ69" s="98" t="s">
        <v>5102</v>
      </c>
      <c r="AK69" s="98" t="s">
        <v>5528</v>
      </c>
      <c r="AL69" s="101" t="s">
        <v>5149</v>
      </c>
      <c r="AM69" s="99"/>
      <c r="AN69" s="98" t="s">
        <v>5079</v>
      </c>
      <c r="AO69" s="98" t="s">
        <v>2915</v>
      </c>
      <c r="AP69" s="98" t="s">
        <v>5681</v>
      </c>
      <c r="AQ69" s="102">
        <v>2020</v>
      </c>
      <c r="AR69" s="99"/>
      <c r="AS69" s="99"/>
      <c r="AT69" s="99"/>
      <c r="AU69" s="99"/>
      <c r="AV69" s="99"/>
      <c r="AW69" s="94" t="s">
        <v>5074</v>
      </c>
      <c r="AX69" s="95">
        <v>0</v>
      </c>
      <c r="AY69" s="98" t="s">
        <v>5152</v>
      </c>
      <c r="AZ69" s="102">
        <v>3</v>
      </c>
      <c r="BA69" s="102">
        <v>3</v>
      </c>
      <c r="BB69" s="93"/>
    </row>
    <row r="70" spans="1:54" ht="13.8">
      <c r="A70" s="94" t="s">
        <v>5682</v>
      </c>
      <c r="B70" s="95" t="s">
        <v>5683</v>
      </c>
      <c r="C70" s="100">
        <v>32230</v>
      </c>
      <c r="D70" s="94" t="s">
        <v>2665</v>
      </c>
      <c r="E70" s="94" t="s">
        <v>1328</v>
      </c>
      <c r="F70" s="97" t="s">
        <v>1329</v>
      </c>
      <c r="G70" s="95">
        <v>4813008501</v>
      </c>
      <c r="H70" s="98" t="s">
        <v>5057</v>
      </c>
      <c r="I70" s="95">
        <v>48188002401</v>
      </c>
      <c r="J70" s="98" t="s">
        <v>5088</v>
      </c>
      <c r="K70" s="95" t="s">
        <v>5089</v>
      </c>
      <c r="L70" s="98" t="s">
        <v>5684</v>
      </c>
      <c r="M70" s="98" t="s">
        <v>5156</v>
      </c>
      <c r="N70" s="98" t="s">
        <v>5685</v>
      </c>
      <c r="O70" s="98" t="s">
        <v>5686</v>
      </c>
      <c r="P70" s="95">
        <v>905368588</v>
      </c>
      <c r="Q70" s="98" t="s">
        <v>5687</v>
      </c>
      <c r="R70" s="98" t="s">
        <v>5094</v>
      </c>
      <c r="S70" s="99"/>
      <c r="T70" s="100">
        <v>40179</v>
      </c>
      <c r="U70" s="100">
        <v>39093</v>
      </c>
      <c r="V70" s="98" t="s">
        <v>5243</v>
      </c>
      <c r="W70" s="98" t="s">
        <v>5142</v>
      </c>
      <c r="X70" s="98" t="s">
        <v>5096</v>
      </c>
      <c r="Y70" s="98" t="s">
        <v>5208</v>
      </c>
      <c r="Z70" s="99"/>
      <c r="AA70" s="99"/>
      <c r="AB70" s="95" t="s">
        <v>5161</v>
      </c>
      <c r="AC70" s="99"/>
      <c r="AD70" s="99"/>
      <c r="AE70" s="95" t="s">
        <v>5161</v>
      </c>
      <c r="AF70" s="99"/>
      <c r="AG70" s="95">
        <v>1</v>
      </c>
      <c r="AH70" s="94" t="s">
        <v>5162</v>
      </c>
      <c r="AI70" s="106"/>
      <c r="AJ70" s="99"/>
      <c r="AK70" s="98" t="s">
        <v>5688</v>
      </c>
      <c r="AL70" s="101" t="s">
        <v>5142</v>
      </c>
      <c r="AM70" s="98" t="s">
        <v>2699</v>
      </c>
      <c r="AN70" s="98" t="s">
        <v>5079</v>
      </c>
      <c r="AO70" s="98" t="s">
        <v>2699</v>
      </c>
      <c r="AP70" s="102">
        <v>930</v>
      </c>
      <c r="AQ70" s="102">
        <v>2011</v>
      </c>
      <c r="AR70" s="99"/>
      <c r="AS70" s="98" t="s">
        <v>5142</v>
      </c>
      <c r="AT70" s="99"/>
      <c r="AU70" s="98" t="s">
        <v>5220</v>
      </c>
      <c r="AV70" s="95">
        <v>0</v>
      </c>
      <c r="AW70" s="94" t="s">
        <v>5162</v>
      </c>
      <c r="AX70" s="95">
        <v>0</v>
      </c>
      <c r="AY70" s="98" t="s">
        <v>5167</v>
      </c>
      <c r="AZ70" s="102">
        <v>4</v>
      </c>
      <c r="BA70" s="102" t="s">
        <v>5168</v>
      </c>
      <c r="BB70" s="93"/>
    </row>
    <row r="71" spans="1:54" ht="13.8">
      <c r="A71" s="94" t="s">
        <v>5689</v>
      </c>
      <c r="B71" s="95" t="s">
        <v>5690</v>
      </c>
      <c r="C71" s="100">
        <v>29845</v>
      </c>
      <c r="D71" s="94" t="s">
        <v>2656</v>
      </c>
      <c r="E71" s="94" t="s">
        <v>1328</v>
      </c>
      <c r="F71" s="97" t="s">
        <v>1329</v>
      </c>
      <c r="G71" s="95">
        <v>4808000557</v>
      </c>
      <c r="H71" s="98" t="s">
        <v>5057</v>
      </c>
      <c r="I71" s="95">
        <v>48081007113</v>
      </c>
      <c r="J71" s="98" t="s">
        <v>5691</v>
      </c>
      <c r="K71" s="95" t="s">
        <v>5692</v>
      </c>
      <c r="L71" s="98" t="s">
        <v>5693</v>
      </c>
      <c r="M71" s="98" t="s">
        <v>5694</v>
      </c>
      <c r="N71" s="98" t="s">
        <v>5695</v>
      </c>
      <c r="O71" s="98" t="s">
        <v>5695</v>
      </c>
      <c r="P71" s="95">
        <v>906544009</v>
      </c>
      <c r="Q71" s="98" t="s">
        <v>5696</v>
      </c>
      <c r="R71" s="98" t="s">
        <v>5094</v>
      </c>
      <c r="S71" s="99"/>
      <c r="T71" s="100">
        <v>42381</v>
      </c>
      <c r="U71" s="100">
        <v>41286</v>
      </c>
      <c r="V71" s="98" t="s">
        <v>5095</v>
      </c>
      <c r="W71" s="98" t="s">
        <v>5068</v>
      </c>
      <c r="X71" s="98" t="s">
        <v>5096</v>
      </c>
      <c r="Y71" s="98" t="s">
        <v>5068</v>
      </c>
      <c r="Z71" s="99"/>
      <c r="AA71" s="99"/>
      <c r="AB71" s="95" t="s">
        <v>5161</v>
      </c>
      <c r="AC71" s="99"/>
      <c r="AD71" s="99"/>
      <c r="AE71" s="95" t="s">
        <v>5161</v>
      </c>
      <c r="AF71" s="99"/>
      <c r="AG71" s="95">
        <v>1</v>
      </c>
      <c r="AH71" s="94" t="s">
        <v>5074</v>
      </c>
      <c r="AI71" s="94" t="s">
        <v>5075</v>
      </c>
      <c r="AJ71" s="98" t="s">
        <v>5489</v>
      </c>
      <c r="AK71" s="98" t="s">
        <v>5697</v>
      </c>
      <c r="AL71" s="101" t="s">
        <v>5149</v>
      </c>
      <c r="AM71" s="98" t="s">
        <v>5698</v>
      </c>
      <c r="AN71" s="98" t="s">
        <v>5079</v>
      </c>
      <c r="AO71" s="98" t="s">
        <v>5579</v>
      </c>
      <c r="AP71" s="102">
        <v>923</v>
      </c>
      <c r="AQ71" s="102">
        <v>2021</v>
      </c>
      <c r="AR71" s="99"/>
      <c r="AS71" s="99"/>
      <c r="AT71" s="98" t="s">
        <v>5083</v>
      </c>
      <c r="AU71" s="99"/>
      <c r="AV71" s="95">
        <v>0</v>
      </c>
      <c r="AW71" s="94" t="s">
        <v>5074</v>
      </c>
      <c r="AX71" s="95">
        <v>0</v>
      </c>
      <c r="AY71" s="98" t="s">
        <v>5152</v>
      </c>
      <c r="AZ71" s="102">
        <v>8</v>
      </c>
      <c r="BA71" s="102" t="s">
        <v>5211</v>
      </c>
      <c r="BB71" s="93"/>
    </row>
    <row r="72" spans="1:54" ht="13.8">
      <c r="A72" s="94" t="s">
        <v>5699</v>
      </c>
      <c r="B72" s="95" t="s">
        <v>5700</v>
      </c>
      <c r="C72" s="96">
        <v>33956</v>
      </c>
      <c r="D72" s="94" t="s">
        <v>2665</v>
      </c>
      <c r="E72" s="94" t="s">
        <v>1328</v>
      </c>
      <c r="F72" s="97" t="s">
        <v>1329</v>
      </c>
      <c r="G72" s="95">
        <v>4820707699</v>
      </c>
      <c r="H72" s="98" t="s">
        <v>5057</v>
      </c>
      <c r="I72" s="95">
        <v>48192001184</v>
      </c>
      <c r="J72" s="98" t="s">
        <v>5088</v>
      </c>
      <c r="K72" s="104">
        <v>44447</v>
      </c>
      <c r="L72" s="98" t="s">
        <v>5701</v>
      </c>
      <c r="M72" s="98" t="s">
        <v>5694</v>
      </c>
      <c r="N72" s="98" t="s">
        <v>5702</v>
      </c>
      <c r="O72" s="98" t="s">
        <v>5703</v>
      </c>
      <c r="P72" s="95">
        <v>937283504</v>
      </c>
      <c r="Q72" s="98" t="s">
        <v>5704</v>
      </c>
      <c r="R72" s="98" t="s">
        <v>5094</v>
      </c>
      <c r="S72" s="99"/>
      <c r="T72" s="100">
        <v>44199</v>
      </c>
      <c r="U72" s="100">
        <v>44570</v>
      </c>
      <c r="V72" s="99"/>
      <c r="W72" s="98" t="s">
        <v>5068</v>
      </c>
      <c r="X72" s="98" t="s">
        <v>5187</v>
      </c>
      <c r="Y72" s="99"/>
      <c r="Z72" s="99"/>
      <c r="AA72" s="99"/>
      <c r="AB72" s="99"/>
      <c r="AC72" s="99"/>
      <c r="AD72" s="99"/>
      <c r="AE72" s="99"/>
      <c r="AF72" s="99"/>
      <c r="AG72" s="95">
        <v>0</v>
      </c>
      <c r="AH72" s="94" t="s">
        <v>5084</v>
      </c>
      <c r="AI72" s="94" t="s">
        <v>5101</v>
      </c>
      <c r="AJ72" s="98" t="s">
        <v>5102</v>
      </c>
      <c r="AK72" s="98" t="s">
        <v>5705</v>
      </c>
      <c r="AL72" s="101" t="s">
        <v>5149</v>
      </c>
      <c r="AM72" s="99"/>
      <c r="AN72" s="98" t="s">
        <v>5079</v>
      </c>
      <c r="AO72" s="98" t="s">
        <v>5591</v>
      </c>
      <c r="AP72" s="98" t="s">
        <v>5706</v>
      </c>
      <c r="AQ72" s="102">
        <v>2020</v>
      </c>
      <c r="AR72" s="99"/>
      <c r="AS72" s="99"/>
      <c r="AT72" s="99"/>
      <c r="AU72" s="98" t="s">
        <v>5084</v>
      </c>
      <c r="AV72" s="99"/>
      <c r="AW72" s="94" t="s">
        <v>5084</v>
      </c>
      <c r="AX72" s="95">
        <v>0</v>
      </c>
      <c r="AY72" s="98" t="s">
        <v>5152</v>
      </c>
      <c r="AZ72" s="102">
        <v>2</v>
      </c>
      <c r="BA72" s="102" t="s">
        <v>5237</v>
      </c>
      <c r="BB72" s="93"/>
    </row>
    <row r="73" spans="1:54" ht="13.8">
      <c r="A73" s="94" t="s">
        <v>5707</v>
      </c>
      <c r="B73" s="95" t="s">
        <v>5708</v>
      </c>
      <c r="C73" s="96">
        <v>28456</v>
      </c>
      <c r="D73" s="94" t="s">
        <v>2665</v>
      </c>
      <c r="E73" s="94" t="s">
        <v>1328</v>
      </c>
      <c r="F73" s="97" t="s">
        <v>1329</v>
      </c>
      <c r="G73" s="95">
        <v>3303005052</v>
      </c>
      <c r="H73" s="98" t="s">
        <v>5057</v>
      </c>
      <c r="I73" s="95">
        <v>48177007201</v>
      </c>
      <c r="J73" s="98" t="s">
        <v>5088</v>
      </c>
      <c r="K73" s="104">
        <v>44234</v>
      </c>
      <c r="L73" s="98" t="s">
        <v>5709</v>
      </c>
      <c r="M73" s="98" t="s">
        <v>5710</v>
      </c>
      <c r="N73" s="98" t="s">
        <v>5711</v>
      </c>
      <c r="O73" s="98" t="s">
        <v>5711</v>
      </c>
      <c r="P73" s="95">
        <v>935327827</v>
      </c>
      <c r="Q73" s="98" t="s">
        <v>5712</v>
      </c>
      <c r="R73" s="98" t="s">
        <v>5094</v>
      </c>
      <c r="S73" s="99"/>
      <c r="T73" s="100">
        <v>37137</v>
      </c>
      <c r="U73" s="100">
        <v>37502</v>
      </c>
      <c r="V73" s="98" t="s">
        <v>5713</v>
      </c>
      <c r="W73" s="98" t="s">
        <v>5068</v>
      </c>
      <c r="X73" s="98" t="s">
        <v>5067</v>
      </c>
      <c r="Y73" s="98" t="s">
        <v>5068</v>
      </c>
      <c r="Z73" s="99"/>
      <c r="AA73" s="99"/>
      <c r="AB73" s="99"/>
      <c r="AC73" s="99"/>
      <c r="AD73" s="99"/>
      <c r="AE73" s="95" t="s">
        <v>5714</v>
      </c>
      <c r="AF73" s="99"/>
      <c r="AG73" s="95">
        <v>1</v>
      </c>
      <c r="AH73" s="94" t="s">
        <v>5084</v>
      </c>
      <c r="AI73" s="94" t="s">
        <v>5075</v>
      </c>
      <c r="AJ73" s="98" t="s">
        <v>5489</v>
      </c>
      <c r="AK73" s="98" t="s">
        <v>5715</v>
      </c>
      <c r="AL73" s="101" t="s">
        <v>5078</v>
      </c>
      <c r="AM73" s="98" t="s">
        <v>5716</v>
      </c>
      <c r="AN73" s="98" t="s">
        <v>5079</v>
      </c>
      <c r="AO73" s="98" t="s">
        <v>5080</v>
      </c>
      <c r="AP73" s="102">
        <v>87</v>
      </c>
      <c r="AQ73" s="102">
        <v>2002</v>
      </c>
      <c r="AR73" s="98" t="s">
        <v>5082</v>
      </c>
      <c r="AS73" s="99"/>
      <c r="AT73" s="99"/>
      <c r="AU73" s="98" t="s">
        <v>5162</v>
      </c>
      <c r="AV73" s="95">
        <v>0</v>
      </c>
      <c r="AW73" s="94" t="s">
        <v>5084</v>
      </c>
      <c r="AX73" s="95">
        <v>0</v>
      </c>
      <c r="AY73" s="98" t="s">
        <v>5085</v>
      </c>
      <c r="AZ73" s="102">
        <v>3</v>
      </c>
      <c r="BA73" s="105">
        <v>46239</v>
      </c>
      <c r="BB73" s="93"/>
    </row>
    <row r="74" spans="1:54" ht="13.8">
      <c r="A74" s="94" t="s">
        <v>5717</v>
      </c>
      <c r="B74" s="95" t="s">
        <v>5718</v>
      </c>
      <c r="C74" s="100">
        <v>30993</v>
      </c>
      <c r="D74" s="94" t="s">
        <v>2656</v>
      </c>
      <c r="E74" s="94" t="s">
        <v>1328</v>
      </c>
      <c r="F74" s="97" t="s">
        <v>1329</v>
      </c>
      <c r="G74" s="95">
        <v>110076621</v>
      </c>
      <c r="H74" s="98" t="s">
        <v>5181</v>
      </c>
      <c r="I74" s="95">
        <v>1084027905</v>
      </c>
      <c r="J74" s="98" t="s">
        <v>5719</v>
      </c>
      <c r="K74" s="95" t="s">
        <v>5720</v>
      </c>
      <c r="L74" s="98" t="s">
        <v>5721</v>
      </c>
      <c r="M74" s="98" t="s">
        <v>5722</v>
      </c>
      <c r="N74" s="98" t="s">
        <v>5723</v>
      </c>
      <c r="O74" s="98" t="s">
        <v>5724</v>
      </c>
      <c r="P74" s="95">
        <v>346384668</v>
      </c>
      <c r="Q74" s="98" t="s">
        <v>5725</v>
      </c>
      <c r="R74" s="98" t="s">
        <v>5094</v>
      </c>
      <c r="S74" s="99"/>
      <c r="T74" s="100">
        <v>43107</v>
      </c>
      <c r="U74" s="96">
        <v>44177</v>
      </c>
      <c r="V74" s="98" t="s">
        <v>5243</v>
      </c>
      <c r="W74" s="98" t="s">
        <v>5068</v>
      </c>
      <c r="X74" s="98" t="s">
        <v>5096</v>
      </c>
      <c r="Y74" s="98" t="s">
        <v>5068</v>
      </c>
      <c r="Z74" s="99"/>
      <c r="AA74" s="99"/>
      <c r="AB74" s="99"/>
      <c r="AC74" s="99"/>
      <c r="AD74" s="99"/>
      <c r="AE74" s="99"/>
      <c r="AF74" s="99"/>
      <c r="AG74" s="95">
        <v>1</v>
      </c>
      <c r="AH74" s="94" t="s">
        <v>5074</v>
      </c>
      <c r="AI74" s="94" t="s">
        <v>5133</v>
      </c>
      <c r="AJ74" s="98" t="s">
        <v>5134</v>
      </c>
      <c r="AK74" s="98" t="s">
        <v>5528</v>
      </c>
      <c r="AL74" s="101" t="s">
        <v>5149</v>
      </c>
      <c r="AM74" s="98" t="s">
        <v>5726</v>
      </c>
      <c r="AN74" s="98" t="s">
        <v>5079</v>
      </c>
      <c r="AO74" s="98" t="s">
        <v>5727</v>
      </c>
      <c r="AP74" s="102">
        <v>927</v>
      </c>
      <c r="AQ74" s="102">
        <v>2016</v>
      </c>
      <c r="AR74" s="98" t="s">
        <v>5082</v>
      </c>
      <c r="AS74" s="99"/>
      <c r="AT74" s="99"/>
      <c r="AU74" s="99"/>
      <c r="AV74" s="99"/>
      <c r="AW74" s="94" t="s">
        <v>5074</v>
      </c>
      <c r="AX74" s="95">
        <v>0</v>
      </c>
      <c r="AY74" s="98" t="s">
        <v>5152</v>
      </c>
      <c r="AZ74" s="102">
        <v>5</v>
      </c>
      <c r="BA74" s="102" t="s">
        <v>5153</v>
      </c>
      <c r="BB74" s="93"/>
    </row>
    <row r="75" spans="1:54" ht="13.8">
      <c r="A75" s="94" t="s">
        <v>5728</v>
      </c>
      <c r="B75" s="95" t="s">
        <v>5729</v>
      </c>
      <c r="C75" s="100">
        <v>28289</v>
      </c>
      <c r="D75" s="94" t="s">
        <v>2665</v>
      </c>
      <c r="E75" s="94" t="s">
        <v>1328</v>
      </c>
      <c r="F75" s="97" t="s">
        <v>1329</v>
      </c>
      <c r="G75" s="95">
        <v>108003036</v>
      </c>
      <c r="H75" s="98" t="s">
        <v>5057</v>
      </c>
      <c r="I75" s="95">
        <v>1177048437</v>
      </c>
      <c r="J75" s="98" t="s">
        <v>5088</v>
      </c>
      <c r="K75" s="104">
        <v>44565</v>
      </c>
      <c r="L75" s="98" t="s">
        <v>5730</v>
      </c>
      <c r="M75" s="98" t="s">
        <v>5731</v>
      </c>
      <c r="N75" s="98" t="s">
        <v>5732</v>
      </c>
      <c r="O75" s="98" t="s">
        <v>5733</v>
      </c>
      <c r="P75" s="95">
        <v>915726749</v>
      </c>
      <c r="Q75" s="98" t="s">
        <v>5734</v>
      </c>
      <c r="R75" s="98" t="s">
        <v>5094</v>
      </c>
      <c r="S75" s="99"/>
      <c r="T75" s="100">
        <v>42007</v>
      </c>
      <c r="U75" s="100">
        <v>42007</v>
      </c>
      <c r="V75" s="98" t="s">
        <v>5095</v>
      </c>
      <c r="W75" s="98" t="s">
        <v>5068</v>
      </c>
      <c r="X75" s="98" t="s">
        <v>5096</v>
      </c>
      <c r="Y75" s="98" t="s">
        <v>5068</v>
      </c>
      <c r="Z75" s="99"/>
      <c r="AA75" s="99"/>
      <c r="AB75" s="99"/>
      <c r="AC75" s="99"/>
      <c r="AD75" s="99"/>
      <c r="AE75" s="99"/>
      <c r="AF75" s="99"/>
      <c r="AG75" s="95">
        <v>1</v>
      </c>
      <c r="AH75" s="94" t="s">
        <v>5074</v>
      </c>
      <c r="AI75" s="94" t="s">
        <v>5075</v>
      </c>
      <c r="AJ75" s="98" t="s">
        <v>5076</v>
      </c>
      <c r="AK75" s="98" t="s">
        <v>5735</v>
      </c>
      <c r="AL75" s="101" t="s">
        <v>5149</v>
      </c>
      <c r="AM75" s="98" t="s">
        <v>5736</v>
      </c>
      <c r="AN75" s="98" t="s">
        <v>5079</v>
      </c>
      <c r="AO75" s="98" t="s">
        <v>5737</v>
      </c>
      <c r="AP75" s="102">
        <v>926</v>
      </c>
      <c r="AQ75" s="102">
        <v>2006</v>
      </c>
      <c r="AR75" s="99"/>
      <c r="AS75" s="99"/>
      <c r="AT75" s="98" t="s">
        <v>5083</v>
      </c>
      <c r="AU75" s="98" t="s">
        <v>5074</v>
      </c>
      <c r="AV75" s="99"/>
      <c r="AW75" s="94" t="s">
        <v>5074</v>
      </c>
      <c r="AX75" s="95">
        <v>0</v>
      </c>
      <c r="AY75" s="98" t="s">
        <v>5152</v>
      </c>
      <c r="AZ75" s="102">
        <v>6</v>
      </c>
      <c r="BA75" s="102" t="s">
        <v>5260</v>
      </c>
      <c r="BB75" s="93"/>
    </row>
    <row r="76" spans="1:54" ht="13.8">
      <c r="A76" s="94" t="s">
        <v>5738</v>
      </c>
      <c r="B76" s="95" t="s">
        <v>5739</v>
      </c>
      <c r="C76" s="100">
        <v>32345</v>
      </c>
      <c r="D76" s="94" t="s">
        <v>2656</v>
      </c>
      <c r="E76" s="94" t="s">
        <v>1328</v>
      </c>
      <c r="F76" s="97" t="s">
        <v>1329</v>
      </c>
      <c r="G76" s="95">
        <v>4412001162</v>
      </c>
      <c r="H76" s="98" t="s">
        <v>5057</v>
      </c>
      <c r="I76" s="95">
        <v>62088005475</v>
      </c>
      <c r="J76" s="98" t="s">
        <v>5088</v>
      </c>
      <c r="K76" s="95" t="s">
        <v>5740</v>
      </c>
      <c r="L76" s="98" t="s">
        <v>5741</v>
      </c>
      <c r="M76" s="98" t="s">
        <v>5742</v>
      </c>
      <c r="N76" s="98" t="s">
        <v>5743</v>
      </c>
      <c r="O76" s="98" t="s">
        <v>5743</v>
      </c>
      <c r="P76" s="95">
        <v>932389332</v>
      </c>
      <c r="Q76" s="98" t="s">
        <v>5744</v>
      </c>
      <c r="R76" s="98" t="s">
        <v>5094</v>
      </c>
      <c r="S76" s="99"/>
      <c r="T76" s="100">
        <v>44049</v>
      </c>
      <c r="U76" s="109"/>
      <c r="V76" s="99"/>
      <c r="W76" s="98" t="s">
        <v>5068</v>
      </c>
      <c r="X76" s="98" t="s">
        <v>5096</v>
      </c>
      <c r="Y76" s="99"/>
      <c r="Z76" s="99"/>
      <c r="AA76" s="99"/>
      <c r="AB76" s="99"/>
      <c r="AC76" s="99"/>
      <c r="AD76" s="99"/>
      <c r="AE76" s="95" t="s">
        <v>5745</v>
      </c>
      <c r="AF76" s="99"/>
      <c r="AG76" s="95">
        <v>0</v>
      </c>
      <c r="AH76" s="94" t="s">
        <v>5074</v>
      </c>
      <c r="AI76" s="94" t="s">
        <v>5133</v>
      </c>
      <c r="AJ76" s="98" t="s">
        <v>5134</v>
      </c>
      <c r="AK76" s="98" t="s">
        <v>5528</v>
      </c>
      <c r="AL76" s="101" t="s">
        <v>5149</v>
      </c>
      <c r="AM76" s="99"/>
      <c r="AN76" s="98" t="s">
        <v>5079</v>
      </c>
      <c r="AO76" s="98" t="s">
        <v>5746</v>
      </c>
      <c r="AP76" s="98" t="s">
        <v>5747</v>
      </c>
      <c r="AQ76" s="102">
        <v>2024</v>
      </c>
      <c r="AR76" s="98" t="s">
        <v>5200</v>
      </c>
      <c r="AS76" s="99"/>
      <c r="AT76" s="99"/>
      <c r="AU76" s="98" t="s">
        <v>5483</v>
      </c>
      <c r="AV76" s="99"/>
      <c r="AW76" s="94" t="s">
        <v>5074</v>
      </c>
      <c r="AX76" s="95">
        <v>0</v>
      </c>
      <c r="AY76" s="98" t="s">
        <v>5152</v>
      </c>
      <c r="AZ76" s="102">
        <v>5</v>
      </c>
      <c r="BA76" s="102" t="s">
        <v>5153</v>
      </c>
      <c r="BB76" s="93"/>
    </row>
    <row r="77" spans="1:54" ht="13.8">
      <c r="A77" s="94" t="s">
        <v>5748</v>
      </c>
      <c r="B77" s="95" t="s">
        <v>5749</v>
      </c>
      <c r="C77" s="96">
        <v>29514</v>
      </c>
      <c r="D77" s="94" t="s">
        <v>2656</v>
      </c>
      <c r="E77" s="94" t="s">
        <v>1328</v>
      </c>
      <c r="F77" s="97" t="s">
        <v>1329</v>
      </c>
      <c r="G77" s="95">
        <v>4810023191</v>
      </c>
      <c r="H77" s="98" t="s">
        <v>5057</v>
      </c>
      <c r="I77" s="95">
        <v>15080009801</v>
      </c>
      <c r="J77" s="98" t="s">
        <v>5088</v>
      </c>
      <c r="K77" s="95" t="s">
        <v>5277</v>
      </c>
      <c r="L77" s="98" t="s">
        <v>5750</v>
      </c>
      <c r="M77" s="98" t="s">
        <v>5751</v>
      </c>
      <c r="N77" s="98" t="s">
        <v>5752</v>
      </c>
      <c r="O77" s="98" t="s">
        <v>5752</v>
      </c>
      <c r="P77" s="95">
        <v>915891619</v>
      </c>
      <c r="Q77" s="98" t="s">
        <v>5753</v>
      </c>
      <c r="R77" s="98" t="s">
        <v>5094</v>
      </c>
      <c r="S77" s="99"/>
      <c r="T77" s="100">
        <v>40185</v>
      </c>
      <c r="U77" s="100">
        <v>40550</v>
      </c>
      <c r="V77" s="98" t="s">
        <v>5095</v>
      </c>
      <c r="W77" s="98" t="s">
        <v>5068</v>
      </c>
      <c r="X77" s="98" t="s">
        <v>5096</v>
      </c>
      <c r="Y77" s="98" t="s">
        <v>5068</v>
      </c>
      <c r="Z77" s="99"/>
      <c r="AA77" s="99"/>
      <c r="AB77" s="99"/>
      <c r="AC77" s="99"/>
      <c r="AD77" s="98" t="s">
        <v>5754</v>
      </c>
      <c r="AE77" s="104">
        <v>39056</v>
      </c>
      <c r="AF77" s="98" t="s">
        <v>5755</v>
      </c>
      <c r="AG77" s="95">
        <v>1</v>
      </c>
      <c r="AH77" s="94" t="s">
        <v>5074</v>
      </c>
      <c r="AI77" s="94" t="s">
        <v>5133</v>
      </c>
      <c r="AJ77" s="98" t="s">
        <v>5134</v>
      </c>
      <c r="AK77" s="98" t="s">
        <v>5756</v>
      </c>
      <c r="AL77" s="101" t="s">
        <v>5078</v>
      </c>
      <c r="AM77" s="98" t="s">
        <v>3209</v>
      </c>
      <c r="AN77" s="98" t="s">
        <v>5079</v>
      </c>
      <c r="AO77" s="98" t="s">
        <v>3209</v>
      </c>
      <c r="AP77" s="102">
        <v>921</v>
      </c>
      <c r="AQ77" s="102">
        <v>2009</v>
      </c>
      <c r="AR77" s="98" t="s">
        <v>5082</v>
      </c>
      <c r="AS77" s="99"/>
      <c r="AT77" s="98" t="s">
        <v>5083</v>
      </c>
      <c r="AU77" s="98" t="s">
        <v>5228</v>
      </c>
      <c r="AV77" s="95">
        <v>0</v>
      </c>
      <c r="AW77" s="94" t="s">
        <v>5074</v>
      </c>
      <c r="AX77" s="95">
        <v>0</v>
      </c>
      <c r="AY77" s="98" t="s">
        <v>5085</v>
      </c>
      <c r="AZ77" s="102">
        <v>2</v>
      </c>
      <c r="BA77" s="102" t="s">
        <v>5086</v>
      </c>
      <c r="BB77" s="93"/>
    </row>
    <row r="78" spans="1:54" ht="13.8">
      <c r="A78" s="94" t="s">
        <v>5757</v>
      </c>
      <c r="B78" s="95" t="s">
        <v>5758</v>
      </c>
      <c r="C78" s="96">
        <v>31763</v>
      </c>
      <c r="D78" s="94" t="s">
        <v>2656</v>
      </c>
      <c r="E78" s="94" t="s">
        <v>1328</v>
      </c>
      <c r="F78" s="97" t="s">
        <v>1329</v>
      </c>
      <c r="G78" s="95">
        <v>4811044782</v>
      </c>
      <c r="H78" s="98" t="s">
        <v>5057</v>
      </c>
      <c r="I78" s="95">
        <v>49089013503</v>
      </c>
      <c r="J78" s="98" t="s">
        <v>5088</v>
      </c>
      <c r="K78" s="95" t="s">
        <v>5089</v>
      </c>
      <c r="L78" s="98" t="s">
        <v>5759</v>
      </c>
      <c r="M78" s="98" t="s">
        <v>5760</v>
      </c>
      <c r="N78" s="98" t="s">
        <v>5761</v>
      </c>
      <c r="O78" s="98" t="s">
        <v>5761</v>
      </c>
      <c r="P78" s="95">
        <v>938359147</v>
      </c>
      <c r="Q78" s="98" t="s">
        <v>5762</v>
      </c>
      <c r="R78" s="98" t="s">
        <v>5094</v>
      </c>
      <c r="S78" s="99"/>
      <c r="T78" s="100">
        <v>41640</v>
      </c>
      <c r="U78" s="100">
        <v>40544</v>
      </c>
      <c r="V78" s="98" t="s">
        <v>5095</v>
      </c>
      <c r="W78" s="98" t="s">
        <v>5068</v>
      </c>
      <c r="X78" s="98" t="s">
        <v>5096</v>
      </c>
      <c r="Y78" s="98" t="s">
        <v>5068</v>
      </c>
      <c r="Z78" s="99"/>
      <c r="AA78" s="99"/>
      <c r="AB78" s="95" t="s">
        <v>5161</v>
      </c>
      <c r="AC78" s="99"/>
      <c r="AD78" s="99"/>
      <c r="AE78" s="95" t="s">
        <v>5763</v>
      </c>
      <c r="AF78" s="99"/>
      <c r="AG78" s="95">
        <v>1</v>
      </c>
      <c r="AH78" s="94" t="s">
        <v>5074</v>
      </c>
      <c r="AI78" s="94" t="s">
        <v>5075</v>
      </c>
      <c r="AJ78" s="98" t="s">
        <v>5134</v>
      </c>
      <c r="AK78" s="98" t="s">
        <v>5498</v>
      </c>
      <c r="AL78" s="101" t="s">
        <v>5078</v>
      </c>
      <c r="AM78" s="98" t="s">
        <v>5764</v>
      </c>
      <c r="AN78" s="98" t="s">
        <v>5079</v>
      </c>
      <c r="AO78" s="98" t="s">
        <v>5080</v>
      </c>
      <c r="AP78" s="102">
        <v>102</v>
      </c>
      <c r="AQ78" s="99"/>
      <c r="AR78" s="98" t="s">
        <v>5200</v>
      </c>
      <c r="AS78" s="99"/>
      <c r="AT78" s="98" t="s">
        <v>5083</v>
      </c>
      <c r="AU78" s="98" t="s">
        <v>5084</v>
      </c>
      <c r="AV78" s="95">
        <v>0</v>
      </c>
      <c r="AW78" s="94" t="s">
        <v>5074</v>
      </c>
      <c r="AX78" s="95">
        <v>0</v>
      </c>
      <c r="AY78" s="98" t="s">
        <v>5152</v>
      </c>
      <c r="AZ78" s="102">
        <v>5</v>
      </c>
      <c r="BA78" s="102" t="s">
        <v>5153</v>
      </c>
      <c r="BB78" s="93"/>
    </row>
    <row r="79" spans="1:54" ht="13.8">
      <c r="A79" s="94" t="s">
        <v>5765</v>
      </c>
      <c r="B79" s="95" t="s">
        <v>5766</v>
      </c>
      <c r="C79" s="100">
        <v>32707</v>
      </c>
      <c r="D79" s="94" t="s">
        <v>2656</v>
      </c>
      <c r="E79" s="94" t="s">
        <v>1328</v>
      </c>
      <c r="F79" s="97" t="s">
        <v>1329</v>
      </c>
      <c r="G79" s="95">
        <v>4810005111</v>
      </c>
      <c r="H79" s="98" t="s">
        <v>5057</v>
      </c>
      <c r="I79" s="95">
        <v>46086006106</v>
      </c>
      <c r="J79" s="98" t="s">
        <v>5088</v>
      </c>
      <c r="K79" s="95" t="s">
        <v>5089</v>
      </c>
      <c r="L79" s="98" t="s">
        <v>5767</v>
      </c>
      <c r="M79" s="98" t="s">
        <v>5768</v>
      </c>
      <c r="N79" s="98" t="s">
        <v>5769</v>
      </c>
      <c r="O79" s="98" t="s">
        <v>5769</v>
      </c>
      <c r="P79" s="95">
        <v>1679335487</v>
      </c>
      <c r="Q79" s="98" t="s">
        <v>5770</v>
      </c>
      <c r="R79" s="98" t="s">
        <v>5094</v>
      </c>
      <c r="S79" s="99"/>
      <c r="T79" s="100">
        <v>40553</v>
      </c>
      <c r="U79" s="100">
        <v>41276</v>
      </c>
      <c r="V79" s="98" t="s">
        <v>5095</v>
      </c>
      <c r="W79" s="98" t="s">
        <v>5068</v>
      </c>
      <c r="X79" s="98" t="s">
        <v>5096</v>
      </c>
      <c r="Y79" s="98" t="s">
        <v>5068</v>
      </c>
      <c r="Z79" s="99"/>
      <c r="AA79" s="99"/>
      <c r="AB79" s="99"/>
      <c r="AC79" s="99"/>
      <c r="AD79" s="99"/>
      <c r="AE79" s="95" t="s">
        <v>5161</v>
      </c>
      <c r="AF79" s="99"/>
      <c r="AG79" s="95">
        <v>1</v>
      </c>
      <c r="AH79" s="94" t="s">
        <v>5084</v>
      </c>
      <c r="AI79" s="94" t="s">
        <v>5133</v>
      </c>
      <c r="AJ79" s="98" t="s">
        <v>5489</v>
      </c>
      <c r="AK79" s="98" t="s">
        <v>5771</v>
      </c>
      <c r="AL79" s="101" t="s">
        <v>5149</v>
      </c>
      <c r="AM79" s="99"/>
      <c r="AN79" s="98" t="s">
        <v>5079</v>
      </c>
      <c r="AO79" s="98" t="s">
        <v>5772</v>
      </c>
      <c r="AP79" s="98" t="s">
        <v>5773</v>
      </c>
      <c r="AQ79" s="102">
        <v>2019</v>
      </c>
      <c r="AR79" s="99"/>
      <c r="AS79" s="99"/>
      <c r="AT79" s="98" t="s">
        <v>5083</v>
      </c>
      <c r="AU79" s="99"/>
      <c r="AV79" s="95">
        <v>0</v>
      </c>
      <c r="AW79" s="94" t="s">
        <v>5084</v>
      </c>
      <c r="AX79" s="95">
        <v>0</v>
      </c>
      <c r="AY79" s="98" t="s">
        <v>5085</v>
      </c>
      <c r="AZ79" s="102">
        <v>2</v>
      </c>
      <c r="BA79" s="102" t="s">
        <v>5086</v>
      </c>
      <c r="BB79" s="93"/>
    </row>
    <row r="80" spans="1:54" ht="13.8">
      <c r="A80" s="94" t="s">
        <v>5774</v>
      </c>
      <c r="B80" s="95" t="s">
        <v>5775</v>
      </c>
      <c r="C80" s="96">
        <v>31730</v>
      </c>
      <c r="D80" s="94" t="s">
        <v>2656</v>
      </c>
      <c r="E80" s="94" t="s">
        <v>1328</v>
      </c>
      <c r="F80" s="97" t="s">
        <v>1329</v>
      </c>
      <c r="G80" s="95">
        <v>4809012903</v>
      </c>
      <c r="H80" s="99"/>
      <c r="I80" s="95">
        <v>201530214</v>
      </c>
      <c r="J80" s="98" t="s">
        <v>5156</v>
      </c>
      <c r="K80" s="104">
        <v>38203</v>
      </c>
      <c r="L80" s="98" t="s">
        <v>5776</v>
      </c>
      <c r="M80" s="98" t="s">
        <v>5777</v>
      </c>
      <c r="N80" s="98" t="s">
        <v>5778</v>
      </c>
      <c r="O80" s="98" t="s">
        <v>5778</v>
      </c>
      <c r="P80" s="95">
        <v>905265103</v>
      </c>
      <c r="Q80" s="98" t="s">
        <v>5779</v>
      </c>
      <c r="R80" s="98" t="s">
        <v>5094</v>
      </c>
      <c r="S80" s="99"/>
      <c r="T80" s="100">
        <v>41275</v>
      </c>
      <c r="U80" s="100">
        <v>40179</v>
      </c>
      <c r="V80" s="98" t="s">
        <v>5780</v>
      </c>
      <c r="W80" s="98" t="s">
        <v>5781</v>
      </c>
      <c r="X80" s="98" t="s">
        <v>5096</v>
      </c>
      <c r="Y80" s="98" t="s">
        <v>5068</v>
      </c>
      <c r="Z80" s="99"/>
      <c r="AA80" s="99"/>
      <c r="AB80" s="95" t="s">
        <v>5161</v>
      </c>
      <c r="AC80" s="99"/>
      <c r="AD80" s="99"/>
      <c r="AE80" s="95" t="s">
        <v>5161</v>
      </c>
      <c r="AF80" s="99"/>
      <c r="AG80" s="95">
        <v>1</v>
      </c>
      <c r="AH80" s="94" t="s">
        <v>5074</v>
      </c>
      <c r="AI80" s="94" t="s">
        <v>5133</v>
      </c>
      <c r="AJ80" s="98" t="s">
        <v>5134</v>
      </c>
      <c r="AK80" s="98" t="s">
        <v>5782</v>
      </c>
      <c r="AL80" s="101" t="s">
        <v>5149</v>
      </c>
      <c r="AM80" s="98" t="s">
        <v>3200</v>
      </c>
      <c r="AN80" s="98" t="s">
        <v>5079</v>
      </c>
      <c r="AO80" s="98" t="s">
        <v>5783</v>
      </c>
      <c r="AP80" s="102">
        <v>912</v>
      </c>
      <c r="AQ80" s="102">
        <v>2021</v>
      </c>
      <c r="AR80" s="99"/>
      <c r="AS80" s="99"/>
      <c r="AT80" s="99"/>
      <c r="AU80" s="99"/>
      <c r="AV80" s="95">
        <v>0</v>
      </c>
      <c r="AW80" s="94" t="s">
        <v>5074</v>
      </c>
      <c r="AX80" s="95">
        <v>0</v>
      </c>
      <c r="AY80" s="98" t="s">
        <v>5152</v>
      </c>
      <c r="AZ80" s="102">
        <v>4</v>
      </c>
      <c r="BA80" s="102" t="s">
        <v>5168</v>
      </c>
      <c r="BB80" s="93"/>
    </row>
    <row r="81" spans="1:54" ht="13.8">
      <c r="A81" s="94" t="s">
        <v>5784</v>
      </c>
      <c r="B81" s="95" t="s">
        <v>5785</v>
      </c>
      <c r="C81" s="100">
        <v>28961</v>
      </c>
      <c r="D81" s="94" t="s">
        <v>2656</v>
      </c>
      <c r="E81" s="94" t="s">
        <v>1328</v>
      </c>
      <c r="F81" s="97" t="s">
        <v>1329</v>
      </c>
      <c r="G81" s="95">
        <v>4808004742</v>
      </c>
      <c r="H81" s="98" t="s">
        <v>5181</v>
      </c>
      <c r="I81" s="95">
        <v>40079028634</v>
      </c>
      <c r="J81" s="98" t="s">
        <v>5088</v>
      </c>
      <c r="K81" s="104">
        <v>45386</v>
      </c>
      <c r="L81" s="98" t="s">
        <v>5786</v>
      </c>
      <c r="M81" s="98" t="s">
        <v>5787</v>
      </c>
      <c r="N81" s="98" t="s">
        <v>5788</v>
      </c>
      <c r="O81" s="98" t="s">
        <v>5789</v>
      </c>
      <c r="P81" s="95">
        <v>983136625</v>
      </c>
      <c r="Q81" s="98" t="s">
        <v>5790</v>
      </c>
      <c r="R81" s="98" t="s">
        <v>5094</v>
      </c>
      <c r="S81" s="99"/>
      <c r="T81" s="100">
        <v>40549</v>
      </c>
      <c r="U81" s="100">
        <v>39814</v>
      </c>
      <c r="V81" s="98" t="s">
        <v>5095</v>
      </c>
      <c r="W81" s="98" t="s">
        <v>5068</v>
      </c>
      <c r="X81" s="98" t="s">
        <v>5096</v>
      </c>
      <c r="Y81" s="98" t="s">
        <v>5068</v>
      </c>
      <c r="Z81" s="99"/>
      <c r="AA81" s="99"/>
      <c r="AB81" s="99"/>
      <c r="AC81" s="99"/>
      <c r="AD81" s="98" t="s">
        <v>5791</v>
      </c>
      <c r="AE81" s="104">
        <v>38057</v>
      </c>
      <c r="AF81" s="98" t="s">
        <v>5590</v>
      </c>
      <c r="AG81" s="95">
        <v>1</v>
      </c>
      <c r="AH81" s="94" t="s">
        <v>5074</v>
      </c>
      <c r="AI81" s="94" t="s">
        <v>5133</v>
      </c>
      <c r="AJ81" s="98" t="s">
        <v>5134</v>
      </c>
      <c r="AK81" s="98" t="s">
        <v>2746</v>
      </c>
      <c r="AL81" s="101" t="s">
        <v>5149</v>
      </c>
      <c r="AM81" s="98" t="s">
        <v>5792</v>
      </c>
      <c r="AN81" s="98" t="s">
        <v>5079</v>
      </c>
      <c r="AO81" s="98" t="s">
        <v>5080</v>
      </c>
      <c r="AP81" s="102">
        <v>811</v>
      </c>
      <c r="AQ81" s="102">
        <v>2012</v>
      </c>
      <c r="AR81" s="98" t="s">
        <v>5082</v>
      </c>
      <c r="AS81" s="99"/>
      <c r="AT81" s="98" t="s">
        <v>5083</v>
      </c>
      <c r="AU81" s="98" t="s">
        <v>5107</v>
      </c>
      <c r="AV81" s="95">
        <v>0</v>
      </c>
      <c r="AW81" s="94" t="s">
        <v>5074</v>
      </c>
      <c r="AX81" s="95">
        <v>0</v>
      </c>
      <c r="AY81" s="98" t="s">
        <v>5152</v>
      </c>
      <c r="AZ81" s="102">
        <v>7</v>
      </c>
      <c r="BA81" s="102" t="s">
        <v>5286</v>
      </c>
      <c r="BB81" s="93"/>
    </row>
    <row r="82" spans="1:54" ht="13.8">
      <c r="A82" s="94" t="s">
        <v>5793</v>
      </c>
      <c r="B82" s="95" t="s">
        <v>5794</v>
      </c>
      <c r="C82" s="100">
        <v>29287</v>
      </c>
      <c r="D82" s="94" t="s">
        <v>2656</v>
      </c>
      <c r="E82" s="94" t="s">
        <v>1328</v>
      </c>
      <c r="F82" s="97" t="s">
        <v>1329</v>
      </c>
      <c r="G82" s="95">
        <v>4808000581</v>
      </c>
      <c r="H82" s="98" t="s">
        <v>5057</v>
      </c>
      <c r="I82" s="95">
        <v>48080002442</v>
      </c>
      <c r="J82" s="98" t="s">
        <v>5088</v>
      </c>
      <c r="K82" s="95" t="s">
        <v>5089</v>
      </c>
      <c r="L82" s="98" t="s">
        <v>5795</v>
      </c>
      <c r="M82" s="98" t="s">
        <v>5796</v>
      </c>
      <c r="N82" s="98" t="s">
        <v>5797</v>
      </c>
      <c r="O82" s="98" t="s">
        <v>5797</v>
      </c>
      <c r="P82" s="95">
        <v>905294998</v>
      </c>
      <c r="Q82" s="98" t="s">
        <v>5798</v>
      </c>
      <c r="R82" s="98" t="s">
        <v>5094</v>
      </c>
      <c r="S82" s="99"/>
      <c r="T82" s="100">
        <v>38364</v>
      </c>
      <c r="U82" s="100">
        <v>39311</v>
      </c>
      <c r="V82" s="98" t="s">
        <v>5095</v>
      </c>
      <c r="W82" s="98" t="s">
        <v>5068</v>
      </c>
      <c r="X82" s="98" t="s">
        <v>5096</v>
      </c>
      <c r="Y82" s="98" t="s">
        <v>5799</v>
      </c>
      <c r="Z82" s="99"/>
      <c r="AA82" s="99"/>
      <c r="AB82" s="99"/>
      <c r="AC82" s="99"/>
      <c r="AD82" s="99"/>
      <c r="AE82" s="95" t="s">
        <v>5800</v>
      </c>
      <c r="AF82" s="99"/>
      <c r="AG82" s="95">
        <v>1</v>
      </c>
      <c r="AH82" s="94" t="s">
        <v>5074</v>
      </c>
      <c r="AI82" s="94" t="s">
        <v>5075</v>
      </c>
      <c r="AJ82" s="98" t="s">
        <v>5076</v>
      </c>
      <c r="AK82" s="98" t="s">
        <v>5498</v>
      </c>
      <c r="AL82" s="101" t="s">
        <v>5149</v>
      </c>
      <c r="AM82" s="98" t="s">
        <v>5179</v>
      </c>
      <c r="AN82" s="98" t="s">
        <v>5079</v>
      </c>
      <c r="AO82" s="98" t="s">
        <v>5080</v>
      </c>
      <c r="AP82" s="102">
        <v>800</v>
      </c>
      <c r="AQ82" s="99"/>
      <c r="AR82" s="98" t="s">
        <v>5082</v>
      </c>
      <c r="AS82" s="99"/>
      <c r="AT82" s="99"/>
      <c r="AU82" s="98" t="s">
        <v>5074</v>
      </c>
      <c r="AV82" s="95">
        <v>0</v>
      </c>
      <c r="AW82" s="94" t="s">
        <v>5074</v>
      </c>
      <c r="AX82" s="95">
        <v>0</v>
      </c>
      <c r="AY82" s="98" t="s">
        <v>5152</v>
      </c>
      <c r="AZ82" s="102">
        <v>8</v>
      </c>
      <c r="BA82" s="102" t="s">
        <v>5211</v>
      </c>
      <c r="BB82" s="93"/>
    </row>
    <row r="83" spans="1:54" ht="13.8">
      <c r="A83" s="94" t="s">
        <v>5801</v>
      </c>
      <c r="B83" s="95" t="s">
        <v>5802</v>
      </c>
      <c r="C83" s="100">
        <v>28491</v>
      </c>
      <c r="D83" s="94" t="s">
        <v>2656</v>
      </c>
      <c r="E83" s="94" t="s">
        <v>1328</v>
      </c>
      <c r="F83" s="97" t="s">
        <v>1329</v>
      </c>
      <c r="G83" s="95">
        <v>4808004703</v>
      </c>
      <c r="H83" s="98" t="s">
        <v>5057</v>
      </c>
      <c r="I83" s="95">
        <v>48078004700</v>
      </c>
      <c r="J83" s="98" t="s">
        <v>5088</v>
      </c>
      <c r="K83" s="95" t="s">
        <v>5089</v>
      </c>
      <c r="L83" s="98" t="s">
        <v>5795</v>
      </c>
      <c r="M83" s="98" t="s">
        <v>5796</v>
      </c>
      <c r="N83" s="98" t="s">
        <v>5803</v>
      </c>
      <c r="O83" s="98" t="s">
        <v>5803</v>
      </c>
      <c r="P83" s="95">
        <v>914780898</v>
      </c>
      <c r="Q83" s="98" t="s">
        <v>5804</v>
      </c>
      <c r="R83" s="98" t="s">
        <v>5094</v>
      </c>
      <c r="S83" s="99"/>
      <c r="T83" s="100">
        <v>39088</v>
      </c>
      <c r="U83" s="100">
        <v>39453</v>
      </c>
      <c r="V83" s="98" t="s">
        <v>5805</v>
      </c>
      <c r="W83" s="98" t="s">
        <v>5068</v>
      </c>
      <c r="X83" s="98" t="s">
        <v>5096</v>
      </c>
      <c r="Y83" s="98" t="s">
        <v>5066</v>
      </c>
      <c r="Z83" s="99"/>
      <c r="AA83" s="99"/>
      <c r="AB83" s="99"/>
      <c r="AC83" s="99"/>
      <c r="AD83" s="98" t="s">
        <v>5806</v>
      </c>
      <c r="AE83" s="104">
        <v>38053</v>
      </c>
      <c r="AF83" s="98" t="s">
        <v>5590</v>
      </c>
      <c r="AG83" s="95">
        <v>1</v>
      </c>
      <c r="AH83" s="94" t="s">
        <v>5074</v>
      </c>
      <c r="AI83" s="94" t="s">
        <v>5133</v>
      </c>
      <c r="AJ83" s="98" t="s">
        <v>5134</v>
      </c>
      <c r="AK83" s="98" t="s">
        <v>5807</v>
      </c>
      <c r="AL83" s="101" t="s">
        <v>5078</v>
      </c>
      <c r="AM83" s="98" t="s">
        <v>5808</v>
      </c>
      <c r="AN83" s="98" t="s">
        <v>5079</v>
      </c>
      <c r="AO83" s="98" t="s">
        <v>3209</v>
      </c>
      <c r="AP83" s="102">
        <v>936</v>
      </c>
      <c r="AQ83" s="102">
        <v>2006</v>
      </c>
      <c r="AR83" s="98" t="s">
        <v>5106</v>
      </c>
      <c r="AS83" s="99"/>
      <c r="AT83" s="99"/>
      <c r="AU83" s="98" t="s">
        <v>5074</v>
      </c>
      <c r="AV83" s="95">
        <v>0</v>
      </c>
      <c r="AW83" s="94" t="s">
        <v>5074</v>
      </c>
      <c r="AX83" s="95">
        <v>0</v>
      </c>
      <c r="AY83" s="98" t="s">
        <v>5085</v>
      </c>
      <c r="AZ83" s="102">
        <v>3</v>
      </c>
      <c r="BA83" s="105">
        <v>46239</v>
      </c>
      <c r="BB83" s="93"/>
    </row>
    <row r="84" spans="1:54" ht="13.8">
      <c r="A84" s="94" t="s">
        <v>1941</v>
      </c>
      <c r="B84" s="95" t="s">
        <v>5809</v>
      </c>
      <c r="C84" s="96">
        <v>29914</v>
      </c>
      <c r="D84" s="94" t="s">
        <v>2665</v>
      </c>
      <c r="E84" s="94" t="s">
        <v>1328</v>
      </c>
      <c r="F84" s="97" t="s">
        <v>1329</v>
      </c>
      <c r="G84" s="95">
        <v>4808004744</v>
      </c>
      <c r="H84" s="98" t="s">
        <v>5057</v>
      </c>
      <c r="I84" s="95">
        <v>48181003727</v>
      </c>
      <c r="J84" s="98" t="s">
        <v>5088</v>
      </c>
      <c r="K84" s="95" t="s">
        <v>5277</v>
      </c>
      <c r="L84" s="98" t="s">
        <v>5810</v>
      </c>
      <c r="M84" s="98" t="s">
        <v>5811</v>
      </c>
      <c r="N84" s="98" t="s">
        <v>5812</v>
      </c>
      <c r="O84" s="98" t="s">
        <v>5812</v>
      </c>
      <c r="P84" s="95">
        <v>984630996</v>
      </c>
      <c r="Q84" s="98" t="s">
        <v>5813</v>
      </c>
      <c r="R84" s="98" t="s">
        <v>5094</v>
      </c>
      <c r="S84" s="98" t="s">
        <v>5116</v>
      </c>
      <c r="T84" s="100">
        <v>40548</v>
      </c>
      <c r="U84" s="100">
        <v>39452</v>
      </c>
      <c r="V84" s="98" t="s">
        <v>5095</v>
      </c>
      <c r="W84" s="98" t="s">
        <v>5068</v>
      </c>
      <c r="X84" s="98" t="s">
        <v>5096</v>
      </c>
      <c r="Y84" s="98" t="s">
        <v>5068</v>
      </c>
      <c r="Z84" s="99"/>
      <c r="AA84" s="99"/>
      <c r="AB84" s="95" t="s">
        <v>5161</v>
      </c>
      <c r="AC84" s="99"/>
      <c r="AD84" s="99"/>
      <c r="AE84" s="95" t="s">
        <v>5161</v>
      </c>
      <c r="AF84" s="99"/>
      <c r="AG84" s="95">
        <v>1</v>
      </c>
      <c r="AH84" s="94" t="s">
        <v>5084</v>
      </c>
      <c r="AI84" s="94" t="s">
        <v>5075</v>
      </c>
      <c r="AJ84" s="98" t="s">
        <v>5489</v>
      </c>
      <c r="AK84" s="98" t="s">
        <v>5490</v>
      </c>
      <c r="AL84" s="101" t="s">
        <v>5078</v>
      </c>
      <c r="AM84" s="98" t="s">
        <v>5179</v>
      </c>
      <c r="AN84" s="98" t="s">
        <v>5079</v>
      </c>
      <c r="AO84" s="98" t="s">
        <v>5080</v>
      </c>
      <c r="AP84" s="102">
        <v>800</v>
      </c>
      <c r="AQ84" s="102">
        <v>2011</v>
      </c>
      <c r="AR84" s="99"/>
      <c r="AS84" s="99"/>
      <c r="AT84" s="98" t="s">
        <v>5083</v>
      </c>
      <c r="AU84" s="98" t="s">
        <v>5162</v>
      </c>
      <c r="AV84" s="95">
        <v>0</v>
      </c>
      <c r="AW84" s="94" t="s">
        <v>5084</v>
      </c>
      <c r="AX84" s="95">
        <v>0</v>
      </c>
      <c r="AY84" s="98" t="s">
        <v>5085</v>
      </c>
      <c r="AZ84" s="102">
        <v>2</v>
      </c>
      <c r="BA84" s="102" t="s">
        <v>5086</v>
      </c>
      <c r="BB84" s="93"/>
    </row>
    <row r="85" spans="1:54" ht="13.8">
      <c r="A85" s="94" t="s">
        <v>5814</v>
      </c>
      <c r="B85" s="95" t="s">
        <v>5815</v>
      </c>
      <c r="C85" s="100">
        <v>28292</v>
      </c>
      <c r="D85" s="94" t="s">
        <v>2665</v>
      </c>
      <c r="E85" s="94" t="s">
        <v>1975</v>
      </c>
      <c r="F85" s="97" t="s">
        <v>1352</v>
      </c>
      <c r="G85" s="95">
        <v>401001858</v>
      </c>
      <c r="H85" s="98" t="s">
        <v>5057</v>
      </c>
      <c r="I85" s="95">
        <v>51177019955</v>
      </c>
      <c r="J85" s="98" t="s">
        <v>5088</v>
      </c>
      <c r="K85" s="95" t="s">
        <v>5277</v>
      </c>
      <c r="L85" s="98" t="s">
        <v>5816</v>
      </c>
      <c r="M85" s="98" t="s">
        <v>5817</v>
      </c>
      <c r="N85" s="98" t="s">
        <v>5818</v>
      </c>
      <c r="O85" s="98" t="s">
        <v>5819</v>
      </c>
      <c r="P85" s="95">
        <v>364194381</v>
      </c>
      <c r="Q85" s="98" t="s">
        <v>5820</v>
      </c>
      <c r="R85" s="98" t="s">
        <v>5094</v>
      </c>
      <c r="S85" s="99"/>
      <c r="T85" s="100">
        <v>37137</v>
      </c>
      <c r="U85" s="100">
        <v>37259</v>
      </c>
      <c r="V85" s="98" t="s">
        <v>5243</v>
      </c>
      <c r="W85" s="98" t="s">
        <v>5821</v>
      </c>
      <c r="X85" s="98" t="s">
        <v>5096</v>
      </c>
      <c r="Y85" s="98" t="s">
        <v>5822</v>
      </c>
      <c r="Z85" s="99"/>
      <c r="AA85" s="99"/>
      <c r="AB85" s="95" t="s">
        <v>5161</v>
      </c>
      <c r="AC85" s="99"/>
      <c r="AD85" s="99"/>
      <c r="AE85" s="95" t="s">
        <v>5161</v>
      </c>
      <c r="AF85" s="99"/>
      <c r="AG85" s="95">
        <v>1</v>
      </c>
      <c r="AH85" s="94" t="s">
        <v>5084</v>
      </c>
      <c r="AI85" s="94" t="s">
        <v>5133</v>
      </c>
      <c r="AJ85" s="98" t="s">
        <v>5134</v>
      </c>
      <c r="AK85" s="98" t="s">
        <v>5248</v>
      </c>
      <c r="AL85" s="101" t="s">
        <v>5149</v>
      </c>
      <c r="AM85" s="98" t="s">
        <v>5268</v>
      </c>
      <c r="AN85" s="98" t="s">
        <v>5079</v>
      </c>
      <c r="AO85" s="98" t="s">
        <v>5080</v>
      </c>
      <c r="AP85" s="102">
        <v>83</v>
      </c>
      <c r="AQ85" s="102">
        <v>2013</v>
      </c>
      <c r="AR85" s="99"/>
      <c r="AS85" s="99"/>
      <c r="AT85" s="98" t="s">
        <v>5083</v>
      </c>
      <c r="AU85" s="98" t="s">
        <v>5228</v>
      </c>
      <c r="AV85" s="95">
        <v>0</v>
      </c>
      <c r="AW85" s="94" t="s">
        <v>5084</v>
      </c>
      <c r="AX85" s="95">
        <v>0</v>
      </c>
      <c r="AY85" s="98" t="s">
        <v>5152</v>
      </c>
      <c r="AZ85" s="102">
        <v>8</v>
      </c>
      <c r="BA85" s="102" t="s">
        <v>5211</v>
      </c>
      <c r="BB85" s="93"/>
    </row>
    <row r="86" spans="1:54" ht="13.8">
      <c r="A86" s="94" t="s">
        <v>5823</v>
      </c>
      <c r="B86" s="95" t="s">
        <v>5824</v>
      </c>
      <c r="C86" s="100">
        <v>28279</v>
      </c>
      <c r="D86" s="94" t="s">
        <v>2665</v>
      </c>
      <c r="E86" s="94" t="s">
        <v>1975</v>
      </c>
      <c r="F86" s="97" t="s">
        <v>1352</v>
      </c>
      <c r="G86" s="95">
        <v>3302004177</v>
      </c>
      <c r="H86" s="98" t="s">
        <v>5057</v>
      </c>
      <c r="I86" s="95">
        <v>48177005115</v>
      </c>
      <c r="J86" s="98" t="s">
        <v>5088</v>
      </c>
      <c r="K86" s="95" t="s">
        <v>5089</v>
      </c>
      <c r="L86" s="98" t="s">
        <v>5825</v>
      </c>
      <c r="M86" s="98" t="s">
        <v>5156</v>
      </c>
      <c r="N86" s="98" t="s">
        <v>5826</v>
      </c>
      <c r="O86" s="98" t="s">
        <v>5826</v>
      </c>
      <c r="P86" s="95">
        <v>986780786</v>
      </c>
      <c r="Q86" s="98" t="s">
        <v>5827</v>
      </c>
      <c r="R86" s="98" t="s">
        <v>5094</v>
      </c>
      <c r="S86" s="98" t="s">
        <v>5116</v>
      </c>
      <c r="T86" s="100">
        <v>38727</v>
      </c>
      <c r="U86" s="100">
        <v>39092</v>
      </c>
      <c r="V86" s="98" t="s">
        <v>5828</v>
      </c>
      <c r="W86" s="98" t="s">
        <v>5068</v>
      </c>
      <c r="X86" s="98" t="s">
        <v>5067</v>
      </c>
      <c r="Y86" s="98" t="s">
        <v>5068</v>
      </c>
      <c r="Z86" s="99"/>
      <c r="AA86" s="99"/>
      <c r="AB86" s="95" t="s">
        <v>5161</v>
      </c>
      <c r="AC86" s="99"/>
      <c r="AD86" s="99"/>
      <c r="AE86" s="95" t="s">
        <v>5161</v>
      </c>
      <c r="AF86" s="99"/>
      <c r="AG86" s="95">
        <v>1</v>
      </c>
      <c r="AH86" s="94" t="s">
        <v>5084</v>
      </c>
      <c r="AI86" s="94" t="s">
        <v>5133</v>
      </c>
      <c r="AJ86" s="98" t="s">
        <v>5134</v>
      </c>
      <c r="AK86" s="98" t="s">
        <v>5829</v>
      </c>
      <c r="AL86" s="101" t="s">
        <v>5078</v>
      </c>
      <c r="AM86" s="98" t="s">
        <v>5716</v>
      </c>
      <c r="AN86" s="98" t="s">
        <v>5079</v>
      </c>
      <c r="AO86" s="98" t="s">
        <v>5080</v>
      </c>
      <c r="AP86" s="102">
        <v>87</v>
      </c>
      <c r="AQ86" s="102">
        <v>2013</v>
      </c>
      <c r="AR86" s="99"/>
      <c r="AS86" s="99"/>
      <c r="AT86" s="99"/>
      <c r="AU86" s="98" t="s">
        <v>5228</v>
      </c>
      <c r="AV86" s="95">
        <v>0</v>
      </c>
      <c r="AW86" s="94" t="s">
        <v>5084</v>
      </c>
      <c r="AX86" s="95">
        <v>0</v>
      </c>
      <c r="AY86" s="98" t="s">
        <v>5085</v>
      </c>
      <c r="AZ86" s="102">
        <v>3</v>
      </c>
      <c r="BA86" s="105">
        <v>46239</v>
      </c>
      <c r="BB86" s="93"/>
    </row>
    <row r="87" spans="1:54" ht="13.8">
      <c r="A87" s="94" t="s">
        <v>4775</v>
      </c>
      <c r="B87" s="95" t="s">
        <v>4776</v>
      </c>
      <c r="C87" s="100">
        <v>30924</v>
      </c>
      <c r="D87" s="94" t="s">
        <v>2656</v>
      </c>
      <c r="E87" s="94" t="s">
        <v>1975</v>
      </c>
      <c r="F87" s="97" t="s">
        <v>1352</v>
      </c>
      <c r="G87" s="95">
        <v>4810023190</v>
      </c>
      <c r="H87" s="98" t="s">
        <v>5057</v>
      </c>
      <c r="I87" s="95">
        <v>49084009315</v>
      </c>
      <c r="J87" s="98" t="s">
        <v>5088</v>
      </c>
      <c r="K87" s="95" t="s">
        <v>5830</v>
      </c>
      <c r="L87" s="98" t="s">
        <v>5831</v>
      </c>
      <c r="M87" s="98" t="s">
        <v>5832</v>
      </c>
      <c r="N87" s="98" t="s">
        <v>5833</v>
      </c>
      <c r="O87" s="98" t="s">
        <v>5833</v>
      </c>
      <c r="P87" s="95">
        <v>935757371</v>
      </c>
      <c r="Q87" s="98" t="s">
        <v>5834</v>
      </c>
      <c r="R87" s="98" t="s">
        <v>5094</v>
      </c>
      <c r="S87" s="99"/>
      <c r="T87" s="100">
        <v>42742</v>
      </c>
      <c r="U87" s="100">
        <v>40550</v>
      </c>
      <c r="V87" s="98" t="s">
        <v>5095</v>
      </c>
      <c r="W87" s="98" t="s">
        <v>5068</v>
      </c>
      <c r="X87" s="98" t="s">
        <v>5096</v>
      </c>
      <c r="Y87" s="98" t="s">
        <v>5068</v>
      </c>
      <c r="Z87" s="99"/>
      <c r="AA87" s="99"/>
      <c r="AB87" s="95" t="s">
        <v>5161</v>
      </c>
      <c r="AC87" s="99"/>
      <c r="AD87" s="99"/>
      <c r="AE87" s="95" t="s">
        <v>5161</v>
      </c>
      <c r="AF87" s="99"/>
      <c r="AG87" s="95">
        <v>1</v>
      </c>
      <c r="AH87" s="94" t="s">
        <v>5074</v>
      </c>
      <c r="AI87" s="94" t="s">
        <v>5133</v>
      </c>
      <c r="AJ87" s="98" t="s">
        <v>5134</v>
      </c>
      <c r="AK87" s="98" t="s">
        <v>5835</v>
      </c>
      <c r="AL87" s="101" t="s">
        <v>5149</v>
      </c>
      <c r="AM87" s="98" t="s">
        <v>5218</v>
      </c>
      <c r="AN87" s="98" t="s">
        <v>5079</v>
      </c>
      <c r="AO87" s="98" t="s">
        <v>5080</v>
      </c>
      <c r="AP87" s="102">
        <v>803</v>
      </c>
      <c r="AQ87" s="99"/>
      <c r="AR87" s="99"/>
      <c r="AS87" s="99"/>
      <c r="AT87" s="98" t="s">
        <v>5083</v>
      </c>
      <c r="AU87" s="98" t="s">
        <v>5228</v>
      </c>
      <c r="AV87" s="95">
        <v>0</v>
      </c>
      <c r="AW87" s="94" t="s">
        <v>5074</v>
      </c>
      <c r="AX87" s="95">
        <v>0</v>
      </c>
      <c r="AY87" s="98" t="s">
        <v>5152</v>
      </c>
      <c r="AZ87" s="102">
        <v>6</v>
      </c>
      <c r="BA87" s="102" t="s">
        <v>5260</v>
      </c>
      <c r="BB87" s="93"/>
    </row>
    <row r="88" spans="1:54" ht="13.8">
      <c r="A88" s="94" t="s">
        <v>782</v>
      </c>
      <c r="B88" s="95" t="s">
        <v>5836</v>
      </c>
      <c r="C88" s="100">
        <v>27271</v>
      </c>
      <c r="D88" s="94" t="s">
        <v>2665</v>
      </c>
      <c r="E88" s="94" t="s">
        <v>1975</v>
      </c>
      <c r="F88" s="97" t="s">
        <v>1352</v>
      </c>
      <c r="G88" s="95">
        <v>498003626</v>
      </c>
      <c r="H88" s="98" t="s">
        <v>5057</v>
      </c>
      <c r="I88" s="95">
        <v>1174036786</v>
      </c>
      <c r="J88" s="98" t="s">
        <v>5088</v>
      </c>
      <c r="K88" s="104">
        <v>45206</v>
      </c>
      <c r="L88" s="98" t="s">
        <v>5837</v>
      </c>
      <c r="M88" s="98" t="s">
        <v>5838</v>
      </c>
      <c r="N88" s="98" t="s">
        <v>5839</v>
      </c>
      <c r="O88" s="98" t="s">
        <v>5840</v>
      </c>
      <c r="P88" s="95">
        <v>905266191</v>
      </c>
      <c r="Q88" s="98" t="s">
        <v>5841</v>
      </c>
      <c r="R88" s="98" t="s">
        <v>5094</v>
      </c>
      <c r="S88" s="99"/>
      <c r="T88" s="100">
        <v>38354</v>
      </c>
      <c r="U88" s="100">
        <v>38719</v>
      </c>
      <c r="V88" s="98" t="s">
        <v>5842</v>
      </c>
      <c r="W88" s="98" t="s">
        <v>5068</v>
      </c>
      <c r="X88" s="98" t="s">
        <v>5096</v>
      </c>
      <c r="Y88" s="98" t="s">
        <v>5068</v>
      </c>
      <c r="Z88" s="99"/>
      <c r="AA88" s="99"/>
      <c r="AB88" s="95" t="s">
        <v>5161</v>
      </c>
      <c r="AC88" s="99"/>
      <c r="AD88" s="99"/>
      <c r="AE88" s="104">
        <v>38598</v>
      </c>
      <c r="AF88" s="99"/>
      <c r="AG88" s="95">
        <v>1</v>
      </c>
      <c r="AH88" s="94" t="s">
        <v>5084</v>
      </c>
      <c r="AI88" s="94" t="s">
        <v>5101</v>
      </c>
      <c r="AJ88" s="98" t="s">
        <v>5320</v>
      </c>
      <c r="AK88" s="98" t="s">
        <v>5843</v>
      </c>
      <c r="AL88" s="101" t="s">
        <v>5078</v>
      </c>
      <c r="AM88" s="98" t="s">
        <v>5179</v>
      </c>
      <c r="AN88" s="98" t="s">
        <v>5079</v>
      </c>
      <c r="AO88" s="98" t="s">
        <v>5080</v>
      </c>
      <c r="AP88" s="102">
        <v>800</v>
      </c>
      <c r="AQ88" s="102">
        <v>2005</v>
      </c>
      <c r="AR88" s="98" t="s">
        <v>5082</v>
      </c>
      <c r="AS88" s="99"/>
      <c r="AT88" s="99"/>
      <c r="AU88" s="98" t="s">
        <v>5228</v>
      </c>
      <c r="AV88" s="95">
        <v>0</v>
      </c>
      <c r="AW88" s="94" t="s">
        <v>5084</v>
      </c>
      <c r="AX88" s="95">
        <v>0</v>
      </c>
      <c r="AY88" s="98" t="s">
        <v>5085</v>
      </c>
      <c r="AZ88" s="102">
        <v>3</v>
      </c>
      <c r="BA88" s="105">
        <v>46239</v>
      </c>
      <c r="BB88" s="93"/>
    </row>
    <row r="89" spans="1:54" ht="13.8">
      <c r="A89" s="94" t="s">
        <v>5844</v>
      </c>
      <c r="B89" s="95" t="s">
        <v>5845</v>
      </c>
      <c r="C89" s="100">
        <v>28008</v>
      </c>
      <c r="D89" s="94" t="s">
        <v>2665</v>
      </c>
      <c r="E89" s="94" t="s">
        <v>1975</v>
      </c>
      <c r="F89" s="97" t="s">
        <v>1352</v>
      </c>
      <c r="G89" s="95">
        <v>405007790</v>
      </c>
      <c r="H89" s="98" t="s">
        <v>5057</v>
      </c>
      <c r="I89" s="95">
        <v>1176055699</v>
      </c>
      <c r="J89" s="98" t="s">
        <v>5088</v>
      </c>
      <c r="K89" s="95" t="s">
        <v>5277</v>
      </c>
      <c r="L89" s="98" t="s">
        <v>5846</v>
      </c>
      <c r="M89" s="98" t="s">
        <v>5847</v>
      </c>
      <c r="N89" s="98" t="s">
        <v>5848</v>
      </c>
      <c r="O89" s="98" t="s">
        <v>5849</v>
      </c>
      <c r="P89" s="95">
        <v>984556938</v>
      </c>
      <c r="Q89" s="98" t="s">
        <v>5850</v>
      </c>
      <c r="R89" s="98" t="s">
        <v>5094</v>
      </c>
      <c r="S89" s="99"/>
      <c r="T89" s="100">
        <v>39083</v>
      </c>
      <c r="U89" s="100">
        <v>39083</v>
      </c>
      <c r="V89" s="98" t="s">
        <v>5095</v>
      </c>
      <c r="W89" s="98" t="s">
        <v>5068</v>
      </c>
      <c r="X89" s="98" t="s">
        <v>5096</v>
      </c>
      <c r="Y89" s="98" t="s">
        <v>5068</v>
      </c>
      <c r="Z89" s="99"/>
      <c r="AA89" s="99"/>
      <c r="AB89" s="99"/>
      <c r="AC89" s="99"/>
      <c r="AD89" s="99"/>
      <c r="AE89" s="95" t="s">
        <v>5851</v>
      </c>
      <c r="AF89" s="99"/>
      <c r="AG89" s="95">
        <v>1</v>
      </c>
      <c r="AH89" s="94" t="s">
        <v>5084</v>
      </c>
      <c r="AI89" s="94" t="s">
        <v>5133</v>
      </c>
      <c r="AJ89" s="98" t="s">
        <v>5134</v>
      </c>
      <c r="AK89" s="98" t="s">
        <v>5852</v>
      </c>
      <c r="AL89" s="101" t="s">
        <v>5149</v>
      </c>
      <c r="AM89" s="98" t="s">
        <v>5716</v>
      </c>
      <c r="AN89" s="98" t="s">
        <v>5079</v>
      </c>
      <c r="AO89" s="98" t="s">
        <v>5080</v>
      </c>
      <c r="AP89" s="102">
        <v>87</v>
      </c>
      <c r="AQ89" s="102">
        <v>2001</v>
      </c>
      <c r="AR89" s="98" t="s">
        <v>5082</v>
      </c>
      <c r="AS89" s="99"/>
      <c r="AT89" s="98" t="s">
        <v>5083</v>
      </c>
      <c r="AU89" s="98" t="s">
        <v>5135</v>
      </c>
      <c r="AV89" s="95">
        <v>0</v>
      </c>
      <c r="AW89" s="94" t="s">
        <v>5084</v>
      </c>
      <c r="AX89" s="95">
        <v>0</v>
      </c>
      <c r="AY89" s="98" t="s">
        <v>5152</v>
      </c>
      <c r="AZ89" s="102">
        <v>8</v>
      </c>
      <c r="BA89" s="102" t="s">
        <v>5211</v>
      </c>
      <c r="BB89" s="93"/>
    </row>
    <row r="90" spans="1:54" ht="13.8">
      <c r="A90" s="94" t="s">
        <v>5853</v>
      </c>
      <c r="B90" s="95" t="s">
        <v>5854</v>
      </c>
      <c r="C90" s="100">
        <v>32261</v>
      </c>
      <c r="D90" s="94" t="s">
        <v>2665</v>
      </c>
      <c r="E90" s="94" t="s">
        <v>1975</v>
      </c>
      <c r="F90" s="97" t="s">
        <v>1352</v>
      </c>
      <c r="G90" s="95">
        <v>4811044763</v>
      </c>
      <c r="H90" s="98" t="s">
        <v>5057</v>
      </c>
      <c r="I90" s="95">
        <v>46188009325</v>
      </c>
      <c r="J90" s="98" t="s">
        <v>5088</v>
      </c>
      <c r="K90" s="95" t="s">
        <v>5089</v>
      </c>
      <c r="L90" s="98" t="s">
        <v>5855</v>
      </c>
      <c r="M90" s="98" t="s">
        <v>5856</v>
      </c>
      <c r="N90" s="98" t="s">
        <v>5585</v>
      </c>
      <c r="O90" s="98" t="s">
        <v>5585</v>
      </c>
      <c r="P90" s="95">
        <v>975200285</v>
      </c>
      <c r="Q90" s="98" t="s">
        <v>5857</v>
      </c>
      <c r="R90" s="98" t="s">
        <v>5094</v>
      </c>
      <c r="S90" s="99"/>
      <c r="T90" s="100">
        <v>40553</v>
      </c>
      <c r="U90" s="100">
        <v>40918</v>
      </c>
      <c r="V90" s="98" t="s">
        <v>5095</v>
      </c>
      <c r="W90" s="98" t="s">
        <v>5068</v>
      </c>
      <c r="X90" s="98" t="s">
        <v>5096</v>
      </c>
      <c r="Y90" s="98" t="s">
        <v>5068</v>
      </c>
      <c r="Z90" s="99"/>
      <c r="AA90" s="99"/>
      <c r="AB90" s="95" t="s">
        <v>5161</v>
      </c>
      <c r="AC90" s="99"/>
      <c r="AD90" s="99"/>
      <c r="AE90" s="95" t="s">
        <v>5161</v>
      </c>
      <c r="AF90" s="99"/>
      <c r="AG90" s="95">
        <v>1</v>
      </c>
      <c r="AH90" s="94" t="s">
        <v>5074</v>
      </c>
      <c r="AI90" s="94" t="s">
        <v>5133</v>
      </c>
      <c r="AJ90" s="98" t="s">
        <v>5134</v>
      </c>
      <c r="AK90" s="98" t="s">
        <v>5248</v>
      </c>
      <c r="AL90" s="101" t="s">
        <v>5149</v>
      </c>
      <c r="AM90" s="98" t="s">
        <v>5188</v>
      </c>
      <c r="AN90" s="98" t="s">
        <v>5079</v>
      </c>
      <c r="AO90" s="98" t="s">
        <v>5080</v>
      </c>
      <c r="AP90" s="102">
        <v>807</v>
      </c>
      <c r="AQ90" s="102">
        <v>2013</v>
      </c>
      <c r="AR90" s="98" t="s">
        <v>5200</v>
      </c>
      <c r="AS90" s="99"/>
      <c r="AT90" s="98" t="s">
        <v>5083</v>
      </c>
      <c r="AU90" s="98" t="s">
        <v>5228</v>
      </c>
      <c r="AV90" s="95">
        <v>0</v>
      </c>
      <c r="AW90" s="94" t="s">
        <v>5074</v>
      </c>
      <c r="AX90" s="95">
        <v>0</v>
      </c>
      <c r="AY90" s="98" t="s">
        <v>5152</v>
      </c>
      <c r="AZ90" s="102">
        <v>5</v>
      </c>
      <c r="BA90" s="102" t="s">
        <v>5153</v>
      </c>
      <c r="BB90" s="93"/>
    </row>
    <row r="91" spans="1:54" ht="13.8">
      <c r="A91" s="94" t="s">
        <v>5858</v>
      </c>
      <c r="B91" s="95" t="s">
        <v>5859</v>
      </c>
      <c r="C91" s="96">
        <v>31761</v>
      </c>
      <c r="D91" s="94" t="s">
        <v>2656</v>
      </c>
      <c r="E91" s="94" t="s">
        <v>1975</v>
      </c>
      <c r="F91" s="97" t="s">
        <v>1352</v>
      </c>
      <c r="G91" s="95">
        <v>4809012901</v>
      </c>
      <c r="H91" s="98" t="s">
        <v>5057</v>
      </c>
      <c r="I91" s="95">
        <v>49086013651</v>
      </c>
      <c r="J91" s="98" t="s">
        <v>5088</v>
      </c>
      <c r="K91" s="95" t="s">
        <v>5860</v>
      </c>
      <c r="L91" s="98" t="s">
        <v>5861</v>
      </c>
      <c r="M91" s="98" t="s">
        <v>5565</v>
      </c>
      <c r="N91" s="98" t="s">
        <v>5862</v>
      </c>
      <c r="O91" s="98" t="s">
        <v>5862</v>
      </c>
      <c r="P91" s="95">
        <v>955075505</v>
      </c>
      <c r="Q91" s="98" t="s">
        <v>5863</v>
      </c>
      <c r="R91" s="98" t="s">
        <v>5094</v>
      </c>
      <c r="S91" s="99"/>
      <c r="T91" s="100">
        <v>39845</v>
      </c>
      <c r="U91" s="100">
        <v>40179</v>
      </c>
      <c r="V91" s="98" t="s">
        <v>5095</v>
      </c>
      <c r="W91" s="98" t="s">
        <v>5068</v>
      </c>
      <c r="X91" s="98" t="s">
        <v>5096</v>
      </c>
      <c r="Y91" s="98" t="s">
        <v>5068</v>
      </c>
      <c r="Z91" s="99"/>
      <c r="AA91" s="99"/>
      <c r="AB91" s="95" t="s">
        <v>5161</v>
      </c>
      <c r="AC91" s="99"/>
      <c r="AD91" s="99"/>
      <c r="AE91" s="95" t="s">
        <v>5161</v>
      </c>
      <c r="AF91" s="99"/>
      <c r="AG91" s="95">
        <v>1</v>
      </c>
      <c r="AH91" s="94" t="s">
        <v>5074</v>
      </c>
      <c r="AI91" s="94" t="s">
        <v>5133</v>
      </c>
      <c r="AJ91" s="98" t="s">
        <v>5134</v>
      </c>
      <c r="AK91" s="98" t="s">
        <v>5864</v>
      </c>
      <c r="AL91" s="101" t="s">
        <v>5149</v>
      </c>
      <c r="AM91" s="98" t="s">
        <v>5865</v>
      </c>
      <c r="AN91" s="98" t="s">
        <v>5079</v>
      </c>
      <c r="AO91" s="98" t="s">
        <v>2931</v>
      </c>
      <c r="AP91" s="102">
        <v>922</v>
      </c>
      <c r="AQ91" s="99"/>
      <c r="AR91" s="98" t="s">
        <v>5200</v>
      </c>
      <c r="AS91" s="99"/>
      <c r="AT91" s="98" t="s">
        <v>5083</v>
      </c>
      <c r="AU91" s="99"/>
      <c r="AV91" s="95">
        <v>0</v>
      </c>
      <c r="AW91" s="94" t="s">
        <v>5074</v>
      </c>
      <c r="AX91" s="95">
        <v>0</v>
      </c>
      <c r="AY91" s="98" t="s">
        <v>5152</v>
      </c>
      <c r="AZ91" s="102">
        <v>6</v>
      </c>
      <c r="BA91" s="102" t="s">
        <v>5260</v>
      </c>
      <c r="BB91" s="93"/>
    </row>
    <row r="92" spans="1:54" ht="13.8">
      <c r="A92" s="94" t="s">
        <v>4780</v>
      </c>
      <c r="B92" s="95" t="s">
        <v>4781</v>
      </c>
      <c r="C92" s="100">
        <v>31879</v>
      </c>
      <c r="D92" s="94" t="s">
        <v>2656</v>
      </c>
      <c r="E92" s="94" t="s">
        <v>1975</v>
      </c>
      <c r="F92" s="97" t="s">
        <v>1352</v>
      </c>
      <c r="G92" s="95">
        <v>4810005093</v>
      </c>
      <c r="H92" s="98" t="s">
        <v>5057</v>
      </c>
      <c r="I92" s="95">
        <v>48087004595</v>
      </c>
      <c r="J92" s="98" t="s">
        <v>5088</v>
      </c>
      <c r="K92" s="95" t="s">
        <v>5866</v>
      </c>
      <c r="L92" s="98" t="s">
        <v>5867</v>
      </c>
      <c r="M92" s="98" t="s">
        <v>5868</v>
      </c>
      <c r="N92" s="98" t="s">
        <v>5869</v>
      </c>
      <c r="O92" s="98" t="s">
        <v>5869</v>
      </c>
      <c r="P92" s="95">
        <v>905895099</v>
      </c>
      <c r="Q92" s="98" t="s">
        <v>5870</v>
      </c>
      <c r="R92" s="98" t="s">
        <v>5094</v>
      </c>
      <c r="S92" s="99"/>
      <c r="T92" s="100">
        <v>40179</v>
      </c>
      <c r="U92" s="100">
        <v>40544</v>
      </c>
      <c r="V92" s="98" t="s">
        <v>5095</v>
      </c>
      <c r="W92" s="98" t="s">
        <v>5068</v>
      </c>
      <c r="X92" s="98" t="s">
        <v>5096</v>
      </c>
      <c r="Y92" s="98" t="s">
        <v>5068</v>
      </c>
      <c r="Z92" s="99"/>
      <c r="AA92" s="99"/>
      <c r="AB92" s="95" t="s">
        <v>5161</v>
      </c>
      <c r="AC92" s="99"/>
      <c r="AD92" s="99"/>
      <c r="AE92" s="95" t="s">
        <v>5161</v>
      </c>
      <c r="AF92" s="99"/>
      <c r="AG92" s="95">
        <v>1</v>
      </c>
      <c r="AH92" s="94" t="s">
        <v>5074</v>
      </c>
      <c r="AI92" s="94" t="s">
        <v>5133</v>
      </c>
      <c r="AJ92" s="98" t="s">
        <v>5134</v>
      </c>
      <c r="AK92" s="98" t="s">
        <v>5871</v>
      </c>
      <c r="AL92" s="101" t="s">
        <v>5149</v>
      </c>
      <c r="AM92" s="99"/>
      <c r="AN92" s="98" t="s">
        <v>5079</v>
      </c>
      <c r="AO92" s="98" t="s">
        <v>2915</v>
      </c>
      <c r="AP92" s="98" t="s">
        <v>5872</v>
      </c>
      <c r="AQ92" s="102">
        <v>2020</v>
      </c>
      <c r="AR92" s="98" t="s">
        <v>5200</v>
      </c>
      <c r="AS92" s="99"/>
      <c r="AT92" s="98" t="s">
        <v>5083</v>
      </c>
      <c r="AU92" s="99"/>
      <c r="AV92" s="95">
        <v>0</v>
      </c>
      <c r="AW92" s="94" t="s">
        <v>5074</v>
      </c>
      <c r="AX92" s="95">
        <v>0</v>
      </c>
      <c r="AY92" s="98" t="s">
        <v>5152</v>
      </c>
      <c r="AZ92" s="102">
        <v>5</v>
      </c>
      <c r="BA92" s="102" t="s">
        <v>5153</v>
      </c>
      <c r="BB92" s="93"/>
    </row>
    <row r="93" spans="1:54" ht="13.8">
      <c r="A93" s="94" t="s">
        <v>5873</v>
      </c>
      <c r="B93" s="111" t="s">
        <v>9701</v>
      </c>
      <c r="C93" s="100">
        <v>18122</v>
      </c>
      <c r="D93" s="94" t="s">
        <v>2656</v>
      </c>
      <c r="E93" s="94" t="s">
        <v>1975</v>
      </c>
      <c r="F93" s="97" t="s">
        <v>1353</v>
      </c>
      <c r="G93" s="111"/>
      <c r="H93" s="112"/>
      <c r="I93" s="111"/>
      <c r="J93" s="112"/>
      <c r="K93" s="111"/>
      <c r="L93" s="112"/>
      <c r="M93" s="112"/>
      <c r="N93" s="112"/>
      <c r="O93" s="112"/>
      <c r="P93" s="111"/>
      <c r="Q93" s="112"/>
      <c r="R93" s="112"/>
      <c r="S93" s="99"/>
      <c r="T93" s="109"/>
      <c r="U93" s="109"/>
      <c r="V93" s="112"/>
      <c r="W93" s="112"/>
      <c r="X93" s="112"/>
      <c r="Y93" s="112"/>
      <c r="Z93" s="99"/>
      <c r="AA93" s="99"/>
      <c r="AB93" s="111"/>
      <c r="AC93" s="99"/>
      <c r="AD93" s="99"/>
      <c r="AE93" s="111"/>
      <c r="AF93" s="99"/>
      <c r="AG93" s="111"/>
      <c r="AH93" s="94" t="s">
        <v>5074</v>
      </c>
      <c r="AI93" s="94" t="s">
        <v>5101</v>
      </c>
      <c r="AJ93" s="112"/>
      <c r="AK93" s="112"/>
      <c r="AL93" s="101" t="s">
        <v>5104</v>
      </c>
      <c r="AM93" s="99"/>
      <c r="AN93" s="98" t="s">
        <v>5079</v>
      </c>
      <c r="AO93" s="112"/>
      <c r="AP93" s="112"/>
      <c r="AQ93" s="113"/>
      <c r="AR93" s="112"/>
      <c r="AS93" s="99"/>
      <c r="AT93" s="112"/>
      <c r="AU93" s="99"/>
      <c r="AV93" s="111"/>
      <c r="AW93" s="94" t="s">
        <v>5874</v>
      </c>
      <c r="AX93" s="111"/>
      <c r="AY93" s="112"/>
      <c r="AZ93" s="113"/>
      <c r="BA93" s="113"/>
      <c r="BB93" s="93"/>
    </row>
    <row r="94" spans="1:54" ht="13.8">
      <c r="A94" s="94" t="s">
        <v>5875</v>
      </c>
      <c r="B94" s="95" t="s">
        <v>5876</v>
      </c>
      <c r="C94" s="100">
        <v>32258</v>
      </c>
      <c r="D94" s="94" t="s">
        <v>2656</v>
      </c>
      <c r="E94" s="94" t="s">
        <v>1975</v>
      </c>
      <c r="F94" s="97" t="s">
        <v>1352</v>
      </c>
      <c r="G94" s="95">
        <v>4811044778</v>
      </c>
      <c r="H94" s="98" t="s">
        <v>5057</v>
      </c>
      <c r="I94" s="95">
        <v>49088019581</v>
      </c>
      <c r="J94" s="98" t="s">
        <v>5088</v>
      </c>
      <c r="K94" s="95" t="s">
        <v>5277</v>
      </c>
      <c r="L94" s="98" t="s">
        <v>5877</v>
      </c>
      <c r="M94" s="98" t="s">
        <v>5315</v>
      </c>
      <c r="N94" s="98" t="s">
        <v>5315</v>
      </c>
      <c r="O94" s="98" t="s">
        <v>5878</v>
      </c>
      <c r="P94" s="95">
        <v>1683096742</v>
      </c>
      <c r="Q94" s="98" t="s">
        <v>5879</v>
      </c>
      <c r="R94" s="98" t="s">
        <v>5094</v>
      </c>
      <c r="S94" s="99"/>
      <c r="T94" s="100">
        <v>40553</v>
      </c>
      <c r="U94" s="100">
        <v>40918</v>
      </c>
      <c r="V94" s="98" t="s">
        <v>5243</v>
      </c>
      <c r="W94" s="98" t="s">
        <v>5880</v>
      </c>
      <c r="X94" s="98" t="s">
        <v>5096</v>
      </c>
      <c r="Y94" s="98" t="s">
        <v>5822</v>
      </c>
      <c r="Z94" s="99"/>
      <c r="AA94" s="99"/>
      <c r="AB94" s="95" t="s">
        <v>5161</v>
      </c>
      <c r="AC94" s="99"/>
      <c r="AD94" s="99"/>
      <c r="AE94" s="95" t="s">
        <v>5881</v>
      </c>
      <c r="AF94" s="99"/>
      <c r="AG94" s="95">
        <v>1</v>
      </c>
      <c r="AH94" s="94" t="s">
        <v>5162</v>
      </c>
      <c r="AI94" s="94" t="s">
        <v>5101</v>
      </c>
      <c r="AJ94" s="98" t="s">
        <v>5102</v>
      </c>
      <c r="AK94" s="98" t="s">
        <v>5882</v>
      </c>
      <c r="AL94" s="101" t="s">
        <v>5880</v>
      </c>
      <c r="AM94" s="98" t="s">
        <v>5188</v>
      </c>
      <c r="AN94" s="98" t="s">
        <v>5079</v>
      </c>
      <c r="AO94" s="98" t="s">
        <v>5080</v>
      </c>
      <c r="AP94" s="102">
        <v>807</v>
      </c>
      <c r="AQ94" s="102">
        <v>2011</v>
      </c>
      <c r="AR94" s="98" t="s">
        <v>5200</v>
      </c>
      <c r="AS94" s="99"/>
      <c r="AT94" s="98" t="s">
        <v>5083</v>
      </c>
      <c r="AU94" s="99"/>
      <c r="AV94" s="95">
        <v>0</v>
      </c>
      <c r="AW94" s="94" t="s">
        <v>5162</v>
      </c>
      <c r="AX94" s="95">
        <v>0</v>
      </c>
      <c r="AY94" s="99"/>
      <c r="AZ94" s="102">
        <v>5</v>
      </c>
      <c r="BA94" s="102" t="s">
        <v>5153</v>
      </c>
      <c r="BB94" s="93"/>
    </row>
    <row r="95" spans="1:54" ht="13.8">
      <c r="A95" s="94" t="s">
        <v>5883</v>
      </c>
      <c r="B95" s="95" t="s">
        <v>5884</v>
      </c>
      <c r="C95" s="100">
        <v>32907</v>
      </c>
      <c r="D95" s="94" t="s">
        <v>2656</v>
      </c>
      <c r="E95" s="94" t="s">
        <v>1975</v>
      </c>
      <c r="F95" s="97" t="s">
        <v>1352</v>
      </c>
      <c r="G95" s="95">
        <v>4816000681</v>
      </c>
      <c r="H95" s="98" t="s">
        <v>5057</v>
      </c>
      <c r="I95" s="95">
        <v>46090011686</v>
      </c>
      <c r="J95" s="98" t="s">
        <v>5088</v>
      </c>
      <c r="K95" s="95" t="s">
        <v>5089</v>
      </c>
      <c r="L95" s="98" t="s">
        <v>5885</v>
      </c>
      <c r="M95" s="98" t="s">
        <v>5886</v>
      </c>
      <c r="N95" s="98" t="s">
        <v>5887</v>
      </c>
      <c r="O95" s="98" t="s">
        <v>5888</v>
      </c>
      <c r="P95" s="95">
        <v>905218300</v>
      </c>
      <c r="Q95" s="98" t="s">
        <v>5889</v>
      </c>
      <c r="R95" s="98" t="s">
        <v>5094</v>
      </c>
      <c r="S95" s="99"/>
      <c r="T95" s="100">
        <v>42738</v>
      </c>
      <c r="U95" s="100">
        <v>43104</v>
      </c>
      <c r="V95" s="98" t="s">
        <v>5095</v>
      </c>
      <c r="W95" s="98" t="s">
        <v>5068</v>
      </c>
      <c r="X95" s="98" t="s">
        <v>5096</v>
      </c>
      <c r="Y95" s="98" t="s">
        <v>5822</v>
      </c>
      <c r="Z95" s="99"/>
      <c r="AA95" s="99"/>
      <c r="AB95" s="99"/>
      <c r="AC95" s="99"/>
      <c r="AD95" s="99"/>
      <c r="AE95" s="99"/>
      <c r="AF95" s="99"/>
      <c r="AG95" s="95">
        <v>1</v>
      </c>
      <c r="AH95" s="94" t="s">
        <v>5084</v>
      </c>
      <c r="AI95" s="94" t="s">
        <v>5101</v>
      </c>
      <c r="AJ95" s="98" t="s">
        <v>5102</v>
      </c>
      <c r="AK95" s="98" t="s">
        <v>5890</v>
      </c>
      <c r="AL95" s="101" t="s">
        <v>5149</v>
      </c>
      <c r="AM95" s="98" t="s">
        <v>5179</v>
      </c>
      <c r="AN95" s="98" t="s">
        <v>5079</v>
      </c>
      <c r="AO95" s="98" t="s">
        <v>5080</v>
      </c>
      <c r="AP95" s="102">
        <v>800</v>
      </c>
      <c r="AQ95" s="102">
        <v>2015</v>
      </c>
      <c r="AR95" s="99"/>
      <c r="AS95" s="99"/>
      <c r="AT95" s="98" t="s">
        <v>5083</v>
      </c>
      <c r="AU95" s="99"/>
      <c r="AV95" s="99"/>
      <c r="AW95" s="94" t="s">
        <v>5084</v>
      </c>
      <c r="AX95" s="95">
        <v>0</v>
      </c>
      <c r="AY95" s="98" t="s">
        <v>5152</v>
      </c>
      <c r="AZ95" s="102">
        <v>4</v>
      </c>
      <c r="BA95" s="102" t="s">
        <v>5168</v>
      </c>
      <c r="BB95" s="93"/>
    </row>
    <row r="96" spans="1:54" ht="13.8">
      <c r="A96" s="94" t="s">
        <v>4821</v>
      </c>
      <c r="B96" s="95" t="s">
        <v>4822</v>
      </c>
      <c r="C96" s="100">
        <v>30963</v>
      </c>
      <c r="D96" s="94" t="s">
        <v>2665</v>
      </c>
      <c r="E96" s="94" t="s">
        <v>1975</v>
      </c>
      <c r="F96" s="97" t="s">
        <v>1352</v>
      </c>
      <c r="G96" s="95">
        <v>4812040868</v>
      </c>
      <c r="H96" s="98" t="s">
        <v>5057</v>
      </c>
      <c r="I96" s="95">
        <v>34184014326</v>
      </c>
      <c r="J96" s="98" t="s">
        <v>5088</v>
      </c>
      <c r="K96" s="95" t="s">
        <v>5891</v>
      </c>
      <c r="L96" s="98" t="s">
        <v>5892</v>
      </c>
      <c r="M96" s="98" t="s">
        <v>5893</v>
      </c>
      <c r="N96" s="98" t="s">
        <v>5336</v>
      </c>
      <c r="O96" s="98" t="s">
        <v>5894</v>
      </c>
      <c r="P96" s="95">
        <v>1674893375</v>
      </c>
      <c r="Q96" s="98" t="s">
        <v>5895</v>
      </c>
      <c r="R96" s="98" t="s">
        <v>5094</v>
      </c>
      <c r="S96" s="98" t="s">
        <v>5116</v>
      </c>
      <c r="T96" s="100">
        <v>40916</v>
      </c>
      <c r="U96" s="100">
        <v>41282</v>
      </c>
      <c r="V96" s="98" t="s">
        <v>5095</v>
      </c>
      <c r="W96" s="98" t="s">
        <v>5068</v>
      </c>
      <c r="X96" s="98" t="s">
        <v>5096</v>
      </c>
      <c r="Y96" s="98" t="s">
        <v>5068</v>
      </c>
      <c r="Z96" s="99"/>
      <c r="AA96" s="99"/>
      <c r="AB96" s="95" t="s">
        <v>5161</v>
      </c>
      <c r="AC96" s="99"/>
      <c r="AD96" s="99"/>
      <c r="AE96" s="95" t="s">
        <v>5161</v>
      </c>
      <c r="AF96" s="99"/>
      <c r="AG96" s="95">
        <v>1</v>
      </c>
      <c r="AH96" s="94" t="s">
        <v>5074</v>
      </c>
      <c r="AI96" s="94" t="s">
        <v>5101</v>
      </c>
      <c r="AJ96" s="98" t="s">
        <v>5102</v>
      </c>
      <c r="AK96" s="98" t="s">
        <v>5882</v>
      </c>
      <c r="AL96" s="101" t="s">
        <v>5078</v>
      </c>
      <c r="AM96" s="98" t="s">
        <v>3209</v>
      </c>
      <c r="AN96" s="98" t="s">
        <v>5079</v>
      </c>
      <c r="AO96" s="98" t="s">
        <v>3209</v>
      </c>
      <c r="AP96" s="102">
        <v>921</v>
      </c>
      <c r="AQ96" s="102">
        <v>2012</v>
      </c>
      <c r="AR96" s="99"/>
      <c r="AS96" s="99"/>
      <c r="AT96" s="98" t="s">
        <v>5083</v>
      </c>
      <c r="AU96" s="98" t="s">
        <v>5228</v>
      </c>
      <c r="AV96" s="95">
        <v>0</v>
      </c>
      <c r="AW96" s="94" t="s">
        <v>5074</v>
      </c>
      <c r="AX96" s="95">
        <v>0</v>
      </c>
      <c r="AY96" s="98" t="s">
        <v>5085</v>
      </c>
      <c r="AZ96" s="102">
        <v>1</v>
      </c>
      <c r="BA96" s="110">
        <v>46116</v>
      </c>
      <c r="BB96" s="93"/>
    </row>
    <row r="97" spans="1:54" ht="13.8">
      <c r="A97" s="94" t="s">
        <v>5896</v>
      </c>
      <c r="B97" s="95" t="s">
        <v>5897</v>
      </c>
      <c r="C97" s="100">
        <v>33180</v>
      </c>
      <c r="D97" s="94" t="s">
        <v>2656</v>
      </c>
      <c r="E97" s="94" t="s">
        <v>1975</v>
      </c>
      <c r="F97" s="97" t="s">
        <v>1352</v>
      </c>
      <c r="G97" s="95">
        <v>4814009044</v>
      </c>
      <c r="H97" s="98" t="s">
        <v>5057</v>
      </c>
      <c r="I97" s="95">
        <v>48090006585</v>
      </c>
      <c r="J97" s="98" t="s">
        <v>5088</v>
      </c>
      <c r="K97" s="104">
        <v>44447</v>
      </c>
      <c r="L97" s="98" t="s">
        <v>5192</v>
      </c>
      <c r="M97" s="98" t="s">
        <v>5156</v>
      </c>
      <c r="N97" s="98" t="s">
        <v>5898</v>
      </c>
      <c r="O97" s="98" t="s">
        <v>5899</v>
      </c>
      <c r="P97" s="95">
        <v>935809948</v>
      </c>
      <c r="Q97" s="98" t="s">
        <v>5900</v>
      </c>
      <c r="R97" s="98" t="s">
        <v>5094</v>
      </c>
      <c r="S97" s="99"/>
      <c r="T97" s="100">
        <v>41640</v>
      </c>
      <c r="U97" s="100">
        <v>42005</v>
      </c>
      <c r="V97" s="98" t="s">
        <v>5243</v>
      </c>
      <c r="W97" s="98" t="s">
        <v>5821</v>
      </c>
      <c r="X97" s="98" t="s">
        <v>5096</v>
      </c>
      <c r="Y97" s="98" t="s">
        <v>5822</v>
      </c>
      <c r="Z97" s="99"/>
      <c r="AA97" s="99"/>
      <c r="AB97" s="95" t="s">
        <v>5161</v>
      </c>
      <c r="AC97" s="99"/>
      <c r="AD97" s="99"/>
      <c r="AE97" s="95" t="s">
        <v>5161</v>
      </c>
      <c r="AF97" s="99"/>
      <c r="AG97" s="95">
        <v>1</v>
      </c>
      <c r="AH97" s="94" t="s">
        <v>5084</v>
      </c>
      <c r="AI97" s="94" t="s">
        <v>5101</v>
      </c>
      <c r="AJ97" s="98" t="s">
        <v>5102</v>
      </c>
      <c r="AK97" s="98" t="s">
        <v>5901</v>
      </c>
      <c r="AL97" s="101" t="s">
        <v>5149</v>
      </c>
      <c r="AM97" s="99"/>
      <c r="AN97" s="98" t="s">
        <v>5079</v>
      </c>
      <c r="AO97" s="98" t="s">
        <v>5080</v>
      </c>
      <c r="AP97" s="98" t="s">
        <v>5392</v>
      </c>
      <c r="AQ97" s="102">
        <v>2022</v>
      </c>
      <c r="AR97" s="99"/>
      <c r="AS97" s="99"/>
      <c r="AT97" s="99"/>
      <c r="AU97" s="98" t="s">
        <v>5902</v>
      </c>
      <c r="AV97" s="95">
        <v>0</v>
      </c>
      <c r="AW97" s="94" t="s">
        <v>5084</v>
      </c>
      <c r="AX97" s="95">
        <v>0</v>
      </c>
      <c r="AY97" s="98" t="s">
        <v>5152</v>
      </c>
      <c r="AZ97" s="102">
        <v>4</v>
      </c>
      <c r="BA97" s="102" t="s">
        <v>5168</v>
      </c>
      <c r="BB97" s="93"/>
    </row>
    <row r="98" spans="1:54" ht="13.8">
      <c r="A98" s="94" t="s">
        <v>5903</v>
      </c>
      <c r="B98" s="95" t="s">
        <v>5904</v>
      </c>
      <c r="C98" s="100">
        <v>30800</v>
      </c>
      <c r="D98" s="94" t="s">
        <v>2665</v>
      </c>
      <c r="E98" s="94" t="s">
        <v>1975</v>
      </c>
      <c r="F98" s="97" t="s">
        <v>1352</v>
      </c>
      <c r="G98" s="95">
        <v>4808004726</v>
      </c>
      <c r="H98" s="98" t="s">
        <v>5181</v>
      </c>
      <c r="I98" s="95">
        <v>48184003913</v>
      </c>
      <c r="J98" s="98" t="s">
        <v>5088</v>
      </c>
      <c r="K98" s="95" t="s">
        <v>5089</v>
      </c>
      <c r="L98" s="98" t="s">
        <v>5905</v>
      </c>
      <c r="M98" s="98" t="s">
        <v>5856</v>
      </c>
      <c r="N98" s="98" t="s">
        <v>5906</v>
      </c>
      <c r="O98" s="98" t="s">
        <v>5906</v>
      </c>
      <c r="P98" s="95">
        <v>905222059</v>
      </c>
      <c r="Q98" s="98" t="s">
        <v>5907</v>
      </c>
      <c r="R98" s="98" t="s">
        <v>5094</v>
      </c>
      <c r="S98" s="99"/>
      <c r="T98" s="100">
        <v>39162</v>
      </c>
      <c r="U98" s="100">
        <v>39820</v>
      </c>
      <c r="V98" s="98" t="s">
        <v>5095</v>
      </c>
      <c r="W98" s="98" t="s">
        <v>5068</v>
      </c>
      <c r="X98" s="98" t="s">
        <v>5096</v>
      </c>
      <c r="Y98" s="98" t="s">
        <v>5068</v>
      </c>
      <c r="Z98" s="99"/>
      <c r="AA98" s="99"/>
      <c r="AB98" s="95" t="s">
        <v>5161</v>
      </c>
      <c r="AC98" s="99"/>
      <c r="AD98" s="99"/>
      <c r="AE98" s="95" t="s">
        <v>5161</v>
      </c>
      <c r="AF98" s="99"/>
      <c r="AG98" s="95">
        <v>1</v>
      </c>
      <c r="AH98" s="94" t="s">
        <v>5074</v>
      </c>
      <c r="AI98" s="94" t="s">
        <v>5133</v>
      </c>
      <c r="AJ98" s="98" t="s">
        <v>5134</v>
      </c>
      <c r="AK98" s="98" t="s">
        <v>5908</v>
      </c>
      <c r="AL98" s="101" t="s">
        <v>5149</v>
      </c>
      <c r="AM98" s="98" t="s">
        <v>5105</v>
      </c>
      <c r="AN98" s="98" t="s">
        <v>5079</v>
      </c>
      <c r="AO98" s="98" t="s">
        <v>5080</v>
      </c>
      <c r="AP98" s="102">
        <v>75</v>
      </c>
      <c r="AQ98" s="102">
        <v>2021</v>
      </c>
      <c r="AR98" s="99"/>
      <c r="AS98" s="99"/>
      <c r="AT98" s="98" t="s">
        <v>5083</v>
      </c>
      <c r="AU98" s="98" t="s">
        <v>5228</v>
      </c>
      <c r="AV98" s="95">
        <v>0</v>
      </c>
      <c r="AW98" s="94" t="s">
        <v>5074</v>
      </c>
      <c r="AX98" s="95">
        <v>0</v>
      </c>
      <c r="AY98" s="98" t="s">
        <v>5152</v>
      </c>
      <c r="AZ98" s="102">
        <v>6</v>
      </c>
      <c r="BA98" s="102" t="s">
        <v>5260</v>
      </c>
      <c r="BB98" s="93"/>
    </row>
    <row r="99" spans="1:54" ht="13.8">
      <c r="A99" s="94" t="s">
        <v>5909</v>
      </c>
      <c r="B99" s="95" t="s">
        <v>5910</v>
      </c>
      <c r="C99" s="96">
        <v>29551</v>
      </c>
      <c r="D99" s="94" t="s">
        <v>2656</v>
      </c>
      <c r="E99" s="94" t="s">
        <v>1975</v>
      </c>
      <c r="F99" s="97" t="s">
        <v>1352</v>
      </c>
      <c r="G99" s="95">
        <v>3398002095</v>
      </c>
      <c r="H99" s="98" t="s">
        <v>5057</v>
      </c>
      <c r="I99" s="95">
        <v>49068011827</v>
      </c>
      <c r="J99" s="98" t="s">
        <v>5088</v>
      </c>
      <c r="K99" s="95" t="s">
        <v>5277</v>
      </c>
      <c r="L99" s="98" t="s">
        <v>5911</v>
      </c>
      <c r="M99" s="98" t="s">
        <v>5565</v>
      </c>
      <c r="N99" s="98" t="s">
        <v>5826</v>
      </c>
      <c r="O99" s="98" t="s">
        <v>5826</v>
      </c>
      <c r="P99" s="95">
        <v>914048572</v>
      </c>
      <c r="Q99" s="98" t="s">
        <v>5912</v>
      </c>
      <c r="R99" s="98" t="s">
        <v>5094</v>
      </c>
      <c r="S99" s="99"/>
      <c r="T99" s="100">
        <v>42014</v>
      </c>
      <c r="U99" s="109"/>
      <c r="V99" s="98" t="s">
        <v>5243</v>
      </c>
      <c r="W99" s="98" t="s">
        <v>5068</v>
      </c>
      <c r="X99" s="98" t="s">
        <v>5096</v>
      </c>
      <c r="Y99" s="98" t="s">
        <v>5068</v>
      </c>
      <c r="Z99" s="99"/>
      <c r="AA99" s="99"/>
      <c r="AB99" s="99"/>
      <c r="AC99" s="99"/>
      <c r="AD99" s="98" t="s">
        <v>5913</v>
      </c>
      <c r="AE99" s="95" t="s">
        <v>5161</v>
      </c>
      <c r="AF99" s="99"/>
      <c r="AG99" s="95">
        <v>1</v>
      </c>
      <c r="AH99" s="94" t="s">
        <v>5074</v>
      </c>
      <c r="AI99" s="94" t="s">
        <v>5133</v>
      </c>
      <c r="AJ99" s="98" t="s">
        <v>5102</v>
      </c>
      <c r="AK99" s="98" t="s">
        <v>5914</v>
      </c>
      <c r="AL99" s="101" t="s">
        <v>5078</v>
      </c>
      <c r="AM99" s="98" t="s">
        <v>5915</v>
      </c>
      <c r="AN99" s="98" t="s">
        <v>5079</v>
      </c>
      <c r="AO99" s="98" t="s">
        <v>5080</v>
      </c>
      <c r="AP99" s="102">
        <v>253</v>
      </c>
      <c r="AQ99" s="102">
        <v>1998</v>
      </c>
      <c r="AR99" s="99"/>
      <c r="AS99" s="99"/>
      <c r="AT99" s="99"/>
      <c r="AU99" s="98" t="s">
        <v>5228</v>
      </c>
      <c r="AV99" s="95">
        <v>2007</v>
      </c>
      <c r="AW99" s="94" t="s">
        <v>5074</v>
      </c>
      <c r="AX99" s="95">
        <v>0</v>
      </c>
      <c r="AY99" s="98" t="s">
        <v>5109</v>
      </c>
      <c r="AZ99" s="102">
        <v>4</v>
      </c>
      <c r="BA99" s="102" t="s">
        <v>5126</v>
      </c>
      <c r="BB99" s="93"/>
    </row>
    <row r="100" spans="1:54" ht="13.8">
      <c r="A100" s="94" t="s">
        <v>5916</v>
      </c>
      <c r="B100" s="95" t="s">
        <v>5917</v>
      </c>
      <c r="C100" s="100">
        <v>24838</v>
      </c>
      <c r="D100" s="94" t="s">
        <v>2656</v>
      </c>
      <c r="E100" s="94" t="s">
        <v>1975</v>
      </c>
      <c r="F100" s="97" t="s">
        <v>1352</v>
      </c>
      <c r="G100" s="95">
        <v>6304001263</v>
      </c>
      <c r="H100" s="98" t="s">
        <v>5057</v>
      </c>
      <c r="I100" s="95">
        <v>34080017699</v>
      </c>
      <c r="J100" s="98" t="s">
        <v>5088</v>
      </c>
      <c r="K100" s="95" t="s">
        <v>5918</v>
      </c>
      <c r="L100" s="98" t="s">
        <v>5919</v>
      </c>
      <c r="M100" s="98" t="s">
        <v>5920</v>
      </c>
      <c r="N100" s="98" t="s">
        <v>5921</v>
      </c>
      <c r="O100" s="98" t="s">
        <v>5922</v>
      </c>
      <c r="P100" s="95">
        <v>983868055</v>
      </c>
      <c r="Q100" s="98" t="s">
        <v>5923</v>
      </c>
      <c r="R100" s="98" t="s">
        <v>5094</v>
      </c>
      <c r="S100" s="99"/>
      <c r="T100" s="100">
        <v>37990</v>
      </c>
      <c r="U100" s="100">
        <v>38724</v>
      </c>
      <c r="V100" s="98" t="s">
        <v>5095</v>
      </c>
      <c r="W100" s="98" t="s">
        <v>5068</v>
      </c>
      <c r="X100" s="98" t="s">
        <v>5096</v>
      </c>
      <c r="Y100" s="98" t="s">
        <v>5066</v>
      </c>
      <c r="Z100" s="99"/>
      <c r="AA100" s="99"/>
      <c r="AB100" s="99"/>
      <c r="AC100" s="99"/>
      <c r="AD100" s="99"/>
      <c r="AE100" s="95" t="s">
        <v>5924</v>
      </c>
      <c r="AF100" s="99"/>
      <c r="AG100" s="95">
        <v>1</v>
      </c>
      <c r="AH100" s="94" t="s">
        <v>5074</v>
      </c>
      <c r="AI100" s="94" t="s">
        <v>5101</v>
      </c>
      <c r="AJ100" s="98" t="s">
        <v>5134</v>
      </c>
      <c r="AK100" s="98" t="s">
        <v>5925</v>
      </c>
      <c r="AL100" s="101" t="s">
        <v>5104</v>
      </c>
      <c r="AM100" s="98" t="s">
        <v>5926</v>
      </c>
      <c r="AN100" s="98" t="s">
        <v>5079</v>
      </c>
      <c r="AO100" s="98" t="s">
        <v>5080</v>
      </c>
      <c r="AP100" s="102">
        <v>1</v>
      </c>
      <c r="AQ100" s="102">
        <v>2015</v>
      </c>
      <c r="AR100" s="98" t="s">
        <v>5082</v>
      </c>
      <c r="AS100" s="99"/>
      <c r="AT100" s="98" t="s">
        <v>5083</v>
      </c>
      <c r="AU100" s="98" t="s">
        <v>5228</v>
      </c>
      <c r="AV100" s="99"/>
      <c r="AW100" s="94" t="s">
        <v>5108</v>
      </c>
      <c r="AX100" s="95">
        <v>0</v>
      </c>
      <c r="AY100" s="98" t="s">
        <v>5085</v>
      </c>
      <c r="AZ100" s="102">
        <v>2</v>
      </c>
      <c r="BA100" s="102" t="s">
        <v>5086</v>
      </c>
      <c r="BB100" s="93"/>
    </row>
    <row r="101" spans="1:54" ht="13.8">
      <c r="A101" s="94" t="s">
        <v>5927</v>
      </c>
      <c r="B101" s="95" t="s">
        <v>5928</v>
      </c>
      <c r="C101" s="96">
        <v>30971</v>
      </c>
      <c r="D101" s="94" t="s">
        <v>2656</v>
      </c>
      <c r="E101" s="94" t="s">
        <v>1975</v>
      </c>
      <c r="F101" s="97" t="s">
        <v>1352</v>
      </c>
      <c r="G101" s="95">
        <v>110131302</v>
      </c>
      <c r="H101" s="98" t="s">
        <v>5057</v>
      </c>
      <c r="I101" s="95">
        <v>45084008543</v>
      </c>
      <c r="J101" s="98" t="s">
        <v>5929</v>
      </c>
      <c r="K101" s="95" t="s">
        <v>5930</v>
      </c>
      <c r="L101" s="98" t="s">
        <v>5931</v>
      </c>
      <c r="M101" s="98" t="s">
        <v>5932</v>
      </c>
      <c r="N101" s="98" t="s">
        <v>5933</v>
      </c>
      <c r="O101" s="98" t="s">
        <v>5933</v>
      </c>
      <c r="P101" s="95">
        <v>983036087</v>
      </c>
      <c r="Q101" s="98" t="s">
        <v>5934</v>
      </c>
      <c r="R101" s="98" t="s">
        <v>5094</v>
      </c>
      <c r="S101" s="99"/>
      <c r="T101" s="96">
        <v>45981</v>
      </c>
      <c r="U101" s="96">
        <v>46017</v>
      </c>
      <c r="V101" s="99"/>
      <c r="W101" s="98" t="s">
        <v>5821</v>
      </c>
      <c r="X101" s="98" t="s">
        <v>5187</v>
      </c>
      <c r="Y101" s="99"/>
      <c r="Z101" s="99"/>
      <c r="AA101" s="99"/>
      <c r="AB101" s="99"/>
      <c r="AC101" s="99"/>
      <c r="AD101" s="99"/>
      <c r="AE101" s="99"/>
      <c r="AF101" s="99"/>
      <c r="AG101" s="95">
        <v>0</v>
      </c>
      <c r="AH101" s="94" t="s">
        <v>5074</v>
      </c>
      <c r="AI101" s="94" t="s">
        <v>5101</v>
      </c>
      <c r="AJ101" s="98" t="s">
        <v>5102</v>
      </c>
      <c r="AK101" s="98" t="s">
        <v>5103</v>
      </c>
      <c r="AL101" s="101" t="s">
        <v>5104</v>
      </c>
      <c r="AM101" s="99"/>
      <c r="AN101" s="98" t="s">
        <v>5079</v>
      </c>
      <c r="AO101" s="98" t="s">
        <v>5080</v>
      </c>
      <c r="AP101" s="98" t="s">
        <v>5513</v>
      </c>
      <c r="AQ101" s="102">
        <v>2011</v>
      </c>
      <c r="AR101" s="99"/>
      <c r="AS101" s="99"/>
      <c r="AT101" s="99"/>
      <c r="AU101" s="99"/>
      <c r="AV101" s="95">
        <v>2015</v>
      </c>
      <c r="AW101" s="94" t="s">
        <v>5108</v>
      </c>
      <c r="AX101" s="95">
        <v>0</v>
      </c>
      <c r="AY101" s="98" t="s">
        <v>5109</v>
      </c>
      <c r="AZ101" s="102">
        <v>1</v>
      </c>
      <c r="BA101" s="110">
        <v>46059</v>
      </c>
      <c r="BB101" s="93"/>
    </row>
    <row r="102" spans="1:54" ht="13.8">
      <c r="A102" s="94" t="s">
        <v>5935</v>
      </c>
      <c r="B102" s="95" t="s">
        <v>5936</v>
      </c>
      <c r="C102" s="100">
        <v>33744</v>
      </c>
      <c r="D102" s="94" t="s">
        <v>2665</v>
      </c>
      <c r="E102" s="94" t="s">
        <v>1975</v>
      </c>
      <c r="F102" s="97" t="s">
        <v>1352</v>
      </c>
      <c r="G102" s="95">
        <v>4520453384</v>
      </c>
      <c r="H102" s="98" t="s">
        <v>5057</v>
      </c>
      <c r="I102" s="95">
        <v>45192008403</v>
      </c>
      <c r="J102" s="98" t="s">
        <v>5088</v>
      </c>
      <c r="K102" s="95" t="s">
        <v>5937</v>
      </c>
      <c r="L102" s="98" t="s">
        <v>5938</v>
      </c>
      <c r="M102" s="98" t="s">
        <v>5939</v>
      </c>
      <c r="N102" s="98" t="s">
        <v>5940</v>
      </c>
      <c r="O102" s="98" t="s">
        <v>5940</v>
      </c>
      <c r="P102" s="95">
        <v>988242476</v>
      </c>
      <c r="Q102" s="98" t="s">
        <v>5941</v>
      </c>
      <c r="R102" s="98" t="s">
        <v>5094</v>
      </c>
      <c r="S102" s="99"/>
      <c r="T102" s="100">
        <v>46023</v>
      </c>
      <c r="U102" s="109"/>
      <c r="V102" s="99"/>
      <c r="W102" s="98" t="s">
        <v>5821</v>
      </c>
      <c r="X102" s="98" t="s">
        <v>5480</v>
      </c>
      <c r="Y102" s="99"/>
      <c r="Z102" s="99"/>
      <c r="AA102" s="99"/>
      <c r="AB102" s="99"/>
      <c r="AC102" s="99"/>
      <c r="AD102" s="99"/>
      <c r="AE102" s="99"/>
      <c r="AF102" s="99"/>
      <c r="AG102" s="95">
        <v>0</v>
      </c>
      <c r="AH102" s="94" t="s">
        <v>5074</v>
      </c>
      <c r="AI102" s="94" t="s">
        <v>5101</v>
      </c>
      <c r="AJ102" s="98" t="s">
        <v>5102</v>
      </c>
      <c r="AK102" s="98" t="s">
        <v>5942</v>
      </c>
      <c r="AL102" s="101" t="s">
        <v>5149</v>
      </c>
      <c r="AM102" s="99"/>
      <c r="AN102" s="98" t="s">
        <v>5079</v>
      </c>
      <c r="AO102" s="98" t="s">
        <v>5080</v>
      </c>
      <c r="AP102" s="98" t="s">
        <v>5638</v>
      </c>
      <c r="AQ102" s="102">
        <v>2018</v>
      </c>
      <c r="AR102" s="99"/>
      <c r="AS102" s="99"/>
      <c r="AT102" s="99"/>
      <c r="AU102" s="98" t="s">
        <v>5135</v>
      </c>
      <c r="AV102" s="99"/>
      <c r="AW102" s="94" t="s">
        <v>5074</v>
      </c>
      <c r="AX102" s="95">
        <v>1</v>
      </c>
      <c r="AY102" s="98" t="s">
        <v>5152</v>
      </c>
      <c r="AZ102" s="102">
        <v>2</v>
      </c>
      <c r="BA102" s="102" t="s">
        <v>5237</v>
      </c>
      <c r="BB102" s="93"/>
    </row>
    <row r="103" spans="1:54" ht="13.8">
      <c r="A103" s="94" t="s">
        <v>5943</v>
      </c>
      <c r="B103" s="95" t="s">
        <v>5944</v>
      </c>
      <c r="C103" s="100">
        <v>30846</v>
      </c>
      <c r="D103" s="94" t="s">
        <v>2665</v>
      </c>
      <c r="E103" s="94" t="s">
        <v>1975</v>
      </c>
      <c r="F103" s="97" t="s">
        <v>1352</v>
      </c>
      <c r="G103" s="95">
        <v>4811044756</v>
      </c>
      <c r="H103" s="98" t="s">
        <v>5057</v>
      </c>
      <c r="I103" s="95">
        <v>201783617</v>
      </c>
      <c r="J103" s="98" t="s">
        <v>5691</v>
      </c>
      <c r="K103" s="95" t="s">
        <v>5945</v>
      </c>
      <c r="L103" s="98" t="s">
        <v>5946</v>
      </c>
      <c r="M103" s="98" t="s">
        <v>5947</v>
      </c>
      <c r="N103" s="98" t="s">
        <v>5948</v>
      </c>
      <c r="O103" s="98" t="s">
        <v>5949</v>
      </c>
      <c r="P103" s="95">
        <v>919323681</v>
      </c>
      <c r="Q103" s="98" t="s">
        <v>5950</v>
      </c>
      <c r="R103" s="98" t="s">
        <v>5094</v>
      </c>
      <c r="S103" s="99"/>
      <c r="T103" s="100">
        <v>40553</v>
      </c>
      <c r="U103" s="100">
        <v>40918</v>
      </c>
      <c r="V103" s="98" t="s">
        <v>5095</v>
      </c>
      <c r="W103" s="98" t="s">
        <v>5068</v>
      </c>
      <c r="X103" s="98" t="s">
        <v>5096</v>
      </c>
      <c r="Y103" s="98" t="s">
        <v>5068</v>
      </c>
      <c r="Z103" s="99"/>
      <c r="AA103" s="99"/>
      <c r="AB103" s="99"/>
      <c r="AC103" s="99"/>
      <c r="AD103" s="99"/>
      <c r="AE103" s="95" t="s">
        <v>5161</v>
      </c>
      <c r="AF103" s="99"/>
      <c r="AG103" s="95">
        <v>1</v>
      </c>
      <c r="AH103" s="94" t="s">
        <v>5074</v>
      </c>
      <c r="AI103" s="94" t="s">
        <v>5101</v>
      </c>
      <c r="AJ103" s="98" t="s">
        <v>5102</v>
      </c>
      <c r="AK103" s="98" t="s">
        <v>5103</v>
      </c>
      <c r="AL103" s="101" t="s">
        <v>5149</v>
      </c>
      <c r="AM103" s="98" t="s">
        <v>5716</v>
      </c>
      <c r="AN103" s="98" t="s">
        <v>5079</v>
      </c>
      <c r="AO103" s="98" t="s">
        <v>5080</v>
      </c>
      <c r="AP103" s="102">
        <v>87</v>
      </c>
      <c r="AQ103" s="102">
        <v>2016</v>
      </c>
      <c r="AR103" s="99"/>
      <c r="AS103" s="99"/>
      <c r="AT103" s="98" t="s">
        <v>5083</v>
      </c>
      <c r="AU103" s="98" t="s">
        <v>5125</v>
      </c>
      <c r="AV103" s="95">
        <v>0</v>
      </c>
      <c r="AW103" s="94" t="s">
        <v>5074</v>
      </c>
      <c r="AX103" s="95">
        <v>0</v>
      </c>
      <c r="AY103" s="98" t="s">
        <v>5152</v>
      </c>
      <c r="AZ103" s="102">
        <v>5</v>
      </c>
      <c r="BA103" s="102" t="s">
        <v>5153</v>
      </c>
      <c r="BB103" s="93"/>
    </row>
    <row r="104" spans="1:54" ht="13.8">
      <c r="A104" s="94" t="s">
        <v>5951</v>
      </c>
      <c r="B104" s="95" t="s">
        <v>5952</v>
      </c>
      <c r="C104" s="100">
        <v>32513</v>
      </c>
      <c r="D104" s="94" t="s">
        <v>2665</v>
      </c>
      <c r="E104" s="94" t="s">
        <v>1975</v>
      </c>
      <c r="F104" s="97" t="s">
        <v>1352</v>
      </c>
      <c r="G104" s="95">
        <v>4811044772</v>
      </c>
      <c r="H104" s="98" t="s">
        <v>5057</v>
      </c>
      <c r="I104" s="95">
        <v>48189007743</v>
      </c>
      <c r="J104" s="98" t="s">
        <v>5088</v>
      </c>
      <c r="K104" s="95" t="s">
        <v>5277</v>
      </c>
      <c r="L104" s="98" t="s">
        <v>5953</v>
      </c>
      <c r="M104" s="98" t="s">
        <v>5156</v>
      </c>
      <c r="N104" s="98" t="s">
        <v>5954</v>
      </c>
      <c r="O104" s="98" t="s">
        <v>5955</v>
      </c>
      <c r="P104" s="99"/>
      <c r="Q104" s="98" t="s">
        <v>5956</v>
      </c>
      <c r="R104" s="98" t="s">
        <v>5094</v>
      </c>
      <c r="S104" s="99"/>
      <c r="T104" s="100">
        <v>39088</v>
      </c>
      <c r="U104" s="100">
        <v>39453</v>
      </c>
      <c r="V104" s="98" t="s">
        <v>5095</v>
      </c>
      <c r="W104" s="98" t="s">
        <v>5068</v>
      </c>
      <c r="X104" s="98" t="s">
        <v>5096</v>
      </c>
      <c r="Y104" s="98" t="s">
        <v>5068</v>
      </c>
      <c r="Z104" s="99"/>
      <c r="AA104" s="99"/>
      <c r="AB104" s="95" t="s">
        <v>5161</v>
      </c>
      <c r="AC104" s="99"/>
      <c r="AD104" s="99"/>
      <c r="AE104" s="95" t="s">
        <v>5161</v>
      </c>
      <c r="AF104" s="99"/>
      <c r="AG104" s="95">
        <v>1</v>
      </c>
      <c r="AH104" s="94" t="s">
        <v>5074</v>
      </c>
      <c r="AI104" s="94" t="s">
        <v>5133</v>
      </c>
      <c r="AJ104" s="98" t="s">
        <v>5134</v>
      </c>
      <c r="AK104" s="98" t="s">
        <v>5957</v>
      </c>
      <c r="AL104" s="101" t="s">
        <v>5149</v>
      </c>
      <c r="AM104" s="99"/>
      <c r="AN104" s="98" t="s">
        <v>5079</v>
      </c>
      <c r="AO104" s="98" t="s">
        <v>5746</v>
      </c>
      <c r="AP104" s="98" t="s">
        <v>5958</v>
      </c>
      <c r="AQ104" s="102">
        <v>2021</v>
      </c>
      <c r="AR104" s="98" t="s">
        <v>5200</v>
      </c>
      <c r="AS104" s="99"/>
      <c r="AT104" s="98" t="s">
        <v>5083</v>
      </c>
      <c r="AU104" s="99"/>
      <c r="AV104" s="95">
        <v>0</v>
      </c>
      <c r="AW104" s="94" t="s">
        <v>5074</v>
      </c>
      <c r="AX104" s="95">
        <v>0</v>
      </c>
      <c r="AY104" s="98" t="s">
        <v>5152</v>
      </c>
      <c r="AZ104" s="102">
        <v>5</v>
      </c>
      <c r="BA104" s="102" t="s">
        <v>5153</v>
      </c>
      <c r="BB104" s="93"/>
    </row>
    <row r="105" spans="1:54" ht="13.8">
      <c r="A105" s="94" t="s">
        <v>5959</v>
      </c>
      <c r="B105" s="95" t="s">
        <v>5960</v>
      </c>
      <c r="C105" s="100">
        <v>29250</v>
      </c>
      <c r="D105" s="94" t="s">
        <v>2665</v>
      </c>
      <c r="E105" s="94" t="s">
        <v>1975</v>
      </c>
      <c r="F105" s="97" t="s">
        <v>1352</v>
      </c>
      <c r="G105" s="95">
        <v>4809006682</v>
      </c>
      <c r="H105" s="98" t="s">
        <v>5057</v>
      </c>
      <c r="I105" s="95">
        <v>49180020932</v>
      </c>
      <c r="J105" s="98" t="s">
        <v>5088</v>
      </c>
      <c r="K105" s="104">
        <v>44415</v>
      </c>
      <c r="L105" s="98" t="s">
        <v>5961</v>
      </c>
      <c r="M105" s="98" t="s">
        <v>5962</v>
      </c>
      <c r="N105" s="98" t="s">
        <v>5963</v>
      </c>
      <c r="O105" s="98" t="s">
        <v>5964</v>
      </c>
      <c r="P105" s="95">
        <v>973427342</v>
      </c>
      <c r="Q105" s="98" t="s">
        <v>5965</v>
      </c>
      <c r="R105" s="98" t="s">
        <v>5094</v>
      </c>
      <c r="S105" s="99"/>
      <c r="T105" s="100">
        <v>40553</v>
      </c>
      <c r="U105" s="100">
        <v>40918</v>
      </c>
      <c r="V105" s="98" t="s">
        <v>5095</v>
      </c>
      <c r="W105" s="98" t="s">
        <v>5068</v>
      </c>
      <c r="X105" s="98" t="s">
        <v>5096</v>
      </c>
      <c r="Y105" s="98" t="s">
        <v>5068</v>
      </c>
      <c r="Z105" s="99"/>
      <c r="AA105" s="99"/>
      <c r="AB105" s="95" t="s">
        <v>5161</v>
      </c>
      <c r="AC105" s="99"/>
      <c r="AD105" s="99"/>
      <c r="AE105" s="95" t="s">
        <v>5161</v>
      </c>
      <c r="AF105" s="99"/>
      <c r="AG105" s="95">
        <v>1</v>
      </c>
      <c r="AH105" s="94" t="s">
        <v>5074</v>
      </c>
      <c r="AI105" s="94" t="s">
        <v>5101</v>
      </c>
      <c r="AJ105" s="98" t="s">
        <v>5102</v>
      </c>
      <c r="AK105" s="98" t="s">
        <v>5966</v>
      </c>
      <c r="AL105" s="101" t="s">
        <v>5149</v>
      </c>
      <c r="AM105" s="99"/>
      <c r="AN105" s="98" t="s">
        <v>5079</v>
      </c>
      <c r="AO105" s="98" t="s">
        <v>5080</v>
      </c>
      <c r="AP105" s="98" t="s">
        <v>5666</v>
      </c>
      <c r="AQ105" s="102">
        <v>2017</v>
      </c>
      <c r="AR105" s="98" t="s">
        <v>5200</v>
      </c>
      <c r="AS105" s="99"/>
      <c r="AT105" s="98" t="s">
        <v>5083</v>
      </c>
      <c r="AU105" s="98" t="s">
        <v>5125</v>
      </c>
      <c r="AV105" s="95">
        <v>0</v>
      </c>
      <c r="AW105" s="94" t="s">
        <v>5074</v>
      </c>
      <c r="AX105" s="95">
        <v>0</v>
      </c>
      <c r="AY105" s="98" t="s">
        <v>5152</v>
      </c>
      <c r="AZ105" s="102">
        <v>8</v>
      </c>
      <c r="BA105" s="102" t="s">
        <v>5211</v>
      </c>
      <c r="BB105" s="93"/>
    </row>
    <row r="106" spans="1:54" ht="13.8">
      <c r="A106" s="94" t="s">
        <v>5967</v>
      </c>
      <c r="B106" s="95" t="s">
        <v>5968</v>
      </c>
      <c r="C106" s="100">
        <v>29733</v>
      </c>
      <c r="D106" s="94" t="s">
        <v>2656</v>
      </c>
      <c r="E106" s="94" t="s">
        <v>1975</v>
      </c>
      <c r="F106" s="97" t="s">
        <v>1352</v>
      </c>
      <c r="G106" s="95">
        <v>4808000478</v>
      </c>
      <c r="H106" s="98" t="s">
        <v>5057</v>
      </c>
      <c r="I106" s="95">
        <v>40081039624</v>
      </c>
      <c r="J106" s="98" t="s">
        <v>5088</v>
      </c>
      <c r="K106" s="104">
        <v>44447</v>
      </c>
      <c r="L106" s="98" t="s">
        <v>5969</v>
      </c>
      <c r="M106" s="98" t="s">
        <v>5970</v>
      </c>
      <c r="N106" s="98" t="s">
        <v>5971</v>
      </c>
      <c r="O106" s="98" t="s">
        <v>5972</v>
      </c>
      <c r="P106" s="95">
        <v>983027581</v>
      </c>
      <c r="Q106" s="98" t="s">
        <v>5973</v>
      </c>
      <c r="R106" s="98" t="s">
        <v>5094</v>
      </c>
      <c r="S106" s="98" t="s">
        <v>5974</v>
      </c>
      <c r="T106" s="100">
        <v>38398</v>
      </c>
      <c r="U106" s="100">
        <v>39945</v>
      </c>
      <c r="V106" s="98" t="s">
        <v>5975</v>
      </c>
      <c r="W106" s="98" t="s">
        <v>5373</v>
      </c>
      <c r="X106" s="98" t="s">
        <v>5096</v>
      </c>
      <c r="Y106" s="98" t="s">
        <v>5068</v>
      </c>
      <c r="Z106" s="99"/>
      <c r="AA106" s="99"/>
      <c r="AB106" s="99"/>
      <c r="AC106" s="99"/>
      <c r="AD106" s="98" t="s">
        <v>5976</v>
      </c>
      <c r="AE106" s="104">
        <v>38116</v>
      </c>
      <c r="AF106" s="99"/>
      <c r="AG106" s="95">
        <v>1</v>
      </c>
      <c r="AH106" s="94" t="s">
        <v>5074</v>
      </c>
      <c r="AI106" s="94" t="s">
        <v>5133</v>
      </c>
      <c r="AJ106" s="98" t="s">
        <v>5134</v>
      </c>
      <c r="AK106" s="98" t="s">
        <v>5925</v>
      </c>
      <c r="AL106" s="101" t="s">
        <v>5104</v>
      </c>
      <c r="AM106" s="98" t="s">
        <v>5716</v>
      </c>
      <c r="AN106" s="98" t="s">
        <v>5079</v>
      </c>
      <c r="AO106" s="98" t="s">
        <v>5080</v>
      </c>
      <c r="AP106" s="102">
        <v>87</v>
      </c>
      <c r="AQ106" s="102">
        <v>2013</v>
      </c>
      <c r="AR106" s="98" t="s">
        <v>5082</v>
      </c>
      <c r="AS106" s="99"/>
      <c r="AT106" s="98" t="s">
        <v>5083</v>
      </c>
      <c r="AU106" s="98" t="s">
        <v>5135</v>
      </c>
      <c r="AV106" s="95">
        <v>2025</v>
      </c>
      <c r="AW106" s="94" t="s">
        <v>5108</v>
      </c>
      <c r="AX106" s="95">
        <v>0</v>
      </c>
      <c r="AY106" s="98" t="s">
        <v>5109</v>
      </c>
      <c r="AZ106" s="102">
        <v>1</v>
      </c>
      <c r="BA106" s="110">
        <v>46059</v>
      </c>
      <c r="BB106" s="93"/>
    </row>
    <row r="107" spans="1:54" ht="13.8">
      <c r="A107" s="94" t="s">
        <v>5977</v>
      </c>
      <c r="B107" s="95" t="s">
        <v>5978</v>
      </c>
      <c r="C107" s="100">
        <v>31500</v>
      </c>
      <c r="D107" s="94" t="s">
        <v>2656</v>
      </c>
      <c r="E107" s="94" t="s">
        <v>1975</v>
      </c>
      <c r="F107" s="97" t="s">
        <v>1352</v>
      </c>
      <c r="G107" s="95">
        <v>4812042484</v>
      </c>
      <c r="H107" s="98" t="s">
        <v>5057</v>
      </c>
      <c r="I107" s="95">
        <v>49086003383</v>
      </c>
      <c r="J107" s="98" t="s">
        <v>5088</v>
      </c>
      <c r="K107" s="95" t="s">
        <v>5089</v>
      </c>
      <c r="L107" s="98" t="s">
        <v>5979</v>
      </c>
      <c r="M107" s="98" t="s">
        <v>5980</v>
      </c>
      <c r="N107" s="98" t="s">
        <v>5981</v>
      </c>
      <c r="O107" s="98" t="s">
        <v>5982</v>
      </c>
      <c r="P107" s="95">
        <v>935817240</v>
      </c>
      <c r="Q107" s="98" t="s">
        <v>5983</v>
      </c>
      <c r="R107" s="98" t="s">
        <v>5094</v>
      </c>
      <c r="S107" s="99"/>
      <c r="T107" s="100">
        <v>40553</v>
      </c>
      <c r="U107" s="100">
        <v>42014</v>
      </c>
      <c r="V107" s="98" t="s">
        <v>5243</v>
      </c>
      <c r="W107" s="98" t="s">
        <v>5068</v>
      </c>
      <c r="X107" s="98" t="s">
        <v>5096</v>
      </c>
      <c r="Y107" s="98" t="s">
        <v>5068</v>
      </c>
      <c r="Z107" s="99"/>
      <c r="AA107" s="99"/>
      <c r="AB107" s="99"/>
      <c r="AC107" s="99"/>
      <c r="AD107" s="99"/>
      <c r="AE107" s="95" t="s">
        <v>5984</v>
      </c>
      <c r="AF107" s="99"/>
      <c r="AG107" s="95">
        <v>1</v>
      </c>
      <c r="AH107" s="94" t="s">
        <v>5074</v>
      </c>
      <c r="AI107" s="94" t="s">
        <v>5133</v>
      </c>
      <c r="AJ107" s="98" t="s">
        <v>5134</v>
      </c>
      <c r="AK107" s="98" t="s">
        <v>5908</v>
      </c>
      <c r="AL107" s="101" t="s">
        <v>5104</v>
      </c>
      <c r="AM107" s="98" t="s">
        <v>5865</v>
      </c>
      <c r="AN107" s="98" t="s">
        <v>5079</v>
      </c>
      <c r="AO107" s="98" t="s">
        <v>2931</v>
      </c>
      <c r="AP107" s="102">
        <v>922</v>
      </c>
      <c r="AQ107" s="102">
        <v>2014</v>
      </c>
      <c r="AR107" s="98" t="s">
        <v>5082</v>
      </c>
      <c r="AS107" s="99"/>
      <c r="AT107" s="98" t="s">
        <v>5083</v>
      </c>
      <c r="AU107" s="99"/>
      <c r="AV107" s="95">
        <v>2025</v>
      </c>
      <c r="AW107" s="94" t="s">
        <v>5108</v>
      </c>
      <c r="AX107" s="95">
        <v>0</v>
      </c>
      <c r="AY107" s="98" t="s">
        <v>5109</v>
      </c>
      <c r="AZ107" s="102">
        <v>1</v>
      </c>
      <c r="BA107" s="110">
        <v>46059</v>
      </c>
      <c r="BB107" s="93"/>
    </row>
    <row r="108" spans="1:54" ht="13.8">
      <c r="A108" s="94" t="s">
        <v>5985</v>
      </c>
      <c r="B108" s="95" t="s">
        <v>5986</v>
      </c>
      <c r="C108" s="96">
        <v>32066</v>
      </c>
      <c r="D108" s="94" t="s">
        <v>2665</v>
      </c>
      <c r="E108" s="94" t="s">
        <v>1975</v>
      </c>
      <c r="F108" s="97" t="s">
        <v>1352</v>
      </c>
      <c r="G108" s="95">
        <v>4810005100</v>
      </c>
      <c r="H108" s="98" t="s">
        <v>5057</v>
      </c>
      <c r="I108" s="95">
        <v>48187005894</v>
      </c>
      <c r="J108" s="98" t="s">
        <v>5088</v>
      </c>
      <c r="K108" s="104">
        <v>44477</v>
      </c>
      <c r="L108" s="98" t="s">
        <v>5987</v>
      </c>
      <c r="M108" s="98" t="s">
        <v>5988</v>
      </c>
      <c r="N108" s="98" t="s">
        <v>5989</v>
      </c>
      <c r="O108" s="98" t="s">
        <v>5990</v>
      </c>
      <c r="P108" s="95">
        <v>976911131</v>
      </c>
      <c r="Q108" s="98" t="s">
        <v>5991</v>
      </c>
      <c r="R108" s="98" t="s">
        <v>5094</v>
      </c>
      <c r="S108" s="99"/>
      <c r="T108" s="100">
        <v>40179</v>
      </c>
      <c r="U108" s="100">
        <v>40544</v>
      </c>
      <c r="V108" s="98" t="s">
        <v>5095</v>
      </c>
      <c r="W108" s="98" t="s">
        <v>5068</v>
      </c>
      <c r="X108" s="98" t="s">
        <v>5096</v>
      </c>
      <c r="Y108" s="98" t="s">
        <v>5068</v>
      </c>
      <c r="Z108" s="99"/>
      <c r="AA108" s="99"/>
      <c r="AB108" s="95" t="s">
        <v>5161</v>
      </c>
      <c r="AC108" s="99"/>
      <c r="AD108" s="99"/>
      <c r="AE108" s="95" t="s">
        <v>5161</v>
      </c>
      <c r="AF108" s="99"/>
      <c r="AG108" s="95">
        <v>0</v>
      </c>
      <c r="AH108" s="94" t="s">
        <v>5074</v>
      </c>
      <c r="AI108" s="94" t="s">
        <v>5101</v>
      </c>
      <c r="AJ108" s="98" t="s">
        <v>5102</v>
      </c>
      <c r="AK108" s="98" t="s">
        <v>5966</v>
      </c>
      <c r="AL108" s="101" t="s">
        <v>5078</v>
      </c>
      <c r="AM108" s="98" t="s">
        <v>5188</v>
      </c>
      <c r="AN108" s="98" t="s">
        <v>5079</v>
      </c>
      <c r="AO108" s="98" t="s">
        <v>2931</v>
      </c>
      <c r="AP108" s="102">
        <v>807</v>
      </c>
      <c r="AQ108" s="102">
        <v>2009</v>
      </c>
      <c r="AR108" s="98" t="s">
        <v>5200</v>
      </c>
      <c r="AS108" s="99"/>
      <c r="AT108" s="98" t="s">
        <v>5083</v>
      </c>
      <c r="AU108" s="99"/>
      <c r="AV108" s="95">
        <v>0</v>
      </c>
      <c r="AW108" s="94" t="s">
        <v>5074</v>
      </c>
      <c r="AX108" s="95">
        <v>0</v>
      </c>
      <c r="AY108" s="98" t="s">
        <v>5085</v>
      </c>
      <c r="AZ108" s="102">
        <v>1</v>
      </c>
      <c r="BA108" s="110">
        <v>46116</v>
      </c>
      <c r="BB108" s="93"/>
    </row>
    <row r="109" spans="1:54" ht="13.8">
      <c r="A109" s="94" t="s">
        <v>5992</v>
      </c>
      <c r="B109" s="95" t="s">
        <v>5993</v>
      </c>
      <c r="C109" s="96">
        <v>31338</v>
      </c>
      <c r="D109" s="94" t="s">
        <v>2665</v>
      </c>
      <c r="E109" s="94" t="s">
        <v>1975</v>
      </c>
      <c r="F109" s="97" t="s">
        <v>1352</v>
      </c>
      <c r="G109" s="95">
        <v>4810021971</v>
      </c>
      <c r="H109" s="99"/>
      <c r="I109" s="95">
        <v>45185001930</v>
      </c>
      <c r="J109" s="98" t="s">
        <v>5929</v>
      </c>
      <c r="K109" s="95" t="s">
        <v>5994</v>
      </c>
      <c r="L109" s="98" t="s">
        <v>5995</v>
      </c>
      <c r="M109" s="98" t="s">
        <v>5996</v>
      </c>
      <c r="N109" s="98" t="s">
        <v>5997</v>
      </c>
      <c r="O109" s="98" t="s">
        <v>5997</v>
      </c>
      <c r="P109" s="95">
        <v>985654587</v>
      </c>
      <c r="Q109" s="98" t="s">
        <v>5998</v>
      </c>
      <c r="R109" s="98" t="s">
        <v>5094</v>
      </c>
      <c r="S109" s="99"/>
      <c r="T109" s="100">
        <v>46023</v>
      </c>
      <c r="U109" s="109"/>
      <c r="V109" s="99"/>
      <c r="W109" s="98" t="s">
        <v>5821</v>
      </c>
      <c r="X109" s="98" t="s">
        <v>5187</v>
      </c>
      <c r="Y109" s="99"/>
      <c r="Z109" s="99"/>
      <c r="AA109" s="99"/>
      <c r="AB109" s="99"/>
      <c r="AC109" s="99"/>
      <c r="AD109" s="99"/>
      <c r="AE109" s="99"/>
      <c r="AF109" s="99"/>
      <c r="AG109" s="95">
        <v>0</v>
      </c>
      <c r="AH109" s="94" t="s">
        <v>5074</v>
      </c>
      <c r="AI109" s="94" t="s">
        <v>5133</v>
      </c>
      <c r="AJ109" s="98" t="s">
        <v>5134</v>
      </c>
      <c r="AK109" s="98" t="s">
        <v>5999</v>
      </c>
      <c r="AL109" s="101" t="s">
        <v>5149</v>
      </c>
      <c r="AM109" s="99"/>
      <c r="AN109" s="98" t="s">
        <v>5079</v>
      </c>
      <c r="AO109" s="99"/>
      <c r="AP109" s="98" t="s">
        <v>3209</v>
      </c>
      <c r="AQ109" s="102">
        <v>2025</v>
      </c>
      <c r="AR109" s="99"/>
      <c r="AS109" s="99"/>
      <c r="AT109" s="99"/>
      <c r="AU109" s="98" t="s">
        <v>5135</v>
      </c>
      <c r="AV109" s="99"/>
      <c r="AW109" s="94" t="s">
        <v>5074</v>
      </c>
      <c r="AX109" s="95">
        <v>0</v>
      </c>
      <c r="AY109" s="98" t="s">
        <v>5152</v>
      </c>
      <c r="AZ109" s="102">
        <v>6</v>
      </c>
      <c r="BA109" s="102" t="s">
        <v>5260</v>
      </c>
      <c r="BB109" s="93"/>
    </row>
    <row r="110" spans="1:54" ht="13.8">
      <c r="A110" s="94" t="s">
        <v>6000</v>
      </c>
      <c r="B110" s="95" t="s">
        <v>6001</v>
      </c>
      <c r="C110" s="96">
        <v>31774</v>
      </c>
      <c r="D110" s="94" t="s">
        <v>2656</v>
      </c>
      <c r="E110" s="94" t="s">
        <v>1975</v>
      </c>
      <c r="F110" s="97" t="s">
        <v>1352</v>
      </c>
      <c r="G110" s="95">
        <v>4811019656</v>
      </c>
      <c r="H110" s="98" t="s">
        <v>5057</v>
      </c>
      <c r="I110" s="95">
        <v>46086006845</v>
      </c>
      <c r="J110" s="98" t="s">
        <v>5088</v>
      </c>
      <c r="K110" s="95" t="s">
        <v>5277</v>
      </c>
      <c r="L110" s="98" t="s">
        <v>6002</v>
      </c>
      <c r="M110" s="98" t="s">
        <v>6003</v>
      </c>
      <c r="N110" s="98" t="s">
        <v>6004</v>
      </c>
      <c r="O110" s="98" t="s">
        <v>6005</v>
      </c>
      <c r="P110" s="95">
        <v>935015236</v>
      </c>
      <c r="Q110" s="98" t="s">
        <v>6006</v>
      </c>
      <c r="R110" s="98" t="s">
        <v>5094</v>
      </c>
      <c r="S110" s="99"/>
      <c r="T110" s="100">
        <v>40547</v>
      </c>
      <c r="U110" s="100">
        <v>40914</v>
      </c>
      <c r="V110" s="98" t="s">
        <v>5095</v>
      </c>
      <c r="W110" s="98" t="s">
        <v>5068</v>
      </c>
      <c r="X110" s="98" t="s">
        <v>5096</v>
      </c>
      <c r="Y110" s="98" t="s">
        <v>5068</v>
      </c>
      <c r="Z110" s="99"/>
      <c r="AA110" s="99"/>
      <c r="AB110" s="95" t="s">
        <v>5161</v>
      </c>
      <c r="AC110" s="99"/>
      <c r="AD110" s="99"/>
      <c r="AE110" s="95" t="s">
        <v>5161</v>
      </c>
      <c r="AF110" s="99"/>
      <c r="AG110" s="95">
        <v>1</v>
      </c>
      <c r="AH110" s="94" t="s">
        <v>5074</v>
      </c>
      <c r="AI110" s="94" t="s">
        <v>5101</v>
      </c>
      <c r="AJ110" s="98" t="s">
        <v>5102</v>
      </c>
      <c r="AK110" s="98" t="s">
        <v>6007</v>
      </c>
      <c r="AL110" s="101" t="s">
        <v>5078</v>
      </c>
      <c r="AM110" s="98" t="s">
        <v>5179</v>
      </c>
      <c r="AN110" s="98" t="s">
        <v>5079</v>
      </c>
      <c r="AO110" s="98" t="s">
        <v>5772</v>
      </c>
      <c r="AP110" s="102">
        <v>800</v>
      </c>
      <c r="AQ110" s="102">
        <v>2017</v>
      </c>
      <c r="AR110" s="98" t="s">
        <v>5200</v>
      </c>
      <c r="AS110" s="99"/>
      <c r="AT110" s="98" t="s">
        <v>5083</v>
      </c>
      <c r="AU110" s="98" t="s">
        <v>5228</v>
      </c>
      <c r="AV110" s="95">
        <v>0</v>
      </c>
      <c r="AW110" s="94" t="s">
        <v>5074</v>
      </c>
      <c r="AX110" s="95">
        <v>0</v>
      </c>
      <c r="AY110" s="98" t="s">
        <v>5085</v>
      </c>
      <c r="AZ110" s="102">
        <v>1</v>
      </c>
      <c r="BA110" s="110">
        <v>46116</v>
      </c>
      <c r="BB110" s="93"/>
    </row>
    <row r="111" spans="1:54" ht="13.8">
      <c r="A111" s="94" t="s">
        <v>6008</v>
      </c>
      <c r="B111" s="95" t="s">
        <v>6009</v>
      </c>
      <c r="C111" s="100">
        <v>32629</v>
      </c>
      <c r="D111" s="94" t="s">
        <v>2665</v>
      </c>
      <c r="E111" s="94" t="s">
        <v>1975</v>
      </c>
      <c r="F111" s="97" t="s">
        <v>1352</v>
      </c>
      <c r="G111" s="95">
        <v>7937335014</v>
      </c>
      <c r="H111" s="98" t="s">
        <v>5057</v>
      </c>
      <c r="I111" s="95">
        <v>49189014272</v>
      </c>
      <c r="J111" s="98" t="s">
        <v>5088</v>
      </c>
      <c r="K111" s="95" t="s">
        <v>5866</v>
      </c>
      <c r="L111" s="98" t="s">
        <v>5476</v>
      </c>
      <c r="M111" s="98" t="s">
        <v>6010</v>
      </c>
      <c r="N111" s="98" t="s">
        <v>6011</v>
      </c>
      <c r="O111" s="98" t="s">
        <v>6011</v>
      </c>
      <c r="P111" s="95">
        <v>935541589</v>
      </c>
      <c r="Q111" s="98" t="s">
        <v>6012</v>
      </c>
      <c r="R111" s="98" t="s">
        <v>5094</v>
      </c>
      <c r="S111" s="99"/>
      <c r="T111" s="100">
        <v>46023</v>
      </c>
      <c r="U111" s="109"/>
      <c r="V111" s="99"/>
      <c r="W111" s="98" t="s">
        <v>5821</v>
      </c>
      <c r="X111" s="98" t="s">
        <v>5480</v>
      </c>
      <c r="Y111" s="99"/>
      <c r="Z111" s="99"/>
      <c r="AA111" s="99"/>
      <c r="AB111" s="99"/>
      <c r="AC111" s="99"/>
      <c r="AD111" s="99"/>
      <c r="AE111" s="99"/>
      <c r="AF111" s="99"/>
      <c r="AG111" s="95">
        <v>0</v>
      </c>
      <c r="AH111" s="94" t="s">
        <v>5074</v>
      </c>
      <c r="AI111" s="94" t="s">
        <v>5075</v>
      </c>
      <c r="AJ111" s="98" t="s">
        <v>6013</v>
      </c>
      <c r="AK111" s="98" t="s">
        <v>6014</v>
      </c>
      <c r="AL111" s="101" t="s">
        <v>5149</v>
      </c>
      <c r="AM111" s="99"/>
      <c r="AN111" s="98" t="s">
        <v>5079</v>
      </c>
      <c r="AO111" s="98" t="s">
        <v>2915</v>
      </c>
      <c r="AP111" s="98" t="s">
        <v>6015</v>
      </c>
      <c r="AQ111" s="102">
        <v>2021</v>
      </c>
      <c r="AR111" s="99"/>
      <c r="AS111" s="99"/>
      <c r="AT111" s="99"/>
      <c r="AU111" s="99"/>
      <c r="AV111" s="99"/>
      <c r="AW111" s="94" t="s">
        <v>5074</v>
      </c>
      <c r="AX111" s="95">
        <v>1</v>
      </c>
      <c r="AY111" s="98" t="s">
        <v>5152</v>
      </c>
      <c r="AZ111" s="102">
        <v>2</v>
      </c>
      <c r="BA111" s="102" t="s">
        <v>5237</v>
      </c>
      <c r="BB111" s="93"/>
    </row>
    <row r="112" spans="1:54" ht="13.8">
      <c r="A112" s="94" t="s">
        <v>6016</v>
      </c>
      <c r="B112" s="95" t="s">
        <v>6017</v>
      </c>
      <c r="C112" s="100">
        <v>33462</v>
      </c>
      <c r="D112" s="94" t="s">
        <v>2665</v>
      </c>
      <c r="E112" s="94" t="s">
        <v>1975</v>
      </c>
      <c r="F112" s="97" t="s">
        <v>1352</v>
      </c>
      <c r="G112" s="99"/>
      <c r="H112" s="98" t="s">
        <v>5181</v>
      </c>
      <c r="I112" s="95">
        <v>52191017306</v>
      </c>
      <c r="J112" s="98" t="s">
        <v>5088</v>
      </c>
      <c r="K112" s="95" t="s">
        <v>6018</v>
      </c>
      <c r="L112" s="98" t="s">
        <v>6019</v>
      </c>
      <c r="M112" s="98" t="s">
        <v>6020</v>
      </c>
      <c r="N112" s="98" t="s">
        <v>6021</v>
      </c>
      <c r="O112" s="98" t="s">
        <v>6021</v>
      </c>
      <c r="P112" s="95">
        <v>816601279</v>
      </c>
      <c r="Q112" s="98" t="s">
        <v>6022</v>
      </c>
      <c r="R112" s="98" t="s">
        <v>5094</v>
      </c>
      <c r="S112" s="99"/>
      <c r="T112" s="100">
        <v>46023</v>
      </c>
      <c r="U112" s="109"/>
      <c r="V112" s="99"/>
      <c r="W112" s="98" t="s">
        <v>5821</v>
      </c>
      <c r="X112" s="98" t="s">
        <v>5480</v>
      </c>
      <c r="Y112" s="99"/>
      <c r="Z112" s="99"/>
      <c r="AA112" s="99"/>
      <c r="AB112" s="99"/>
      <c r="AC112" s="99"/>
      <c r="AD112" s="99"/>
      <c r="AE112" s="99"/>
      <c r="AF112" s="99"/>
      <c r="AG112" s="95">
        <v>0</v>
      </c>
      <c r="AH112" s="94" t="s">
        <v>5074</v>
      </c>
      <c r="AI112" s="94" t="s">
        <v>5101</v>
      </c>
      <c r="AJ112" s="98" t="s">
        <v>5102</v>
      </c>
      <c r="AK112" s="98" t="s">
        <v>6023</v>
      </c>
      <c r="AL112" s="101" t="s">
        <v>5149</v>
      </c>
      <c r="AM112" s="99"/>
      <c r="AN112" s="98" t="s">
        <v>5079</v>
      </c>
      <c r="AO112" s="98" t="s">
        <v>5737</v>
      </c>
      <c r="AP112" s="98" t="s">
        <v>6024</v>
      </c>
      <c r="AQ112" s="102">
        <v>2024</v>
      </c>
      <c r="AR112" s="99"/>
      <c r="AS112" s="99"/>
      <c r="AT112" s="99"/>
      <c r="AU112" s="99"/>
      <c r="AV112" s="99"/>
      <c r="AW112" s="94" t="s">
        <v>5074</v>
      </c>
      <c r="AX112" s="95">
        <v>1</v>
      </c>
      <c r="AY112" s="98" t="s">
        <v>5152</v>
      </c>
      <c r="AZ112" s="102">
        <v>2</v>
      </c>
      <c r="BA112" s="102" t="s">
        <v>5237</v>
      </c>
      <c r="BB112" s="93"/>
    </row>
    <row r="113" spans="1:54" ht="13.8">
      <c r="A113" s="94" t="s">
        <v>6025</v>
      </c>
      <c r="B113" s="95" t="s">
        <v>6026</v>
      </c>
      <c r="C113" s="100">
        <v>32222</v>
      </c>
      <c r="D113" s="94" t="s">
        <v>2665</v>
      </c>
      <c r="E113" s="94" t="s">
        <v>1975</v>
      </c>
      <c r="F113" s="97" t="s">
        <v>1352</v>
      </c>
      <c r="G113" s="95">
        <v>4811044762</v>
      </c>
      <c r="H113" s="98" t="s">
        <v>5057</v>
      </c>
      <c r="I113" s="95">
        <v>49188016152</v>
      </c>
      <c r="J113" s="98" t="s">
        <v>5088</v>
      </c>
      <c r="K113" s="95" t="s">
        <v>5089</v>
      </c>
      <c r="L113" s="98" t="s">
        <v>5368</v>
      </c>
      <c r="M113" s="98" t="s">
        <v>5694</v>
      </c>
      <c r="N113" s="98" t="s">
        <v>6027</v>
      </c>
      <c r="O113" s="98" t="s">
        <v>6027</v>
      </c>
      <c r="P113" s="95">
        <v>398289435</v>
      </c>
      <c r="Q113" s="98" t="s">
        <v>6028</v>
      </c>
      <c r="R113" s="98" t="s">
        <v>5094</v>
      </c>
      <c r="S113" s="99"/>
      <c r="T113" s="100">
        <v>40553</v>
      </c>
      <c r="U113" s="100">
        <v>40918</v>
      </c>
      <c r="V113" s="98" t="s">
        <v>5095</v>
      </c>
      <c r="W113" s="98" t="s">
        <v>5821</v>
      </c>
      <c r="X113" s="98" t="s">
        <v>5096</v>
      </c>
      <c r="Y113" s="98" t="s">
        <v>5822</v>
      </c>
      <c r="Z113" s="99"/>
      <c r="AA113" s="99"/>
      <c r="AB113" s="95" t="s">
        <v>5161</v>
      </c>
      <c r="AC113" s="99"/>
      <c r="AD113" s="99"/>
      <c r="AE113" s="95" t="s">
        <v>6029</v>
      </c>
      <c r="AF113" s="99"/>
      <c r="AG113" s="95">
        <v>1</v>
      </c>
      <c r="AH113" s="94" t="s">
        <v>5084</v>
      </c>
      <c r="AI113" s="94" t="s">
        <v>5101</v>
      </c>
      <c r="AJ113" s="98" t="s">
        <v>5102</v>
      </c>
      <c r="AK113" s="98" t="s">
        <v>6030</v>
      </c>
      <c r="AL113" s="101" t="s">
        <v>5149</v>
      </c>
      <c r="AM113" s="99"/>
      <c r="AN113" s="98" t="s">
        <v>5079</v>
      </c>
      <c r="AO113" s="98" t="s">
        <v>5080</v>
      </c>
      <c r="AP113" s="98" t="s">
        <v>5188</v>
      </c>
      <c r="AQ113" s="102">
        <v>2022</v>
      </c>
      <c r="AR113" s="98" t="s">
        <v>5200</v>
      </c>
      <c r="AS113" s="99"/>
      <c r="AT113" s="99"/>
      <c r="AU113" s="98" t="s">
        <v>5228</v>
      </c>
      <c r="AV113" s="95">
        <v>0</v>
      </c>
      <c r="AW113" s="94" t="s">
        <v>5084</v>
      </c>
      <c r="AX113" s="95">
        <v>0</v>
      </c>
      <c r="AY113" s="98" t="s">
        <v>5152</v>
      </c>
      <c r="AZ113" s="102">
        <v>5</v>
      </c>
      <c r="BA113" s="102" t="s">
        <v>5153</v>
      </c>
      <c r="BB113" s="93"/>
    </row>
    <row r="114" spans="1:54" ht="13.8">
      <c r="A114" s="94" t="s">
        <v>6031</v>
      </c>
      <c r="B114" s="95" t="s">
        <v>6032</v>
      </c>
      <c r="C114" s="100">
        <v>31320</v>
      </c>
      <c r="D114" s="94" t="s">
        <v>2656</v>
      </c>
      <c r="E114" s="94" t="s">
        <v>1975</v>
      </c>
      <c r="F114" s="97" t="s">
        <v>1352</v>
      </c>
      <c r="G114" s="95">
        <v>4815008842</v>
      </c>
      <c r="H114" s="98" t="s">
        <v>5057</v>
      </c>
      <c r="I114" s="95">
        <v>48085002752</v>
      </c>
      <c r="J114" s="98" t="s">
        <v>5088</v>
      </c>
      <c r="K114" s="95" t="s">
        <v>6033</v>
      </c>
      <c r="L114" s="98" t="s">
        <v>6034</v>
      </c>
      <c r="M114" s="98" t="s">
        <v>6035</v>
      </c>
      <c r="N114" s="98" t="s">
        <v>6036</v>
      </c>
      <c r="O114" s="98" t="s">
        <v>6037</v>
      </c>
      <c r="P114" s="95">
        <v>905172198</v>
      </c>
      <c r="Q114" s="98" t="s">
        <v>6038</v>
      </c>
      <c r="R114" s="98" t="s">
        <v>5094</v>
      </c>
      <c r="S114" s="99"/>
      <c r="T114" s="100">
        <v>45658</v>
      </c>
      <c r="U114" s="109"/>
      <c r="V114" s="99"/>
      <c r="W114" s="98" t="s">
        <v>5781</v>
      </c>
      <c r="X114" s="98" t="s">
        <v>5187</v>
      </c>
      <c r="Y114" s="99"/>
      <c r="Z114" s="99"/>
      <c r="AA114" s="99"/>
      <c r="AB114" s="99"/>
      <c r="AC114" s="99"/>
      <c r="AD114" s="99"/>
      <c r="AE114" s="99"/>
      <c r="AF114" s="99"/>
      <c r="AG114" s="95">
        <v>0</v>
      </c>
      <c r="AH114" s="94" t="s">
        <v>5074</v>
      </c>
      <c r="AI114" s="94" t="s">
        <v>5101</v>
      </c>
      <c r="AJ114" s="98" t="s">
        <v>5102</v>
      </c>
      <c r="AK114" s="98" t="s">
        <v>6039</v>
      </c>
      <c r="AL114" s="101" t="s">
        <v>5149</v>
      </c>
      <c r="AM114" s="99"/>
      <c r="AN114" s="98" t="s">
        <v>5079</v>
      </c>
      <c r="AO114" s="98" t="s">
        <v>3209</v>
      </c>
      <c r="AP114" s="98" t="s">
        <v>6040</v>
      </c>
      <c r="AQ114" s="102">
        <v>2015</v>
      </c>
      <c r="AR114" s="99"/>
      <c r="AS114" s="99"/>
      <c r="AT114" s="99"/>
      <c r="AU114" s="98" t="s">
        <v>5228</v>
      </c>
      <c r="AV114" s="99"/>
      <c r="AW114" s="94" t="s">
        <v>5074</v>
      </c>
      <c r="AX114" s="95">
        <v>0</v>
      </c>
      <c r="AY114" s="98" t="s">
        <v>5152</v>
      </c>
      <c r="AZ114" s="102">
        <v>5</v>
      </c>
      <c r="BA114" s="102" t="s">
        <v>5153</v>
      </c>
      <c r="BB114" s="93"/>
    </row>
    <row r="115" spans="1:54" ht="13.8">
      <c r="A115" s="94" t="s">
        <v>6041</v>
      </c>
      <c r="B115" s="95" t="s">
        <v>6042</v>
      </c>
      <c r="C115" s="96">
        <v>30254</v>
      </c>
      <c r="D115" s="94" t="s">
        <v>2665</v>
      </c>
      <c r="E115" s="94" t="s">
        <v>1975</v>
      </c>
      <c r="F115" s="97" t="s">
        <v>1352</v>
      </c>
      <c r="G115" s="95">
        <v>402001279</v>
      </c>
      <c r="H115" s="98" t="s">
        <v>5057</v>
      </c>
      <c r="I115" s="95">
        <v>48176004312</v>
      </c>
      <c r="J115" s="98" t="s">
        <v>5088</v>
      </c>
      <c r="K115" s="95" t="s">
        <v>5089</v>
      </c>
      <c r="L115" s="98" t="s">
        <v>6043</v>
      </c>
      <c r="M115" s="98" t="s">
        <v>5156</v>
      </c>
      <c r="N115" s="98" t="s">
        <v>6044</v>
      </c>
      <c r="O115" s="98" t="s">
        <v>6045</v>
      </c>
      <c r="P115" s="95">
        <v>989434079</v>
      </c>
      <c r="Q115" s="98" t="s">
        <v>6046</v>
      </c>
      <c r="R115" s="98" t="s">
        <v>5094</v>
      </c>
      <c r="S115" s="98" t="s">
        <v>5116</v>
      </c>
      <c r="T115" s="100">
        <v>35804</v>
      </c>
      <c r="U115" s="100">
        <v>36531</v>
      </c>
      <c r="V115" s="98" t="s">
        <v>5095</v>
      </c>
      <c r="W115" s="98" t="s">
        <v>5068</v>
      </c>
      <c r="X115" s="98" t="s">
        <v>5096</v>
      </c>
      <c r="Y115" s="98" t="s">
        <v>5066</v>
      </c>
      <c r="Z115" s="99"/>
      <c r="AA115" s="99"/>
      <c r="AB115" s="99"/>
      <c r="AC115" s="99"/>
      <c r="AD115" s="98" t="s">
        <v>6047</v>
      </c>
      <c r="AE115" s="95" t="s">
        <v>6048</v>
      </c>
      <c r="AF115" s="98" t="s">
        <v>6049</v>
      </c>
      <c r="AG115" s="95">
        <v>1</v>
      </c>
      <c r="AH115" s="94" t="s">
        <v>5074</v>
      </c>
      <c r="AI115" s="94" t="s">
        <v>5101</v>
      </c>
      <c r="AJ115" s="98" t="s">
        <v>5134</v>
      </c>
      <c r="AK115" s="98" t="s">
        <v>6050</v>
      </c>
      <c r="AL115" s="101" t="s">
        <v>5149</v>
      </c>
      <c r="AM115" s="98" t="s">
        <v>6051</v>
      </c>
      <c r="AN115" s="98" t="s">
        <v>5079</v>
      </c>
      <c r="AO115" s="98" t="s">
        <v>5080</v>
      </c>
      <c r="AP115" s="102">
        <v>84</v>
      </c>
      <c r="AQ115" s="102">
        <v>2005</v>
      </c>
      <c r="AR115" s="98" t="s">
        <v>5106</v>
      </c>
      <c r="AS115" s="99"/>
      <c r="AT115" s="98" t="s">
        <v>5083</v>
      </c>
      <c r="AU115" s="98" t="s">
        <v>5228</v>
      </c>
      <c r="AV115" s="95">
        <v>0</v>
      </c>
      <c r="AW115" s="94" t="s">
        <v>5074</v>
      </c>
      <c r="AX115" s="95">
        <v>0</v>
      </c>
      <c r="AY115" s="98" t="s">
        <v>5152</v>
      </c>
      <c r="AZ115" s="102">
        <v>9</v>
      </c>
      <c r="BA115" s="102" t="s">
        <v>5221</v>
      </c>
      <c r="BB115" s="93"/>
    </row>
    <row r="116" spans="1:54" ht="13.8">
      <c r="A116" s="94" t="s">
        <v>6052</v>
      </c>
      <c r="B116" s="95" t="s">
        <v>6053</v>
      </c>
      <c r="C116" s="100">
        <v>27885</v>
      </c>
      <c r="D116" s="94" t="s">
        <v>2665</v>
      </c>
      <c r="E116" s="94" t="s">
        <v>1975</v>
      </c>
      <c r="F116" s="97" t="s">
        <v>1352</v>
      </c>
      <c r="G116" s="95">
        <v>3806003292</v>
      </c>
      <c r="H116" s="98" t="s">
        <v>5057</v>
      </c>
      <c r="I116" s="95">
        <v>64182000447</v>
      </c>
      <c r="J116" s="98" t="s">
        <v>5088</v>
      </c>
      <c r="K116" s="95" t="s">
        <v>6054</v>
      </c>
      <c r="L116" s="98" t="s">
        <v>6055</v>
      </c>
      <c r="M116" s="98" t="s">
        <v>6056</v>
      </c>
      <c r="N116" s="98" t="s">
        <v>6057</v>
      </c>
      <c r="O116" s="98" t="s">
        <v>6057</v>
      </c>
      <c r="P116" s="95">
        <v>839964678</v>
      </c>
      <c r="Q116" s="98" t="s">
        <v>6058</v>
      </c>
      <c r="R116" s="98" t="s">
        <v>5094</v>
      </c>
      <c r="S116" s="99"/>
      <c r="T116" s="109"/>
      <c r="U116" s="109"/>
      <c r="V116" s="99"/>
      <c r="W116" s="98" t="s">
        <v>5821</v>
      </c>
      <c r="X116" s="98" t="s">
        <v>5187</v>
      </c>
      <c r="Y116" s="99"/>
      <c r="Z116" s="99"/>
      <c r="AA116" s="99"/>
      <c r="AB116" s="99"/>
      <c r="AC116" s="99"/>
      <c r="AD116" s="99"/>
      <c r="AE116" s="99"/>
      <c r="AF116" s="99"/>
      <c r="AG116" s="95">
        <v>0</v>
      </c>
      <c r="AH116" s="94" t="s">
        <v>5084</v>
      </c>
      <c r="AI116" s="94" t="s">
        <v>5133</v>
      </c>
      <c r="AJ116" s="98" t="s">
        <v>5102</v>
      </c>
      <c r="AK116" s="98" t="s">
        <v>6050</v>
      </c>
      <c r="AL116" s="101" t="s">
        <v>5149</v>
      </c>
      <c r="AM116" s="99"/>
      <c r="AN116" s="98" t="s">
        <v>5079</v>
      </c>
      <c r="AO116" s="98" t="s">
        <v>5080</v>
      </c>
      <c r="AP116" s="98" t="s">
        <v>5552</v>
      </c>
      <c r="AQ116" s="102">
        <v>2025</v>
      </c>
      <c r="AR116" s="99"/>
      <c r="AS116" s="99"/>
      <c r="AT116" s="99"/>
      <c r="AU116" s="98" t="s">
        <v>5151</v>
      </c>
      <c r="AV116" s="99"/>
      <c r="AW116" s="94" t="s">
        <v>5084</v>
      </c>
      <c r="AX116" s="95">
        <v>0</v>
      </c>
      <c r="AY116" s="98" t="s">
        <v>5152</v>
      </c>
      <c r="AZ116" s="102">
        <v>7</v>
      </c>
      <c r="BA116" s="102" t="s">
        <v>5286</v>
      </c>
      <c r="BB116" s="93"/>
    </row>
    <row r="117" spans="1:54" ht="13.8">
      <c r="A117" s="94" t="s">
        <v>6059</v>
      </c>
      <c r="B117" s="95" t="s">
        <v>6060</v>
      </c>
      <c r="C117" s="96">
        <v>31398</v>
      </c>
      <c r="D117" s="94" t="s">
        <v>2665</v>
      </c>
      <c r="E117" s="94" t="s">
        <v>1975</v>
      </c>
      <c r="F117" s="97" t="s">
        <v>1352</v>
      </c>
      <c r="G117" s="95">
        <v>4808004738</v>
      </c>
      <c r="H117" s="98" t="s">
        <v>5057</v>
      </c>
      <c r="I117" s="95">
        <v>49080012771</v>
      </c>
      <c r="J117" s="98" t="s">
        <v>5088</v>
      </c>
      <c r="K117" s="95" t="s">
        <v>6061</v>
      </c>
      <c r="L117" s="98" t="s">
        <v>5278</v>
      </c>
      <c r="M117" s="98" t="s">
        <v>5279</v>
      </c>
      <c r="N117" s="98" t="s">
        <v>6062</v>
      </c>
      <c r="O117" s="98" t="s">
        <v>6062</v>
      </c>
      <c r="P117" s="95">
        <v>914196748</v>
      </c>
      <c r="Q117" s="98" t="s">
        <v>6063</v>
      </c>
      <c r="R117" s="98" t="s">
        <v>5094</v>
      </c>
      <c r="S117" s="99"/>
      <c r="T117" s="100">
        <v>39448</v>
      </c>
      <c r="U117" s="100">
        <v>39814</v>
      </c>
      <c r="V117" s="98" t="s">
        <v>5095</v>
      </c>
      <c r="W117" s="98" t="s">
        <v>5068</v>
      </c>
      <c r="X117" s="98" t="s">
        <v>5096</v>
      </c>
      <c r="Y117" s="98" t="s">
        <v>5068</v>
      </c>
      <c r="Z117" s="99"/>
      <c r="AA117" s="99"/>
      <c r="AB117" s="99"/>
      <c r="AC117" s="99"/>
      <c r="AD117" s="98" t="s">
        <v>6064</v>
      </c>
      <c r="AE117" s="95" t="s">
        <v>6065</v>
      </c>
      <c r="AF117" s="99"/>
      <c r="AG117" s="95">
        <v>1</v>
      </c>
      <c r="AH117" s="94" t="s">
        <v>5074</v>
      </c>
      <c r="AI117" s="94" t="s">
        <v>5101</v>
      </c>
      <c r="AJ117" s="98" t="s">
        <v>5102</v>
      </c>
      <c r="AK117" s="98" t="s">
        <v>5248</v>
      </c>
      <c r="AL117" s="101" t="s">
        <v>5104</v>
      </c>
      <c r="AM117" s="99"/>
      <c r="AN117" s="98" t="s">
        <v>5079</v>
      </c>
      <c r="AO117" s="98" t="s">
        <v>6066</v>
      </c>
      <c r="AP117" s="98" t="s">
        <v>6067</v>
      </c>
      <c r="AQ117" s="102">
        <v>2014</v>
      </c>
      <c r="AR117" s="98" t="s">
        <v>5082</v>
      </c>
      <c r="AS117" s="99"/>
      <c r="AT117" s="99"/>
      <c r="AU117" s="98" t="s">
        <v>5125</v>
      </c>
      <c r="AV117" s="95">
        <v>2025</v>
      </c>
      <c r="AW117" s="94" t="s">
        <v>5108</v>
      </c>
      <c r="AX117" s="95">
        <v>0</v>
      </c>
      <c r="AY117" s="98" t="s">
        <v>5109</v>
      </c>
      <c r="AZ117" s="102">
        <v>1</v>
      </c>
      <c r="BA117" s="110">
        <v>46059</v>
      </c>
      <c r="BB117" s="93"/>
    </row>
    <row r="118" spans="1:54" ht="13.8">
      <c r="A118" s="94" t="s">
        <v>6068</v>
      </c>
      <c r="B118" s="95" t="s">
        <v>6069</v>
      </c>
      <c r="C118" s="100">
        <v>29230</v>
      </c>
      <c r="D118" s="94" t="s">
        <v>2656</v>
      </c>
      <c r="E118" s="94" t="s">
        <v>1975</v>
      </c>
      <c r="F118" s="97" t="s">
        <v>1352</v>
      </c>
      <c r="G118" s="95">
        <v>4808038136</v>
      </c>
      <c r="H118" s="98" t="s">
        <v>5057</v>
      </c>
      <c r="I118" s="95">
        <v>48185007990</v>
      </c>
      <c r="J118" s="98" t="s">
        <v>5088</v>
      </c>
      <c r="K118" s="95" t="s">
        <v>5089</v>
      </c>
      <c r="L118" s="98" t="s">
        <v>6070</v>
      </c>
      <c r="M118" s="98" t="s">
        <v>5156</v>
      </c>
      <c r="N118" s="98" t="s">
        <v>6071</v>
      </c>
      <c r="O118" s="98" t="s">
        <v>6071</v>
      </c>
      <c r="P118" s="95">
        <v>901169485</v>
      </c>
      <c r="Q118" s="98" t="s">
        <v>6072</v>
      </c>
      <c r="R118" s="98" t="s">
        <v>5094</v>
      </c>
      <c r="S118" s="99"/>
      <c r="T118" s="100">
        <v>39086</v>
      </c>
      <c r="U118" s="100">
        <v>39459</v>
      </c>
      <c r="V118" s="98" t="s">
        <v>5243</v>
      </c>
      <c r="W118" s="98" t="s">
        <v>5781</v>
      </c>
      <c r="X118" s="98" t="s">
        <v>5096</v>
      </c>
      <c r="Y118" s="98" t="s">
        <v>5068</v>
      </c>
      <c r="Z118" s="99"/>
      <c r="AA118" s="99"/>
      <c r="AB118" s="95" t="s">
        <v>5161</v>
      </c>
      <c r="AC118" s="99"/>
      <c r="AD118" s="99"/>
      <c r="AE118" s="95" t="s">
        <v>5161</v>
      </c>
      <c r="AF118" s="99"/>
      <c r="AG118" s="95">
        <v>1</v>
      </c>
      <c r="AH118" s="94" t="s">
        <v>5074</v>
      </c>
      <c r="AI118" s="94" t="s">
        <v>5101</v>
      </c>
      <c r="AJ118" s="98" t="s">
        <v>5102</v>
      </c>
      <c r="AK118" s="98" t="s">
        <v>5882</v>
      </c>
      <c r="AL118" s="101" t="s">
        <v>5104</v>
      </c>
      <c r="AM118" s="98" t="s">
        <v>6073</v>
      </c>
      <c r="AN118" s="98" t="s">
        <v>5079</v>
      </c>
      <c r="AO118" s="98" t="s">
        <v>3216</v>
      </c>
      <c r="AP118" s="102">
        <v>935</v>
      </c>
      <c r="AQ118" s="102">
        <v>2016</v>
      </c>
      <c r="AR118" s="98" t="s">
        <v>5200</v>
      </c>
      <c r="AS118" s="99"/>
      <c r="AT118" s="99"/>
      <c r="AU118" s="99"/>
      <c r="AV118" s="95">
        <v>2024</v>
      </c>
      <c r="AW118" s="94" t="s">
        <v>5108</v>
      </c>
      <c r="AX118" s="95">
        <v>0</v>
      </c>
      <c r="AY118" s="98" t="s">
        <v>5109</v>
      </c>
      <c r="AZ118" s="102">
        <v>1</v>
      </c>
      <c r="BA118" s="110">
        <v>46059</v>
      </c>
      <c r="BB118" s="93"/>
    </row>
    <row r="119" spans="1:54" ht="13.8">
      <c r="A119" s="94" t="s">
        <v>6074</v>
      </c>
      <c r="B119" s="95" t="s">
        <v>6075</v>
      </c>
      <c r="C119" s="100">
        <v>33239</v>
      </c>
      <c r="D119" s="94" t="s">
        <v>2665</v>
      </c>
      <c r="E119" s="94" t="s">
        <v>1975</v>
      </c>
      <c r="F119" s="97" t="s">
        <v>1352</v>
      </c>
      <c r="G119" s="95">
        <v>4814009047</v>
      </c>
      <c r="H119" s="98" t="s">
        <v>5057</v>
      </c>
      <c r="I119" s="95">
        <v>48191000768</v>
      </c>
      <c r="J119" s="98" t="s">
        <v>5088</v>
      </c>
      <c r="K119" s="104">
        <v>44201</v>
      </c>
      <c r="L119" s="98" t="s">
        <v>5155</v>
      </c>
      <c r="M119" s="98" t="s">
        <v>5796</v>
      </c>
      <c r="N119" s="98" t="s">
        <v>6076</v>
      </c>
      <c r="O119" s="98" t="s">
        <v>6076</v>
      </c>
      <c r="P119" s="95">
        <v>978819065</v>
      </c>
      <c r="Q119" s="98" t="s">
        <v>6077</v>
      </c>
      <c r="R119" s="98" t="s">
        <v>5094</v>
      </c>
      <c r="S119" s="99"/>
      <c r="T119" s="100">
        <v>41640</v>
      </c>
      <c r="U119" s="100">
        <v>42005</v>
      </c>
      <c r="V119" s="98" t="s">
        <v>5243</v>
      </c>
      <c r="W119" s="98" t="s">
        <v>5068</v>
      </c>
      <c r="X119" s="98" t="s">
        <v>5096</v>
      </c>
      <c r="Y119" s="98" t="s">
        <v>5068</v>
      </c>
      <c r="Z119" s="99"/>
      <c r="AA119" s="99"/>
      <c r="AB119" s="95" t="s">
        <v>5161</v>
      </c>
      <c r="AC119" s="99"/>
      <c r="AD119" s="99"/>
      <c r="AE119" s="95" t="s">
        <v>5161</v>
      </c>
      <c r="AF119" s="99"/>
      <c r="AG119" s="95">
        <v>1</v>
      </c>
      <c r="AH119" s="94" t="s">
        <v>5074</v>
      </c>
      <c r="AI119" s="94" t="s">
        <v>5133</v>
      </c>
      <c r="AJ119" s="98" t="s">
        <v>5134</v>
      </c>
      <c r="AK119" s="98" t="s">
        <v>5925</v>
      </c>
      <c r="AL119" s="101" t="s">
        <v>5149</v>
      </c>
      <c r="AM119" s="98" t="s">
        <v>5716</v>
      </c>
      <c r="AN119" s="98" t="s">
        <v>5079</v>
      </c>
      <c r="AO119" s="98" t="s">
        <v>5080</v>
      </c>
      <c r="AP119" s="102">
        <v>87</v>
      </c>
      <c r="AQ119" s="102">
        <v>2017</v>
      </c>
      <c r="AR119" s="99"/>
      <c r="AS119" s="99"/>
      <c r="AT119" s="98" t="s">
        <v>5083</v>
      </c>
      <c r="AU119" s="98" t="s">
        <v>5228</v>
      </c>
      <c r="AV119" s="95">
        <v>0</v>
      </c>
      <c r="AW119" s="94" t="s">
        <v>5074</v>
      </c>
      <c r="AX119" s="95">
        <v>0</v>
      </c>
      <c r="AY119" s="98" t="s">
        <v>5152</v>
      </c>
      <c r="AZ119" s="102">
        <v>4</v>
      </c>
      <c r="BA119" s="102" t="s">
        <v>5168</v>
      </c>
      <c r="BB119" s="93"/>
    </row>
    <row r="120" spans="1:54" ht="13.8">
      <c r="A120" s="94" t="s">
        <v>6078</v>
      </c>
      <c r="B120" s="95" t="s">
        <v>6079</v>
      </c>
      <c r="C120" s="100">
        <v>33095</v>
      </c>
      <c r="D120" s="94" t="s">
        <v>2656</v>
      </c>
      <c r="E120" s="94" t="s">
        <v>1975</v>
      </c>
      <c r="F120" s="97" t="s">
        <v>1352</v>
      </c>
      <c r="G120" s="95">
        <v>4621384785</v>
      </c>
      <c r="H120" s="98" t="s">
        <v>5057</v>
      </c>
      <c r="I120" s="95">
        <v>66090013255</v>
      </c>
      <c r="J120" s="98" t="s">
        <v>5088</v>
      </c>
      <c r="K120" s="114">
        <v>44846</v>
      </c>
      <c r="L120" s="98" t="s">
        <v>6080</v>
      </c>
      <c r="M120" s="98" t="s">
        <v>6081</v>
      </c>
      <c r="N120" s="98" t="s">
        <v>6082</v>
      </c>
      <c r="O120" s="98" t="s">
        <v>6083</v>
      </c>
      <c r="P120" s="95">
        <v>774499666</v>
      </c>
      <c r="Q120" s="98" t="s">
        <v>6084</v>
      </c>
      <c r="R120" s="98" t="s">
        <v>5094</v>
      </c>
      <c r="S120" s="99"/>
      <c r="T120" s="100">
        <v>43997</v>
      </c>
      <c r="U120" s="100">
        <v>44362</v>
      </c>
      <c r="V120" s="99"/>
      <c r="W120" s="98" t="s">
        <v>5068</v>
      </c>
      <c r="X120" s="98" t="s">
        <v>5096</v>
      </c>
      <c r="Y120" s="99"/>
      <c r="Z120" s="99"/>
      <c r="AA120" s="99"/>
      <c r="AB120" s="99"/>
      <c r="AC120" s="99"/>
      <c r="AD120" s="99"/>
      <c r="AE120" s="99"/>
      <c r="AF120" s="99"/>
      <c r="AG120" s="95">
        <v>0</v>
      </c>
      <c r="AH120" s="94" t="s">
        <v>5074</v>
      </c>
      <c r="AI120" s="94" t="s">
        <v>5133</v>
      </c>
      <c r="AJ120" s="98" t="s">
        <v>5134</v>
      </c>
      <c r="AK120" s="98" t="s">
        <v>6085</v>
      </c>
      <c r="AL120" s="101" t="s">
        <v>5149</v>
      </c>
      <c r="AM120" s="99"/>
      <c r="AN120" s="98" t="s">
        <v>5079</v>
      </c>
      <c r="AO120" s="98" t="s">
        <v>5080</v>
      </c>
      <c r="AP120" s="98" t="s">
        <v>5828</v>
      </c>
      <c r="AQ120" s="102">
        <v>2021</v>
      </c>
      <c r="AR120" s="99"/>
      <c r="AS120" s="99"/>
      <c r="AT120" s="99"/>
      <c r="AU120" s="98" t="s">
        <v>5483</v>
      </c>
      <c r="AV120" s="99"/>
      <c r="AW120" s="94" t="s">
        <v>5074</v>
      </c>
      <c r="AX120" s="95">
        <v>0</v>
      </c>
      <c r="AY120" s="98" t="s">
        <v>5152</v>
      </c>
      <c r="AZ120" s="102">
        <v>3</v>
      </c>
      <c r="BA120" s="102">
        <v>3</v>
      </c>
      <c r="BB120" s="93"/>
    </row>
    <row r="121" spans="1:54" ht="13.8">
      <c r="A121" s="94" t="s">
        <v>6086</v>
      </c>
      <c r="B121" s="95" t="s">
        <v>6087</v>
      </c>
      <c r="C121" s="100">
        <v>24879</v>
      </c>
      <c r="D121" s="94" t="s">
        <v>2656</v>
      </c>
      <c r="E121" s="94" t="s">
        <v>1975</v>
      </c>
      <c r="F121" s="97" t="s">
        <v>1352</v>
      </c>
      <c r="G121" s="95">
        <v>4816032425</v>
      </c>
      <c r="H121" s="98" t="s">
        <v>5057</v>
      </c>
      <c r="I121" s="95">
        <v>49094013657</v>
      </c>
      <c r="J121" s="98" t="s">
        <v>5088</v>
      </c>
      <c r="K121" s="95" t="s">
        <v>6088</v>
      </c>
      <c r="L121" s="98" t="s">
        <v>6089</v>
      </c>
      <c r="M121" s="98" t="s">
        <v>6090</v>
      </c>
      <c r="N121" s="98" t="s">
        <v>6091</v>
      </c>
      <c r="O121" s="98" t="s">
        <v>6092</v>
      </c>
      <c r="P121" s="95">
        <v>961297038</v>
      </c>
      <c r="Q121" s="98" t="s">
        <v>6093</v>
      </c>
      <c r="R121" s="98" t="s">
        <v>5094</v>
      </c>
      <c r="S121" s="99"/>
      <c r="T121" s="100">
        <v>34709</v>
      </c>
      <c r="U121" s="100">
        <v>36165</v>
      </c>
      <c r="V121" s="99"/>
      <c r="W121" s="98" t="s">
        <v>5068</v>
      </c>
      <c r="X121" s="98" t="s">
        <v>5096</v>
      </c>
      <c r="Y121" s="99"/>
      <c r="Z121" s="99"/>
      <c r="AA121" s="99"/>
      <c r="AB121" s="99"/>
      <c r="AC121" s="99"/>
      <c r="AD121" s="99"/>
      <c r="AE121" s="104">
        <v>42527</v>
      </c>
      <c r="AF121" s="99"/>
      <c r="AG121" s="95">
        <v>0</v>
      </c>
      <c r="AH121" s="94" t="s">
        <v>5084</v>
      </c>
      <c r="AI121" s="94" t="s">
        <v>5101</v>
      </c>
      <c r="AJ121" s="98" t="s">
        <v>5134</v>
      </c>
      <c r="AK121" s="98" t="s">
        <v>5925</v>
      </c>
      <c r="AL121" s="101" t="s">
        <v>5078</v>
      </c>
      <c r="AM121" s="99"/>
      <c r="AN121" s="98" t="s">
        <v>5079</v>
      </c>
      <c r="AO121" s="98" t="s">
        <v>5080</v>
      </c>
      <c r="AP121" s="98" t="s">
        <v>5188</v>
      </c>
      <c r="AQ121" s="102">
        <v>2019</v>
      </c>
      <c r="AR121" s="98" t="s">
        <v>5200</v>
      </c>
      <c r="AS121" s="99"/>
      <c r="AT121" s="98" t="s">
        <v>5083</v>
      </c>
      <c r="AU121" s="98" t="s">
        <v>5228</v>
      </c>
      <c r="AV121" s="99"/>
      <c r="AW121" s="94" t="s">
        <v>5084</v>
      </c>
      <c r="AX121" s="95">
        <v>0</v>
      </c>
      <c r="AY121" s="98" t="s">
        <v>5152</v>
      </c>
      <c r="AZ121" s="102">
        <v>3</v>
      </c>
      <c r="BA121" s="102">
        <v>3</v>
      </c>
      <c r="BB121" s="93"/>
    </row>
    <row r="122" spans="1:54" ht="13.8">
      <c r="A122" s="94" t="s">
        <v>6094</v>
      </c>
      <c r="B122" s="95" t="s">
        <v>6095</v>
      </c>
      <c r="C122" s="96">
        <v>34699</v>
      </c>
      <c r="D122" s="94" t="s">
        <v>2656</v>
      </c>
      <c r="E122" s="94" t="s">
        <v>1975</v>
      </c>
      <c r="F122" s="97" t="s">
        <v>1352</v>
      </c>
      <c r="G122" s="95">
        <v>3398005604</v>
      </c>
      <c r="H122" s="98" t="s">
        <v>5057</v>
      </c>
      <c r="I122" s="95">
        <v>46068006288</v>
      </c>
      <c r="J122" s="98" t="s">
        <v>5088</v>
      </c>
      <c r="K122" s="95" t="s">
        <v>5089</v>
      </c>
      <c r="L122" s="98" t="s">
        <v>6096</v>
      </c>
      <c r="M122" s="98" t="s">
        <v>6097</v>
      </c>
      <c r="N122" s="98" t="s">
        <v>6098</v>
      </c>
      <c r="O122" s="98" t="s">
        <v>6098</v>
      </c>
      <c r="P122" s="95">
        <v>905200467</v>
      </c>
      <c r="Q122" s="98" t="s">
        <v>6099</v>
      </c>
      <c r="R122" s="98" t="s">
        <v>5094</v>
      </c>
      <c r="S122" s="99"/>
      <c r="T122" s="100">
        <v>43832</v>
      </c>
      <c r="U122" s="100">
        <v>44198</v>
      </c>
      <c r="V122" s="98" t="s">
        <v>6100</v>
      </c>
      <c r="W122" s="98" t="s">
        <v>5068</v>
      </c>
      <c r="X122" s="98" t="s">
        <v>5067</v>
      </c>
      <c r="Y122" s="98" t="s">
        <v>5068</v>
      </c>
      <c r="Z122" s="99"/>
      <c r="AA122" s="99"/>
      <c r="AB122" s="99"/>
      <c r="AC122" s="99"/>
      <c r="AD122" s="99"/>
      <c r="AE122" s="95" t="s">
        <v>5161</v>
      </c>
      <c r="AF122" s="99"/>
      <c r="AG122" s="95">
        <v>1</v>
      </c>
      <c r="AH122" s="94" t="s">
        <v>5084</v>
      </c>
      <c r="AI122" s="94" t="s">
        <v>5133</v>
      </c>
      <c r="AJ122" s="98" t="s">
        <v>5102</v>
      </c>
      <c r="AK122" s="98" t="s">
        <v>6050</v>
      </c>
      <c r="AL122" s="101" t="s">
        <v>5149</v>
      </c>
      <c r="AM122" s="98" t="s">
        <v>5218</v>
      </c>
      <c r="AN122" s="98" t="s">
        <v>5079</v>
      </c>
      <c r="AO122" s="98" t="s">
        <v>5080</v>
      </c>
      <c r="AP122" s="102">
        <v>803</v>
      </c>
      <c r="AQ122" s="102">
        <v>1995</v>
      </c>
      <c r="AR122" s="99"/>
      <c r="AS122" s="99"/>
      <c r="AT122" s="99"/>
      <c r="AU122" s="98" t="s">
        <v>5228</v>
      </c>
      <c r="AV122" s="95">
        <v>0</v>
      </c>
      <c r="AW122" s="94" t="s">
        <v>5084</v>
      </c>
      <c r="AX122" s="95">
        <v>0</v>
      </c>
      <c r="AY122" s="98" t="s">
        <v>5085</v>
      </c>
      <c r="AZ122" s="102">
        <v>6</v>
      </c>
      <c r="BA122" s="110">
        <v>46028</v>
      </c>
      <c r="BB122" s="93"/>
    </row>
    <row r="123" spans="1:54" ht="13.8">
      <c r="A123" s="94" t="s">
        <v>6101</v>
      </c>
      <c r="B123" s="95" t="s">
        <v>6102</v>
      </c>
      <c r="C123" s="100">
        <v>29855</v>
      </c>
      <c r="D123" s="94" t="s">
        <v>2656</v>
      </c>
      <c r="E123" s="94" t="s">
        <v>1975</v>
      </c>
      <c r="F123" s="97" t="s">
        <v>1352</v>
      </c>
      <c r="G123" s="95">
        <v>4812040867</v>
      </c>
      <c r="H123" s="98" t="s">
        <v>5057</v>
      </c>
      <c r="I123" s="95">
        <v>36081012787</v>
      </c>
      <c r="J123" s="98" t="s">
        <v>5088</v>
      </c>
      <c r="K123" s="95" t="s">
        <v>6103</v>
      </c>
      <c r="L123" s="98" t="s">
        <v>6104</v>
      </c>
      <c r="M123" s="98" t="s">
        <v>6105</v>
      </c>
      <c r="N123" s="98" t="s">
        <v>6106</v>
      </c>
      <c r="O123" s="98" t="s">
        <v>6107</v>
      </c>
      <c r="P123" s="95">
        <v>397570416</v>
      </c>
      <c r="Q123" s="98" t="s">
        <v>6108</v>
      </c>
      <c r="R123" s="98" t="s">
        <v>5094</v>
      </c>
      <c r="S123" s="99"/>
      <c r="T123" s="100">
        <v>40916</v>
      </c>
      <c r="U123" s="100">
        <v>41282</v>
      </c>
      <c r="V123" s="98" t="s">
        <v>5095</v>
      </c>
      <c r="W123" s="98" t="s">
        <v>5068</v>
      </c>
      <c r="X123" s="98" t="s">
        <v>5096</v>
      </c>
      <c r="Y123" s="98" t="s">
        <v>5068</v>
      </c>
      <c r="Z123" s="99"/>
      <c r="AA123" s="98" t="s">
        <v>5569</v>
      </c>
      <c r="AB123" s="95" t="s">
        <v>5144</v>
      </c>
      <c r="AC123" s="98" t="s">
        <v>6109</v>
      </c>
      <c r="AD123" s="98" t="s">
        <v>5422</v>
      </c>
      <c r="AE123" s="95" t="s">
        <v>5161</v>
      </c>
      <c r="AF123" s="99"/>
      <c r="AG123" s="95">
        <v>1</v>
      </c>
      <c r="AH123" s="94" t="s">
        <v>5074</v>
      </c>
      <c r="AI123" s="94" t="s">
        <v>5101</v>
      </c>
      <c r="AJ123" s="98" t="s">
        <v>5102</v>
      </c>
      <c r="AK123" s="98" t="s">
        <v>5852</v>
      </c>
      <c r="AL123" s="101" t="s">
        <v>5078</v>
      </c>
      <c r="AM123" s="98" t="s">
        <v>3209</v>
      </c>
      <c r="AN123" s="98" t="s">
        <v>5079</v>
      </c>
      <c r="AO123" s="98" t="s">
        <v>3209</v>
      </c>
      <c r="AP123" s="102">
        <v>921</v>
      </c>
      <c r="AQ123" s="102">
        <v>201</v>
      </c>
      <c r="AR123" s="98" t="s">
        <v>5082</v>
      </c>
      <c r="AS123" s="99"/>
      <c r="AT123" s="98" t="s">
        <v>5083</v>
      </c>
      <c r="AU123" s="98" t="s">
        <v>5228</v>
      </c>
      <c r="AV123" s="95">
        <v>0</v>
      </c>
      <c r="AW123" s="94" t="s">
        <v>5074</v>
      </c>
      <c r="AX123" s="95">
        <v>0</v>
      </c>
      <c r="AY123" s="98" t="s">
        <v>5085</v>
      </c>
      <c r="AZ123" s="102">
        <v>1</v>
      </c>
      <c r="BA123" s="110">
        <v>46116</v>
      </c>
      <c r="BB123" s="93"/>
    </row>
    <row r="124" spans="1:54" ht="13.8">
      <c r="A124" s="94" t="s">
        <v>6110</v>
      </c>
      <c r="B124" s="95" t="s">
        <v>6111</v>
      </c>
      <c r="C124" s="100">
        <v>20821</v>
      </c>
      <c r="D124" s="94" t="s">
        <v>2656</v>
      </c>
      <c r="E124" s="94" t="s">
        <v>1975</v>
      </c>
      <c r="F124" s="97" t="s">
        <v>1352</v>
      </c>
      <c r="G124" s="95">
        <v>3497065641</v>
      </c>
      <c r="H124" s="98" t="s">
        <v>5057</v>
      </c>
      <c r="I124" s="95">
        <v>48057003156</v>
      </c>
      <c r="J124" s="98" t="s">
        <v>5088</v>
      </c>
      <c r="K124" s="104">
        <v>44444</v>
      </c>
      <c r="L124" s="98" t="s">
        <v>6112</v>
      </c>
      <c r="M124" s="98" t="s">
        <v>6113</v>
      </c>
      <c r="N124" s="98" t="s">
        <v>6114</v>
      </c>
      <c r="O124" s="98" t="s">
        <v>6114</v>
      </c>
      <c r="P124" s="95">
        <v>903594545</v>
      </c>
      <c r="Q124" s="98" t="s">
        <v>6115</v>
      </c>
      <c r="R124" s="98" t="s">
        <v>5094</v>
      </c>
      <c r="S124" s="99"/>
      <c r="T124" s="96">
        <v>29217</v>
      </c>
      <c r="U124" s="108" t="s">
        <v>5161</v>
      </c>
      <c r="V124" s="98" t="s">
        <v>6116</v>
      </c>
      <c r="W124" s="98" t="s">
        <v>5781</v>
      </c>
      <c r="X124" s="98" t="s">
        <v>5653</v>
      </c>
      <c r="Y124" s="98" t="s">
        <v>6117</v>
      </c>
      <c r="Z124" s="99"/>
      <c r="AA124" s="99"/>
      <c r="AB124" s="99"/>
      <c r="AC124" s="99"/>
      <c r="AD124" s="98" t="s">
        <v>5118</v>
      </c>
      <c r="AE124" s="104">
        <v>34740</v>
      </c>
      <c r="AF124" s="99"/>
      <c r="AG124" s="95">
        <v>1</v>
      </c>
      <c r="AH124" s="94" t="s">
        <v>5074</v>
      </c>
      <c r="AI124" s="94" t="s">
        <v>5133</v>
      </c>
      <c r="AJ124" s="98" t="s">
        <v>5134</v>
      </c>
      <c r="AK124" s="98" t="s">
        <v>6118</v>
      </c>
      <c r="AL124" s="101" t="s">
        <v>5104</v>
      </c>
      <c r="AM124" s="98" t="s">
        <v>6119</v>
      </c>
      <c r="AN124" s="98" t="s">
        <v>5079</v>
      </c>
      <c r="AO124" s="98" t="s">
        <v>5080</v>
      </c>
      <c r="AP124" s="102">
        <v>99</v>
      </c>
      <c r="AQ124" s="102">
        <v>2003</v>
      </c>
      <c r="AR124" s="98" t="s">
        <v>5106</v>
      </c>
      <c r="AS124" s="99"/>
      <c r="AT124" s="99"/>
      <c r="AU124" s="98" t="s">
        <v>5228</v>
      </c>
      <c r="AV124" s="95">
        <v>2011</v>
      </c>
      <c r="AW124" s="94" t="s">
        <v>5108</v>
      </c>
      <c r="AX124" s="95">
        <v>0</v>
      </c>
      <c r="AY124" s="98" t="s">
        <v>5109</v>
      </c>
      <c r="AZ124" s="102">
        <v>6</v>
      </c>
      <c r="BA124" s="102">
        <v>8</v>
      </c>
      <c r="BB124" s="93"/>
    </row>
    <row r="125" spans="1:54" ht="13.8">
      <c r="A125" s="94" t="s">
        <v>1239</v>
      </c>
      <c r="B125" s="95" t="s">
        <v>6120</v>
      </c>
      <c r="C125" s="100">
        <v>32152</v>
      </c>
      <c r="D125" s="94" t="s">
        <v>2665</v>
      </c>
      <c r="E125" s="94" t="s">
        <v>1975</v>
      </c>
      <c r="F125" s="97" t="s">
        <v>1352</v>
      </c>
      <c r="G125" s="95">
        <v>4814009052</v>
      </c>
      <c r="H125" s="98" t="s">
        <v>5057</v>
      </c>
      <c r="I125" s="95">
        <v>49188008747</v>
      </c>
      <c r="J125" s="98" t="s">
        <v>5088</v>
      </c>
      <c r="K125" s="95" t="s">
        <v>5277</v>
      </c>
      <c r="L125" s="98" t="s">
        <v>6121</v>
      </c>
      <c r="M125" s="98" t="s">
        <v>5947</v>
      </c>
      <c r="N125" s="98" t="s">
        <v>6122</v>
      </c>
      <c r="O125" s="98" t="s">
        <v>6123</v>
      </c>
      <c r="P125" s="95">
        <v>905151303</v>
      </c>
      <c r="Q125" s="98" t="s">
        <v>6124</v>
      </c>
      <c r="R125" s="98" t="s">
        <v>5094</v>
      </c>
      <c r="S125" s="99"/>
      <c r="T125" s="100">
        <v>41640</v>
      </c>
      <c r="U125" s="100">
        <v>42005</v>
      </c>
      <c r="V125" s="98" t="s">
        <v>5095</v>
      </c>
      <c r="W125" s="98" t="s">
        <v>5068</v>
      </c>
      <c r="X125" s="98" t="s">
        <v>5096</v>
      </c>
      <c r="Y125" s="98" t="s">
        <v>5068</v>
      </c>
      <c r="Z125" s="99"/>
      <c r="AA125" s="99"/>
      <c r="AB125" s="95" t="s">
        <v>5161</v>
      </c>
      <c r="AC125" s="99"/>
      <c r="AD125" s="99"/>
      <c r="AE125" s="95" t="s">
        <v>5161</v>
      </c>
      <c r="AF125" s="99"/>
      <c r="AG125" s="95">
        <v>1</v>
      </c>
      <c r="AH125" s="94" t="s">
        <v>5074</v>
      </c>
      <c r="AI125" s="94" t="s">
        <v>5133</v>
      </c>
      <c r="AJ125" s="98" t="s">
        <v>5134</v>
      </c>
      <c r="AK125" s="98" t="s">
        <v>6125</v>
      </c>
      <c r="AL125" s="101" t="s">
        <v>5149</v>
      </c>
      <c r="AM125" s="98" t="s">
        <v>3209</v>
      </c>
      <c r="AN125" s="98" t="s">
        <v>5079</v>
      </c>
      <c r="AO125" s="98" t="s">
        <v>3209</v>
      </c>
      <c r="AP125" s="102">
        <v>921</v>
      </c>
      <c r="AQ125" s="102">
        <v>2013</v>
      </c>
      <c r="AR125" s="99"/>
      <c r="AS125" s="99"/>
      <c r="AT125" s="98" t="s">
        <v>5083</v>
      </c>
      <c r="AU125" s="99"/>
      <c r="AV125" s="95">
        <v>0</v>
      </c>
      <c r="AW125" s="94" t="s">
        <v>5074</v>
      </c>
      <c r="AX125" s="95">
        <v>0</v>
      </c>
      <c r="AY125" s="98" t="s">
        <v>5152</v>
      </c>
      <c r="AZ125" s="102">
        <v>5</v>
      </c>
      <c r="BA125" s="102" t="s">
        <v>5153</v>
      </c>
      <c r="BB125" s="93"/>
    </row>
    <row r="126" spans="1:54" ht="13.8">
      <c r="A126" s="94" t="s">
        <v>4770</v>
      </c>
      <c r="B126" s="95" t="s">
        <v>4771</v>
      </c>
      <c r="C126" s="100">
        <v>31824</v>
      </c>
      <c r="D126" s="94" t="s">
        <v>2656</v>
      </c>
      <c r="E126" s="94" t="s">
        <v>1975</v>
      </c>
      <c r="F126" s="97" t="s">
        <v>1352</v>
      </c>
      <c r="G126" s="95">
        <v>4814008541</v>
      </c>
      <c r="H126" s="98" t="s">
        <v>5057</v>
      </c>
      <c r="I126" s="95">
        <v>52087010861</v>
      </c>
      <c r="J126" s="98" t="s">
        <v>5088</v>
      </c>
      <c r="K126" s="104">
        <v>44776</v>
      </c>
      <c r="L126" s="98" t="s">
        <v>6126</v>
      </c>
      <c r="M126" s="98" t="s">
        <v>6127</v>
      </c>
      <c r="N126" s="98" t="s">
        <v>6128</v>
      </c>
      <c r="O126" s="98" t="s">
        <v>6128</v>
      </c>
      <c r="P126" s="95">
        <v>932796759</v>
      </c>
      <c r="Q126" s="98" t="s">
        <v>6129</v>
      </c>
      <c r="R126" s="98" t="s">
        <v>5094</v>
      </c>
      <c r="S126" s="99"/>
      <c r="T126" s="100">
        <v>41640</v>
      </c>
      <c r="U126" s="100">
        <v>42005</v>
      </c>
      <c r="V126" s="99"/>
      <c r="W126" s="98" t="s">
        <v>5068</v>
      </c>
      <c r="X126" s="98" t="s">
        <v>5096</v>
      </c>
      <c r="Y126" s="98" t="s">
        <v>5068</v>
      </c>
      <c r="Z126" s="99"/>
      <c r="AA126" s="99"/>
      <c r="AB126" s="99"/>
      <c r="AC126" s="99"/>
      <c r="AD126" s="98" t="s">
        <v>6130</v>
      </c>
      <c r="AE126" s="104">
        <v>42923</v>
      </c>
      <c r="AF126" s="99"/>
      <c r="AG126" s="95">
        <v>0</v>
      </c>
      <c r="AH126" s="94" t="s">
        <v>5074</v>
      </c>
      <c r="AI126" s="94" t="s">
        <v>5101</v>
      </c>
      <c r="AJ126" s="98" t="s">
        <v>5102</v>
      </c>
      <c r="AK126" s="98" t="s">
        <v>6131</v>
      </c>
      <c r="AL126" s="101" t="s">
        <v>5149</v>
      </c>
      <c r="AM126" s="99"/>
      <c r="AN126" s="98" t="s">
        <v>5079</v>
      </c>
      <c r="AO126" s="98" t="s">
        <v>5080</v>
      </c>
      <c r="AP126" s="98" t="s">
        <v>6132</v>
      </c>
      <c r="AQ126" s="102">
        <v>2017</v>
      </c>
      <c r="AR126" s="99"/>
      <c r="AS126" s="99"/>
      <c r="AT126" s="99"/>
      <c r="AU126" s="98" t="s">
        <v>5135</v>
      </c>
      <c r="AV126" s="95">
        <v>0</v>
      </c>
      <c r="AW126" s="94" t="s">
        <v>5074</v>
      </c>
      <c r="AX126" s="95">
        <v>0</v>
      </c>
      <c r="AY126" s="98" t="s">
        <v>5152</v>
      </c>
      <c r="AZ126" s="102">
        <v>5</v>
      </c>
      <c r="BA126" s="102" t="s">
        <v>5153</v>
      </c>
      <c r="BB126" s="93"/>
    </row>
    <row r="127" spans="1:54" ht="13.8">
      <c r="A127" s="94" t="s">
        <v>6133</v>
      </c>
      <c r="B127" s="95" t="s">
        <v>6134</v>
      </c>
      <c r="C127" s="96">
        <v>29215</v>
      </c>
      <c r="D127" s="94" t="s">
        <v>2656</v>
      </c>
      <c r="E127" s="94" t="s">
        <v>1975</v>
      </c>
      <c r="F127" s="97" t="s">
        <v>1352</v>
      </c>
      <c r="G127" s="95">
        <v>3103003119</v>
      </c>
      <c r="H127" s="98" t="s">
        <v>5057</v>
      </c>
      <c r="I127" s="95">
        <v>44079002930</v>
      </c>
      <c r="J127" s="98" t="s">
        <v>5088</v>
      </c>
      <c r="K127" s="95" t="s">
        <v>6135</v>
      </c>
      <c r="L127" s="98" t="s">
        <v>6136</v>
      </c>
      <c r="M127" s="98" t="s">
        <v>6137</v>
      </c>
      <c r="N127" s="98" t="s">
        <v>6138</v>
      </c>
      <c r="O127" s="98" t="s">
        <v>6138</v>
      </c>
      <c r="P127" s="95">
        <v>989300860</v>
      </c>
      <c r="Q127" s="98" t="s">
        <v>6139</v>
      </c>
      <c r="R127" s="98" t="s">
        <v>5094</v>
      </c>
      <c r="S127" s="98" t="s">
        <v>5974</v>
      </c>
      <c r="T127" s="100">
        <v>40920</v>
      </c>
      <c r="U127" s="100">
        <v>41645</v>
      </c>
      <c r="V127" s="98" t="s">
        <v>5243</v>
      </c>
      <c r="W127" s="98" t="s">
        <v>5068</v>
      </c>
      <c r="X127" s="98" t="s">
        <v>5096</v>
      </c>
      <c r="Y127" s="98" t="s">
        <v>5068</v>
      </c>
      <c r="Z127" s="99"/>
      <c r="AA127" s="99"/>
      <c r="AB127" s="95" t="s">
        <v>5161</v>
      </c>
      <c r="AC127" s="99"/>
      <c r="AD127" s="99"/>
      <c r="AE127" s="95" t="s">
        <v>5161</v>
      </c>
      <c r="AF127" s="99"/>
      <c r="AG127" s="95">
        <v>1</v>
      </c>
      <c r="AH127" s="94" t="s">
        <v>5074</v>
      </c>
      <c r="AI127" s="94" t="s">
        <v>5101</v>
      </c>
      <c r="AJ127" s="98" t="s">
        <v>5102</v>
      </c>
      <c r="AK127" s="98" t="s">
        <v>6007</v>
      </c>
      <c r="AL127" s="101" t="s">
        <v>5078</v>
      </c>
      <c r="AM127" s="98" t="s">
        <v>5105</v>
      </c>
      <c r="AN127" s="98" t="s">
        <v>5079</v>
      </c>
      <c r="AO127" s="98" t="s">
        <v>5080</v>
      </c>
      <c r="AP127" s="102">
        <v>75</v>
      </c>
      <c r="AQ127" s="102">
        <v>2010</v>
      </c>
      <c r="AR127" s="99"/>
      <c r="AS127" s="99"/>
      <c r="AT127" s="98" t="s">
        <v>5083</v>
      </c>
      <c r="AU127" s="98" t="s">
        <v>5228</v>
      </c>
      <c r="AV127" s="95">
        <v>0</v>
      </c>
      <c r="AW127" s="94" t="s">
        <v>5074</v>
      </c>
      <c r="AX127" s="95">
        <v>0</v>
      </c>
      <c r="AY127" s="98" t="s">
        <v>5085</v>
      </c>
      <c r="AZ127" s="102">
        <v>1</v>
      </c>
      <c r="BA127" s="110">
        <v>46116</v>
      </c>
      <c r="BB127" s="93"/>
    </row>
    <row r="128" spans="1:54" ht="13.8">
      <c r="A128" s="94" t="s">
        <v>4755</v>
      </c>
      <c r="B128" s="95" t="s">
        <v>4756</v>
      </c>
      <c r="C128" s="96">
        <v>30965</v>
      </c>
      <c r="D128" s="94" t="s">
        <v>2656</v>
      </c>
      <c r="E128" s="94" t="s">
        <v>1975</v>
      </c>
      <c r="F128" s="97" t="s">
        <v>1352</v>
      </c>
      <c r="G128" s="95">
        <v>4808038137</v>
      </c>
      <c r="H128" s="98" t="s">
        <v>5057</v>
      </c>
      <c r="I128" s="95">
        <v>49084020700</v>
      </c>
      <c r="J128" s="98" t="s">
        <v>5088</v>
      </c>
      <c r="K128" s="104">
        <v>44805</v>
      </c>
      <c r="L128" s="98" t="s">
        <v>6140</v>
      </c>
      <c r="M128" s="98" t="s">
        <v>6141</v>
      </c>
      <c r="N128" s="98" t="s">
        <v>6142</v>
      </c>
      <c r="O128" s="98" t="s">
        <v>6143</v>
      </c>
      <c r="P128" s="95">
        <v>988857870</v>
      </c>
      <c r="Q128" s="98" t="s">
        <v>6144</v>
      </c>
      <c r="R128" s="98" t="s">
        <v>5094</v>
      </c>
      <c r="S128" s="99"/>
      <c r="T128" s="100">
        <v>39448</v>
      </c>
      <c r="U128" s="100">
        <v>39820</v>
      </c>
      <c r="V128" s="98" t="s">
        <v>5095</v>
      </c>
      <c r="W128" s="98" t="s">
        <v>5068</v>
      </c>
      <c r="X128" s="98" t="s">
        <v>5096</v>
      </c>
      <c r="Y128" s="98" t="s">
        <v>5066</v>
      </c>
      <c r="Z128" s="99"/>
      <c r="AA128" s="98" t="s">
        <v>5587</v>
      </c>
      <c r="AB128" s="95" t="s">
        <v>5245</v>
      </c>
      <c r="AC128" s="99"/>
      <c r="AD128" s="98" t="s">
        <v>6145</v>
      </c>
      <c r="AE128" s="95" t="s">
        <v>6146</v>
      </c>
      <c r="AF128" s="98" t="s">
        <v>5590</v>
      </c>
      <c r="AG128" s="95">
        <v>1</v>
      </c>
      <c r="AH128" s="94" t="s">
        <v>5074</v>
      </c>
      <c r="AI128" s="94" t="s">
        <v>5133</v>
      </c>
      <c r="AJ128" s="98" t="s">
        <v>5134</v>
      </c>
      <c r="AK128" s="98" t="s">
        <v>5966</v>
      </c>
      <c r="AL128" s="101" t="s">
        <v>5078</v>
      </c>
      <c r="AM128" s="98" t="s">
        <v>5865</v>
      </c>
      <c r="AN128" s="98" t="s">
        <v>5079</v>
      </c>
      <c r="AO128" s="98" t="s">
        <v>2931</v>
      </c>
      <c r="AP128" s="102">
        <v>922</v>
      </c>
      <c r="AQ128" s="102">
        <v>2014</v>
      </c>
      <c r="AR128" s="98" t="s">
        <v>5082</v>
      </c>
      <c r="AS128" s="99"/>
      <c r="AT128" s="98" t="s">
        <v>5083</v>
      </c>
      <c r="AU128" s="98" t="s">
        <v>5220</v>
      </c>
      <c r="AV128" s="95">
        <v>0</v>
      </c>
      <c r="AW128" s="94" t="s">
        <v>5074</v>
      </c>
      <c r="AX128" s="95">
        <v>0</v>
      </c>
      <c r="AY128" s="98" t="s">
        <v>5085</v>
      </c>
      <c r="AZ128" s="102">
        <v>1</v>
      </c>
      <c r="BA128" s="110">
        <v>46116</v>
      </c>
      <c r="BB128" s="93"/>
    </row>
    <row r="129" spans="1:54" ht="13.8">
      <c r="A129" s="94" t="s">
        <v>6147</v>
      </c>
      <c r="B129" s="95" t="s">
        <v>6148</v>
      </c>
      <c r="C129" s="100">
        <v>30407</v>
      </c>
      <c r="D129" s="94" t="s">
        <v>2665</v>
      </c>
      <c r="E129" s="94" t="s">
        <v>1975</v>
      </c>
      <c r="F129" s="97" t="s">
        <v>1352</v>
      </c>
      <c r="G129" s="95">
        <v>4815020047</v>
      </c>
      <c r="H129" s="98" t="s">
        <v>5057</v>
      </c>
      <c r="I129" s="95">
        <v>38183044376</v>
      </c>
      <c r="J129" s="98" t="s">
        <v>5088</v>
      </c>
      <c r="K129" s="95" t="s">
        <v>6149</v>
      </c>
      <c r="L129" s="98" t="s">
        <v>6150</v>
      </c>
      <c r="M129" s="98" t="s">
        <v>6151</v>
      </c>
      <c r="N129" s="98" t="s">
        <v>6152</v>
      </c>
      <c r="O129" s="98" t="s">
        <v>6153</v>
      </c>
      <c r="P129" s="95">
        <v>976293127</v>
      </c>
      <c r="Q129" s="98" t="s">
        <v>6154</v>
      </c>
      <c r="R129" s="98" t="s">
        <v>5094</v>
      </c>
      <c r="S129" s="99"/>
      <c r="T129" s="100">
        <v>42011</v>
      </c>
      <c r="U129" s="100">
        <v>42376</v>
      </c>
      <c r="V129" s="98" t="s">
        <v>5243</v>
      </c>
      <c r="W129" s="98" t="s">
        <v>5142</v>
      </c>
      <c r="X129" s="98" t="s">
        <v>5096</v>
      </c>
      <c r="Y129" s="98" t="s">
        <v>6155</v>
      </c>
      <c r="Z129" s="99"/>
      <c r="AA129" s="99"/>
      <c r="AB129" s="99"/>
      <c r="AC129" s="99"/>
      <c r="AD129" s="99"/>
      <c r="AE129" s="95" t="s">
        <v>6156</v>
      </c>
      <c r="AF129" s="99"/>
      <c r="AG129" s="95">
        <v>1</v>
      </c>
      <c r="AH129" s="94" t="s">
        <v>5084</v>
      </c>
      <c r="AI129" s="94" t="s">
        <v>5122</v>
      </c>
      <c r="AJ129" s="98" t="s">
        <v>6157</v>
      </c>
      <c r="AK129" s="98" t="s">
        <v>6158</v>
      </c>
      <c r="AL129" s="101" t="s">
        <v>5142</v>
      </c>
      <c r="AM129" s="98" t="s">
        <v>6119</v>
      </c>
      <c r="AN129" s="98" t="s">
        <v>5079</v>
      </c>
      <c r="AO129" s="98" t="s">
        <v>5080</v>
      </c>
      <c r="AP129" s="102">
        <v>99</v>
      </c>
      <c r="AQ129" s="102">
        <v>2010</v>
      </c>
      <c r="AR129" s="98" t="s">
        <v>5200</v>
      </c>
      <c r="AS129" s="98" t="s">
        <v>5142</v>
      </c>
      <c r="AT129" s="99"/>
      <c r="AU129" s="98" t="s">
        <v>5228</v>
      </c>
      <c r="AV129" s="99"/>
      <c r="AW129" s="94" t="s">
        <v>5084</v>
      </c>
      <c r="AX129" s="95">
        <v>0</v>
      </c>
      <c r="AY129" s="98" t="s">
        <v>5167</v>
      </c>
      <c r="AZ129" s="102">
        <v>5</v>
      </c>
      <c r="BA129" s="102" t="s">
        <v>5153</v>
      </c>
      <c r="BB129" s="93"/>
    </row>
    <row r="130" spans="1:54" ht="13.8">
      <c r="A130" s="94" t="s">
        <v>6159</v>
      </c>
      <c r="B130" s="95" t="s">
        <v>6160</v>
      </c>
      <c r="C130" s="100">
        <v>31140</v>
      </c>
      <c r="D130" s="94" t="s">
        <v>2665</v>
      </c>
      <c r="E130" s="94" t="s">
        <v>1975</v>
      </c>
      <c r="F130" s="97" t="s">
        <v>1352</v>
      </c>
      <c r="G130" s="95">
        <v>4808038138</v>
      </c>
      <c r="H130" s="98" t="s">
        <v>5057</v>
      </c>
      <c r="I130" s="95">
        <v>48185006553</v>
      </c>
      <c r="J130" s="98" t="s">
        <v>5088</v>
      </c>
      <c r="K130" s="104">
        <v>45933</v>
      </c>
      <c r="L130" s="98" t="s">
        <v>6161</v>
      </c>
      <c r="M130" s="98" t="s">
        <v>5156</v>
      </c>
      <c r="N130" s="98" t="s">
        <v>6162</v>
      </c>
      <c r="O130" s="98" t="s">
        <v>6163</v>
      </c>
      <c r="P130" s="95">
        <v>983499323</v>
      </c>
      <c r="Q130" s="98" t="s">
        <v>6164</v>
      </c>
      <c r="R130" s="98" t="s">
        <v>5094</v>
      </c>
      <c r="S130" s="99"/>
      <c r="T130" s="100">
        <v>39448</v>
      </c>
      <c r="U130" s="100">
        <v>39814</v>
      </c>
      <c r="V130" s="98" t="s">
        <v>5095</v>
      </c>
      <c r="W130" s="98" t="s">
        <v>5068</v>
      </c>
      <c r="X130" s="98" t="s">
        <v>5096</v>
      </c>
      <c r="Y130" s="98" t="s">
        <v>5068</v>
      </c>
      <c r="Z130" s="99"/>
      <c r="AA130" s="99"/>
      <c r="AB130" s="99"/>
      <c r="AC130" s="98" t="s">
        <v>6165</v>
      </c>
      <c r="AD130" s="99"/>
      <c r="AE130" s="104">
        <v>39268</v>
      </c>
      <c r="AF130" s="99"/>
      <c r="AG130" s="95">
        <v>1</v>
      </c>
      <c r="AH130" s="94" t="s">
        <v>5074</v>
      </c>
      <c r="AI130" s="94" t="s">
        <v>5101</v>
      </c>
      <c r="AJ130" s="98" t="s">
        <v>5102</v>
      </c>
      <c r="AK130" s="98" t="s">
        <v>5248</v>
      </c>
      <c r="AL130" s="101" t="s">
        <v>5078</v>
      </c>
      <c r="AM130" s="99"/>
      <c r="AN130" s="98" t="s">
        <v>5079</v>
      </c>
      <c r="AO130" s="98" t="s">
        <v>5080</v>
      </c>
      <c r="AP130" s="98" t="s">
        <v>5188</v>
      </c>
      <c r="AQ130" s="102">
        <v>2021</v>
      </c>
      <c r="AR130" s="98" t="s">
        <v>5200</v>
      </c>
      <c r="AS130" s="99"/>
      <c r="AT130" s="98" t="s">
        <v>5083</v>
      </c>
      <c r="AU130" s="98" t="s">
        <v>5135</v>
      </c>
      <c r="AV130" s="95">
        <v>0</v>
      </c>
      <c r="AW130" s="94" t="s">
        <v>5074</v>
      </c>
      <c r="AX130" s="95">
        <v>0</v>
      </c>
      <c r="AY130" s="98" t="s">
        <v>5085</v>
      </c>
      <c r="AZ130" s="102">
        <v>2</v>
      </c>
      <c r="BA130" s="102" t="s">
        <v>5086</v>
      </c>
      <c r="BB130" s="93"/>
    </row>
    <row r="131" spans="1:54" ht="13.8">
      <c r="A131" s="94" t="s">
        <v>6166</v>
      </c>
      <c r="B131" s="95" t="s">
        <v>6167</v>
      </c>
      <c r="C131" s="100">
        <v>31811</v>
      </c>
      <c r="D131" s="94" t="s">
        <v>2665</v>
      </c>
      <c r="E131" s="94" t="s">
        <v>1975</v>
      </c>
      <c r="F131" s="97" t="s">
        <v>1352</v>
      </c>
      <c r="G131" s="95">
        <v>4814009055</v>
      </c>
      <c r="H131" s="98" t="s">
        <v>5057</v>
      </c>
      <c r="I131" s="95">
        <v>48187000829</v>
      </c>
      <c r="J131" s="98" t="s">
        <v>5088</v>
      </c>
      <c r="K131" s="95" t="s">
        <v>6168</v>
      </c>
      <c r="L131" s="98" t="s">
        <v>5394</v>
      </c>
      <c r="M131" s="98" t="s">
        <v>6169</v>
      </c>
      <c r="N131" s="98" t="s">
        <v>6170</v>
      </c>
      <c r="O131" s="98" t="s">
        <v>6171</v>
      </c>
      <c r="P131" s="95">
        <v>935059515</v>
      </c>
      <c r="Q131" s="98" t="s">
        <v>6172</v>
      </c>
      <c r="R131" s="98" t="s">
        <v>5094</v>
      </c>
      <c r="S131" s="99"/>
      <c r="T131" s="100">
        <v>41640</v>
      </c>
      <c r="U131" s="100">
        <v>42005</v>
      </c>
      <c r="V131" s="98" t="s">
        <v>5243</v>
      </c>
      <c r="W131" s="98" t="s">
        <v>5068</v>
      </c>
      <c r="X131" s="98" t="s">
        <v>5096</v>
      </c>
      <c r="Y131" s="98" t="s">
        <v>5068</v>
      </c>
      <c r="Z131" s="99"/>
      <c r="AA131" s="99"/>
      <c r="AB131" s="95" t="s">
        <v>5161</v>
      </c>
      <c r="AC131" s="99"/>
      <c r="AD131" s="99"/>
      <c r="AE131" s="95" t="s">
        <v>5161</v>
      </c>
      <c r="AF131" s="99"/>
      <c r="AG131" s="95">
        <v>1</v>
      </c>
      <c r="AH131" s="94" t="s">
        <v>5084</v>
      </c>
      <c r="AI131" s="94" t="s">
        <v>5133</v>
      </c>
      <c r="AJ131" s="98" t="s">
        <v>5134</v>
      </c>
      <c r="AK131" s="98" t="s">
        <v>5925</v>
      </c>
      <c r="AL131" s="101" t="s">
        <v>5149</v>
      </c>
      <c r="AM131" s="98" t="s">
        <v>6173</v>
      </c>
      <c r="AN131" s="98" t="s">
        <v>5079</v>
      </c>
      <c r="AO131" s="98" t="s">
        <v>5080</v>
      </c>
      <c r="AP131" s="102">
        <v>4</v>
      </c>
      <c r="AQ131" s="102">
        <v>2012</v>
      </c>
      <c r="AR131" s="99"/>
      <c r="AS131" s="99"/>
      <c r="AT131" s="98" t="s">
        <v>5083</v>
      </c>
      <c r="AU131" s="99"/>
      <c r="AV131" s="95">
        <v>0</v>
      </c>
      <c r="AW131" s="94" t="s">
        <v>5084</v>
      </c>
      <c r="AX131" s="95">
        <v>0</v>
      </c>
      <c r="AY131" s="98" t="s">
        <v>5152</v>
      </c>
      <c r="AZ131" s="102">
        <v>5</v>
      </c>
      <c r="BA131" s="102" t="s">
        <v>5153</v>
      </c>
      <c r="BB131" s="93"/>
    </row>
    <row r="132" spans="1:54" ht="13.8">
      <c r="A132" s="94" t="s">
        <v>6174</v>
      </c>
      <c r="B132" s="95" t="s">
        <v>6175</v>
      </c>
      <c r="C132" s="100">
        <v>33119</v>
      </c>
      <c r="D132" s="94" t="s">
        <v>2656</v>
      </c>
      <c r="E132" s="94" t="s">
        <v>2158</v>
      </c>
      <c r="F132" s="97" t="s">
        <v>1393</v>
      </c>
      <c r="G132" s="95">
        <v>4815020050</v>
      </c>
      <c r="H132" s="98" t="s">
        <v>5057</v>
      </c>
      <c r="I132" s="95">
        <v>48090003985</v>
      </c>
      <c r="J132" s="98" t="s">
        <v>5088</v>
      </c>
      <c r="K132" s="104">
        <v>44744</v>
      </c>
      <c r="L132" s="98" t="s">
        <v>5476</v>
      </c>
      <c r="M132" s="98" t="s">
        <v>6176</v>
      </c>
      <c r="N132" s="98" t="s">
        <v>6176</v>
      </c>
      <c r="O132" s="98" t="s">
        <v>6176</v>
      </c>
      <c r="P132" s="95">
        <v>905018010</v>
      </c>
      <c r="Q132" s="98" t="s">
        <v>6177</v>
      </c>
      <c r="R132" s="98" t="s">
        <v>5094</v>
      </c>
      <c r="S132" s="99"/>
      <c r="T132" s="100">
        <v>42011</v>
      </c>
      <c r="U132" s="100">
        <v>42376</v>
      </c>
      <c r="V132" s="98" t="s">
        <v>5095</v>
      </c>
      <c r="W132" s="98" t="s">
        <v>5068</v>
      </c>
      <c r="X132" s="98" t="s">
        <v>5096</v>
      </c>
      <c r="Y132" s="98" t="s">
        <v>5068</v>
      </c>
      <c r="Z132" s="99"/>
      <c r="AA132" s="99"/>
      <c r="AB132" s="99"/>
      <c r="AC132" s="99"/>
      <c r="AD132" s="99"/>
      <c r="AE132" s="99"/>
      <c r="AF132" s="99"/>
      <c r="AG132" s="95">
        <v>1</v>
      </c>
      <c r="AH132" s="94" t="s">
        <v>5074</v>
      </c>
      <c r="AI132" s="94" t="s">
        <v>5101</v>
      </c>
      <c r="AJ132" s="98" t="s">
        <v>5102</v>
      </c>
      <c r="AK132" s="98" t="s">
        <v>6178</v>
      </c>
      <c r="AL132" s="101" t="s">
        <v>5149</v>
      </c>
      <c r="AM132" s="98" t="s">
        <v>5746</v>
      </c>
      <c r="AN132" s="98" t="s">
        <v>5079</v>
      </c>
      <c r="AO132" s="98" t="s">
        <v>5746</v>
      </c>
      <c r="AP132" s="102">
        <v>909</v>
      </c>
      <c r="AQ132" s="102">
        <v>2021</v>
      </c>
      <c r="AR132" s="99"/>
      <c r="AS132" s="99"/>
      <c r="AT132" s="98" t="s">
        <v>5083</v>
      </c>
      <c r="AU132" s="99"/>
      <c r="AV132" s="99"/>
      <c r="AW132" s="94" t="s">
        <v>5074</v>
      </c>
      <c r="AX132" s="95">
        <v>0</v>
      </c>
      <c r="AY132" s="98" t="s">
        <v>5152</v>
      </c>
      <c r="AZ132" s="102">
        <v>4</v>
      </c>
      <c r="BA132" s="102" t="s">
        <v>5168</v>
      </c>
      <c r="BB132" s="93"/>
    </row>
    <row r="133" spans="1:54" ht="13.8">
      <c r="A133" s="94" t="s">
        <v>6179</v>
      </c>
      <c r="B133" s="95" t="s">
        <v>6180</v>
      </c>
      <c r="C133" s="100">
        <v>29562</v>
      </c>
      <c r="D133" s="94" t="s">
        <v>2665</v>
      </c>
      <c r="E133" s="94" t="s">
        <v>2158</v>
      </c>
      <c r="F133" s="97" t="s">
        <v>1393</v>
      </c>
      <c r="G133" s="95">
        <v>405007793</v>
      </c>
      <c r="H133" s="98" t="s">
        <v>5057</v>
      </c>
      <c r="I133" s="95">
        <v>49180008712</v>
      </c>
      <c r="J133" s="98" t="s">
        <v>5088</v>
      </c>
      <c r="K133" s="104">
        <v>44474</v>
      </c>
      <c r="L133" s="98" t="s">
        <v>6181</v>
      </c>
      <c r="M133" s="98" t="s">
        <v>6182</v>
      </c>
      <c r="N133" s="98" t="s">
        <v>6183</v>
      </c>
      <c r="O133" s="98" t="s">
        <v>6184</v>
      </c>
      <c r="P133" s="95">
        <v>914000234</v>
      </c>
      <c r="Q133" s="98" t="s">
        <v>6185</v>
      </c>
      <c r="R133" s="98" t="s">
        <v>5094</v>
      </c>
      <c r="S133" s="98" t="s">
        <v>5116</v>
      </c>
      <c r="T133" s="100">
        <v>37514</v>
      </c>
      <c r="U133" s="100">
        <v>38362</v>
      </c>
      <c r="V133" s="98" t="s">
        <v>5095</v>
      </c>
      <c r="W133" s="98" t="s">
        <v>5068</v>
      </c>
      <c r="X133" s="98" t="s">
        <v>5096</v>
      </c>
      <c r="Y133" s="98" t="s">
        <v>5068</v>
      </c>
      <c r="Z133" s="99"/>
      <c r="AA133" s="99"/>
      <c r="AB133" s="95" t="s">
        <v>5161</v>
      </c>
      <c r="AC133" s="99"/>
      <c r="AD133" s="99"/>
      <c r="AE133" s="95" t="s">
        <v>6186</v>
      </c>
      <c r="AF133" s="99"/>
      <c r="AG133" s="95">
        <v>1</v>
      </c>
      <c r="AH133" s="94" t="s">
        <v>5074</v>
      </c>
      <c r="AI133" s="94" t="s">
        <v>5101</v>
      </c>
      <c r="AJ133" s="98" t="s">
        <v>5102</v>
      </c>
      <c r="AK133" s="98" t="s">
        <v>6187</v>
      </c>
      <c r="AL133" s="101" t="s">
        <v>5149</v>
      </c>
      <c r="AM133" s="98" t="s">
        <v>6073</v>
      </c>
      <c r="AN133" s="98" t="s">
        <v>5079</v>
      </c>
      <c r="AO133" s="98" t="s">
        <v>3216</v>
      </c>
      <c r="AP133" s="102">
        <v>935</v>
      </c>
      <c r="AQ133" s="102">
        <v>2023</v>
      </c>
      <c r="AR133" s="98" t="s">
        <v>5200</v>
      </c>
      <c r="AS133" s="99"/>
      <c r="AT133" s="98" t="s">
        <v>5083</v>
      </c>
      <c r="AU133" s="98" t="s">
        <v>5228</v>
      </c>
      <c r="AV133" s="95">
        <v>0</v>
      </c>
      <c r="AW133" s="94" t="s">
        <v>5074</v>
      </c>
      <c r="AX133" s="95">
        <v>0</v>
      </c>
      <c r="AY133" s="98" t="s">
        <v>5152</v>
      </c>
      <c r="AZ133" s="102">
        <v>8</v>
      </c>
      <c r="BA133" s="102" t="s">
        <v>5211</v>
      </c>
      <c r="BB133" s="93"/>
    </row>
    <row r="134" spans="1:54" ht="13.8">
      <c r="A134" s="94" t="s">
        <v>6188</v>
      </c>
      <c r="B134" s="95" t="s">
        <v>6189</v>
      </c>
      <c r="C134" s="100">
        <v>31083</v>
      </c>
      <c r="D134" s="94" t="s">
        <v>2656</v>
      </c>
      <c r="E134" s="94" t="s">
        <v>2158</v>
      </c>
      <c r="F134" s="97" t="s">
        <v>1393</v>
      </c>
      <c r="G134" s="95">
        <v>4811019658</v>
      </c>
      <c r="H134" s="98" t="s">
        <v>5057</v>
      </c>
      <c r="I134" s="95">
        <v>45085003171</v>
      </c>
      <c r="J134" s="98" t="s">
        <v>5929</v>
      </c>
      <c r="K134" s="95" t="s">
        <v>5994</v>
      </c>
      <c r="L134" s="98" t="s">
        <v>6190</v>
      </c>
      <c r="M134" s="98" t="s">
        <v>6191</v>
      </c>
      <c r="N134" s="98" t="s">
        <v>6192</v>
      </c>
      <c r="O134" s="98" t="s">
        <v>6191</v>
      </c>
      <c r="P134" s="95">
        <v>982586685</v>
      </c>
      <c r="Q134" s="98" t="s">
        <v>6193</v>
      </c>
      <c r="R134" s="98" t="s">
        <v>5094</v>
      </c>
      <c r="S134" s="99"/>
      <c r="T134" s="100">
        <v>40547</v>
      </c>
      <c r="U134" s="100">
        <v>40912</v>
      </c>
      <c r="V134" s="98" t="s">
        <v>5095</v>
      </c>
      <c r="W134" s="98" t="s">
        <v>5068</v>
      </c>
      <c r="X134" s="98" t="s">
        <v>5096</v>
      </c>
      <c r="Y134" s="98" t="s">
        <v>5068</v>
      </c>
      <c r="Z134" s="99"/>
      <c r="AA134" s="99"/>
      <c r="AB134" s="95" t="s">
        <v>5161</v>
      </c>
      <c r="AC134" s="99"/>
      <c r="AD134" s="99"/>
      <c r="AE134" s="95" t="s">
        <v>5161</v>
      </c>
      <c r="AF134" s="99"/>
      <c r="AG134" s="95">
        <v>1</v>
      </c>
      <c r="AH134" s="94" t="s">
        <v>5074</v>
      </c>
      <c r="AI134" s="94" t="s">
        <v>5101</v>
      </c>
      <c r="AJ134" s="98" t="s">
        <v>5320</v>
      </c>
      <c r="AK134" s="98" t="s">
        <v>6194</v>
      </c>
      <c r="AL134" s="101" t="s">
        <v>5078</v>
      </c>
      <c r="AM134" s="99"/>
      <c r="AN134" s="98" t="s">
        <v>5079</v>
      </c>
      <c r="AO134" s="98" t="s">
        <v>2931</v>
      </c>
      <c r="AP134" s="98" t="s">
        <v>6195</v>
      </c>
      <c r="AQ134" s="102">
        <v>2022</v>
      </c>
      <c r="AR134" s="98" t="s">
        <v>5200</v>
      </c>
      <c r="AS134" s="99"/>
      <c r="AT134" s="98" t="s">
        <v>5083</v>
      </c>
      <c r="AU134" s="99"/>
      <c r="AV134" s="95">
        <v>0</v>
      </c>
      <c r="AW134" s="94" t="s">
        <v>5074</v>
      </c>
      <c r="AX134" s="95">
        <v>0</v>
      </c>
      <c r="AY134" s="98" t="s">
        <v>5085</v>
      </c>
      <c r="AZ134" s="102">
        <v>1</v>
      </c>
      <c r="BA134" s="110">
        <v>46116</v>
      </c>
      <c r="BB134" s="93"/>
    </row>
    <row r="135" spans="1:54" ht="13.8">
      <c r="A135" s="94" t="s">
        <v>6196</v>
      </c>
      <c r="B135" s="95" t="s">
        <v>6197</v>
      </c>
      <c r="C135" s="100">
        <v>31725</v>
      </c>
      <c r="D135" s="94" t="s">
        <v>2656</v>
      </c>
      <c r="E135" s="94" t="s">
        <v>2158</v>
      </c>
      <c r="F135" s="97" t="s">
        <v>1393</v>
      </c>
      <c r="G135" s="95">
        <v>4810031399</v>
      </c>
      <c r="H135" s="98" t="s">
        <v>5057</v>
      </c>
      <c r="I135" s="95">
        <v>46086003833</v>
      </c>
      <c r="J135" s="98" t="s">
        <v>5088</v>
      </c>
      <c r="K135" s="95" t="s">
        <v>6198</v>
      </c>
      <c r="L135" s="98" t="s">
        <v>6199</v>
      </c>
      <c r="M135" s="98" t="s">
        <v>6200</v>
      </c>
      <c r="N135" s="98" t="s">
        <v>6200</v>
      </c>
      <c r="O135" s="98" t="s">
        <v>6200</v>
      </c>
      <c r="P135" s="95">
        <v>702651086</v>
      </c>
      <c r="Q135" s="98" t="s">
        <v>6201</v>
      </c>
      <c r="R135" s="98" t="s">
        <v>5094</v>
      </c>
      <c r="S135" s="99"/>
      <c r="T135" s="100">
        <v>40189</v>
      </c>
      <c r="U135" s="100">
        <v>40554</v>
      </c>
      <c r="V135" s="98" t="s">
        <v>5095</v>
      </c>
      <c r="W135" s="98" t="s">
        <v>5068</v>
      </c>
      <c r="X135" s="98" t="s">
        <v>5096</v>
      </c>
      <c r="Y135" s="98" t="s">
        <v>5068</v>
      </c>
      <c r="Z135" s="99"/>
      <c r="AA135" s="99"/>
      <c r="AB135" s="99"/>
      <c r="AC135" s="99"/>
      <c r="AD135" s="98" t="s">
        <v>5504</v>
      </c>
      <c r="AE135" s="95" t="s">
        <v>5161</v>
      </c>
      <c r="AF135" s="99"/>
      <c r="AG135" s="95">
        <v>1</v>
      </c>
      <c r="AH135" s="94" t="s">
        <v>5074</v>
      </c>
      <c r="AI135" s="94" t="s">
        <v>5101</v>
      </c>
      <c r="AJ135" s="98" t="s">
        <v>5320</v>
      </c>
      <c r="AK135" s="98" t="s">
        <v>6202</v>
      </c>
      <c r="AL135" s="101" t="s">
        <v>5149</v>
      </c>
      <c r="AM135" s="99"/>
      <c r="AN135" s="98" t="s">
        <v>5079</v>
      </c>
      <c r="AO135" s="98" t="s">
        <v>2931</v>
      </c>
      <c r="AP135" s="98" t="s">
        <v>6203</v>
      </c>
      <c r="AQ135" s="102">
        <v>2019</v>
      </c>
      <c r="AR135" s="98" t="s">
        <v>5082</v>
      </c>
      <c r="AS135" s="99"/>
      <c r="AT135" s="98" t="s">
        <v>5083</v>
      </c>
      <c r="AU135" s="99"/>
      <c r="AV135" s="95">
        <v>0</v>
      </c>
      <c r="AW135" s="94" t="s">
        <v>5074</v>
      </c>
      <c r="AX135" s="95">
        <v>0</v>
      </c>
      <c r="AY135" s="98" t="s">
        <v>5152</v>
      </c>
      <c r="AZ135" s="102">
        <v>5</v>
      </c>
      <c r="BA135" s="102" t="s">
        <v>5153</v>
      </c>
      <c r="BB135" s="93"/>
    </row>
    <row r="136" spans="1:54" ht="13.8">
      <c r="A136" s="94" t="s">
        <v>6204</v>
      </c>
      <c r="B136" s="95" t="s">
        <v>6205</v>
      </c>
      <c r="C136" s="96">
        <v>28418</v>
      </c>
      <c r="D136" s="94" t="s">
        <v>2665</v>
      </c>
      <c r="E136" s="94" t="s">
        <v>2158</v>
      </c>
      <c r="F136" s="97" t="s">
        <v>1393</v>
      </c>
      <c r="G136" s="95">
        <v>402009899</v>
      </c>
      <c r="H136" s="98" t="s">
        <v>5057</v>
      </c>
      <c r="I136" s="95">
        <v>49177006234</v>
      </c>
      <c r="J136" s="98" t="s">
        <v>5088</v>
      </c>
      <c r="K136" s="104">
        <v>44805</v>
      </c>
      <c r="L136" s="98" t="s">
        <v>6206</v>
      </c>
      <c r="M136" s="98" t="s">
        <v>6207</v>
      </c>
      <c r="N136" s="98" t="s">
        <v>6208</v>
      </c>
      <c r="O136" s="98" t="s">
        <v>6208</v>
      </c>
      <c r="P136" s="95">
        <v>917322763</v>
      </c>
      <c r="Q136" s="98" t="s">
        <v>6209</v>
      </c>
      <c r="R136" s="98" t="s">
        <v>5094</v>
      </c>
      <c r="S136" s="98" t="s">
        <v>5116</v>
      </c>
      <c r="T136" s="96">
        <v>36448</v>
      </c>
      <c r="U136" s="100">
        <v>36901</v>
      </c>
      <c r="V136" s="98" t="s">
        <v>5095</v>
      </c>
      <c r="W136" s="98" t="s">
        <v>5068</v>
      </c>
      <c r="X136" s="98" t="s">
        <v>5096</v>
      </c>
      <c r="Y136" s="98" t="s">
        <v>5068</v>
      </c>
      <c r="Z136" s="99"/>
      <c r="AA136" s="99"/>
      <c r="AB136" s="99"/>
      <c r="AC136" s="99"/>
      <c r="AD136" s="99"/>
      <c r="AE136" s="95" t="s">
        <v>5161</v>
      </c>
      <c r="AF136" s="99"/>
      <c r="AG136" s="95">
        <v>1</v>
      </c>
      <c r="AH136" s="94" t="s">
        <v>5074</v>
      </c>
      <c r="AI136" s="94" t="s">
        <v>5133</v>
      </c>
      <c r="AJ136" s="98" t="s">
        <v>5134</v>
      </c>
      <c r="AK136" s="98" t="s">
        <v>2910</v>
      </c>
      <c r="AL136" s="101" t="s">
        <v>5078</v>
      </c>
      <c r="AM136" s="99"/>
      <c r="AN136" s="98" t="s">
        <v>5079</v>
      </c>
      <c r="AO136" s="98" t="s">
        <v>5080</v>
      </c>
      <c r="AP136" s="98" t="s">
        <v>6132</v>
      </c>
      <c r="AQ136" s="102">
        <v>2023</v>
      </c>
      <c r="AR136" s="98" t="s">
        <v>5082</v>
      </c>
      <c r="AS136" s="99"/>
      <c r="AT136" s="99"/>
      <c r="AU136" s="98" t="s">
        <v>5125</v>
      </c>
      <c r="AV136" s="95">
        <v>0</v>
      </c>
      <c r="AW136" s="94" t="s">
        <v>5074</v>
      </c>
      <c r="AX136" s="95">
        <v>0</v>
      </c>
      <c r="AY136" s="98" t="s">
        <v>5085</v>
      </c>
      <c r="AZ136" s="102">
        <v>3</v>
      </c>
      <c r="BA136" s="105">
        <v>46239</v>
      </c>
      <c r="BB136" s="93"/>
    </row>
    <row r="137" spans="1:54" ht="13.8">
      <c r="A137" s="94" t="s">
        <v>6210</v>
      </c>
      <c r="B137" s="95" t="s">
        <v>6211</v>
      </c>
      <c r="C137" s="100">
        <v>29957</v>
      </c>
      <c r="D137" s="94" t="s">
        <v>2665</v>
      </c>
      <c r="E137" s="94" t="s">
        <v>2158</v>
      </c>
      <c r="F137" s="97" t="s">
        <v>1393</v>
      </c>
      <c r="G137" s="95">
        <v>4808004509</v>
      </c>
      <c r="H137" s="98" t="s">
        <v>5057</v>
      </c>
      <c r="I137" s="95">
        <v>49182017405</v>
      </c>
      <c r="J137" s="98" t="s">
        <v>5088</v>
      </c>
      <c r="K137" s="104">
        <v>44447</v>
      </c>
      <c r="L137" s="98" t="s">
        <v>6212</v>
      </c>
      <c r="M137" s="98" t="s">
        <v>6213</v>
      </c>
      <c r="N137" s="98" t="s">
        <v>6214</v>
      </c>
      <c r="O137" s="98" t="s">
        <v>6214</v>
      </c>
      <c r="P137" s="95">
        <v>905303692</v>
      </c>
      <c r="Q137" s="98" t="s">
        <v>6215</v>
      </c>
      <c r="R137" s="98" t="s">
        <v>5094</v>
      </c>
      <c r="S137" s="99"/>
      <c r="T137" s="100">
        <v>41640</v>
      </c>
      <c r="U137" s="100">
        <v>42005</v>
      </c>
      <c r="V137" s="98" t="s">
        <v>5095</v>
      </c>
      <c r="W137" s="98" t="s">
        <v>5068</v>
      </c>
      <c r="X137" s="98" t="s">
        <v>5096</v>
      </c>
      <c r="Y137" s="98" t="s">
        <v>5068</v>
      </c>
      <c r="Z137" s="99"/>
      <c r="AA137" s="98" t="s">
        <v>5569</v>
      </c>
      <c r="AB137" s="95" t="s">
        <v>5318</v>
      </c>
      <c r="AC137" s="98" t="s">
        <v>6216</v>
      </c>
      <c r="AD137" s="99"/>
      <c r="AE137" s="104">
        <v>41280</v>
      </c>
      <c r="AF137" s="99"/>
      <c r="AG137" s="95">
        <v>1</v>
      </c>
      <c r="AH137" s="94" t="s">
        <v>5084</v>
      </c>
      <c r="AI137" s="94" t="s">
        <v>5075</v>
      </c>
      <c r="AJ137" s="98" t="s">
        <v>6217</v>
      </c>
      <c r="AK137" s="98" t="s">
        <v>6218</v>
      </c>
      <c r="AL137" s="101" t="s">
        <v>5149</v>
      </c>
      <c r="AM137" s="98" t="s">
        <v>5179</v>
      </c>
      <c r="AN137" s="98" t="s">
        <v>5079</v>
      </c>
      <c r="AO137" s="98" t="s">
        <v>5080</v>
      </c>
      <c r="AP137" s="102">
        <v>800</v>
      </c>
      <c r="AQ137" s="102">
        <v>2009</v>
      </c>
      <c r="AR137" s="98" t="s">
        <v>5082</v>
      </c>
      <c r="AS137" s="99"/>
      <c r="AT137" s="98" t="s">
        <v>5083</v>
      </c>
      <c r="AU137" s="98" t="s">
        <v>5220</v>
      </c>
      <c r="AV137" s="95">
        <v>0</v>
      </c>
      <c r="AW137" s="94" t="s">
        <v>5084</v>
      </c>
      <c r="AX137" s="95">
        <v>0</v>
      </c>
      <c r="AY137" s="98" t="s">
        <v>5152</v>
      </c>
      <c r="AZ137" s="102">
        <v>5</v>
      </c>
      <c r="BA137" s="102" t="s">
        <v>5153</v>
      </c>
      <c r="BB137" s="93"/>
    </row>
    <row r="138" spans="1:54" ht="13.8">
      <c r="A138" s="94" t="s">
        <v>6219</v>
      </c>
      <c r="B138" s="95" t="s">
        <v>6220</v>
      </c>
      <c r="C138" s="96">
        <v>30650</v>
      </c>
      <c r="D138" s="94" t="s">
        <v>2665</v>
      </c>
      <c r="E138" s="94" t="s">
        <v>2158</v>
      </c>
      <c r="F138" s="97" t="s">
        <v>1393</v>
      </c>
      <c r="G138" s="95">
        <v>3306004408</v>
      </c>
      <c r="H138" s="98" t="s">
        <v>5057</v>
      </c>
      <c r="I138" s="95">
        <v>54183004536</v>
      </c>
      <c r="J138" s="98" t="s">
        <v>5088</v>
      </c>
      <c r="K138" s="104">
        <v>44958</v>
      </c>
      <c r="L138" s="98" t="s">
        <v>6221</v>
      </c>
      <c r="M138" s="98" t="s">
        <v>6222</v>
      </c>
      <c r="N138" s="98" t="s">
        <v>6223</v>
      </c>
      <c r="O138" s="98" t="s">
        <v>6223</v>
      </c>
      <c r="P138" s="95">
        <v>971548149</v>
      </c>
      <c r="Q138" s="98" t="s">
        <v>6224</v>
      </c>
      <c r="R138" s="98" t="s">
        <v>5094</v>
      </c>
      <c r="S138" s="99"/>
      <c r="T138" s="100">
        <v>46023</v>
      </c>
      <c r="U138" s="109"/>
      <c r="V138" s="99"/>
      <c r="W138" s="98" t="s">
        <v>5821</v>
      </c>
      <c r="X138" s="98" t="s">
        <v>5187</v>
      </c>
      <c r="Y138" s="99"/>
      <c r="Z138" s="99"/>
      <c r="AA138" s="99"/>
      <c r="AB138" s="99"/>
      <c r="AC138" s="99"/>
      <c r="AD138" s="99"/>
      <c r="AE138" s="99"/>
      <c r="AF138" s="99"/>
      <c r="AG138" s="95">
        <v>0</v>
      </c>
      <c r="AH138" s="94" t="s">
        <v>5074</v>
      </c>
      <c r="AI138" s="94" t="s">
        <v>5101</v>
      </c>
      <c r="AJ138" s="98" t="s">
        <v>5102</v>
      </c>
      <c r="AK138" s="98" t="s">
        <v>6225</v>
      </c>
      <c r="AL138" s="101" t="s">
        <v>5149</v>
      </c>
      <c r="AM138" s="99"/>
      <c r="AN138" s="98" t="s">
        <v>5079</v>
      </c>
      <c r="AO138" s="98" t="s">
        <v>6226</v>
      </c>
      <c r="AP138" s="98" t="s">
        <v>6227</v>
      </c>
      <c r="AQ138" s="102">
        <v>2022</v>
      </c>
      <c r="AR138" s="99"/>
      <c r="AS138" s="99"/>
      <c r="AT138" s="99"/>
      <c r="AU138" s="98" t="s">
        <v>5220</v>
      </c>
      <c r="AV138" s="99"/>
      <c r="AW138" s="94" t="s">
        <v>5074</v>
      </c>
      <c r="AX138" s="95">
        <v>0</v>
      </c>
      <c r="AY138" s="98" t="s">
        <v>5152</v>
      </c>
      <c r="AZ138" s="102">
        <v>7</v>
      </c>
      <c r="BA138" s="102" t="s">
        <v>5286</v>
      </c>
      <c r="BB138" s="93"/>
    </row>
    <row r="139" spans="1:54" ht="13.8">
      <c r="A139" s="94" t="s">
        <v>6228</v>
      </c>
      <c r="B139" s="95" t="s">
        <v>6229</v>
      </c>
      <c r="C139" s="100">
        <v>30575</v>
      </c>
      <c r="D139" s="94" t="s">
        <v>2656</v>
      </c>
      <c r="E139" s="94" t="s">
        <v>2158</v>
      </c>
      <c r="F139" s="97" t="s">
        <v>1393</v>
      </c>
      <c r="G139" s="95">
        <v>4809017754</v>
      </c>
      <c r="H139" s="98" t="s">
        <v>5057</v>
      </c>
      <c r="I139" s="95">
        <v>48083003057</v>
      </c>
      <c r="J139" s="98" t="s">
        <v>5088</v>
      </c>
      <c r="K139" s="95" t="s">
        <v>5277</v>
      </c>
      <c r="L139" s="98" t="s">
        <v>6230</v>
      </c>
      <c r="M139" s="98" t="s">
        <v>6231</v>
      </c>
      <c r="N139" s="98" t="s">
        <v>6232</v>
      </c>
      <c r="O139" s="98" t="s">
        <v>6232</v>
      </c>
      <c r="P139" s="95">
        <v>989227883</v>
      </c>
      <c r="Q139" s="98" t="s">
        <v>6233</v>
      </c>
      <c r="R139" s="98" t="s">
        <v>5094</v>
      </c>
      <c r="S139" s="99"/>
      <c r="T139" s="100">
        <v>43106</v>
      </c>
      <c r="U139" s="100">
        <v>43471</v>
      </c>
      <c r="V139" s="98" t="s">
        <v>5243</v>
      </c>
      <c r="W139" s="98" t="s">
        <v>5068</v>
      </c>
      <c r="X139" s="98" t="s">
        <v>5096</v>
      </c>
      <c r="Y139" s="98" t="s">
        <v>5822</v>
      </c>
      <c r="Z139" s="99"/>
      <c r="AA139" s="99"/>
      <c r="AB139" s="99"/>
      <c r="AC139" s="99"/>
      <c r="AD139" s="99"/>
      <c r="AE139" s="99"/>
      <c r="AF139" s="99"/>
      <c r="AG139" s="95">
        <v>1</v>
      </c>
      <c r="AH139" s="94" t="s">
        <v>5084</v>
      </c>
      <c r="AI139" s="94" t="s">
        <v>5075</v>
      </c>
      <c r="AJ139" s="98" t="s">
        <v>6217</v>
      </c>
      <c r="AK139" s="98" t="s">
        <v>6202</v>
      </c>
      <c r="AL139" s="101" t="s">
        <v>5149</v>
      </c>
      <c r="AM139" s="98" t="s">
        <v>5179</v>
      </c>
      <c r="AN139" s="98" t="s">
        <v>5079</v>
      </c>
      <c r="AO139" s="98" t="s">
        <v>5080</v>
      </c>
      <c r="AP139" s="102">
        <v>800</v>
      </c>
      <c r="AQ139" s="102">
        <v>2016</v>
      </c>
      <c r="AR139" s="99"/>
      <c r="AS139" s="98" t="s">
        <v>5142</v>
      </c>
      <c r="AT139" s="99"/>
      <c r="AU139" s="98" t="s">
        <v>5135</v>
      </c>
      <c r="AV139" s="99"/>
      <c r="AW139" s="94" t="s">
        <v>5084</v>
      </c>
      <c r="AX139" s="95">
        <v>0</v>
      </c>
      <c r="AY139" s="98" t="s">
        <v>5152</v>
      </c>
      <c r="AZ139" s="102">
        <v>4</v>
      </c>
      <c r="BA139" s="102" t="s">
        <v>5168</v>
      </c>
      <c r="BB139" s="93"/>
    </row>
    <row r="140" spans="1:54" ht="13.8">
      <c r="A140" s="94" t="s">
        <v>6234</v>
      </c>
      <c r="B140" s="95" t="s">
        <v>6235</v>
      </c>
      <c r="C140" s="100">
        <v>30576</v>
      </c>
      <c r="D140" s="94" t="s">
        <v>2656</v>
      </c>
      <c r="E140" s="94" t="s">
        <v>2158</v>
      </c>
      <c r="F140" s="97" t="s">
        <v>1393</v>
      </c>
      <c r="G140" s="95">
        <v>3306004402</v>
      </c>
      <c r="H140" s="98" t="s">
        <v>5057</v>
      </c>
      <c r="I140" s="95">
        <v>40083016165</v>
      </c>
      <c r="J140" s="98" t="s">
        <v>5088</v>
      </c>
      <c r="K140" s="104">
        <v>44328</v>
      </c>
      <c r="L140" s="98" t="s">
        <v>6236</v>
      </c>
      <c r="M140" s="98" t="s">
        <v>6237</v>
      </c>
      <c r="N140" s="98" t="s">
        <v>6238</v>
      </c>
      <c r="O140" s="98" t="s">
        <v>6238</v>
      </c>
      <c r="P140" s="95">
        <v>916292135</v>
      </c>
      <c r="Q140" s="98" t="s">
        <v>6239</v>
      </c>
      <c r="R140" s="98" t="s">
        <v>5094</v>
      </c>
      <c r="S140" s="99"/>
      <c r="T140" s="100">
        <v>45669</v>
      </c>
      <c r="U140" s="109"/>
      <c r="V140" s="99"/>
      <c r="W140" s="98" t="s">
        <v>5821</v>
      </c>
      <c r="X140" s="98" t="s">
        <v>5096</v>
      </c>
      <c r="Y140" s="99"/>
      <c r="Z140" s="99"/>
      <c r="AA140" s="99"/>
      <c r="AB140" s="99"/>
      <c r="AC140" s="99"/>
      <c r="AD140" s="99"/>
      <c r="AE140" s="95" t="s">
        <v>6240</v>
      </c>
      <c r="AF140" s="99"/>
      <c r="AG140" s="95">
        <v>0</v>
      </c>
      <c r="AH140" s="94" t="s">
        <v>5074</v>
      </c>
      <c r="AI140" s="94" t="s">
        <v>5075</v>
      </c>
      <c r="AJ140" s="98" t="s">
        <v>6241</v>
      </c>
      <c r="AK140" s="98" t="s">
        <v>6242</v>
      </c>
      <c r="AL140" s="101" t="s">
        <v>5104</v>
      </c>
      <c r="AM140" s="99"/>
      <c r="AN140" s="98" t="s">
        <v>5079</v>
      </c>
      <c r="AO140" s="98" t="s">
        <v>2931</v>
      </c>
      <c r="AP140" s="99"/>
      <c r="AQ140" s="102">
        <v>2015</v>
      </c>
      <c r="AR140" s="98" t="s">
        <v>5106</v>
      </c>
      <c r="AS140" s="99"/>
      <c r="AT140" s="99"/>
      <c r="AU140" s="98" t="s">
        <v>5228</v>
      </c>
      <c r="AV140" s="95">
        <v>2020</v>
      </c>
      <c r="AW140" s="94" t="s">
        <v>5108</v>
      </c>
      <c r="AX140" s="95">
        <v>0</v>
      </c>
      <c r="AY140" s="98" t="s">
        <v>5109</v>
      </c>
      <c r="AZ140" s="102">
        <v>2</v>
      </c>
      <c r="BA140" s="102" t="s">
        <v>6243</v>
      </c>
      <c r="BB140" s="93"/>
    </row>
    <row r="141" spans="1:54" ht="13.8">
      <c r="A141" s="94" t="s">
        <v>6244</v>
      </c>
      <c r="B141" s="95" t="s">
        <v>6245</v>
      </c>
      <c r="C141" s="100">
        <v>29402</v>
      </c>
      <c r="D141" s="94" t="s">
        <v>2665</v>
      </c>
      <c r="E141" s="94" t="s">
        <v>2158</v>
      </c>
      <c r="F141" s="97" t="s">
        <v>1393</v>
      </c>
      <c r="G141" s="95">
        <v>4810005099</v>
      </c>
      <c r="H141" s="98" t="s">
        <v>5181</v>
      </c>
      <c r="I141" s="95">
        <v>48180005178</v>
      </c>
      <c r="J141" s="98" t="s">
        <v>5088</v>
      </c>
      <c r="K141" s="104">
        <v>44474</v>
      </c>
      <c r="L141" s="98" t="s">
        <v>6246</v>
      </c>
      <c r="M141" s="98" t="s">
        <v>5272</v>
      </c>
      <c r="N141" s="98" t="s">
        <v>6247</v>
      </c>
      <c r="O141" s="98" t="s">
        <v>6247</v>
      </c>
      <c r="P141" s="95">
        <v>987334559</v>
      </c>
      <c r="Q141" s="98" t="s">
        <v>6248</v>
      </c>
      <c r="R141" s="98" t="s">
        <v>5094</v>
      </c>
      <c r="S141" s="98" t="s">
        <v>5116</v>
      </c>
      <c r="T141" s="100">
        <v>40179</v>
      </c>
      <c r="U141" s="100">
        <v>40818</v>
      </c>
      <c r="V141" s="98" t="s">
        <v>5095</v>
      </c>
      <c r="W141" s="98" t="s">
        <v>5142</v>
      </c>
      <c r="X141" s="98" t="s">
        <v>5096</v>
      </c>
      <c r="Y141" s="98" t="s">
        <v>5208</v>
      </c>
      <c r="Z141" s="99"/>
      <c r="AA141" s="99"/>
      <c r="AB141" s="95" t="s">
        <v>5161</v>
      </c>
      <c r="AC141" s="99"/>
      <c r="AD141" s="99"/>
      <c r="AE141" s="95" t="s">
        <v>5399</v>
      </c>
      <c r="AF141" s="99"/>
      <c r="AG141" s="95">
        <v>1</v>
      </c>
      <c r="AH141" s="94" t="s">
        <v>5162</v>
      </c>
      <c r="AI141" s="94" t="s">
        <v>5133</v>
      </c>
      <c r="AJ141" s="98" t="s">
        <v>5134</v>
      </c>
      <c r="AK141" s="98" t="s">
        <v>6249</v>
      </c>
      <c r="AL141" s="101" t="s">
        <v>5142</v>
      </c>
      <c r="AM141" s="98" t="s">
        <v>5188</v>
      </c>
      <c r="AN141" s="98" t="s">
        <v>5079</v>
      </c>
      <c r="AO141" s="98" t="s">
        <v>5080</v>
      </c>
      <c r="AP141" s="102">
        <v>807</v>
      </c>
      <c r="AQ141" s="102">
        <v>2002</v>
      </c>
      <c r="AR141" s="98" t="s">
        <v>5200</v>
      </c>
      <c r="AS141" s="99"/>
      <c r="AT141" s="99"/>
      <c r="AU141" s="98" t="s">
        <v>5228</v>
      </c>
      <c r="AV141" s="95">
        <v>0</v>
      </c>
      <c r="AW141" s="94" t="s">
        <v>5162</v>
      </c>
      <c r="AX141" s="95">
        <v>0</v>
      </c>
      <c r="AY141" s="98" t="s">
        <v>5167</v>
      </c>
      <c r="AZ141" s="102">
        <v>6</v>
      </c>
      <c r="BA141" s="102" t="s">
        <v>5260</v>
      </c>
      <c r="BB141" s="93"/>
    </row>
    <row r="142" spans="1:54" ht="13.8">
      <c r="A142" s="94" t="s">
        <v>6250</v>
      </c>
      <c r="B142" s="95" t="s">
        <v>6251</v>
      </c>
      <c r="C142" s="96">
        <v>28785</v>
      </c>
      <c r="D142" s="94" t="s">
        <v>2665</v>
      </c>
      <c r="E142" s="94" t="s">
        <v>2158</v>
      </c>
      <c r="F142" s="97" t="s">
        <v>1393</v>
      </c>
      <c r="G142" s="95">
        <v>4810005102</v>
      </c>
      <c r="H142" s="98" t="s">
        <v>5057</v>
      </c>
      <c r="I142" s="95">
        <v>38185042534</v>
      </c>
      <c r="J142" s="98" t="s">
        <v>5088</v>
      </c>
      <c r="K142" s="95" t="s">
        <v>5089</v>
      </c>
      <c r="L142" s="98" t="s">
        <v>6252</v>
      </c>
      <c r="M142" s="98" t="s">
        <v>6253</v>
      </c>
      <c r="N142" s="98" t="s">
        <v>6254</v>
      </c>
      <c r="O142" s="98" t="s">
        <v>6254</v>
      </c>
      <c r="P142" s="95">
        <v>914296157</v>
      </c>
      <c r="Q142" s="98" t="s">
        <v>6255</v>
      </c>
      <c r="R142" s="98" t="s">
        <v>5094</v>
      </c>
      <c r="S142" s="99"/>
      <c r="T142" s="100">
        <v>40179</v>
      </c>
      <c r="U142" s="100">
        <v>40544</v>
      </c>
      <c r="V142" s="98" t="s">
        <v>5095</v>
      </c>
      <c r="W142" s="98" t="s">
        <v>5068</v>
      </c>
      <c r="X142" s="98" t="s">
        <v>5096</v>
      </c>
      <c r="Y142" s="98" t="s">
        <v>5822</v>
      </c>
      <c r="Z142" s="99"/>
      <c r="AA142" s="99"/>
      <c r="AB142" s="95" t="s">
        <v>5161</v>
      </c>
      <c r="AC142" s="99"/>
      <c r="AD142" s="99"/>
      <c r="AE142" s="95" t="s">
        <v>5161</v>
      </c>
      <c r="AF142" s="99"/>
      <c r="AG142" s="95">
        <v>1</v>
      </c>
      <c r="AH142" s="94" t="s">
        <v>5074</v>
      </c>
      <c r="AI142" s="94" t="s">
        <v>5133</v>
      </c>
      <c r="AJ142" s="98" t="s">
        <v>5134</v>
      </c>
      <c r="AK142" s="98" t="s">
        <v>5178</v>
      </c>
      <c r="AL142" s="101" t="s">
        <v>5078</v>
      </c>
      <c r="AM142" s="98" t="s">
        <v>5188</v>
      </c>
      <c r="AN142" s="98" t="s">
        <v>5079</v>
      </c>
      <c r="AO142" s="98" t="s">
        <v>5080</v>
      </c>
      <c r="AP142" s="102">
        <v>807</v>
      </c>
      <c r="AQ142" s="102">
        <v>2012</v>
      </c>
      <c r="AR142" s="98" t="s">
        <v>5200</v>
      </c>
      <c r="AS142" s="99"/>
      <c r="AT142" s="98" t="s">
        <v>5083</v>
      </c>
      <c r="AU142" s="98" t="s">
        <v>5107</v>
      </c>
      <c r="AV142" s="95">
        <v>0</v>
      </c>
      <c r="AW142" s="94" t="s">
        <v>5074</v>
      </c>
      <c r="AX142" s="95">
        <v>0</v>
      </c>
      <c r="AY142" s="98" t="s">
        <v>5152</v>
      </c>
      <c r="AZ142" s="102">
        <v>6</v>
      </c>
      <c r="BA142" s="102" t="s">
        <v>5260</v>
      </c>
      <c r="BB142" s="93"/>
    </row>
    <row r="143" spans="1:54" ht="13.8">
      <c r="A143" s="94" t="s">
        <v>6256</v>
      </c>
      <c r="B143" s="95" t="s">
        <v>6257</v>
      </c>
      <c r="C143" s="96">
        <v>31335</v>
      </c>
      <c r="D143" s="94" t="s">
        <v>2665</v>
      </c>
      <c r="E143" s="94" t="s">
        <v>2158</v>
      </c>
      <c r="F143" s="97" t="s">
        <v>1393</v>
      </c>
      <c r="G143" s="95">
        <v>407001247</v>
      </c>
      <c r="H143" s="98" t="s">
        <v>5057</v>
      </c>
      <c r="I143" s="95">
        <v>49178002793</v>
      </c>
      <c r="J143" s="98" t="s">
        <v>5088</v>
      </c>
      <c r="K143" s="95" t="s">
        <v>6258</v>
      </c>
      <c r="L143" s="98" t="s">
        <v>6259</v>
      </c>
      <c r="M143" s="98" t="s">
        <v>6260</v>
      </c>
      <c r="N143" s="98" t="s">
        <v>6261</v>
      </c>
      <c r="O143" s="98" t="s">
        <v>6261</v>
      </c>
      <c r="P143" s="95">
        <v>905221078</v>
      </c>
      <c r="Q143" s="98" t="s">
        <v>6262</v>
      </c>
      <c r="R143" s="98" t="s">
        <v>5094</v>
      </c>
      <c r="S143" s="98" t="s">
        <v>5116</v>
      </c>
      <c r="T143" s="100">
        <v>36536</v>
      </c>
      <c r="U143" s="100">
        <v>37997</v>
      </c>
      <c r="V143" s="98" t="s">
        <v>5095</v>
      </c>
      <c r="W143" s="98" t="s">
        <v>5068</v>
      </c>
      <c r="X143" s="98" t="s">
        <v>5096</v>
      </c>
      <c r="Y143" s="98" t="s">
        <v>5068</v>
      </c>
      <c r="Z143" s="99"/>
      <c r="AA143" s="99"/>
      <c r="AB143" s="99"/>
      <c r="AC143" s="99"/>
      <c r="AD143" s="98" t="s">
        <v>6263</v>
      </c>
      <c r="AE143" s="114">
        <v>40888</v>
      </c>
      <c r="AF143" s="99"/>
      <c r="AG143" s="95">
        <v>1</v>
      </c>
      <c r="AH143" s="94" t="s">
        <v>5084</v>
      </c>
      <c r="AI143" s="94" t="s">
        <v>5133</v>
      </c>
      <c r="AJ143" s="98" t="s">
        <v>5134</v>
      </c>
      <c r="AK143" s="98" t="s">
        <v>6264</v>
      </c>
      <c r="AL143" s="101" t="s">
        <v>5149</v>
      </c>
      <c r="AM143" s="98" t="s">
        <v>5926</v>
      </c>
      <c r="AN143" s="98" t="s">
        <v>5079</v>
      </c>
      <c r="AO143" s="98" t="s">
        <v>5080</v>
      </c>
      <c r="AP143" s="102">
        <v>1</v>
      </c>
      <c r="AQ143" s="102">
        <v>2017</v>
      </c>
      <c r="AR143" s="98" t="s">
        <v>5082</v>
      </c>
      <c r="AS143" s="99"/>
      <c r="AT143" s="98" t="s">
        <v>5083</v>
      </c>
      <c r="AU143" s="98" t="s">
        <v>5228</v>
      </c>
      <c r="AV143" s="95">
        <v>0</v>
      </c>
      <c r="AW143" s="94" t="s">
        <v>5084</v>
      </c>
      <c r="AX143" s="95">
        <v>0</v>
      </c>
      <c r="AY143" s="98" t="s">
        <v>5085</v>
      </c>
      <c r="AZ143" s="102">
        <v>3</v>
      </c>
      <c r="BA143" s="105">
        <v>46239</v>
      </c>
      <c r="BB143" s="93"/>
    </row>
    <row r="144" spans="1:54" ht="13.8">
      <c r="A144" s="94" t="s">
        <v>4850</v>
      </c>
      <c r="B144" s="95" t="s">
        <v>4851</v>
      </c>
      <c r="C144" s="100">
        <v>31568</v>
      </c>
      <c r="D144" s="94" t="s">
        <v>2656</v>
      </c>
      <c r="E144" s="94" t="s">
        <v>2158</v>
      </c>
      <c r="F144" s="97" t="s">
        <v>1393</v>
      </c>
      <c r="G144" s="95">
        <v>4816028497</v>
      </c>
      <c r="H144" s="98" t="s">
        <v>5057</v>
      </c>
      <c r="I144" s="95">
        <v>40086024406</v>
      </c>
      <c r="J144" s="98" t="s">
        <v>5088</v>
      </c>
      <c r="K144" s="95" t="s">
        <v>6265</v>
      </c>
      <c r="L144" s="98" t="s">
        <v>6266</v>
      </c>
      <c r="M144" s="98" t="s">
        <v>6267</v>
      </c>
      <c r="N144" s="98" t="s">
        <v>6268</v>
      </c>
      <c r="O144" s="98" t="s">
        <v>6268</v>
      </c>
      <c r="P144" s="95">
        <v>948765483</v>
      </c>
      <c r="Q144" s="98" t="s">
        <v>6269</v>
      </c>
      <c r="R144" s="98" t="s">
        <v>5094</v>
      </c>
      <c r="S144" s="99"/>
      <c r="T144" s="100">
        <v>42374</v>
      </c>
      <c r="U144" s="100">
        <v>42741</v>
      </c>
      <c r="V144" s="98" t="s">
        <v>5095</v>
      </c>
      <c r="W144" s="98" t="s">
        <v>5068</v>
      </c>
      <c r="X144" s="98" t="s">
        <v>5096</v>
      </c>
      <c r="Y144" s="98" t="s">
        <v>5068</v>
      </c>
      <c r="Z144" s="99"/>
      <c r="AA144" s="98" t="s">
        <v>5587</v>
      </c>
      <c r="AB144" s="95" t="s">
        <v>5318</v>
      </c>
      <c r="AC144" s="98" t="s">
        <v>6270</v>
      </c>
      <c r="AD144" s="98" t="s">
        <v>5422</v>
      </c>
      <c r="AE144" s="99"/>
      <c r="AF144" s="99"/>
      <c r="AG144" s="95">
        <v>1</v>
      </c>
      <c r="AH144" s="94" t="s">
        <v>5074</v>
      </c>
      <c r="AI144" s="94" t="s">
        <v>5451</v>
      </c>
      <c r="AJ144" s="99"/>
      <c r="AK144" s="98" t="s">
        <v>5178</v>
      </c>
      <c r="AL144" s="101" t="s">
        <v>5104</v>
      </c>
      <c r="AM144" s="98" t="s">
        <v>2699</v>
      </c>
      <c r="AN144" s="98" t="s">
        <v>5079</v>
      </c>
      <c r="AO144" s="98" t="s">
        <v>2699</v>
      </c>
      <c r="AP144" s="102">
        <v>930</v>
      </c>
      <c r="AQ144" s="102">
        <v>2015</v>
      </c>
      <c r="AR144" s="98" t="s">
        <v>5082</v>
      </c>
      <c r="AS144" s="99"/>
      <c r="AT144" s="98" t="s">
        <v>5083</v>
      </c>
      <c r="AU144" s="98" t="s">
        <v>5125</v>
      </c>
      <c r="AV144" s="95">
        <v>2023</v>
      </c>
      <c r="AW144" s="94" t="s">
        <v>5108</v>
      </c>
      <c r="AX144" s="95">
        <v>0</v>
      </c>
      <c r="AY144" s="98" t="s">
        <v>5109</v>
      </c>
      <c r="AZ144" s="102">
        <v>1</v>
      </c>
      <c r="BA144" s="110">
        <v>46059</v>
      </c>
      <c r="BB144" s="93"/>
    </row>
    <row r="145" spans="1:54" ht="13.8">
      <c r="A145" s="94" t="s">
        <v>6271</v>
      </c>
      <c r="B145" s="95" t="s">
        <v>6272</v>
      </c>
      <c r="C145" s="100">
        <v>31049</v>
      </c>
      <c r="D145" s="94" t="s">
        <v>2665</v>
      </c>
      <c r="E145" s="94" t="s">
        <v>2158</v>
      </c>
      <c r="F145" s="97" t="s">
        <v>1393</v>
      </c>
      <c r="G145" s="95">
        <v>4814016892</v>
      </c>
      <c r="H145" s="98" t="s">
        <v>5057</v>
      </c>
      <c r="I145" s="95">
        <v>42185016233</v>
      </c>
      <c r="J145" s="98" t="s">
        <v>5929</v>
      </c>
      <c r="K145" s="104">
        <v>45809</v>
      </c>
      <c r="L145" s="98" t="s">
        <v>6273</v>
      </c>
      <c r="M145" s="98" t="s">
        <v>6274</v>
      </c>
      <c r="N145" s="98" t="s">
        <v>6275</v>
      </c>
      <c r="O145" s="98" t="s">
        <v>6275</v>
      </c>
      <c r="P145" s="95">
        <v>934030535</v>
      </c>
      <c r="Q145" s="98" t="s">
        <v>6276</v>
      </c>
      <c r="R145" s="98" t="s">
        <v>5094</v>
      </c>
      <c r="S145" s="99"/>
      <c r="T145" s="100">
        <v>41645</v>
      </c>
      <c r="U145" s="100">
        <v>42010</v>
      </c>
      <c r="V145" s="98" t="s">
        <v>5095</v>
      </c>
      <c r="W145" s="98" t="s">
        <v>5068</v>
      </c>
      <c r="X145" s="98" t="s">
        <v>5096</v>
      </c>
      <c r="Y145" s="98" t="s">
        <v>5068</v>
      </c>
      <c r="Z145" s="99"/>
      <c r="AA145" s="99"/>
      <c r="AB145" s="95" t="s">
        <v>5161</v>
      </c>
      <c r="AC145" s="98" t="s">
        <v>6277</v>
      </c>
      <c r="AD145" s="99"/>
      <c r="AE145" s="104">
        <v>41280</v>
      </c>
      <c r="AF145" s="99"/>
      <c r="AG145" s="95">
        <v>1</v>
      </c>
      <c r="AH145" s="94" t="s">
        <v>5074</v>
      </c>
      <c r="AI145" s="94" t="s">
        <v>5101</v>
      </c>
      <c r="AJ145" s="98" t="s">
        <v>5320</v>
      </c>
      <c r="AK145" s="98" t="s">
        <v>6202</v>
      </c>
      <c r="AL145" s="101" t="s">
        <v>5078</v>
      </c>
      <c r="AM145" s="98" t="s">
        <v>3209</v>
      </c>
      <c r="AN145" s="98" t="s">
        <v>5079</v>
      </c>
      <c r="AO145" s="98" t="s">
        <v>3209</v>
      </c>
      <c r="AP145" s="102">
        <v>921</v>
      </c>
      <c r="AQ145" s="102">
        <v>2013</v>
      </c>
      <c r="AR145" s="98" t="s">
        <v>5200</v>
      </c>
      <c r="AS145" s="99"/>
      <c r="AT145" s="98" t="s">
        <v>5083</v>
      </c>
      <c r="AU145" s="98" t="s">
        <v>5107</v>
      </c>
      <c r="AV145" s="95">
        <v>0</v>
      </c>
      <c r="AW145" s="94" t="s">
        <v>5074</v>
      </c>
      <c r="AX145" s="95">
        <v>0</v>
      </c>
      <c r="AY145" s="98" t="s">
        <v>5085</v>
      </c>
      <c r="AZ145" s="102">
        <v>1</v>
      </c>
      <c r="BA145" s="110">
        <v>46116</v>
      </c>
      <c r="BB145" s="93"/>
    </row>
    <row r="146" spans="1:54" ht="13.8">
      <c r="A146" s="94" t="s">
        <v>6278</v>
      </c>
      <c r="B146" s="95" t="s">
        <v>6279</v>
      </c>
      <c r="C146" s="100">
        <v>33319</v>
      </c>
      <c r="D146" s="94" t="s">
        <v>2665</v>
      </c>
      <c r="E146" s="94" t="s">
        <v>2158</v>
      </c>
      <c r="F146" s="97" t="s">
        <v>1393</v>
      </c>
      <c r="G146" s="99"/>
      <c r="H146" s="99"/>
      <c r="I146" s="95">
        <v>46191012882</v>
      </c>
      <c r="J146" s="98" t="s">
        <v>5088</v>
      </c>
      <c r="K146" s="95" t="s">
        <v>5270</v>
      </c>
      <c r="L146" s="98" t="s">
        <v>6280</v>
      </c>
      <c r="M146" s="98" t="s">
        <v>6281</v>
      </c>
      <c r="N146" s="98" t="s">
        <v>6282</v>
      </c>
      <c r="O146" s="98" t="s">
        <v>6282</v>
      </c>
      <c r="P146" s="95">
        <v>905861223</v>
      </c>
      <c r="Q146" s="98" t="s">
        <v>6283</v>
      </c>
      <c r="R146" s="98" t="s">
        <v>5094</v>
      </c>
      <c r="S146" s="99"/>
      <c r="T146" s="100">
        <v>46023</v>
      </c>
      <c r="U146" s="109"/>
      <c r="V146" s="99"/>
      <c r="W146" s="98" t="s">
        <v>5821</v>
      </c>
      <c r="X146" s="98" t="s">
        <v>5480</v>
      </c>
      <c r="Y146" s="99"/>
      <c r="Z146" s="99"/>
      <c r="AA146" s="99"/>
      <c r="AB146" s="99"/>
      <c r="AC146" s="99"/>
      <c r="AD146" s="99"/>
      <c r="AE146" s="99"/>
      <c r="AF146" s="99"/>
      <c r="AG146" s="95">
        <v>0</v>
      </c>
      <c r="AH146" s="94" t="s">
        <v>5074</v>
      </c>
      <c r="AI146" s="94" t="s">
        <v>5101</v>
      </c>
      <c r="AJ146" s="98" t="s">
        <v>5320</v>
      </c>
      <c r="AK146" s="98" t="s">
        <v>6284</v>
      </c>
      <c r="AL146" s="101" t="s">
        <v>5149</v>
      </c>
      <c r="AM146" s="99"/>
      <c r="AN146" s="98" t="s">
        <v>5079</v>
      </c>
      <c r="AO146" s="98" t="s">
        <v>2931</v>
      </c>
      <c r="AP146" s="98" t="s">
        <v>6285</v>
      </c>
      <c r="AQ146" s="102">
        <v>2025</v>
      </c>
      <c r="AR146" s="99"/>
      <c r="AS146" s="99"/>
      <c r="AT146" s="99"/>
      <c r="AU146" s="98" t="s">
        <v>5228</v>
      </c>
      <c r="AV146" s="99"/>
      <c r="AW146" s="94" t="s">
        <v>5074</v>
      </c>
      <c r="AX146" s="95">
        <v>1</v>
      </c>
      <c r="AY146" s="98" t="s">
        <v>5152</v>
      </c>
      <c r="AZ146" s="102">
        <v>2</v>
      </c>
      <c r="BA146" s="102" t="s">
        <v>5237</v>
      </c>
      <c r="BB146" s="93"/>
    </row>
    <row r="147" spans="1:54" ht="13.8">
      <c r="A147" s="94" t="s">
        <v>6286</v>
      </c>
      <c r="B147" s="95" t="s">
        <v>6287</v>
      </c>
      <c r="C147" s="100">
        <v>31619</v>
      </c>
      <c r="D147" s="94" t="s">
        <v>2665</v>
      </c>
      <c r="E147" s="94" t="s">
        <v>2158</v>
      </c>
      <c r="F147" s="97" t="s">
        <v>1393</v>
      </c>
      <c r="G147" s="99"/>
      <c r="H147" s="98" t="s">
        <v>5057</v>
      </c>
      <c r="I147" s="95">
        <v>46186004747</v>
      </c>
      <c r="J147" s="98" t="s">
        <v>5088</v>
      </c>
      <c r="K147" s="95" t="s">
        <v>6288</v>
      </c>
      <c r="L147" s="98" t="s">
        <v>6289</v>
      </c>
      <c r="M147" s="98" t="s">
        <v>6290</v>
      </c>
      <c r="N147" s="98" t="s">
        <v>6290</v>
      </c>
      <c r="O147" s="98" t="s">
        <v>6290</v>
      </c>
      <c r="P147" s="95">
        <v>936022586</v>
      </c>
      <c r="Q147" s="98" t="s">
        <v>6291</v>
      </c>
      <c r="R147" s="98" t="s">
        <v>5094</v>
      </c>
      <c r="S147" s="99"/>
      <c r="T147" s="100">
        <v>46023</v>
      </c>
      <c r="U147" s="109"/>
      <c r="V147" s="99"/>
      <c r="W147" s="98" t="s">
        <v>5821</v>
      </c>
      <c r="X147" s="98" t="s">
        <v>5187</v>
      </c>
      <c r="Y147" s="99"/>
      <c r="Z147" s="99"/>
      <c r="AA147" s="99"/>
      <c r="AB147" s="99"/>
      <c r="AC147" s="99"/>
      <c r="AD147" s="99"/>
      <c r="AE147" s="99"/>
      <c r="AF147" s="99"/>
      <c r="AG147" s="95">
        <v>0</v>
      </c>
      <c r="AH147" s="94" t="s">
        <v>5074</v>
      </c>
      <c r="AI147" s="94" t="s">
        <v>5101</v>
      </c>
      <c r="AJ147" s="98" t="s">
        <v>5320</v>
      </c>
      <c r="AK147" s="98" t="s">
        <v>6292</v>
      </c>
      <c r="AL147" s="101" t="s">
        <v>5149</v>
      </c>
      <c r="AM147" s="99"/>
      <c r="AN147" s="98" t="s">
        <v>5079</v>
      </c>
      <c r="AO147" s="98" t="s">
        <v>2915</v>
      </c>
      <c r="AP147" s="98" t="s">
        <v>6293</v>
      </c>
      <c r="AQ147" s="102">
        <v>2025</v>
      </c>
      <c r="AR147" s="99"/>
      <c r="AS147" s="99"/>
      <c r="AT147" s="99"/>
      <c r="AU147" s="98" t="s">
        <v>5125</v>
      </c>
      <c r="AV147" s="99"/>
      <c r="AW147" s="94" t="s">
        <v>5074</v>
      </c>
      <c r="AX147" s="95">
        <v>0</v>
      </c>
      <c r="AY147" s="98" t="s">
        <v>5152</v>
      </c>
      <c r="AZ147" s="102">
        <v>3</v>
      </c>
      <c r="BA147" s="102">
        <v>3</v>
      </c>
      <c r="BB147" s="93"/>
    </row>
    <row r="148" spans="1:54" ht="13.8">
      <c r="A148" s="94" t="s">
        <v>6294</v>
      </c>
      <c r="B148" s="95" t="s">
        <v>6295</v>
      </c>
      <c r="C148" s="100">
        <v>31816</v>
      </c>
      <c r="D148" s="94" t="s">
        <v>2665</v>
      </c>
      <c r="E148" s="94" t="s">
        <v>2158</v>
      </c>
      <c r="F148" s="97" t="s">
        <v>1393</v>
      </c>
      <c r="G148" s="95">
        <v>4810005103</v>
      </c>
      <c r="H148" s="98" t="s">
        <v>5057</v>
      </c>
      <c r="I148" s="95">
        <v>194328528</v>
      </c>
      <c r="J148" s="98" t="s">
        <v>6296</v>
      </c>
      <c r="K148" s="104">
        <v>38083</v>
      </c>
      <c r="L148" s="98" t="s">
        <v>6297</v>
      </c>
      <c r="M148" s="98" t="s">
        <v>6298</v>
      </c>
      <c r="N148" s="98" t="s">
        <v>6299</v>
      </c>
      <c r="O148" s="98" t="s">
        <v>6299</v>
      </c>
      <c r="P148" s="95">
        <v>975545387</v>
      </c>
      <c r="Q148" s="98" t="s">
        <v>6300</v>
      </c>
      <c r="R148" s="98" t="s">
        <v>5094</v>
      </c>
      <c r="S148" s="99"/>
      <c r="T148" s="100">
        <v>40179</v>
      </c>
      <c r="U148" s="100">
        <v>40544</v>
      </c>
      <c r="V148" s="98" t="s">
        <v>5095</v>
      </c>
      <c r="W148" s="98" t="s">
        <v>5068</v>
      </c>
      <c r="X148" s="98" t="s">
        <v>5096</v>
      </c>
      <c r="Y148" s="98" t="s">
        <v>5068</v>
      </c>
      <c r="Z148" s="99"/>
      <c r="AA148" s="99"/>
      <c r="AB148" s="95" t="s">
        <v>5161</v>
      </c>
      <c r="AC148" s="99"/>
      <c r="AD148" s="99"/>
      <c r="AE148" s="95" t="s">
        <v>5161</v>
      </c>
      <c r="AF148" s="99"/>
      <c r="AG148" s="95">
        <v>1</v>
      </c>
      <c r="AH148" s="94" t="s">
        <v>5074</v>
      </c>
      <c r="AI148" s="94" t="s">
        <v>5101</v>
      </c>
      <c r="AJ148" s="98" t="s">
        <v>5320</v>
      </c>
      <c r="AK148" s="98" t="s">
        <v>6202</v>
      </c>
      <c r="AL148" s="101" t="s">
        <v>5149</v>
      </c>
      <c r="AM148" s="98" t="s">
        <v>5698</v>
      </c>
      <c r="AN148" s="98" t="s">
        <v>5079</v>
      </c>
      <c r="AO148" s="98" t="s">
        <v>5080</v>
      </c>
      <c r="AP148" s="102">
        <v>923</v>
      </c>
      <c r="AQ148" s="99"/>
      <c r="AR148" s="98" t="s">
        <v>5200</v>
      </c>
      <c r="AS148" s="99"/>
      <c r="AT148" s="98" t="s">
        <v>5083</v>
      </c>
      <c r="AU148" s="99"/>
      <c r="AV148" s="95">
        <v>0</v>
      </c>
      <c r="AW148" s="94" t="s">
        <v>5074</v>
      </c>
      <c r="AX148" s="95">
        <v>0</v>
      </c>
      <c r="AY148" s="98" t="s">
        <v>5152</v>
      </c>
      <c r="AZ148" s="102">
        <v>4</v>
      </c>
      <c r="BA148" s="102" t="s">
        <v>5168</v>
      </c>
      <c r="BB148" s="93"/>
    </row>
    <row r="149" spans="1:54" ht="13.8">
      <c r="A149" s="94" t="s">
        <v>4790</v>
      </c>
      <c r="B149" s="95" t="s">
        <v>4791</v>
      </c>
      <c r="C149" s="100">
        <v>34750</v>
      </c>
      <c r="D149" s="94" t="s">
        <v>2665</v>
      </c>
      <c r="E149" s="94" t="s">
        <v>2158</v>
      </c>
      <c r="F149" s="97" t="s">
        <v>1393</v>
      </c>
      <c r="G149" s="99"/>
      <c r="H149" s="98" t="s">
        <v>5181</v>
      </c>
      <c r="I149" s="95">
        <v>49195014707</v>
      </c>
      <c r="J149" s="98" t="s">
        <v>5088</v>
      </c>
      <c r="K149" s="95" t="s">
        <v>6301</v>
      </c>
      <c r="L149" s="98" t="s">
        <v>6302</v>
      </c>
      <c r="M149" s="98" t="s">
        <v>6303</v>
      </c>
      <c r="N149" s="98" t="s">
        <v>6304</v>
      </c>
      <c r="O149" s="98" t="s">
        <v>6304</v>
      </c>
      <c r="P149" s="95">
        <v>789444309</v>
      </c>
      <c r="Q149" s="98" t="s">
        <v>6305</v>
      </c>
      <c r="R149" s="98" t="s">
        <v>5094</v>
      </c>
      <c r="S149" s="99"/>
      <c r="T149" s="100">
        <v>46023</v>
      </c>
      <c r="U149" s="109"/>
      <c r="V149" s="99"/>
      <c r="W149" s="99"/>
      <c r="X149" s="98" t="s">
        <v>5653</v>
      </c>
      <c r="Y149" s="99"/>
      <c r="Z149" s="99"/>
      <c r="AA149" s="99"/>
      <c r="AB149" s="99"/>
      <c r="AC149" s="99"/>
      <c r="AD149" s="99"/>
      <c r="AE149" s="99"/>
      <c r="AF149" s="99"/>
      <c r="AG149" s="95">
        <v>0</v>
      </c>
      <c r="AH149" s="94" t="s">
        <v>5074</v>
      </c>
      <c r="AI149" s="94" t="s">
        <v>5101</v>
      </c>
      <c r="AJ149" s="98" t="s">
        <v>5320</v>
      </c>
      <c r="AK149" s="98" t="s">
        <v>6306</v>
      </c>
      <c r="AL149" s="101" t="s">
        <v>5149</v>
      </c>
      <c r="AM149" s="99"/>
      <c r="AN149" s="98" t="s">
        <v>5079</v>
      </c>
      <c r="AO149" s="98" t="s">
        <v>2915</v>
      </c>
      <c r="AP149" s="98" t="s">
        <v>6307</v>
      </c>
      <c r="AQ149" s="102">
        <v>2025</v>
      </c>
      <c r="AR149" s="99"/>
      <c r="AS149" s="99"/>
      <c r="AT149" s="99"/>
      <c r="AU149" s="99"/>
      <c r="AV149" s="99"/>
      <c r="AW149" s="94" t="s">
        <v>5074</v>
      </c>
      <c r="AX149" s="95">
        <v>1</v>
      </c>
      <c r="AY149" s="98" t="s">
        <v>5152</v>
      </c>
      <c r="AZ149" s="102">
        <v>2</v>
      </c>
      <c r="BA149" s="102" t="s">
        <v>5237</v>
      </c>
      <c r="BB149" s="93"/>
    </row>
    <row r="150" spans="1:54" ht="13.8">
      <c r="A150" s="94" t="s">
        <v>6308</v>
      </c>
      <c r="B150" s="95" t="s">
        <v>6309</v>
      </c>
      <c r="C150" s="100">
        <v>30963</v>
      </c>
      <c r="D150" s="94" t="s">
        <v>2656</v>
      </c>
      <c r="E150" s="94" t="s">
        <v>2158</v>
      </c>
      <c r="F150" s="97" t="s">
        <v>1393</v>
      </c>
      <c r="G150" s="95">
        <v>4808038139</v>
      </c>
      <c r="H150" s="98" t="s">
        <v>5057</v>
      </c>
      <c r="I150" s="95">
        <v>45084004070</v>
      </c>
      <c r="J150" s="98" t="s">
        <v>5088</v>
      </c>
      <c r="K150" s="95" t="s">
        <v>6310</v>
      </c>
      <c r="L150" s="98" t="s">
        <v>6311</v>
      </c>
      <c r="M150" s="98" t="s">
        <v>6312</v>
      </c>
      <c r="N150" s="98" t="s">
        <v>6312</v>
      </c>
      <c r="O150" s="98" t="s">
        <v>6313</v>
      </c>
      <c r="P150" s="95">
        <v>973065083</v>
      </c>
      <c r="Q150" s="98" t="s">
        <v>6314</v>
      </c>
      <c r="R150" s="98" t="s">
        <v>5094</v>
      </c>
      <c r="S150" s="99"/>
      <c r="T150" s="100">
        <v>39448</v>
      </c>
      <c r="U150" s="100">
        <v>39816</v>
      </c>
      <c r="V150" s="98" t="s">
        <v>5095</v>
      </c>
      <c r="W150" s="98" t="s">
        <v>5822</v>
      </c>
      <c r="X150" s="98" t="s">
        <v>5096</v>
      </c>
      <c r="Y150" s="98" t="s">
        <v>5068</v>
      </c>
      <c r="Z150" s="99"/>
      <c r="AA150" s="99"/>
      <c r="AB150" s="95" t="s">
        <v>5161</v>
      </c>
      <c r="AC150" s="99"/>
      <c r="AD150" s="99"/>
      <c r="AE150" s="95" t="s">
        <v>5161</v>
      </c>
      <c r="AF150" s="99"/>
      <c r="AG150" s="95">
        <v>1</v>
      </c>
      <c r="AH150" s="94" t="s">
        <v>5084</v>
      </c>
      <c r="AI150" s="94" t="s">
        <v>5101</v>
      </c>
      <c r="AJ150" s="98" t="s">
        <v>5320</v>
      </c>
      <c r="AK150" s="98" t="s">
        <v>5178</v>
      </c>
      <c r="AL150" s="101" t="s">
        <v>5149</v>
      </c>
      <c r="AM150" s="98" t="s">
        <v>5179</v>
      </c>
      <c r="AN150" s="98" t="s">
        <v>5079</v>
      </c>
      <c r="AO150" s="98" t="s">
        <v>5080</v>
      </c>
      <c r="AP150" s="102">
        <v>800</v>
      </c>
      <c r="AQ150" s="102">
        <v>2010</v>
      </c>
      <c r="AR150" s="98" t="s">
        <v>5200</v>
      </c>
      <c r="AS150" s="99"/>
      <c r="AT150" s="99"/>
      <c r="AU150" s="98" t="s">
        <v>5228</v>
      </c>
      <c r="AV150" s="95">
        <v>0</v>
      </c>
      <c r="AW150" s="94" t="s">
        <v>5084</v>
      </c>
      <c r="AX150" s="95">
        <v>0</v>
      </c>
      <c r="AY150" s="98" t="s">
        <v>5152</v>
      </c>
      <c r="AZ150" s="102">
        <v>6</v>
      </c>
      <c r="BA150" s="102" t="s">
        <v>5260</v>
      </c>
      <c r="BB150" s="93"/>
    </row>
    <row r="151" spans="1:54" ht="13.8">
      <c r="A151" s="94" t="s">
        <v>6315</v>
      </c>
      <c r="B151" s="95" t="s">
        <v>6316</v>
      </c>
      <c r="C151" s="100">
        <v>31474</v>
      </c>
      <c r="D151" s="94" t="s">
        <v>2665</v>
      </c>
      <c r="E151" s="94" t="s">
        <v>2158</v>
      </c>
      <c r="F151" s="97" t="s">
        <v>1393</v>
      </c>
      <c r="G151" s="95">
        <v>4811044757</v>
      </c>
      <c r="H151" s="98" t="s">
        <v>5057</v>
      </c>
      <c r="I151" s="95">
        <v>48186001077</v>
      </c>
      <c r="J151" s="98" t="s">
        <v>5088</v>
      </c>
      <c r="K151" s="95" t="s">
        <v>5546</v>
      </c>
      <c r="L151" s="98" t="s">
        <v>6317</v>
      </c>
      <c r="M151" s="98" t="s">
        <v>6318</v>
      </c>
      <c r="N151" s="98" t="s">
        <v>6319</v>
      </c>
      <c r="O151" s="98" t="s">
        <v>6320</v>
      </c>
      <c r="P151" s="95">
        <v>986798283</v>
      </c>
      <c r="Q151" s="98" t="s">
        <v>6321</v>
      </c>
      <c r="R151" s="98" t="s">
        <v>5094</v>
      </c>
      <c r="S151" s="99"/>
      <c r="T151" s="100">
        <v>40553</v>
      </c>
      <c r="U151" s="100">
        <v>40918</v>
      </c>
      <c r="V151" s="98" t="s">
        <v>5243</v>
      </c>
      <c r="W151" s="98" t="s">
        <v>5068</v>
      </c>
      <c r="X151" s="98" t="s">
        <v>5096</v>
      </c>
      <c r="Y151" s="98" t="s">
        <v>5068</v>
      </c>
      <c r="Z151" s="99"/>
      <c r="AA151" s="99"/>
      <c r="AB151" s="95" t="s">
        <v>5161</v>
      </c>
      <c r="AC151" s="99"/>
      <c r="AD151" s="99"/>
      <c r="AE151" s="95" t="s">
        <v>5161</v>
      </c>
      <c r="AF151" s="99"/>
      <c r="AG151" s="95">
        <v>1</v>
      </c>
      <c r="AH151" s="94" t="s">
        <v>5074</v>
      </c>
      <c r="AI151" s="94" t="s">
        <v>5101</v>
      </c>
      <c r="AJ151" s="98" t="s">
        <v>5320</v>
      </c>
      <c r="AK151" s="98" t="s">
        <v>6322</v>
      </c>
      <c r="AL151" s="101" t="s">
        <v>5149</v>
      </c>
      <c r="AM151" s="98" t="s">
        <v>2915</v>
      </c>
      <c r="AN151" s="98" t="s">
        <v>5079</v>
      </c>
      <c r="AO151" s="98" t="s">
        <v>2915</v>
      </c>
      <c r="AP151" s="102">
        <v>911</v>
      </c>
      <c r="AQ151" s="102">
        <v>2018</v>
      </c>
      <c r="AR151" s="99"/>
      <c r="AS151" s="99"/>
      <c r="AT151" s="98" t="s">
        <v>5083</v>
      </c>
      <c r="AU151" s="98" t="s">
        <v>5135</v>
      </c>
      <c r="AV151" s="95">
        <v>0</v>
      </c>
      <c r="AW151" s="94" t="s">
        <v>5074</v>
      </c>
      <c r="AX151" s="95">
        <v>0</v>
      </c>
      <c r="AY151" s="98" t="s">
        <v>5152</v>
      </c>
      <c r="AZ151" s="102">
        <v>5</v>
      </c>
      <c r="BA151" s="102" t="s">
        <v>5153</v>
      </c>
      <c r="BB151" s="93"/>
    </row>
    <row r="152" spans="1:54" ht="13.8">
      <c r="A152" s="94" t="s">
        <v>4838</v>
      </c>
      <c r="B152" s="95" t="s">
        <v>4839</v>
      </c>
      <c r="C152" s="100">
        <v>32089</v>
      </c>
      <c r="D152" s="94" t="s">
        <v>2665</v>
      </c>
      <c r="E152" s="94" t="s">
        <v>2158</v>
      </c>
      <c r="F152" s="97" t="s">
        <v>1393</v>
      </c>
      <c r="G152" s="95">
        <v>4916025690</v>
      </c>
      <c r="H152" s="98" t="s">
        <v>5057</v>
      </c>
      <c r="I152" s="95">
        <v>38187036278</v>
      </c>
      <c r="J152" s="98" t="s">
        <v>5929</v>
      </c>
      <c r="K152" s="95" t="s">
        <v>6323</v>
      </c>
      <c r="L152" s="98" t="s">
        <v>6324</v>
      </c>
      <c r="M152" s="98" t="s">
        <v>6325</v>
      </c>
      <c r="N152" s="98" t="s">
        <v>6326</v>
      </c>
      <c r="O152" s="98" t="s">
        <v>6326</v>
      </c>
      <c r="P152" s="95">
        <v>905689548</v>
      </c>
      <c r="Q152" s="98" t="s">
        <v>6327</v>
      </c>
      <c r="R152" s="98" t="s">
        <v>5094</v>
      </c>
      <c r="S152" s="99"/>
      <c r="T152" s="100">
        <v>42738</v>
      </c>
      <c r="U152" s="109"/>
      <c r="V152" s="98" t="s">
        <v>5095</v>
      </c>
      <c r="W152" s="98" t="s">
        <v>5068</v>
      </c>
      <c r="X152" s="98" t="s">
        <v>5187</v>
      </c>
      <c r="Y152" s="98" t="s">
        <v>5068</v>
      </c>
      <c r="Z152" s="99"/>
      <c r="AA152" s="99"/>
      <c r="AB152" s="99"/>
      <c r="AC152" s="99"/>
      <c r="AD152" s="99"/>
      <c r="AE152" s="104">
        <v>40637</v>
      </c>
      <c r="AF152" s="99"/>
      <c r="AG152" s="95">
        <v>1</v>
      </c>
      <c r="AH152" s="94" t="s">
        <v>5074</v>
      </c>
      <c r="AI152" s="94" t="s">
        <v>5075</v>
      </c>
      <c r="AJ152" s="98" t="s">
        <v>6217</v>
      </c>
      <c r="AK152" s="98" t="s">
        <v>6328</v>
      </c>
      <c r="AL152" s="101" t="s">
        <v>5149</v>
      </c>
      <c r="AM152" s="98" t="s">
        <v>6329</v>
      </c>
      <c r="AN152" s="98" t="s">
        <v>5079</v>
      </c>
      <c r="AO152" s="98" t="s">
        <v>5080</v>
      </c>
      <c r="AP152" s="102">
        <v>802</v>
      </c>
      <c r="AQ152" s="102">
        <v>2015</v>
      </c>
      <c r="AR152" s="99"/>
      <c r="AS152" s="99"/>
      <c r="AT152" s="98" t="s">
        <v>5083</v>
      </c>
      <c r="AU152" s="98" t="s">
        <v>5228</v>
      </c>
      <c r="AV152" s="99"/>
      <c r="AW152" s="94" t="s">
        <v>5074</v>
      </c>
      <c r="AX152" s="95">
        <v>0</v>
      </c>
      <c r="AY152" s="98" t="s">
        <v>5152</v>
      </c>
      <c r="AZ152" s="102">
        <v>4</v>
      </c>
      <c r="BA152" s="102" t="s">
        <v>5168</v>
      </c>
      <c r="BB152" s="93"/>
    </row>
    <row r="153" spans="1:54" ht="13.8">
      <c r="A153" s="94" t="s">
        <v>6330</v>
      </c>
      <c r="B153" s="95" t="s">
        <v>6331</v>
      </c>
      <c r="C153" s="96">
        <v>23011</v>
      </c>
      <c r="D153" s="94" t="s">
        <v>2656</v>
      </c>
      <c r="E153" s="94" t="s">
        <v>2158</v>
      </c>
      <c r="F153" s="97" t="s">
        <v>1393</v>
      </c>
      <c r="G153" s="99"/>
      <c r="H153" s="99"/>
      <c r="I153" s="95">
        <v>46062005769</v>
      </c>
      <c r="J153" s="98" t="s">
        <v>5088</v>
      </c>
      <c r="K153" s="95" t="s">
        <v>5202</v>
      </c>
      <c r="L153" s="98" t="s">
        <v>5476</v>
      </c>
      <c r="M153" s="99"/>
      <c r="N153" s="98" t="s">
        <v>6332</v>
      </c>
      <c r="O153" s="98" t="s">
        <v>6332</v>
      </c>
      <c r="P153" s="95">
        <v>913308807</v>
      </c>
      <c r="Q153" s="98" t="s">
        <v>6333</v>
      </c>
      <c r="R153" s="98" t="s">
        <v>5094</v>
      </c>
      <c r="S153" s="99"/>
      <c r="T153" s="109"/>
      <c r="U153" s="109"/>
      <c r="V153" s="99"/>
      <c r="W153" s="98" t="s">
        <v>5068</v>
      </c>
      <c r="X153" s="98" t="s">
        <v>5653</v>
      </c>
      <c r="Y153" s="99"/>
      <c r="Z153" s="99"/>
      <c r="AA153" s="99"/>
      <c r="AB153" s="99"/>
      <c r="AC153" s="99"/>
      <c r="AD153" s="99"/>
      <c r="AE153" s="99"/>
      <c r="AF153" s="99"/>
      <c r="AG153" s="95">
        <v>0</v>
      </c>
      <c r="AH153" s="94" t="s">
        <v>5074</v>
      </c>
      <c r="AI153" s="94" t="s">
        <v>5101</v>
      </c>
      <c r="AJ153" s="98" t="s">
        <v>5320</v>
      </c>
      <c r="AK153" s="98" t="s">
        <v>6334</v>
      </c>
      <c r="AL153" s="101" t="s">
        <v>5149</v>
      </c>
      <c r="AM153" s="99"/>
      <c r="AN153" s="98" t="s">
        <v>5079</v>
      </c>
      <c r="AO153" s="98" t="s">
        <v>5080</v>
      </c>
      <c r="AP153" s="98" t="s">
        <v>6335</v>
      </c>
      <c r="AQ153" s="102">
        <v>2011</v>
      </c>
      <c r="AR153" s="99"/>
      <c r="AS153" s="99"/>
      <c r="AT153" s="99"/>
      <c r="AU153" s="99"/>
      <c r="AV153" s="99"/>
      <c r="AW153" s="94" t="s">
        <v>5074</v>
      </c>
      <c r="AX153" s="95">
        <v>0</v>
      </c>
      <c r="AY153" s="98" t="s">
        <v>5152</v>
      </c>
      <c r="AZ153" s="102">
        <v>1</v>
      </c>
      <c r="BA153" s="99"/>
      <c r="BB153" s="93"/>
    </row>
    <row r="154" spans="1:54" ht="13.8">
      <c r="A154" s="94" t="s">
        <v>6336</v>
      </c>
      <c r="B154" s="95" t="s">
        <v>6337</v>
      </c>
      <c r="C154" s="100">
        <v>34335</v>
      </c>
      <c r="D154" s="94" t="s">
        <v>2656</v>
      </c>
      <c r="E154" s="94" t="s">
        <v>2158</v>
      </c>
      <c r="F154" s="97" t="s">
        <v>1393</v>
      </c>
      <c r="G154" s="95">
        <v>4621594827</v>
      </c>
      <c r="H154" s="98" t="s">
        <v>5057</v>
      </c>
      <c r="I154" s="95">
        <v>46094015771</v>
      </c>
      <c r="J154" s="98" t="s">
        <v>5182</v>
      </c>
      <c r="K154" s="95" t="s">
        <v>6338</v>
      </c>
      <c r="L154" s="98" t="s">
        <v>6339</v>
      </c>
      <c r="M154" s="98" t="s">
        <v>6340</v>
      </c>
      <c r="N154" s="98" t="s">
        <v>6340</v>
      </c>
      <c r="O154" s="98" t="s">
        <v>6341</v>
      </c>
      <c r="P154" s="95">
        <v>775541606</v>
      </c>
      <c r="Q154" s="98" t="s">
        <v>6342</v>
      </c>
      <c r="R154" s="99"/>
      <c r="S154" s="99"/>
      <c r="T154" s="100">
        <v>45658</v>
      </c>
      <c r="U154" s="100">
        <v>46023</v>
      </c>
      <c r="V154" s="99"/>
      <c r="W154" s="98" t="s">
        <v>5781</v>
      </c>
      <c r="X154" s="98" t="s">
        <v>5187</v>
      </c>
      <c r="Y154" s="99"/>
      <c r="Z154" s="99"/>
      <c r="AA154" s="99"/>
      <c r="AB154" s="99"/>
      <c r="AC154" s="99"/>
      <c r="AD154" s="99"/>
      <c r="AE154" s="99"/>
      <c r="AF154" s="99"/>
      <c r="AG154" s="95">
        <v>0</v>
      </c>
      <c r="AH154" s="94" t="s">
        <v>5084</v>
      </c>
      <c r="AI154" s="94" t="s">
        <v>5101</v>
      </c>
      <c r="AJ154" s="98" t="s">
        <v>5320</v>
      </c>
      <c r="AK154" s="98" t="s">
        <v>6343</v>
      </c>
      <c r="AL154" s="101" t="s">
        <v>5149</v>
      </c>
      <c r="AM154" s="99"/>
      <c r="AN154" s="98" t="s">
        <v>5079</v>
      </c>
      <c r="AO154" s="98" t="s">
        <v>6066</v>
      </c>
      <c r="AP154" s="98" t="s">
        <v>6344</v>
      </c>
      <c r="AQ154" s="102">
        <v>2019</v>
      </c>
      <c r="AR154" s="99"/>
      <c r="AS154" s="99"/>
      <c r="AT154" s="99"/>
      <c r="AU154" s="99"/>
      <c r="AV154" s="99"/>
      <c r="AW154" s="94" t="s">
        <v>5084</v>
      </c>
      <c r="AX154" s="95">
        <v>0</v>
      </c>
      <c r="AY154" s="98" t="s">
        <v>5152</v>
      </c>
      <c r="AZ154" s="102">
        <v>1</v>
      </c>
      <c r="BA154" s="102" t="s">
        <v>5189</v>
      </c>
      <c r="BB154" s="93"/>
    </row>
    <row r="155" spans="1:54" ht="13.8">
      <c r="A155" s="94" t="s">
        <v>6345</v>
      </c>
      <c r="B155" s="95" t="s">
        <v>6346</v>
      </c>
      <c r="C155" s="100">
        <v>27246</v>
      </c>
      <c r="D155" s="94" t="s">
        <v>2656</v>
      </c>
      <c r="E155" s="94" t="s">
        <v>2158</v>
      </c>
      <c r="F155" s="97" t="s">
        <v>1393</v>
      </c>
      <c r="G155" s="95">
        <v>402009962</v>
      </c>
      <c r="H155" s="98" t="s">
        <v>5057</v>
      </c>
      <c r="I155" s="95">
        <v>49074007529</v>
      </c>
      <c r="J155" s="98" t="s">
        <v>5088</v>
      </c>
      <c r="K155" s="104">
        <v>45115</v>
      </c>
      <c r="L155" s="98" t="s">
        <v>6347</v>
      </c>
      <c r="M155" s="98" t="s">
        <v>6348</v>
      </c>
      <c r="N155" s="98" t="s">
        <v>6349</v>
      </c>
      <c r="O155" s="98" t="s">
        <v>6350</v>
      </c>
      <c r="P155" s="95">
        <v>905205409</v>
      </c>
      <c r="Q155" s="99"/>
      <c r="R155" s="98" t="s">
        <v>5094</v>
      </c>
      <c r="S155" s="99"/>
      <c r="T155" s="100">
        <v>36537</v>
      </c>
      <c r="U155" s="100">
        <v>37268</v>
      </c>
      <c r="V155" s="98" t="s">
        <v>5542</v>
      </c>
      <c r="W155" s="98" t="s">
        <v>5781</v>
      </c>
      <c r="X155" s="98" t="s">
        <v>5096</v>
      </c>
      <c r="Y155" s="98" t="s">
        <v>5068</v>
      </c>
      <c r="Z155" s="99"/>
      <c r="AA155" s="99"/>
      <c r="AB155" s="99"/>
      <c r="AC155" s="99"/>
      <c r="AD155" s="98" t="s">
        <v>6351</v>
      </c>
      <c r="AE155" s="95" t="s">
        <v>5161</v>
      </c>
      <c r="AF155" s="99"/>
      <c r="AG155" s="95">
        <v>0</v>
      </c>
      <c r="AH155" s="94" t="s">
        <v>5074</v>
      </c>
      <c r="AI155" s="94" t="s">
        <v>5101</v>
      </c>
      <c r="AJ155" s="98" t="s">
        <v>5320</v>
      </c>
      <c r="AK155" s="98" t="s">
        <v>6352</v>
      </c>
      <c r="AL155" s="101" t="s">
        <v>5078</v>
      </c>
      <c r="AM155" s="98" t="s">
        <v>6051</v>
      </c>
      <c r="AN155" s="98" t="s">
        <v>5079</v>
      </c>
      <c r="AO155" s="98" t="s">
        <v>5080</v>
      </c>
      <c r="AP155" s="102">
        <v>84</v>
      </c>
      <c r="AQ155" s="102">
        <v>2014</v>
      </c>
      <c r="AR155" s="98" t="s">
        <v>5082</v>
      </c>
      <c r="AS155" s="99"/>
      <c r="AT155" s="99"/>
      <c r="AU155" s="98" t="s">
        <v>6353</v>
      </c>
      <c r="AV155" s="95">
        <v>0</v>
      </c>
      <c r="AW155" s="94" t="s">
        <v>5074</v>
      </c>
      <c r="AX155" s="95">
        <v>0</v>
      </c>
      <c r="AY155" s="98" t="s">
        <v>5085</v>
      </c>
      <c r="AZ155" s="102">
        <v>3</v>
      </c>
      <c r="BA155" s="105">
        <v>46239</v>
      </c>
      <c r="BB155" s="93"/>
    </row>
    <row r="156" spans="1:54" ht="13.8">
      <c r="A156" s="94" t="s">
        <v>6354</v>
      </c>
      <c r="B156" s="95" t="s">
        <v>6355</v>
      </c>
      <c r="C156" s="96">
        <v>32469</v>
      </c>
      <c r="D156" s="94" t="s">
        <v>2665</v>
      </c>
      <c r="E156" s="94" t="s">
        <v>2158</v>
      </c>
      <c r="F156" s="97" t="s">
        <v>1393</v>
      </c>
      <c r="G156" s="95">
        <v>4613000152</v>
      </c>
      <c r="H156" s="98" t="s">
        <v>5057</v>
      </c>
      <c r="I156" s="95">
        <v>46188008372</v>
      </c>
      <c r="J156" s="98" t="s">
        <v>5088</v>
      </c>
      <c r="K156" s="104">
        <v>44805</v>
      </c>
      <c r="L156" s="98" t="s">
        <v>6356</v>
      </c>
      <c r="M156" s="98" t="s">
        <v>6357</v>
      </c>
      <c r="N156" s="98" t="s">
        <v>6358</v>
      </c>
      <c r="O156" s="98" t="s">
        <v>6359</v>
      </c>
      <c r="P156" s="95">
        <v>901122188</v>
      </c>
      <c r="Q156" s="98" t="s">
        <v>5351</v>
      </c>
      <c r="R156" s="98" t="s">
        <v>5094</v>
      </c>
      <c r="S156" s="99"/>
      <c r="T156" s="100">
        <v>42738</v>
      </c>
      <c r="U156" s="109"/>
      <c r="V156" s="98" t="s">
        <v>5095</v>
      </c>
      <c r="W156" s="98" t="s">
        <v>5068</v>
      </c>
      <c r="X156" s="98" t="s">
        <v>5096</v>
      </c>
      <c r="Y156" s="98" t="s">
        <v>5068</v>
      </c>
      <c r="Z156" s="99"/>
      <c r="AA156" s="99"/>
      <c r="AB156" s="99"/>
      <c r="AC156" s="98" t="s">
        <v>6360</v>
      </c>
      <c r="AD156" s="99"/>
      <c r="AE156" s="104">
        <v>42796</v>
      </c>
      <c r="AF156" s="99"/>
      <c r="AG156" s="95">
        <v>1</v>
      </c>
      <c r="AH156" s="94" t="s">
        <v>5074</v>
      </c>
      <c r="AI156" s="94" t="s">
        <v>5133</v>
      </c>
      <c r="AJ156" s="98" t="s">
        <v>5134</v>
      </c>
      <c r="AK156" s="98" t="s">
        <v>6202</v>
      </c>
      <c r="AL156" s="101" t="s">
        <v>5149</v>
      </c>
      <c r="AM156" s="98" t="s">
        <v>5716</v>
      </c>
      <c r="AN156" s="98" t="s">
        <v>5079</v>
      </c>
      <c r="AO156" s="98" t="s">
        <v>5080</v>
      </c>
      <c r="AP156" s="102">
        <v>87</v>
      </c>
      <c r="AQ156" s="102">
        <v>2012</v>
      </c>
      <c r="AR156" s="98" t="s">
        <v>5200</v>
      </c>
      <c r="AS156" s="99"/>
      <c r="AT156" s="98" t="s">
        <v>5083</v>
      </c>
      <c r="AU156" s="98" t="s">
        <v>5220</v>
      </c>
      <c r="AV156" s="99"/>
      <c r="AW156" s="94" t="s">
        <v>5074</v>
      </c>
      <c r="AX156" s="95">
        <v>0</v>
      </c>
      <c r="AY156" s="98" t="s">
        <v>5152</v>
      </c>
      <c r="AZ156" s="102">
        <v>4</v>
      </c>
      <c r="BA156" s="102" t="s">
        <v>5168</v>
      </c>
      <c r="BB156" s="93"/>
    </row>
    <row r="157" spans="1:54" ht="13.8">
      <c r="A157" s="94" t="s">
        <v>6361</v>
      </c>
      <c r="B157" s="95" t="s">
        <v>6362</v>
      </c>
      <c r="C157" s="100">
        <v>31463</v>
      </c>
      <c r="D157" s="94" t="s">
        <v>2665</v>
      </c>
      <c r="E157" s="94" t="s">
        <v>1478</v>
      </c>
      <c r="F157" s="97" t="s">
        <v>1437</v>
      </c>
      <c r="G157" s="95">
        <v>4609000467</v>
      </c>
      <c r="H157" s="98" t="s">
        <v>5057</v>
      </c>
      <c r="I157" s="95">
        <v>46186010860</v>
      </c>
      <c r="J157" s="98" t="s">
        <v>5088</v>
      </c>
      <c r="K157" s="95" t="s">
        <v>6363</v>
      </c>
      <c r="L157" s="98" t="s">
        <v>6364</v>
      </c>
      <c r="M157" s="98" t="s">
        <v>6365</v>
      </c>
      <c r="N157" s="98" t="s">
        <v>6366</v>
      </c>
      <c r="O157" s="98" t="s">
        <v>6268</v>
      </c>
      <c r="P157" s="95">
        <v>905436189</v>
      </c>
      <c r="Q157" s="98" t="s">
        <v>6367</v>
      </c>
      <c r="R157" s="98" t="s">
        <v>5094</v>
      </c>
      <c r="S157" s="99"/>
      <c r="T157" s="100">
        <v>39816</v>
      </c>
      <c r="U157" s="109"/>
      <c r="V157" s="98" t="s">
        <v>6132</v>
      </c>
      <c r="W157" s="98" t="s">
        <v>5068</v>
      </c>
      <c r="X157" s="98" t="s">
        <v>5096</v>
      </c>
      <c r="Y157" s="98" t="s">
        <v>5068</v>
      </c>
      <c r="Z157" s="99"/>
      <c r="AA157" s="99"/>
      <c r="AB157" s="99"/>
      <c r="AC157" s="99"/>
      <c r="AD157" s="99"/>
      <c r="AE157" s="99"/>
      <c r="AF157" s="99"/>
      <c r="AG157" s="95">
        <v>1</v>
      </c>
      <c r="AH157" s="94" t="s">
        <v>5074</v>
      </c>
      <c r="AI157" s="94" t="s">
        <v>5133</v>
      </c>
      <c r="AJ157" s="98" t="s">
        <v>5134</v>
      </c>
      <c r="AK157" s="98" t="s">
        <v>6368</v>
      </c>
      <c r="AL157" s="101" t="s">
        <v>5149</v>
      </c>
      <c r="AM157" s="98" t="s">
        <v>5865</v>
      </c>
      <c r="AN157" s="98" t="s">
        <v>5079</v>
      </c>
      <c r="AO157" s="98" t="s">
        <v>2931</v>
      </c>
      <c r="AP157" s="102">
        <v>922</v>
      </c>
      <c r="AQ157" s="102">
        <v>2016</v>
      </c>
      <c r="AR157" s="99"/>
      <c r="AS157" s="99"/>
      <c r="AT157" s="99"/>
      <c r="AU157" s="99"/>
      <c r="AV157" s="99"/>
      <c r="AW157" s="94" t="s">
        <v>5074</v>
      </c>
      <c r="AX157" s="95">
        <v>0</v>
      </c>
      <c r="AY157" s="98" t="s">
        <v>5152</v>
      </c>
      <c r="AZ157" s="102">
        <v>6</v>
      </c>
      <c r="BA157" s="102" t="s">
        <v>5260</v>
      </c>
      <c r="BB157" s="93"/>
    </row>
    <row r="158" spans="1:54" ht="13.8">
      <c r="A158" s="94" t="s">
        <v>6369</v>
      </c>
      <c r="B158" s="95" t="s">
        <v>6370</v>
      </c>
      <c r="C158" s="100">
        <v>31296</v>
      </c>
      <c r="D158" s="94" t="s">
        <v>2665</v>
      </c>
      <c r="E158" s="94" t="s">
        <v>1478</v>
      </c>
      <c r="F158" s="97" t="s">
        <v>1437</v>
      </c>
      <c r="G158" s="95">
        <v>4810031407</v>
      </c>
      <c r="H158" s="98" t="s">
        <v>5057</v>
      </c>
      <c r="I158" s="95">
        <v>51185016689</v>
      </c>
      <c r="J158" s="98" t="s">
        <v>5088</v>
      </c>
      <c r="K158" s="95" t="s">
        <v>5089</v>
      </c>
      <c r="L158" s="98" t="s">
        <v>6371</v>
      </c>
      <c r="M158" s="98" t="s">
        <v>6372</v>
      </c>
      <c r="N158" s="98" t="s">
        <v>6373</v>
      </c>
      <c r="O158" s="98" t="s">
        <v>6373</v>
      </c>
      <c r="P158" s="95">
        <v>935177887</v>
      </c>
      <c r="Q158" s="98" t="s">
        <v>6374</v>
      </c>
      <c r="R158" s="98" t="s">
        <v>5094</v>
      </c>
      <c r="S158" s="99"/>
      <c r="T158" s="100">
        <v>40189</v>
      </c>
      <c r="U158" s="100">
        <v>40554</v>
      </c>
      <c r="V158" s="98" t="s">
        <v>5095</v>
      </c>
      <c r="W158" s="98" t="s">
        <v>5068</v>
      </c>
      <c r="X158" s="98" t="s">
        <v>5096</v>
      </c>
      <c r="Y158" s="98" t="s">
        <v>5068</v>
      </c>
      <c r="Z158" s="99"/>
      <c r="AA158" s="98" t="s">
        <v>5587</v>
      </c>
      <c r="AB158" s="95" t="s">
        <v>5318</v>
      </c>
      <c r="AC158" s="98" t="s">
        <v>6375</v>
      </c>
      <c r="AD158" s="98" t="s">
        <v>6376</v>
      </c>
      <c r="AE158" s="104">
        <v>42527</v>
      </c>
      <c r="AF158" s="99"/>
      <c r="AG158" s="95">
        <v>1</v>
      </c>
      <c r="AH158" s="94" t="s">
        <v>5074</v>
      </c>
      <c r="AI158" s="94" t="s">
        <v>5133</v>
      </c>
      <c r="AJ158" s="98" t="s">
        <v>5134</v>
      </c>
      <c r="AK158" s="98" t="s">
        <v>5275</v>
      </c>
      <c r="AL158" s="101" t="s">
        <v>5149</v>
      </c>
      <c r="AM158" s="99"/>
      <c r="AN158" s="98" t="s">
        <v>5079</v>
      </c>
      <c r="AO158" s="98" t="s">
        <v>5080</v>
      </c>
      <c r="AP158" s="98" t="s">
        <v>6132</v>
      </c>
      <c r="AQ158" s="102">
        <v>2023</v>
      </c>
      <c r="AR158" s="98" t="s">
        <v>5082</v>
      </c>
      <c r="AS158" s="99"/>
      <c r="AT158" s="98" t="s">
        <v>5083</v>
      </c>
      <c r="AU158" s="98" t="s">
        <v>5135</v>
      </c>
      <c r="AV158" s="95">
        <v>0</v>
      </c>
      <c r="AW158" s="94" t="s">
        <v>5074</v>
      </c>
      <c r="AX158" s="95">
        <v>0</v>
      </c>
      <c r="AY158" s="98" t="s">
        <v>5152</v>
      </c>
      <c r="AZ158" s="102">
        <v>5</v>
      </c>
      <c r="BA158" s="102" t="s">
        <v>5153</v>
      </c>
      <c r="BB158" s="93"/>
    </row>
    <row r="159" spans="1:54" ht="13.8">
      <c r="A159" s="94" t="s">
        <v>6377</v>
      </c>
      <c r="B159" s="95" t="s">
        <v>6378</v>
      </c>
      <c r="C159" s="100">
        <v>29489</v>
      </c>
      <c r="D159" s="94" t="s">
        <v>2656</v>
      </c>
      <c r="E159" s="94" t="s">
        <v>1478</v>
      </c>
      <c r="F159" s="97" t="s">
        <v>1437</v>
      </c>
      <c r="G159" s="95">
        <v>4608002063</v>
      </c>
      <c r="H159" s="98" t="s">
        <v>5057</v>
      </c>
      <c r="I159" s="95">
        <v>46080000161</v>
      </c>
      <c r="J159" s="98" t="s">
        <v>5088</v>
      </c>
      <c r="K159" s="104">
        <v>44659</v>
      </c>
      <c r="L159" s="98" t="s">
        <v>6379</v>
      </c>
      <c r="M159" s="98" t="s">
        <v>6380</v>
      </c>
      <c r="N159" s="98" t="s">
        <v>6381</v>
      </c>
      <c r="O159" s="98" t="s">
        <v>6382</v>
      </c>
      <c r="P159" s="95">
        <v>947246898</v>
      </c>
      <c r="Q159" s="98" t="s">
        <v>6383</v>
      </c>
      <c r="R159" s="98" t="s">
        <v>5094</v>
      </c>
      <c r="S159" s="99"/>
      <c r="T159" s="100">
        <v>43831</v>
      </c>
      <c r="U159" s="109"/>
      <c r="V159" s="99"/>
      <c r="W159" s="98" t="s">
        <v>5068</v>
      </c>
      <c r="X159" s="98" t="s">
        <v>5096</v>
      </c>
      <c r="Y159" s="99"/>
      <c r="Z159" s="99"/>
      <c r="AA159" s="99"/>
      <c r="AB159" s="99"/>
      <c r="AC159" s="99"/>
      <c r="AD159" s="99"/>
      <c r="AE159" s="99"/>
      <c r="AF159" s="99"/>
      <c r="AG159" s="95">
        <v>0</v>
      </c>
      <c r="AH159" s="94" t="s">
        <v>5074</v>
      </c>
      <c r="AI159" s="94" t="s">
        <v>5133</v>
      </c>
      <c r="AJ159" s="98" t="s">
        <v>5134</v>
      </c>
      <c r="AK159" s="98" t="s">
        <v>6384</v>
      </c>
      <c r="AL159" s="101" t="s">
        <v>5149</v>
      </c>
      <c r="AM159" s="99"/>
      <c r="AN159" s="98" t="s">
        <v>5079</v>
      </c>
      <c r="AO159" s="98" t="s">
        <v>5080</v>
      </c>
      <c r="AP159" s="98" t="s">
        <v>5425</v>
      </c>
      <c r="AQ159" s="102">
        <v>2017</v>
      </c>
      <c r="AR159" s="99"/>
      <c r="AS159" s="99"/>
      <c r="AT159" s="98" t="s">
        <v>5083</v>
      </c>
      <c r="AU159" s="98" t="s">
        <v>5228</v>
      </c>
      <c r="AV159" s="99"/>
      <c r="AW159" s="94" t="s">
        <v>5074</v>
      </c>
      <c r="AX159" s="95">
        <v>0</v>
      </c>
      <c r="AY159" s="98" t="s">
        <v>5152</v>
      </c>
      <c r="AZ159" s="102">
        <v>5</v>
      </c>
      <c r="BA159" s="102" t="s">
        <v>5153</v>
      </c>
      <c r="BB159" s="93"/>
    </row>
    <row r="160" spans="1:54" ht="13.8">
      <c r="A160" s="94" t="s">
        <v>6385</v>
      </c>
      <c r="B160" s="95" t="s">
        <v>6386</v>
      </c>
      <c r="C160" s="100">
        <v>29589</v>
      </c>
      <c r="D160" s="94" t="s">
        <v>2665</v>
      </c>
      <c r="E160" s="94" t="s">
        <v>1478</v>
      </c>
      <c r="F160" s="97" t="s">
        <v>1437</v>
      </c>
      <c r="G160" s="95">
        <v>4808000440</v>
      </c>
      <c r="H160" s="98" t="s">
        <v>5057</v>
      </c>
      <c r="I160" s="95">
        <v>48181003791</v>
      </c>
      <c r="J160" s="98" t="s">
        <v>5088</v>
      </c>
      <c r="K160" s="104">
        <v>44477</v>
      </c>
      <c r="L160" s="98" t="s">
        <v>6387</v>
      </c>
      <c r="M160" s="98" t="s">
        <v>5533</v>
      </c>
      <c r="N160" s="98" t="s">
        <v>6388</v>
      </c>
      <c r="O160" s="98" t="s">
        <v>6389</v>
      </c>
      <c r="P160" s="95">
        <v>989072969</v>
      </c>
      <c r="Q160" s="98" t="s">
        <v>6390</v>
      </c>
      <c r="R160" s="98" t="s">
        <v>5094</v>
      </c>
      <c r="S160" s="99"/>
      <c r="T160" s="100">
        <v>37630</v>
      </c>
      <c r="U160" s="100">
        <v>38361</v>
      </c>
      <c r="V160" s="98" t="s">
        <v>5095</v>
      </c>
      <c r="W160" s="98" t="s">
        <v>5068</v>
      </c>
      <c r="X160" s="98" t="s">
        <v>5096</v>
      </c>
      <c r="Y160" s="98" t="s">
        <v>5068</v>
      </c>
      <c r="Z160" s="99"/>
      <c r="AA160" s="98" t="s">
        <v>5569</v>
      </c>
      <c r="AB160" s="104">
        <v>45734</v>
      </c>
      <c r="AC160" s="99"/>
      <c r="AD160" s="99"/>
      <c r="AE160" s="104">
        <v>40728</v>
      </c>
      <c r="AF160" s="98" t="s">
        <v>5755</v>
      </c>
      <c r="AG160" s="95">
        <v>1</v>
      </c>
      <c r="AH160" s="94" t="s">
        <v>5084</v>
      </c>
      <c r="AI160" s="94" t="s">
        <v>5133</v>
      </c>
      <c r="AJ160" s="98" t="s">
        <v>5134</v>
      </c>
      <c r="AK160" s="98" t="s">
        <v>3153</v>
      </c>
      <c r="AL160" s="101" t="s">
        <v>5078</v>
      </c>
      <c r="AM160" s="98" t="s">
        <v>5926</v>
      </c>
      <c r="AN160" s="98" t="s">
        <v>5079</v>
      </c>
      <c r="AO160" s="98" t="s">
        <v>5080</v>
      </c>
      <c r="AP160" s="102">
        <v>1</v>
      </c>
      <c r="AQ160" s="102">
        <v>2006</v>
      </c>
      <c r="AR160" s="98" t="s">
        <v>5082</v>
      </c>
      <c r="AS160" s="99"/>
      <c r="AT160" s="99"/>
      <c r="AU160" s="98" t="s">
        <v>5228</v>
      </c>
      <c r="AV160" s="95">
        <v>0</v>
      </c>
      <c r="AW160" s="94" t="s">
        <v>5084</v>
      </c>
      <c r="AX160" s="95">
        <v>0</v>
      </c>
      <c r="AY160" s="98" t="s">
        <v>5085</v>
      </c>
      <c r="AZ160" s="102">
        <v>3</v>
      </c>
      <c r="BA160" s="105">
        <v>46239</v>
      </c>
      <c r="BB160" s="93"/>
    </row>
    <row r="161" spans="1:54" ht="13.8">
      <c r="A161" s="94" t="s">
        <v>6391</v>
      </c>
      <c r="B161" s="95" t="s">
        <v>6392</v>
      </c>
      <c r="C161" s="96">
        <v>33924</v>
      </c>
      <c r="D161" s="94" t="s">
        <v>2665</v>
      </c>
      <c r="E161" s="94" t="s">
        <v>1478</v>
      </c>
      <c r="F161" s="97" t="s">
        <v>1437</v>
      </c>
      <c r="G161" s="95">
        <v>4420076047</v>
      </c>
      <c r="H161" s="98" t="s">
        <v>5057</v>
      </c>
      <c r="I161" s="95">
        <v>44192001896</v>
      </c>
      <c r="J161" s="98" t="s">
        <v>5088</v>
      </c>
      <c r="K161" s="95" t="s">
        <v>6393</v>
      </c>
      <c r="L161" s="98" t="s">
        <v>6394</v>
      </c>
      <c r="M161" s="98" t="s">
        <v>6395</v>
      </c>
      <c r="N161" s="98" t="s">
        <v>6396</v>
      </c>
      <c r="O161" s="98" t="s">
        <v>6397</v>
      </c>
      <c r="P161" s="95">
        <v>984835439</v>
      </c>
      <c r="Q161" s="98" t="s">
        <v>6398</v>
      </c>
      <c r="R161" s="98" t="s">
        <v>5094</v>
      </c>
      <c r="S161" s="99"/>
      <c r="T161" s="100">
        <v>43106</v>
      </c>
      <c r="U161" s="100">
        <v>43471</v>
      </c>
      <c r="V161" s="98" t="s">
        <v>5095</v>
      </c>
      <c r="W161" s="98" t="s">
        <v>5068</v>
      </c>
      <c r="X161" s="98" t="s">
        <v>5096</v>
      </c>
      <c r="Y161" s="98" t="s">
        <v>6399</v>
      </c>
      <c r="Z161" s="99"/>
      <c r="AA161" s="99"/>
      <c r="AB161" s="99"/>
      <c r="AC161" s="99"/>
      <c r="AD161" s="99"/>
      <c r="AE161" s="99"/>
      <c r="AF161" s="99"/>
      <c r="AG161" s="95">
        <v>1</v>
      </c>
      <c r="AH161" s="94" t="s">
        <v>5084</v>
      </c>
      <c r="AI161" s="94" t="s">
        <v>5133</v>
      </c>
      <c r="AJ161" s="98" t="s">
        <v>5134</v>
      </c>
      <c r="AK161" s="98" t="s">
        <v>2837</v>
      </c>
      <c r="AL161" s="101" t="s">
        <v>5149</v>
      </c>
      <c r="AM161" s="98" t="s">
        <v>5926</v>
      </c>
      <c r="AN161" s="98" t="s">
        <v>5079</v>
      </c>
      <c r="AO161" s="98" t="s">
        <v>5080</v>
      </c>
      <c r="AP161" s="102">
        <v>1</v>
      </c>
      <c r="AQ161" s="102">
        <v>2018</v>
      </c>
      <c r="AR161" s="99"/>
      <c r="AS161" s="99"/>
      <c r="AT161" s="99"/>
      <c r="AU161" s="98" t="s">
        <v>5220</v>
      </c>
      <c r="AV161" s="99"/>
      <c r="AW161" s="94" t="s">
        <v>5084</v>
      </c>
      <c r="AX161" s="95">
        <v>0</v>
      </c>
      <c r="AY161" s="98" t="s">
        <v>5152</v>
      </c>
      <c r="AZ161" s="102">
        <v>4</v>
      </c>
      <c r="BA161" s="102" t="s">
        <v>5168</v>
      </c>
      <c r="BB161" s="93"/>
    </row>
    <row r="162" spans="1:54" ht="13.8">
      <c r="A162" s="94" t="s">
        <v>6400</v>
      </c>
      <c r="B162" s="95" t="s">
        <v>6401</v>
      </c>
      <c r="C162" s="100">
        <v>31311</v>
      </c>
      <c r="D162" s="94" t="s">
        <v>2665</v>
      </c>
      <c r="E162" s="94" t="s">
        <v>1478</v>
      </c>
      <c r="F162" s="97" t="s">
        <v>1437</v>
      </c>
      <c r="G162" s="95">
        <v>4811044764</v>
      </c>
      <c r="H162" s="98" t="s">
        <v>5057</v>
      </c>
      <c r="I162" s="95">
        <v>48185006279</v>
      </c>
      <c r="J162" s="98" t="s">
        <v>5088</v>
      </c>
      <c r="K162" s="95" t="s">
        <v>5089</v>
      </c>
      <c r="L162" s="98" t="s">
        <v>6402</v>
      </c>
      <c r="M162" s="98" t="s">
        <v>5156</v>
      </c>
      <c r="N162" s="98" t="s">
        <v>6403</v>
      </c>
      <c r="O162" s="98" t="s">
        <v>6403</v>
      </c>
      <c r="P162" s="95">
        <v>989228515</v>
      </c>
      <c r="Q162" s="98" t="s">
        <v>6404</v>
      </c>
      <c r="R162" s="98" t="s">
        <v>5094</v>
      </c>
      <c r="S162" s="98" t="s">
        <v>5116</v>
      </c>
      <c r="T162" s="100">
        <v>40553</v>
      </c>
      <c r="U162" s="100">
        <v>40918</v>
      </c>
      <c r="V162" s="98" t="s">
        <v>5095</v>
      </c>
      <c r="W162" s="98" t="s">
        <v>5068</v>
      </c>
      <c r="X162" s="98" t="s">
        <v>5096</v>
      </c>
      <c r="Y162" s="98" t="s">
        <v>5068</v>
      </c>
      <c r="Z162" s="99"/>
      <c r="AA162" s="99"/>
      <c r="AB162" s="99"/>
      <c r="AC162" s="99"/>
      <c r="AD162" s="99"/>
      <c r="AE162" s="95" t="s">
        <v>5161</v>
      </c>
      <c r="AF162" s="99"/>
      <c r="AG162" s="95">
        <v>1</v>
      </c>
      <c r="AH162" s="94" t="s">
        <v>5084</v>
      </c>
      <c r="AI162" s="94" t="s">
        <v>5133</v>
      </c>
      <c r="AJ162" s="98" t="s">
        <v>5134</v>
      </c>
      <c r="AK162" s="98" t="s">
        <v>2837</v>
      </c>
      <c r="AL162" s="101" t="s">
        <v>5149</v>
      </c>
      <c r="AM162" s="98" t="s">
        <v>5926</v>
      </c>
      <c r="AN162" s="98" t="s">
        <v>5079</v>
      </c>
      <c r="AO162" s="98" t="s">
        <v>5080</v>
      </c>
      <c r="AP162" s="102">
        <v>1</v>
      </c>
      <c r="AQ162" s="102">
        <v>2011</v>
      </c>
      <c r="AR162" s="98" t="s">
        <v>5200</v>
      </c>
      <c r="AS162" s="99"/>
      <c r="AT162" s="98" t="s">
        <v>5083</v>
      </c>
      <c r="AU162" s="98" t="s">
        <v>5228</v>
      </c>
      <c r="AV162" s="95">
        <v>0</v>
      </c>
      <c r="AW162" s="94" t="s">
        <v>5084</v>
      </c>
      <c r="AX162" s="95">
        <v>0</v>
      </c>
      <c r="AY162" s="98" t="s">
        <v>5152</v>
      </c>
      <c r="AZ162" s="102">
        <v>5</v>
      </c>
      <c r="BA162" s="102" t="s">
        <v>5153</v>
      </c>
      <c r="BB162" s="93"/>
    </row>
    <row r="163" spans="1:54" ht="13.8">
      <c r="A163" s="94" t="s">
        <v>6405</v>
      </c>
      <c r="B163" s="95" t="s">
        <v>6406</v>
      </c>
      <c r="C163" s="100">
        <v>22891</v>
      </c>
      <c r="D163" s="94" t="s">
        <v>2656</v>
      </c>
      <c r="E163" s="94" t="s">
        <v>1478</v>
      </c>
      <c r="F163" s="97" t="s">
        <v>1437</v>
      </c>
      <c r="G163" s="95">
        <v>3496041014</v>
      </c>
      <c r="H163" s="98" t="s">
        <v>5057</v>
      </c>
      <c r="I163" s="95">
        <v>44062019933</v>
      </c>
      <c r="J163" s="98" t="s">
        <v>5088</v>
      </c>
      <c r="K163" s="104">
        <v>44805</v>
      </c>
      <c r="L163" s="98" t="s">
        <v>6407</v>
      </c>
      <c r="M163" s="98" t="s">
        <v>6408</v>
      </c>
      <c r="N163" s="98" t="s">
        <v>6409</v>
      </c>
      <c r="O163" s="98" t="s">
        <v>6409</v>
      </c>
      <c r="P163" s="95">
        <v>983171461</v>
      </c>
      <c r="Q163" s="98" t="s">
        <v>6410</v>
      </c>
      <c r="R163" s="98" t="s">
        <v>5094</v>
      </c>
      <c r="S163" s="99"/>
      <c r="T163" s="100">
        <v>41645</v>
      </c>
      <c r="U163" s="100">
        <v>42649</v>
      </c>
      <c r="V163" s="98" t="s">
        <v>5095</v>
      </c>
      <c r="W163" s="98" t="s">
        <v>5068</v>
      </c>
      <c r="X163" s="98" t="s">
        <v>5096</v>
      </c>
      <c r="Y163" s="98" t="s">
        <v>5066</v>
      </c>
      <c r="Z163" s="99"/>
      <c r="AA163" s="99"/>
      <c r="AB163" s="99"/>
      <c r="AC163" s="98" t="s">
        <v>6411</v>
      </c>
      <c r="AD163" s="98" t="s">
        <v>6412</v>
      </c>
      <c r="AE163" s="95" t="s">
        <v>6413</v>
      </c>
      <c r="AF163" s="98" t="s">
        <v>5590</v>
      </c>
      <c r="AG163" s="95">
        <v>1</v>
      </c>
      <c r="AH163" s="94" t="s">
        <v>5074</v>
      </c>
      <c r="AI163" s="94" t="s">
        <v>5133</v>
      </c>
      <c r="AJ163" s="98" t="s">
        <v>5134</v>
      </c>
      <c r="AK163" s="98" t="s">
        <v>6414</v>
      </c>
      <c r="AL163" s="101" t="s">
        <v>5104</v>
      </c>
      <c r="AM163" s="98" t="s">
        <v>5792</v>
      </c>
      <c r="AN163" s="98" t="s">
        <v>5079</v>
      </c>
      <c r="AO163" s="98" t="s">
        <v>5080</v>
      </c>
      <c r="AP163" s="102">
        <v>811</v>
      </c>
      <c r="AQ163" s="102">
        <v>2013</v>
      </c>
      <c r="AR163" s="98" t="s">
        <v>5082</v>
      </c>
      <c r="AS163" s="99"/>
      <c r="AT163" s="98" t="s">
        <v>5083</v>
      </c>
      <c r="AU163" s="98" t="s">
        <v>5107</v>
      </c>
      <c r="AV163" s="95">
        <v>2024</v>
      </c>
      <c r="AW163" s="94" t="s">
        <v>5108</v>
      </c>
      <c r="AX163" s="95">
        <v>0</v>
      </c>
      <c r="AY163" s="98" t="s">
        <v>5109</v>
      </c>
      <c r="AZ163" s="102">
        <v>3</v>
      </c>
      <c r="BA163" s="102" t="s">
        <v>5110</v>
      </c>
      <c r="BB163" s="93"/>
    </row>
    <row r="164" spans="1:54" ht="13.8">
      <c r="A164" s="94" t="s">
        <v>4842</v>
      </c>
      <c r="B164" s="95" t="s">
        <v>6415</v>
      </c>
      <c r="C164" s="100">
        <v>31554</v>
      </c>
      <c r="D164" s="94" t="s">
        <v>2665</v>
      </c>
      <c r="E164" s="94" t="s">
        <v>1478</v>
      </c>
      <c r="F164" s="97" t="s">
        <v>1437</v>
      </c>
      <c r="G164" s="95">
        <v>498004495</v>
      </c>
      <c r="H164" s="98" t="s">
        <v>5057</v>
      </c>
      <c r="I164" s="95">
        <v>40175022223</v>
      </c>
      <c r="J164" s="98" t="s">
        <v>5088</v>
      </c>
      <c r="K164" s="95" t="s">
        <v>5089</v>
      </c>
      <c r="L164" s="98" t="s">
        <v>6416</v>
      </c>
      <c r="M164" s="98" t="s">
        <v>6417</v>
      </c>
      <c r="N164" s="98" t="s">
        <v>6418</v>
      </c>
      <c r="O164" s="98" t="s">
        <v>6419</v>
      </c>
      <c r="P164" s="95">
        <v>983481171</v>
      </c>
      <c r="Q164" s="98" t="s">
        <v>6420</v>
      </c>
      <c r="R164" s="98" t="s">
        <v>5094</v>
      </c>
      <c r="S164" s="99"/>
      <c r="T164" s="100">
        <v>38245</v>
      </c>
      <c r="U164" s="100">
        <v>36526</v>
      </c>
      <c r="V164" s="98" t="s">
        <v>5095</v>
      </c>
      <c r="W164" s="98" t="s">
        <v>5068</v>
      </c>
      <c r="X164" s="98" t="s">
        <v>5096</v>
      </c>
      <c r="Y164" s="98" t="s">
        <v>5068</v>
      </c>
      <c r="Z164" s="99"/>
      <c r="AA164" s="99"/>
      <c r="AB164" s="99"/>
      <c r="AC164" s="99"/>
      <c r="AD164" s="99"/>
      <c r="AE164" s="95" t="s">
        <v>6421</v>
      </c>
      <c r="AF164" s="99"/>
      <c r="AG164" s="95">
        <v>1</v>
      </c>
      <c r="AH164" s="94" t="s">
        <v>5074</v>
      </c>
      <c r="AI164" s="94" t="s">
        <v>5133</v>
      </c>
      <c r="AJ164" s="98" t="s">
        <v>5134</v>
      </c>
      <c r="AK164" s="98" t="s">
        <v>2837</v>
      </c>
      <c r="AL164" s="101" t="s">
        <v>5149</v>
      </c>
      <c r="AM164" s="98" t="s">
        <v>5926</v>
      </c>
      <c r="AN164" s="98" t="s">
        <v>5079</v>
      </c>
      <c r="AO164" s="98" t="s">
        <v>5080</v>
      </c>
      <c r="AP164" s="102">
        <v>1</v>
      </c>
      <c r="AQ164" s="102">
        <v>2014</v>
      </c>
      <c r="AR164" s="98" t="s">
        <v>5200</v>
      </c>
      <c r="AS164" s="99"/>
      <c r="AT164" s="99"/>
      <c r="AU164" s="98" t="s">
        <v>5220</v>
      </c>
      <c r="AV164" s="95">
        <v>0</v>
      </c>
      <c r="AW164" s="94" t="s">
        <v>5074</v>
      </c>
      <c r="AX164" s="95">
        <v>0</v>
      </c>
      <c r="AY164" s="98" t="s">
        <v>5152</v>
      </c>
      <c r="AZ164" s="102">
        <v>6</v>
      </c>
      <c r="BA164" s="102" t="s">
        <v>5260</v>
      </c>
      <c r="BB164" s="93"/>
    </row>
    <row r="165" spans="1:54" ht="13.8">
      <c r="A165" s="94" t="s">
        <v>6422</v>
      </c>
      <c r="B165" s="95" t="s">
        <v>4843</v>
      </c>
      <c r="C165" s="100">
        <v>27620</v>
      </c>
      <c r="D165" s="94" t="s">
        <v>2665</v>
      </c>
      <c r="E165" s="94" t="s">
        <v>1478</v>
      </c>
      <c r="F165" s="97" t="s">
        <v>1437</v>
      </c>
      <c r="G165" s="95">
        <v>4810031413</v>
      </c>
      <c r="H165" s="98" t="s">
        <v>5057</v>
      </c>
      <c r="I165" s="95">
        <v>48186004694</v>
      </c>
      <c r="J165" s="98" t="s">
        <v>5088</v>
      </c>
      <c r="K165" s="104">
        <v>45299</v>
      </c>
      <c r="L165" s="98" t="s">
        <v>6423</v>
      </c>
      <c r="M165" s="98" t="s">
        <v>6424</v>
      </c>
      <c r="N165" s="98" t="s">
        <v>6425</v>
      </c>
      <c r="O165" s="98" t="s">
        <v>6425</v>
      </c>
      <c r="P165" s="95">
        <v>985970727</v>
      </c>
      <c r="Q165" s="98" t="s">
        <v>6426</v>
      </c>
      <c r="R165" s="98" t="s">
        <v>5094</v>
      </c>
      <c r="S165" s="99"/>
      <c r="T165" s="100">
        <v>40189</v>
      </c>
      <c r="U165" s="100">
        <v>40911</v>
      </c>
      <c r="V165" s="98" t="s">
        <v>5095</v>
      </c>
      <c r="W165" s="98" t="s">
        <v>5068</v>
      </c>
      <c r="X165" s="98" t="s">
        <v>5096</v>
      </c>
      <c r="Y165" s="98" t="s">
        <v>5068</v>
      </c>
      <c r="Z165" s="99"/>
      <c r="AA165" s="99"/>
      <c r="AB165" s="111"/>
      <c r="AC165" s="99"/>
      <c r="AD165" s="99"/>
      <c r="AE165" s="95" t="s">
        <v>5161</v>
      </c>
      <c r="AF165" s="99"/>
      <c r="AG165" s="95">
        <v>1</v>
      </c>
      <c r="AH165" s="94" t="s">
        <v>5084</v>
      </c>
      <c r="AI165" s="94" t="s">
        <v>5133</v>
      </c>
      <c r="AJ165" s="98" t="s">
        <v>5134</v>
      </c>
      <c r="AK165" s="98" t="s">
        <v>2837</v>
      </c>
      <c r="AL165" s="101" t="s">
        <v>5149</v>
      </c>
      <c r="AM165" s="98" t="s">
        <v>5865</v>
      </c>
      <c r="AN165" s="98" t="s">
        <v>5079</v>
      </c>
      <c r="AO165" s="98" t="s">
        <v>5080</v>
      </c>
      <c r="AP165" s="102">
        <v>922</v>
      </c>
      <c r="AQ165" s="99"/>
      <c r="AR165" s="98" t="s">
        <v>5200</v>
      </c>
      <c r="AS165" s="99"/>
      <c r="AT165" s="99"/>
      <c r="AU165" s="99"/>
      <c r="AV165" s="95">
        <v>0</v>
      </c>
      <c r="AW165" s="94" t="s">
        <v>5084</v>
      </c>
      <c r="AX165" s="95">
        <v>0</v>
      </c>
      <c r="AY165" s="98" t="s">
        <v>5152</v>
      </c>
      <c r="AZ165" s="102">
        <v>4</v>
      </c>
      <c r="BA165" s="102" t="s">
        <v>5168</v>
      </c>
      <c r="BB165" s="93"/>
    </row>
    <row r="166" spans="1:54" ht="13.8">
      <c r="A166" s="94" t="s">
        <v>6427</v>
      </c>
      <c r="B166" s="95" t="s">
        <v>6428</v>
      </c>
      <c r="C166" s="100">
        <v>33876</v>
      </c>
      <c r="D166" s="94" t="s">
        <v>2665</v>
      </c>
      <c r="E166" s="94" t="s">
        <v>1478</v>
      </c>
      <c r="F166" s="97" t="s">
        <v>1437</v>
      </c>
      <c r="G166" s="95">
        <v>4820109063</v>
      </c>
      <c r="H166" s="98" t="s">
        <v>5057</v>
      </c>
      <c r="I166" s="95">
        <v>48192005731</v>
      </c>
      <c r="J166" s="98" t="s">
        <v>5182</v>
      </c>
      <c r="K166" s="114">
        <v>44511</v>
      </c>
      <c r="L166" s="98" t="s">
        <v>6429</v>
      </c>
      <c r="M166" s="98" t="s">
        <v>5156</v>
      </c>
      <c r="N166" s="98" t="s">
        <v>6430</v>
      </c>
      <c r="O166" s="98" t="s">
        <v>6430</v>
      </c>
      <c r="P166" s="95">
        <v>905006648</v>
      </c>
      <c r="Q166" s="98" t="s">
        <v>6431</v>
      </c>
      <c r="R166" s="98" t="s">
        <v>5094</v>
      </c>
      <c r="S166" s="99"/>
      <c r="T166" s="100">
        <v>45658</v>
      </c>
      <c r="U166" s="100">
        <v>46023</v>
      </c>
      <c r="V166" s="99"/>
      <c r="W166" s="98" t="s">
        <v>5142</v>
      </c>
      <c r="X166" s="98" t="s">
        <v>5187</v>
      </c>
      <c r="Y166" s="99"/>
      <c r="Z166" s="99"/>
      <c r="AA166" s="99"/>
      <c r="AB166" s="99"/>
      <c r="AC166" s="99"/>
      <c r="AD166" s="99"/>
      <c r="AE166" s="99"/>
      <c r="AF166" s="99"/>
      <c r="AG166" s="95">
        <v>0</v>
      </c>
      <c r="AH166" s="94" t="s">
        <v>5162</v>
      </c>
      <c r="AI166" s="106"/>
      <c r="AJ166" s="99"/>
      <c r="AK166" s="98" t="s">
        <v>2972</v>
      </c>
      <c r="AL166" s="101" t="s">
        <v>5142</v>
      </c>
      <c r="AM166" s="99"/>
      <c r="AN166" s="98" t="s">
        <v>5079</v>
      </c>
      <c r="AO166" s="98" t="s">
        <v>5080</v>
      </c>
      <c r="AP166" s="98" t="s">
        <v>5188</v>
      </c>
      <c r="AQ166" s="102">
        <v>2014</v>
      </c>
      <c r="AR166" s="99"/>
      <c r="AS166" s="99"/>
      <c r="AT166" s="99"/>
      <c r="AU166" s="98" t="s">
        <v>5228</v>
      </c>
      <c r="AV166" s="99"/>
      <c r="AW166" s="94" t="s">
        <v>5162</v>
      </c>
      <c r="AX166" s="95">
        <v>0</v>
      </c>
      <c r="AY166" s="98" t="s">
        <v>5167</v>
      </c>
      <c r="AZ166" s="102">
        <v>1</v>
      </c>
      <c r="BA166" s="102" t="s">
        <v>5189</v>
      </c>
      <c r="BB166" s="93"/>
    </row>
    <row r="167" spans="1:54" ht="13.8">
      <c r="A167" s="94" t="s">
        <v>6432</v>
      </c>
      <c r="B167" s="95" t="s">
        <v>6433</v>
      </c>
      <c r="C167" s="100">
        <v>31848</v>
      </c>
      <c r="D167" s="94" t="s">
        <v>2656</v>
      </c>
      <c r="E167" s="94" t="s">
        <v>1478</v>
      </c>
      <c r="F167" s="97" t="s">
        <v>1437</v>
      </c>
      <c r="G167" s="95">
        <v>8214025021</v>
      </c>
      <c r="H167" s="98" t="s">
        <v>5057</v>
      </c>
      <c r="I167" s="95">
        <v>38086042608</v>
      </c>
      <c r="J167" s="98" t="s">
        <v>5088</v>
      </c>
      <c r="K167" s="95" t="s">
        <v>6434</v>
      </c>
      <c r="L167" s="98" t="s">
        <v>6435</v>
      </c>
      <c r="M167" s="98" t="s">
        <v>6436</v>
      </c>
      <c r="N167" s="98" t="s">
        <v>6436</v>
      </c>
      <c r="O167" s="98" t="s">
        <v>6437</v>
      </c>
      <c r="P167" s="95">
        <v>975098638</v>
      </c>
      <c r="Q167" s="98" t="s">
        <v>6438</v>
      </c>
      <c r="R167" s="98" t="s">
        <v>5094</v>
      </c>
      <c r="S167" s="99"/>
      <c r="T167" s="100">
        <v>43842</v>
      </c>
      <c r="U167" s="100">
        <v>43842</v>
      </c>
      <c r="V167" s="99"/>
      <c r="W167" s="98" t="s">
        <v>5068</v>
      </c>
      <c r="X167" s="98" t="s">
        <v>5187</v>
      </c>
      <c r="Y167" s="99"/>
      <c r="Z167" s="99"/>
      <c r="AA167" s="99"/>
      <c r="AB167" s="99"/>
      <c r="AC167" s="99"/>
      <c r="AD167" s="99"/>
      <c r="AE167" s="99"/>
      <c r="AF167" s="99"/>
      <c r="AG167" s="95">
        <v>0</v>
      </c>
      <c r="AH167" s="94" t="s">
        <v>5074</v>
      </c>
      <c r="AI167" s="94" t="s">
        <v>5133</v>
      </c>
      <c r="AJ167" s="98" t="s">
        <v>5134</v>
      </c>
      <c r="AK167" s="98" t="s">
        <v>2837</v>
      </c>
      <c r="AL167" s="101" t="s">
        <v>5104</v>
      </c>
      <c r="AM167" s="99"/>
      <c r="AN167" s="98" t="s">
        <v>5079</v>
      </c>
      <c r="AO167" s="98" t="s">
        <v>5080</v>
      </c>
      <c r="AP167" s="98" t="s">
        <v>5425</v>
      </c>
      <c r="AQ167" s="102">
        <v>2014</v>
      </c>
      <c r="AR167" s="99"/>
      <c r="AS167" s="98" t="s">
        <v>5561</v>
      </c>
      <c r="AT167" s="98" t="s">
        <v>5083</v>
      </c>
      <c r="AU167" s="98" t="s">
        <v>5135</v>
      </c>
      <c r="AV167" s="99"/>
      <c r="AW167" s="94" t="s">
        <v>5108</v>
      </c>
      <c r="AX167" s="95">
        <v>0</v>
      </c>
      <c r="AY167" s="98" t="s">
        <v>5152</v>
      </c>
      <c r="AZ167" s="102">
        <v>5</v>
      </c>
      <c r="BA167" s="102" t="s">
        <v>5153</v>
      </c>
      <c r="BB167" s="93"/>
    </row>
    <row r="168" spans="1:54" ht="13.8">
      <c r="A168" s="94" t="s">
        <v>6439</v>
      </c>
      <c r="B168" s="95" t="s">
        <v>6440</v>
      </c>
      <c r="C168" s="100">
        <v>31414</v>
      </c>
      <c r="D168" s="94" t="s">
        <v>2656</v>
      </c>
      <c r="E168" s="94" t="s">
        <v>1478</v>
      </c>
      <c r="F168" s="97" t="s">
        <v>1437</v>
      </c>
      <c r="G168" s="95">
        <v>4813014195</v>
      </c>
      <c r="H168" s="98" t="s">
        <v>5057</v>
      </c>
      <c r="I168" s="95">
        <v>49087012179</v>
      </c>
      <c r="J168" s="98" t="s">
        <v>5088</v>
      </c>
      <c r="K168" s="104">
        <v>44779</v>
      </c>
      <c r="L168" s="98" t="s">
        <v>6441</v>
      </c>
      <c r="M168" s="98" t="s">
        <v>5193</v>
      </c>
      <c r="N168" s="98" t="s">
        <v>6442</v>
      </c>
      <c r="O168" s="98" t="s">
        <v>6442</v>
      </c>
      <c r="P168" s="95">
        <v>775940087</v>
      </c>
      <c r="Q168" s="99"/>
      <c r="R168" s="98" t="s">
        <v>5094</v>
      </c>
      <c r="S168" s="99"/>
      <c r="T168" s="100">
        <v>41278</v>
      </c>
      <c r="U168" s="100">
        <v>41643</v>
      </c>
      <c r="V168" s="98" t="s">
        <v>5805</v>
      </c>
      <c r="W168" s="98" t="s">
        <v>5068</v>
      </c>
      <c r="X168" s="98" t="s">
        <v>5096</v>
      </c>
      <c r="Y168" s="99"/>
      <c r="Z168" s="99"/>
      <c r="AA168" s="99"/>
      <c r="AB168" s="95" t="s">
        <v>5161</v>
      </c>
      <c r="AC168" s="99"/>
      <c r="AD168" s="99"/>
      <c r="AE168" s="95" t="s">
        <v>5161</v>
      </c>
      <c r="AF168" s="99"/>
      <c r="AG168" s="95">
        <v>1</v>
      </c>
      <c r="AH168" s="94" t="s">
        <v>5084</v>
      </c>
      <c r="AI168" s="94" t="s">
        <v>5133</v>
      </c>
      <c r="AJ168" s="98" t="s">
        <v>5134</v>
      </c>
      <c r="AK168" s="98" t="s">
        <v>6443</v>
      </c>
      <c r="AL168" s="101" t="s">
        <v>5149</v>
      </c>
      <c r="AM168" s="99"/>
      <c r="AN168" s="98" t="s">
        <v>5079</v>
      </c>
      <c r="AO168" s="98" t="s">
        <v>5591</v>
      </c>
      <c r="AP168" s="98" t="s">
        <v>6444</v>
      </c>
      <c r="AQ168" s="102">
        <v>2019</v>
      </c>
      <c r="AR168" s="99"/>
      <c r="AS168" s="99"/>
      <c r="AT168" s="99"/>
      <c r="AU168" s="99"/>
      <c r="AV168" s="95">
        <v>2025</v>
      </c>
      <c r="AW168" s="94" t="s">
        <v>5084</v>
      </c>
      <c r="AX168" s="95">
        <v>0</v>
      </c>
      <c r="AY168" s="98" t="s">
        <v>5109</v>
      </c>
      <c r="AZ168" s="102">
        <v>1</v>
      </c>
      <c r="BA168" s="110">
        <v>46059</v>
      </c>
      <c r="BB168" s="93"/>
    </row>
    <row r="169" spans="1:54" ht="13.8">
      <c r="A169" s="94" t="s">
        <v>6445</v>
      </c>
      <c r="B169" s="95" t="s">
        <v>6446</v>
      </c>
      <c r="C169" s="100">
        <v>29409</v>
      </c>
      <c r="D169" s="94" t="s">
        <v>2656</v>
      </c>
      <c r="E169" s="94" t="s">
        <v>1478</v>
      </c>
      <c r="F169" s="97" t="s">
        <v>1437</v>
      </c>
      <c r="G169" s="95">
        <v>6307001066</v>
      </c>
      <c r="H169" s="98" t="s">
        <v>5057</v>
      </c>
      <c r="I169" s="95">
        <v>42080015292</v>
      </c>
      <c r="J169" s="98" t="s">
        <v>5088</v>
      </c>
      <c r="K169" s="104">
        <v>44778</v>
      </c>
      <c r="L169" s="98" t="s">
        <v>6447</v>
      </c>
      <c r="M169" s="98" t="s">
        <v>6448</v>
      </c>
      <c r="N169" s="98" t="s">
        <v>6449</v>
      </c>
      <c r="O169" s="98" t="s">
        <v>6450</v>
      </c>
      <c r="P169" s="95">
        <v>949195959</v>
      </c>
      <c r="Q169" s="98" t="s">
        <v>6451</v>
      </c>
      <c r="R169" s="98" t="s">
        <v>5094</v>
      </c>
      <c r="S169" s="98" t="s">
        <v>5116</v>
      </c>
      <c r="T169" s="100">
        <v>44199</v>
      </c>
      <c r="U169" s="109"/>
      <c r="V169" s="99"/>
      <c r="W169" s="98" t="s">
        <v>5068</v>
      </c>
      <c r="X169" s="98" t="s">
        <v>5187</v>
      </c>
      <c r="Y169" s="99"/>
      <c r="Z169" s="99"/>
      <c r="AA169" s="99"/>
      <c r="AB169" s="99"/>
      <c r="AC169" s="99"/>
      <c r="AD169" s="99"/>
      <c r="AE169" s="104">
        <v>37505</v>
      </c>
      <c r="AF169" s="99"/>
      <c r="AG169" s="95">
        <v>0</v>
      </c>
      <c r="AH169" s="94" t="s">
        <v>5074</v>
      </c>
      <c r="AI169" s="94" t="s">
        <v>5133</v>
      </c>
      <c r="AJ169" s="98" t="s">
        <v>5134</v>
      </c>
      <c r="AK169" s="98" t="s">
        <v>6452</v>
      </c>
      <c r="AL169" s="101" t="s">
        <v>5078</v>
      </c>
      <c r="AM169" s="99"/>
      <c r="AN169" s="98" t="s">
        <v>5079</v>
      </c>
      <c r="AO169" s="98" t="s">
        <v>5080</v>
      </c>
      <c r="AP169" s="98" t="s">
        <v>5552</v>
      </c>
      <c r="AQ169" s="99"/>
      <c r="AR169" s="98" t="s">
        <v>5106</v>
      </c>
      <c r="AS169" s="99"/>
      <c r="AT169" s="98" t="s">
        <v>5083</v>
      </c>
      <c r="AU169" s="98" t="s">
        <v>5151</v>
      </c>
      <c r="AV169" s="99"/>
      <c r="AW169" s="94" t="s">
        <v>5074</v>
      </c>
      <c r="AX169" s="95">
        <v>0</v>
      </c>
      <c r="AY169" s="98" t="s">
        <v>5085</v>
      </c>
      <c r="AZ169" s="102">
        <v>3</v>
      </c>
      <c r="BA169" s="105">
        <v>46239</v>
      </c>
      <c r="BB169" s="93"/>
    </row>
    <row r="170" spans="1:54" ht="13.8">
      <c r="A170" s="94" t="s">
        <v>6453</v>
      </c>
      <c r="B170" s="95" t="s">
        <v>6454</v>
      </c>
      <c r="C170" s="100">
        <v>32044</v>
      </c>
      <c r="D170" s="94" t="s">
        <v>2665</v>
      </c>
      <c r="E170" s="94" t="s">
        <v>1478</v>
      </c>
      <c r="F170" s="97" t="s">
        <v>1437</v>
      </c>
      <c r="G170" s="95">
        <v>4810031408</v>
      </c>
      <c r="H170" s="98" t="s">
        <v>5057</v>
      </c>
      <c r="I170" s="95">
        <v>49187019011</v>
      </c>
      <c r="J170" s="98" t="s">
        <v>5088</v>
      </c>
      <c r="K170" s="104">
        <v>44896</v>
      </c>
      <c r="L170" s="98" t="s">
        <v>6455</v>
      </c>
      <c r="M170" s="98" t="s">
        <v>6456</v>
      </c>
      <c r="N170" s="98" t="s">
        <v>6457</v>
      </c>
      <c r="O170" s="98" t="s">
        <v>6457</v>
      </c>
      <c r="P170" s="95">
        <v>868578929</v>
      </c>
      <c r="Q170" s="98" t="s">
        <v>6458</v>
      </c>
      <c r="R170" s="98" t="s">
        <v>5094</v>
      </c>
      <c r="S170" s="99"/>
      <c r="T170" s="100">
        <v>40189</v>
      </c>
      <c r="U170" s="100">
        <v>40554</v>
      </c>
      <c r="V170" s="98" t="s">
        <v>5095</v>
      </c>
      <c r="W170" s="98" t="s">
        <v>5068</v>
      </c>
      <c r="X170" s="98" t="s">
        <v>5096</v>
      </c>
      <c r="Y170" s="98" t="s">
        <v>5068</v>
      </c>
      <c r="Z170" s="99"/>
      <c r="AA170" s="99"/>
      <c r="AB170" s="95" t="s">
        <v>5161</v>
      </c>
      <c r="AC170" s="99"/>
      <c r="AD170" s="99"/>
      <c r="AE170" s="95" t="s">
        <v>5161</v>
      </c>
      <c r="AF170" s="99"/>
      <c r="AG170" s="95">
        <v>1</v>
      </c>
      <c r="AH170" s="94" t="s">
        <v>5084</v>
      </c>
      <c r="AI170" s="94" t="s">
        <v>5133</v>
      </c>
      <c r="AJ170" s="98" t="s">
        <v>5134</v>
      </c>
      <c r="AK170" s="98" t="s">
        <v>2837</v>
      </c>
      <c r="AL170" s="101" t="s">
        <v>5149</v>
      </c>
      <c r="AM170" s="99"/>
      <c r="AN170" s="98" t="s">
        <v>5079</v>
      </c>
      <c r="AO170" s="98" t="s">
        <v>5080</v>
      </c>
      <c r="AP170" s="98" t="s">
        <v>5425</v>
      </c>
      <c r="AQ170" s="102">
        <v>2013</v>
      </c>
      <c r="AR170" s="98" t="s">
        <v>5200</v>
      </c>
      <c r="AS170" s="99"/>
      <c r="AT170" s="98" t="s">
        <v>5083</v>
      </c>
      <c r="AU170" s="99"/>
      <c r="AV170" s="95">
        <v>0</v>
      </c>
      <c r="AW170" s="94" t="s">
        <v>5084</v>
      </c>
      <c r="AX170" s="95">
        <v>0</v>
      </c>
      <c r="AY170" s="98" t="s">
        <v>5152</v>
      </c>
      <c r="AZ170" s="102">
        <v>5</v>
      </c>
      <c r="BA170" s="102" t="s">
        <v>5153</v>
      </c>
      <c r="BB170" s="93"/>
    </row>
    <row r="171" spans="1:54" ht="13.8">
      <c r="A171" s="94" t="s">
        <v>6459</v>
      </c>
      <c r="B171" s="95" t="s">
        <v>6460</v>
      </c>
      <c r="C171" s="100">
        <v>31454</v>
      </c>
      <c r="D171" s="94" t="s">
        <v>2665</v>
      </c>
      <c r="E171" s="94" t="s">
        <v>1478</v>
      </c>
      <c r="F171" s="97" t="s">
        <v>1437</v>
      </c>
      <c r="G171" s="95">
        <v>4811044765</v>
      </c>
      <c r="H171" s="98" t="s">
        <v>5057</v>
      </c>
      <c r="I171" s="95">
        <v>49186014714</v>
      </c>
      <c r="J171" s="98" t="s">
        <v>5088</v>
      </c>
      <c r="K171" s="95" t="s">
        <v>6461</v>
      </c>
      <c r="L171" s="98" t="s">
        <v>6462</v>
      </c>
      <c r="M171" s="98" t="s">
        <v>6463</v>
      </c>
      <c r="N171" s="98" t="s">
        <v>6464</v>
      </c>
      <c r="O171" s="98" t="s">
        <v>6464</v>
      </c>
      <c r="P171" s="95">
        <v>935010355</v>
      </c>
      <c r="Q171" s="98" t="s">
        <v>6465</v>
      </c>
      <c r="R171" s="98" t="s">
        <v>5094</v>
      </c>
      <c r="S171" s="99"/>
      <c r="T171" s="100">
        <v>43110</v>
      </c>
      <c r="U171" s="100">
        <v>40918</v>
      </c>
      <c r="V171" s="98" t="s">
        <v>5095</v>
      </c>
      <c r="W171" s="98" t="s">
        <v>5068</v>
      </c>
      <c r="X171" s="98" t="s">
        <v>5187</v>
      </c>
      <c r="Y171" s="98" t="s">
        <v>5068</v>
      </c>
      <c r="Z171" s="99"/>
      <c r="AA171" s="99"/>
      <c r="AB171" s="99"/>
      <c r="AC171" s="99"/>
      <c r="AD171" s="98" t="s">
        <v>5510</v>
      </c>
      <c r="AE171" s="95" t="s">
        <v>5161</v>
      </c>
      <c r="AF171" s="99"/>
      <c r="AG171" s="95">
        <v>1</v>
      </c>
      <c r="AH171" s="94" t="s">
        <v>5074</v>
      </c>
      <c r="AI171" s="94" t="s">
        <v>5101</v>
      </c>
      <c r="AJ171" s="98" t="s">
        <v>5320</v>
      </c>
      <c r="AK171" s="98" t="s">
        <v>6466</v>
      </c>
      <c r="AL171" s="101" t="s">
        <v>5104</v>
      </c>
      <c r="AM171" s="98" t="s">
        <v>5865</v>
      </c>
      <c r="AN171" s="98" t="s">
        <v>5079</v>
      </c>
      <c r="AO171" s="98" t="s">
        <v>2931</v>
      </c>
      <c r="AP171" s="102">
        <v>922</v>
      </c>
      <c r="AQ171" s="102">
        <v>2017</v>
      </c>
      <c r="AR171" s="99"/>
      <c r="AS171" s="99"/>
      <c r="AT171" s="98" t="s">
        <v>5083</v>
      </c>
      <c r="AU171" s="98" t="s">
        <v>5228</v>
      </c>
      <c r="AV171" s="95">
        <v>2023</v>
      </c>
      <c r="AW171" s="94" t="s">
        <v>5108</v>
      </c>
      <c r="AX171" s="95">
        <v>0</v>
      </c>
      <c r="AY171" s="98" t="s">
        <v>5109</v>
      </c>
      <c r="AZ171" s="102">
        <v>1</v>
      </c>
      <c r="BA171" s="110">
        <v>46059</v>
      </c>
      <c r="BB171" s="93"/>
    </row>
    <row r="172" spans="1:54" ht="13.8">
      <c r="A172" s="94" t="s">
        <v>6467</v>
      </c>
      <c r="B172" s="95" t="s">
        <v>6468</v>
      </c>
      <c r="C172" s="100">
        <v>31591</v>
      </c>
      <c r="D172" s="94" t="s">
        <v>2665</v>
      </c>
      <c r="E172" s="94" t="s">
        <v>1478</v>
      </c>
      <c r="F172" s="97" t="s">
        <v>1437</v>
      </c>
      <c r="G172" s="95">
        <v>4812040869</v>
      </c>
      <c r="H172" s="98" t="s">
        <v>5057</v>
      </c>
      <c r="I172" s="95">
        <v>48186003068</v>
      </c>
      <c r="J172" s="98" t="s">
        <v>5088</v>
      </c>
      <c r="K172" s="95" t="s">
        <v>5089</v>
      </c>
      <c r="L172" s="98" t="s">
        <v>6469</v>
      </c>
      <c r="M172" s="98" t="s">
        <v>5156</v>
      </c>
      <c r="N172" s="98" t="s">
        <v>6470</v>
      </c>
      <c r="O172" s="98" t="s">
        <v>6470</v>
      </c>
      <c r="P172" s="95">
        <v>905499803</v>
      </c>
      <c r="Q172" s="98" t="s">
        <v>6471</v>
      </c>
      <c r="R172" s="98" t="s">
        <v>5094</v>
      </c>
      <c r="S172" s="99"/>
      <c r="T172" s="100">
        <v>40916</v>
      </c>
      <c r="U172" s="100">
        <v>41286</v>
      </c>
      <c r="V172" s="98" t="s">
        <v>5095</v>
      </c>
      <c r="W172" s="98" t="s">
        <v>5068</v>
      </c>
      <c r="X172" s="98" t="s">
        <v>5096</v>
      </c>
      <c r="Y172" s="98" t="s">
        <v>5068</v>
      </c>
      <c r="Z172" s="99"/>
      <c r="AA172" s="99"/>
      <c r="AB172" s="95" t="s">
        <v>5161</v>
      </c>
      <c r="AC172" s="98" t="s">
        <v>6472</v>
      </c>
      <c r="AD172" s="99"/>
      <c r="AE172" s="95" t="s">
        <v>5161</v>
      </c>
      <c r="AF172" s="99"/>
      <c r="AG172" s="95">
        <v>1</v>
      </c>
      <c r="AH172" s="94" t="s">
        <v>5074</v>
      </c>
      <c r="AI172" s="94" t="s">
        <v>5133</v>
      </c>
      <c r="AJ172" s="98" t="s">
        <v>5134</v>
      </c>
      <c r="AK172" s="98" t="s">
        <v>2676</v>
      </c>
      <c r="AL172" s="101" t="s">
        <v>5149</v>
      </c>
      <c r="AM172" s="99"/>
      <c r="AN172" s="98" t="s">
        <v>5079</v>
      </c>
      <c r="AO172" s="98" t="s">
        <v>5080</v>
      </c>
      <c r="AP172" s="98" t="s">
        <v>5188</v>
      </c>
      <c r="AQ172" s="102">
        <v>2024</v>
      </c>
      <c r="AR172" s="99"/>
      <c r="AS172" s="99"/>
      <c r="AT172" s="98" t="s">
        <v>5083</v>
      </c>
      <c r="AU172" s="98" t="s">
        <v>5228</v>
      </c>
      <c r="AV172" s="95">
        <v>0</v>
      </c>
      <c r="AW172" s="94" t="s">
        <v>5074</v>
      </c>
      <c r="AX172" s="95">
        <v>0</v>
      </c>
      <c r="AY172" s="98" t="s">
        <v>5152</v>
      </c>
      <c r="AZ172" s="102">
        <v>6</v>
      </c>
      <c r="BA172" s="102" t="s">
        <v>5260</v>
      </c>
      <c r="BB172" s="93"/>
    </row>
    <row r="173" spans="1:54" ht="13.8">
      <c r="A173" s="94" t="s">
        <v>6473</v>
      </c>
      <c r="B173" s="95" t="s">
        <v>6474</v>
      </c>
      <c r="C173" s="100">
        <v>27639</v>
      </c>
      <c r="D173" s="94" t="s">
        <v>2665</v>
      </c>
      <c r="E173" s="94" t="s">
        <v>1478</v>
      </c>
      <c r="F173" s="97" t="s">
        <v>1437</v>
      </c>
      <c r="G173" s="95">
        <v>4811044759</v>
      </c>
      <c r="H173" s="98" t="s">
        <v>5057</v>
      </c>
      <c r="I173" s="95">
        <v>54186007618</v>
      </c>
      <c r="J173" s="98" t="s">
        <v>5088</v>
      </c>
      <c r="K173" s="95" t="s">
        <v>6475</v>
      </c>
      <c r="L173" s="98" t="s">
        <v>6476</v>
      </c>
      <c r="M173" s="98" t="s">
        <v>6477</v>
      </c>
      <c r="N173" s="98" t="s">
        <v>6478</v>
      </c>
      <c r="O173" s="98" t="s">
        <v>6479</v>
      </c>
      <c r="P173" s="95">
        <v>935979096</v>
      </c>
      <c r="Q173" s="98" t="s">
        <v>6480</v>
      </c>
      <c r="R173" s="98" t="s">
        <v>5094</v>
      </c>
      <c r="S173" s="99"/>
      <c r="T173" s="100">
        <v>40553</v>
      </c>
      <c r="U173" s="100">
        <v>41275</v>
      </c>
      <c r="V173" s="98" t="s">
        <v>5095</v>
      </c>
      <c r="W173" s="98" t="s">
        <v>5068</v>
      </c>
      <c r="X173" s="98" t="s">
        <v>5096</v>
      </c>
      <c r="Y173" s="98" t="s">
        <v>5068</v>
      </c>
      <c r="Z173" s="99"/>
      <c r="AA173" s="99"/>
      <c r="AB173" s="95" t="s">
        <v>5161</v>
      </c>
      <c r="AC173" s="99"/>
      <c r="AD173" s="99"/>
      <c r="AE173" s="95" t="s">
        <v>5161</v>
      </c>
      <c r="AF173" s="99"/>
      <c r="AG173" s="95">
        <v>1</v>
      </c>
      <c r="AH173" s="94" t="s">
        <v>5074</v>
      </c>
      <c r="AI173" s="94" t="s">
        <v>5133</v>
      </c>
      <c r="AJ173" s="98" t="s">
        <v>5134</v>
      </c>
      <c r="AK173" s="98" t="s">
        <v>2837</v>
      </c>
      <c r="AL173" s="101" t="s">
        <v>5078</v>
      </c>
      <c r="AM173" s="98" t="s">
        <v>5926</v>
      </c>
      <c r="AN173" s="98" t="s">
        <v>5079</v>
      </c>
      <c r="AO173" s="98" t="s">
        <v>5080</v>
      </c>
      <c r="AP173" s="102">
        <v>1</v>
      </c>
      <c r="AQ173" s="102">
        <v>2011</v>
      </c>
      <c r="AR173" s="98" t="s">
        <v>5200</v>
      </c>
      <c r="AS173" s="99"/>
      <c r="AT173" s="98" t="s">
        <v>5083</v>
      </c>
      <c r="AU173" s="98" t="s">
        <v>5228</v>
      </c>
      <c r="AV173" s="95">
        <v>0</v>
      </c>
      <c r="AW173" s="94" t="s">
        <v>5074</v>
      </c>
      <c r="AX173" s="95">
        <v>0</v>
      </c>
      <c r="AY173" s="98" t="s">
        <v>5152</v>
      </c>
      <c r="AZ173" s="102">
        <v>5</v>
      </c>
      <c r="BA173" s="102" t="s">
        <v>5153</v>
      </c>
      <c r="BB173" s="93"/>
    </row>
    <row r="174" spans="1:54" ht="13.8">
      <c r="A174" s="94" t="s">
        <v>6481</v>
      </c>
      <c r="B174" s="95" t="s">
        <v>6482</v>
      </c>
      <c r="C174" s="100">
        <v>31491</v>
      </c>
      <c r="D174" s="94" t="s">
        <v>2665</v>
      </c>
      <c r="E174" s="94" t="s">
        <v>1478</v>
      </c>
      <c r="F174" s="97" t="s">
        <v>1437</v>
      </c>
      <c r="G174" s="95">
        <v>8999002000</v>
      </c>
      <c r="H174" s="98" t="s">
        <v>5057</v>
      </c>
      <c r="I174" s="95">
        <v>3617501458</v>
      </c>
      <c r="J174" s="98" t="s">
        <v>5088</v>
      </c>
      <c r="K174" s="95" t="s">
        <v>5089</v>
      </c>
      <c r="L174" s="98" t="s">
        <v>6483</v>
      </c>
      <c r="M174" s="98" t="s">
        <v>6484</v>
      </c>
      <c r="N174" s="98" t="s">
        <v>6485</v>
      </c>
      <c r="O174" s="98" t="s">
        <v>6485</v>
      </c>
      <c r="P174" s="95">
        <v>917980266</v>
      </c>
      <c r="Q174" s="98" t="s">
        <v>6028</v>
      </c>
      <c r="R174" s="98" t="s">
        <v>5094</v>
      </c>
      <c r="S174" s="99"/>
      <c r="T174" s="100">
        <v>35866</v>
      </c>
      <c r="U174" s="100">
        <v>42649</v>
      </c>
      <c r="V174" s="98" t="s">
        <v>6486</v>
      </c>
      <c r="W174" s="98" t="s">
        <v>5068</v>
      </c>
      <c r="X174" s="98" t="s">
        <v>5067</v>
      </c>
      <c r="Y174" s="98" t="s">
        <v>5068</v>
      </c>
      <c r="Z174" s="99"/>
      <c r="AA174" s="99"/>
      <c r="AB174" s="99"/>
      <c r="AC174" s="99"/>
      <c r="AD174" s="99"/>
      <c r="AE174" s="95" t="s">
        <v>6487</v>
      </c>
      <c r="AF174" s="99"/>
      <c r="AG174" s="95">
        <v>1</v>
      </c>
      <c r="AH174" s="94" t="s">
        <v>5084</v>
      </c>
      <c r="AI174" s="94" t="s">
        <v>5133</v>
      </c>
      <c r="AJ174" s="98" t="s">
        <v>5134</v>
      </c>
      <c r="AK174" s="98" t="s">
        <v>6488</v>
      </c>
      <c r="AL174" s="101" t="s">
        <v>5149</v>
      </c>
      <c r="AM174" s="98" t="s">
        <v>6489</v>
      </c>
      <c r="AN174" s="98" t="s">
        <v>5079</v>
      </c>
      <c r="AO174" s="98" t="s">
        <v>5080</v>
      </c>
      <c r="AP174" s="102">
        <v>76</v>
      </c>
      <c r="AQ174" s="102">
        <v>2002</v>
      </c>
      <c r="AR174" s="98" t="s">
        <v>5200</v>
      </c>
      <c r="AS174" s="99"/>
      <c r="AT174" s="98" t="s">
        <v>5083</v>
      </c>
      <c r="AU174" s="98" t="s">
        <v>5107</v>
      </c>
      <c r="AV174" s="95">
        <v>0</v>
      </c>
      <c r="AW174" s="94" t="s">
        <v>5084</v>
      </c>
      <c r="AX174" s="95">
        <v>0</v>
      </c>
      <c r="AY174" s="98" t="s">
        <v>5085</v>
      </c>
      <c r="AZ174" s="102">
        <v>4</v>
      </c>
      <c r="BA174" s="102" t="s">
        <v>6490</v>
      </c>
      <c r="BB174" s="93"/>
    </row>
    <row r="175" spans="1:54" ht="13.8">
      <c r="A175" s="94" t="s">
        <v>6491</v>
      </c>
      <c r="B175" s="95" t="s">
        <v>6492</v>
      </c>
      <c r="C175" s="100">
        <v>27853</v>
      </c>
      <c r="D175" s="94" t="s">
        <v>2665</v>
      </c>
      <c r="E175" s="94" t="s">
        <v>1478</v>
      </c>
      <c r="F175" s="97" t="s">
        <v>1437</v>
      </c>
      <c r="G175" s="95">
        <v>2903003114</v>
      </c>
      <c r="H175" s="98" t="s">
        <v>5625</v>
      </c>
      <c r="I175" s="95">
        <v>40176009808</v>
      </c>
      <c r="J175" s="98" t="s">
        <v>5088</v>
      </c>
      <c r="K175" s="95" t="s">
        <v>5546</v>
      </c>
      <c r="L175" s="98" t="s">
        <v>6493</v>
      </c>
      <c r="M175" s="98" t="s">
        <v>6494</v>
      </c>
      <c r="N175" s="98" t="s">
        <v>6495</v>
      </c>
      <c r="O175" s="98" t="s">
        <v>6496</v>
      </c>
      <c r="P175" s="95">
        <v>912488995</v>
      </c>
      <c r="Q175" s="98" t="s">
        <v>6497</v>
      </c>
      <c r="R175" s="98" t="s">
        <v>5094</v>
      </c>
      <c r="S175" s="99"/>
      <c r="T175" s="100">
        <v>41642</v>
      </c>
      <c r="U175" s="100">
        <v>42649</v>
      </c>
      <c r="V175" s="99"/>
      <c r="W175" s="98" t="s">
        <v>5068</v>
      </c>
      <c r="X175" s="98" t="s">
        <v>5187</v>
      </c>
      <c r="Y175" s="99"/>
      <c r="Z175" s="99"/>
      <c r="AA175" s="99"/>
      <c r="AB175" s="99"/>
      <c r="AC175" s="99"/>
      <c r="AD175" s="99"/>
      <c r="AE175" s="99"/>
      <c r="AF175" s="99"/>
      <c r="AG175" s="95">
        <v>0</v>
      </c>
      <c r="AH175" s="94" t="s">
        <v>5074</v>
      </c>
      <c r="AI175" s="94" t="s">
        <v>5133</v>
      </c>
      <c r="AJ175" s="98" t="s">
        <v>5134</v>
      </c>
      <c r="AK175" s="98" t="s">
        <v>6498</v>
      </c>
      <c r="AL175" s="101" t="s">
        <v>5078</v>
      </c>
      <c r="AM175" s="99"/>
      <c r="AN175" s="98" t="s">
        <v>5079</v>
      </c>
      <c r="AO175" s="98" t="s">
        <v>5080</v>
      </c>
      <c r="AP175" s="98" t="s">
        <v>6499</v>
      </c>
      <c r="AQ175" s="102">
        <v>2016</v>
      </c>
      <c r="AR175" s="99"/>
      <c r="AS175" s="98" t="s">
        <v>6500</v>
      </c>
      <c r="AT175" s="99"/>
      <c r="AU175" s="98" t="s">
        <v>5220</v>
      </c>
      <c r="AV175" s="99"/>
      <c r="AW175" s="94" t="s">
        <v>5074</v>
      </c>
      <c r="AX175" s="95">
        <v>0</v>
      </c>
      <c r="AY175" s="98" t="s">
        <v>5085</v>
      </c>
      <c r="AZ175" s="102">
        <v>2</v>
      </c>
      <c r="BA175" s="102" t="s">
        <v>5086</v>
      </c>
      <c r="BB175" s="93"/>
    </row>
    <row r="176" spans="1:54" ht="13.8">
      <c r="A176" s="94" t="s">
        <v>6501</v>
      </c>
      <c r="B176" s="95" t="s">
        <v>6502</v>
      </c>
      <c r="C176" s="100">
        <v>29500</v>
      </c>
      <c r="D176" s="94" t="s">
        <v>2665</v>
      </c>
      <c r="E176" s="94" t="s">
        <v>1478</v>
      </c>
      <c r="F176" s="97" t="s">
        <v>1437</v>
      </c>
      <c r="G176" s="95">
        <v>3305002059</v>
      </c>
      <c r="H176" s="98" t="s">
        <v>5057</v>
      </c>
      <c r="I176" s="95">
        <v>45180008961</v>
      </c>
      <c r="J176" s="98" t="s">
        <v>5088</v>
      </c>
      <c r="K176" s="104">
        <v>44805</v>
      </c>
      <c r="L176" s="98" t="s">
        <v>6503</v>
      </c>
      <c r="M176" s="98" t="s">
        <v>6504</v>
      </c>
      <c r="N176" s="98" t="s">
        <v>6505</v>
      </c>
      <c r="O176" s="98" t="s">
        <v>6506</v>
      </c>
      <c r="P176" s="95">
        <v>905303533</v>
      </c>
      <c r="Q176" s="98" t="s">
        <v>6507</v>
      </c>
      <c r="R176" s="98" t="s">
        <v>5094</v>
      </c>
      <c r="S176" s="99"/>
      <c r="T176" s="96">
        <v>44925</v>
      </c>
      <c r="U176" s="96">
        <v>44925</v>
      </c>
      <c r="V176" s="98" t="s">
        <v>5095</v>
      </c>
      <c r="W176" s="98" t="s">
        <v>5068</v>
      </c>
      <c r="X176" s="98" t="s">
        <v>5187</v>
      </c>
      <c r="Y176" s="98" t="s">
        <v>5068</v>
      </c>
      <c r="Z176" s="99"/>
      <c r="AA176" s="99"/>
      <c r="AB176" s="99"/>
      <c r="AC176" s="99"/>
      <c r="AD176" s="99"/>
      <c r="AE176" s="95" t="s">
        <v>5161</v>
      </c>
      <c r="AF176" s="99"/>
      <c r="AG176" s="95">
        <v>1</v>
      </c>
      <c r="AH176" s="94" t="s">
        <v>5084</v>
      </c>
      <c r="AI176" s="94" t="s">
        <v>5133</v>
      </c>
      <c r="AJ176" s="98" t="s">
        <v>5134</v>
      </c>
      <c r="AK176" s="98" t="s">
        <v>5275</v>
      </c>
      <c r="AL176" s="101" t="s">
        <v>5078</v>
      </c>
      <c r="AM176" s="98" t="s">
        <v>6051</v>
      </c>
      <c r="AN176" s="98" t="s">
        <v>5079</v>
      </c>
      <c r="AO176" s="98" t="s">
        <v>5080</v>
      </c>
      <c r="AP176" s="102">
        <v>84</v>
      </c>
      <c r="AQ176" s="102">
        <v>2006</v>
      </c>
      <c r="AR176" s="99"/>
      <c r="AS176" s="99"/>
      <c r="AT176" s="98" t="s">
        <v>5083</v>
      </c>
      <c r="AU176" s="98" t="s">
        <v>5220</v>
      </c>
      <c r="AV176" s="95">
        <v>0</v>
      </c>
      <c r="AW176" s="94" t="s">
        <v>5084</v>
      </c>
      <c r="AX176" s="95">
        <v>0</v>
      </c>
      <c r="AY176" s="98" t="s">
        <v>5085</v>
      </c>
      <c r="AZ176" s="102">
        <v>3</v>
      </c>
      <c r="BA176" s="105">
        <v>46239</v>
      </c>
      <c r="BB176" s="93"/>
    </row>
    <row r="177" spans="1:54" ht="13.8">
      <c r="A177" s="94" t="s">
        <v>6508</v>
      </c>
      <c r="B177" s="95" t="s">
        <v>6509</v>
      </c>
      <c r="C177" s="100">
        <v>34727</v>
      </c>
      <c r="D177" s="94" t="s">
        <v>2665</v>
      </c>
      <c r="E177" s="94" t="s">
        <v>1478</v>
      </c>
      <c r="F177" s="97" t="s">
        <v>1437</v>
      </c>
      <c r="G177" s="95">
        <v>4820401158</v>
      </c>
      <c r="H177" s="98" t="s">
        <v>5181</v>
      </c>
      <c r="I177" s="95">
        <v>48195008793</v>
      </c>
      <c r="J177" s="98" t="s">
        <v>5088</v>
      </c>
      <c r="K177" s="95" t="s">
        <v>5089</v>
      </c>
      <c r="L177" s="98" t="s">
        <v>6510</v>
      </c>
      <c r="M177" s="98" t="s">
        <v>5301</v>
      </c>
      <c r="N177" s="98" t="s">
        <v>6511</v>
      </c>
      <c r="O177" s="98" t="s">
        <v>6511</v>
      </c>
      <c r="P177" s="95">
        <v>829223434</v>
      </c>
      <c r="Q177" s="98" t="s">
        <v>6512</v>
      </c>
      <c r="R177" s="98" t="s">
        <v>5094</v>
      </c>
      <c r="S177" s="99"/>
      <c r="T177" s="100">
        <v>44207</v>
      </c>
      <c r="U177" s="100">
        <v>44572</v>
      </c>
      <c r="V177" s="99"/>
      <c r="W177" s="98" t="s">
        <v>5068</v>
      </c>
      <c r="X177" s="98" t="s">
        <v>5187</v>
      </c>
      <c r="Y177" s="99"/>
      <c r="Z177" s="99"/>
      <c r="AA177" s="99"/>
      <c r="AB177" s="99"/>
      <c r="AC177" s="99"/>
      <c r="AD177" s="99"/>
      <c r="AE177" s="99"/>
      <c r="AF177" s="99"/>
      <c r="AG177" s="95">
        <v>0</v>
      </c>
      <c r="AH177" s="94" t="s">
        <v>5084</v>
      </c>
      <c r="AI177" s="94" t="s">
        <v>5133</v>
      </c>
      <c r="AJ177" s="98" t="s">
        <v>5134</v>
      </c>
      <c r="AK177" s="98" t="s">
        <v>6513</v>
      </c>
      <c r="AL177" s="101" t="s">
        <v>5149</v>
      </c>
      <c r="AM177" s="99"/>
      <c r="AN177" s="98" t="s">
        <v>5079</v>
      </c>
      <c r="AO177" s="98" t="s">
        <v>5080</v>
      </c>
      <c r="AP177" s="98" t="s">
        <v>5188</v>
      </c>
      <c r="AQ177" s="102">
        <v>2020</v>
      </c>
      <c r="AR177" s="99"/>
      <c r="AS177" s="99"/>
      <c r="AT177" s="99"/>
      <c r="AU177" s="98" t="s">
        <v>5151</v>
      </c>
      <c r="AV177" s="99"/>
      <c r="AW177" s="94" t="s">
        <v>5084</v>
      </c>
      <c r="AX177" s="95">
        <v>0</v>
      </c>
      <c r="AY177" s="98" t="s">
        <v>5152</v>
      </c>
      <c r="AZ177" s="102">
        <v>2</v>
      </c>
      <c r="BA177" s="102" t="s">
        <v>5237</v>
      </c>
      <c r="BB177" s="93"/>
    </row>
    <row r="178" spans="1:54" ht="13.8">
      <c r="A178" s="94" t="s">
        <v>6514</v>
      </c>
      <c r="B178" s="95" t="s">
        <v>6515</v>
      </c>
      <c r="C178" s="100">
        <v>31927</v>
      </c>
      <c r="D178" s="94" t="s">
        <v>2665</v>
      </c>
      <c r="E178" s="94" t="s">
        <v>1478</v>
      </c>
      <c r="F178" s="97" t="s">
        <v>1437</v>
      </c>
      <c r="G178" s="95">
        <v>4609011632</v>
      </c>
      <c r="H178" s="98" t="s">
        <v>5057</v>
      </c>
      <c r="I178" s="95">
        <v>46187013786</v>
      </c>
      <c r="J178" s="98" t="s">
        <v>5088</v>
      </c>
      <c r="K178" s="95" t="s">
        <v>5270</v>
      </c>
      <c r="L178" s="98" t="s">
        <v>6516</v>
      </c>
      <c r="M178" s="98" t="s">
        <v>6517</v>
      </c>
      <c r="N178" s="98" t="s">
        <v>6518</v>
      </c>
      <c r="O178" s="98" t="s">
        <v>6518</v>
      </c>
      <c r="P178" s="95">
        <v>985126514</v>
      </c>
      <c r="Q178" s="98" t="s">
        <v>6519</v>
      </c>
      <c r="R178" s="98" t="s">
        <v>5094</v>
      </c>
      <c r="S178" s="99"/>
      <c r="T178" s="100">
        <v>42742</v>
      </c>
      <c r="U178" s="100">
        <v>40550</v>
      </c>
      <c r="V178" s="98" t="s">
        <v>5095</v>
      </c>
      <c r="W178" s="98" t="s">
        <v>5068</v>
      </c>
      <c r="X178" s="98" t="s">
        <v>5096</v>
      </c>
      <c r="Y178" s="98" t="s">
        <v>5068</v>
      </c>
      <c r="Z178" s="99"/>
      <c r="AA178" s="99"/>
      <c r="AB178" s="95" t="s">
        <v>5161</v>
      </c>
      <c r="AC178" s="99"/>
      <c r="AD178" s="99"/>
      <c r="AE178" s="95" t="s">
        <v>5161</v>
      </c>
      <c r="AF178" s="99"/>
      <c r="AG178" s="95">
        <v>1</v>
      </c>
      <c r="AH178" s="94" t="s">
        <v>5084</v>
      </c>
      <c r="AI178" s="94" t="s">
        <v>5133</v>
      </c>
      <c r="AJ178" s="98" t="s">
        <v>5134</v>
      </c>
      <c r="AK178" s="98" t="s">
        <v>2837</v>
      </c>
      <c r="AL178" s="101" t="s">
        <v>5149</v>
      </c>
      <c r="AM178" s="98" t="s">
        <v>5926</v>
      </c>
      <c r="AN178" s="98" t="s">
        <v>5079</v>
      </c>
      <c r="AO178" s="98" t="s">
        <v>5080</v>
      </c>
      <c r="AP178" s="102">
        <v>1</v>
      </c>
      <c r="AQ178" s="102">
        <v>2013</v>
      </c>
      <c r="AR178" s="99"/>
      <c r="AS178" s="99"/>
      <c r="AT178" s="98" t="s">
        <v>5083</v>
      </c>
      <c r="AU178" s="98" t="s">
        <v>5228</v>
      </c>
      <c r="AV178" s="95">
        <v>0</v>
      </c>
      <c r="AW178" s="94" t="s">
        <v>5084</v>
      </c>
      <c r="AX178" s="95">
        <v>0</v>
      </c>
      <c r="AY178" s="98" t="s">
        <v>5152</v>
      </c>
      <c r="AZ178" s="102">
        <v>5</v>
      </c>
      <c r="BA178" s="102" t="s">
        <v>5153</v>
      </c>
      <c r="BB178" s="93"/>
    </row>
    <row r="179" spans="1:54" ht="13.8">
      <c r="A179" s="94" t="s">
        <v>6520</v>
      </c>
      <c r="B179" s="95" t="s">
        <v>6521</v>
      </c>
      <c r="C179" s="100">
        <v>30454</v>
      </c>
      <c r="D179" s="94" t="s">
        <v>2665</v>
      </c>
      <c r="E179" s="94" t="s">
        <v>1478</v>
      </c>
      <c r="F179" s="97" t="s">
        <v>1437</v>
      </c>
      <c r="G179" s="95">
        <v>4808000524</v>
      </c>
      <c r="H179" s="98" t="s">
        <v>5057</v>
      </c>
      <c r="I179" s="95">
        <v>48183007017</v>
      </c>
      <c r="J179" s="98" t="s">
        <v>5088</v>
      </c>
      <c r="K179" s="95" t="s">
        <v>5089</v>
      </c>
      <c r="L179" s="98" t="s">
        <v>6522</v>
      </c>
      <c r="M179" s="98" t="s">
        <v>6523</v>
      </c>
      <c r="N179" s="98" t="s">
        <v>6524</v>
      </c>
      <c r="O179" s="98" t="s">
        <v>6524</v>
      </c>
      <c r="P179" s="95">
        <v>905530959</v>
      </c>
      <c r="Q179" s="98" t="s">
        <v>6525</v>
      </c>
      <c r="R179" s="98" t="s">
        <v>5094</v>
      </c>
      <c r="S179" s="99"/>
      <c r="T179" s="100">
        <v>39854</v>
      </c>
      <c r="U179" s="100">
        <v>38727</v>
      </c>
      <c r="V179" s="98" t="s">
        <v>6526</v>
      </c>
      <c r="W179" s="98" t="s">
        <v>5068</v>
      </c>
      <c r="X179" s="98" t="s">
        <v>5096</v>
      </c>
      <c r="Y179" s="98" t="s">
        <v>5068</v>
      </c>
      <c r="Z179" s="99"/>
      <c r="AA179" s="99"/>
      <c r="AB179" s="95" t="s">
        <v>5161</v>
      </c>
      <c r="AC179" s="99"/>
      <c r="AD179" s="99"/>
      <c r="AE179" s="95" t="s">
        <v>6527</v>
      </c>
      <c r="AF179" s="99"/>
      <c r="AG179" s="95">
        <v>1</v>
      </c>
      <c r="AH179" s="94" t="s">
        <v>5074</v>
      </c>
      <c r="AI179" s="94" t="s">
        <v>5075</v>
      </c>
      <c r="AJ179" s="98" t="s">
        <v>5489</v>
      </c>
      <c r="AK179" s="98" t="s">
        <v>6452</v>
      </c>
      <c r="AL179" s="101" t="s">
        <v>5078</v>
      </c>
      <c r="AM179" s="99"/>
      <c r="AN179" s="98" t="s">
        <v>5079</v>
      </c>
      <c r="AO179" s="98" t="s">
        <v>5080</v>
      </c>
      <c r="AP179" s="98" t="s">
        <v>5188</v>
      </c>
      <c r="AQ179" s="102">
        <v>2022</v>
      </c>
      <c r="AR179" s="99"/>
      <c r="AS179" s="99"/>
      <c r="AT179" s="99"/>
      <c r="AU179" s="98" t="s">
        <v>5162</v>
      </c>
      <c r="AV179" s="95">
        <v>0</v>
      </c>
      <c r="AW179" s="94" t="s">
        <v>5074</v>
      </c>
      <c r="AX179" s="95">
        <v>0</v>
      </c>
      <c r="AY179" s="98" t="s">
        <v>5085</v>
      </c>
      <c r="AZ179" s="102">
        <v>2</v>
      </c>
      <c r="BA179" s="102" t="s">
        <v>5086</v>
      </c>
      <c r="BB179" s="93"/>
    </row>
    <row r="180" spans="1:54" ht="13.8">
      <c r="A180" s="94" t="s">
        <v>6528</v>
      </c>
      <c r="B180" s="95" t="s">
        <v>6529</v>
      </c>
      <c r="C180" s="96">
        <v>29540</v>
      </c>
      <c r="D180" s="94" t="s">
        <v>2665</v>
      </c>
      <c r="E180" s="94" t="s">
        <v>1478</v>
      </c>
      <c r="F180" s="97" t="s">
        <v>1437</v>
      </c>
      <c r="G180" s="95">
        <v>4808000532</v>
      </c>
      <c r="H180" s="98" t="s">
        <v>5057</v>
      </c>
      <c r="I180" s="95">
        <v>48180003371</v>
      </c>
      <c r="J180" s="98" t="s">
        <v>5088</v>
      </c>
      <c r="K180" s="95" t="s">
        <v>5089</v>
      </c>
      <c r="L180" s="98" t="s">
        <v>5155</v>
      </c>
      <c r="M180" s="98" t="s">
        <v>5796</v>
      </c>
      <c r="N180" s="98" t="s">
        <v>6530</v>
      </c>
      <c r="O180" s="98" t="s">
        <v>6531</v>
      </c>
      <c r="P180" s="95">
        <v>983809927</v>
      </c>
      <c r="Q180" s="98" t="s">
        <v>6532</v>
      </c>
      <c r="R180" s="98" t="s">
        <v>5094</v>
      </c>
      <c r="S180" s="99"/>
      <c r="T180" s="100">
        <v>39356</v>
      </c>
      <c r="U180" s="100">
        <v>42649</v>
      </c>
      <c r="V180" s="98" t="s">
        <v>5095</v>
      </c>
      <c r="W180" s="98" t="s">
        <v>5068</v>
      </c>
      <c r="X180" s="98" t="s">
        <v>5096</v>
      </c>
      <c r="Y180" s="98" t="s">
        <v>5068</v>
      </c>
      <c r="Z180" s="99"/>
      <c r="AA180" s="99"/>
      <c r="AB180" s="99"/>
      <c r="AC180" s="99"/>
      <c r="AD180" s="99"/>
      <c r="AE180" s="95" t="s">
        <v>5161</v>
      </c>
      <c r="AF180" s="99"/>
      <c r="AG180" s="95">
        <v>1</v>
      </c>
      <c r="AH180" s="94" t="s">
        <v>5084</v>
      </c>
      <c r="AI180" s="94" t="s">
        <v>5133</v>
      </c>
      <c r="AJ180" s="98" t="s">
        <v>5134</v>
      </c>
      <c r="AK180" s="98" t="s">
        <v>2755</v>
      </c>
      <c r="AL180" s="101" t="s">
        <v>5078</v>
      </c>
      <c r="AM180" s="98" t="s">
        <v>5926</v>
      </c>
      <c r="AN180" s="98" t="s">
        <v>5079</v>
      </c>
      <c r="AO180" s="98" t="s">
        <v>5080</v>
      </c>
      <c r="AP180" s="102">
        <v>1</v>
      </c>
      <c r="AQ180" s="102">
        <v>2006</v>
      </c>
      <c r="AR180" s="99"/>
      <c r="AS180" s="99"/>
      <c r="AT180" s="98" t="s">
        <v>5083</v>
      </c>
      <c r="AU180" s="98" t="s">
        <v>5220</v>
      </c>
      <c r="AV180" s="95">
        <v>0</v>
      </c>
      <c r="AW180" s="94" t="s">
        <v>5084</v>
      </c>
      <c r="AX180" s="95">
        <v>0</v>
      </c>
      <c r="AY180" s="98" t="s">
        <v>5085</v>
      </c>
      <c r="AZ180" s="102">
        <v>3</v>
      </c>
      <c r="BA180" s="105">
        <v>46239</v>
      </c>
      <c r="BB180" s="93"/>
    </row>
    <row r="181" spans="1:54" ht="13.8">
      <c r="A181" s="94" t="s">
        <v>6533</v>
      </c>
      <c r="B181" s="95" t="s">
        <v>6534</v>
      </c>
      <c r="C181" s="100">
        <v>28742</v>
      </c>
      <c r="D181" s="94" t="s">
        <v>2665</v>
      </c>
      <c r="E181" s="94" t="s">
        <v>1478</v>
      </c>
      <c r="F181" s="97" t="s">
        <v>1437</v>
      </c>
      <c r="G181" s="95">
        <v>405007839</v>
      </c>
      <c r="H181" s="98" t="s">
        <v>5057</v>
      </c>
      <c r="I181" s="95">
        <v>49178002911</v>
      </c>
      <c r="J181" s="98" t="s">
        <v>5088</v>
      </c>
      <c r="K181" s="95" t="s">
        <v>5860</v>
      </c>
      <c r="L181" s="98" t="s">
        <v>6535</v>
      </c>
      <c r="M181" s="98" t="s">
        <v>6536</v>
      </c>
      <c r="N181" s="98" t="s">
        <v>6537</v>
      </c>
      <c r="O181" s="98" t="s">
        <v>6538</v>
      </c>
      <c r="P181" s="95">
        <v>905825725</v>
      </c>
      <c r="Q181" s="98" t="s">
        <v>6539</v>
      </c>
      <c r="R181" s="98" t="s">
        <v>5094</v>
      </c>
      <c r="S181" s="99"/>
      <c r="T181" s="96">
        <v>37575</v>
      </c>
      <c r="U181" s="100">
        <v>38363</v>
      </c>
      <c r="V181" s="98" t="s">
        <v>5243</v>
      </c>
      <c r="W181" s="98" t="s">
        <v>5068</v>
      </c>
      <c r="X181" s="98" t="s">
        <v>5096</v>
      </c>
      <c r="Y181" s="98" t="s">
        <v>5068</v>
      </c>
      <c r="Z181" s="99"/>
      <c r="AA181" s="99"/>
      <c r="AB181" s="95" t="s">
        <v>5161</v>
      </c>
      <c r="AC181" s="99"/>
      <c r="AD181" s="99"/>
      <c r="AE181" s="95" t="s">
        <v>5161</v>
      </c>
      <c r="AF181" s="99"/>
      <c r="AG181" s="95">
        <v>1</v>
      </c>
      <c r="AH181" s="94" t="s">
        <v>5084</v>
      </c>
      <c r="AI181" s="94" t="s">
        <v>5133</v>
      </c>
      <c r="AJ181" s="98" t="s">
        <v>5134</v>
      </c>
      <c r="AK181" s="98" t="s">
        <v>5248</v>
      </c>
      <c r="AL181" s="101" t="s">
        <v>5149</v>
      </c>
      <c r="AM181" s="98" t="s">
        <v>5188</v>
      </c>
      <c r="AN181" s="98" t="s">
        <v>5079</v>
      </c>
      <c r="AO181" s="98" t="s">
        <v>5080</v>
      </c>
      <c r="AP181" s="102">
        <v>807</v>
      </c>
      <c r="AQ181" s="102">
        <v>2007</v>
      </c>
      <c r="AR181" s="99"/>
      <c r="AS181" s="99"/>
      <c r="AT181" s="99"/>
      <c r="AU181" s="99"/>
      <c r="AV181" s="95">
        <v>0</v>
      </c>
      <c r="AW181" s="94" t="s">
        <v>5084</v>
      </c>
      <c r="AX181" s="95">
        <v>0</v>
      </c>
      <c r="AY181" s="98" t="s">
        <v>5152</v>
      </c>
      <c r="AZ181" s="102">
        <v>7</v>
      </c>
      <c r="BA181" s="102" t="s">
        <v>5286</v>
      </c>
      <c r="BB181" s="93"/>
    </row>
    <row r="182" spans="1:54" ht="13.8">
      <c r="A182" s="94" t="s">
        <v>6540</v>
      </c>
      <c r="B182" s="95" t="s">
        <v>6541</v>
      </c>
      <c r="C182" s="100">
        <v>28651</v>
      </c>
      <c r="D182" s="94" t="s">
        <v>2656</v>
      </c>
      <c r="E182" s="94" t="s">
        <v>1478</v>
      </c>
      <c r="F182" s="97" t="s">
        <v>1437</v>
      </c>
      <c r="G182" s="95">
        <v>4809012909</v>
      </c>
      <c r="H182" s="98" t="s">
        <v>5057</v>
      </c>
      <c r="I182" s="95">
        <v>48078002984</v>
      </c>
      <c r="J182" s="98" t="s">
        <v>5088</v>
      </c>
      <c r="K182" s="95" t="s">
        <v>6542</v>
      </c>
      <c r="L182" s="98" t="s">
        <v>6543</v>
      </c>
      <c r="M182" s="98" t="s">
        <v>6544</v>
      </c>
      <c r="N182" s="98" t="s">
        <v>6169</v>
      </c>
      <c r="O182" s="98" t="s">
        <v>6545</v>
      </c>
      <c r="P182" s="95">
        <v>762607012</v>
      </c>
      <c r="Q182" s="98" t="s">
        <v>6546</v>
      </c>
      <c r="R182" s="98" t="s">
        <v>5094</v>
      </c>
      <c r="S182" s="98" t="s">
        <v>5116</v>
      </c>
      <c r="T182" s="100">
        <v>37987</v>
      </c>
      <c r="U182" s="100">
        <v>38353</v>
      </c>
      <c r="V182" s="98" t="s">
        <v>6547</v>
      </c>
      <c r="W182" s="98" t="s">
        <v>5781</v>
      </c>
      <c r="X182" s="98" t="s">
        <v>5096</v>
      </c>
      <c r="Y182" s="98" t="s">
        <v>5068</v>
      </c>
      <c r="Z182" s="99"/>
      <c r="AA182" s="99"/>
      <c r="AB182" s="95" t="s">
        <v>5161</v>
      </c>
      <c r="AC182" s="99"/>
      <c r="AD182" s="99"/>
      <c r="AE182" s="95" t="s">
        <v>5161</v>
      </c>
      <c r="AF182" s="99"/>
      <c r="AG182" s="95">
        <v>1</v>
      </c>
      <c r="AH182" s="94" t="s">
        <v>5084</v>
      </c>
      <c r="AI182" s="94" t="s">
        <v>5133</v>
      </c>
      <c r="AJ182" s="98" t="s">
        <v>5134</v>
      </c>
      <c r="AK182" s="98" t="s">
        <v>6548</v>
      </c>
      <c r="AL182" s="101" t="s">
        <v>5149</v>
      </c>
      <c r="AM182" s="98" t="s">
        <v>6549</v>
      </c>
      <c r="AN182" s="98" t="s">
        <v>5079</v>
      </c>
      <c r="AO182" s="98" t="s">
        <v>5080</v>
      </c>
      <c r="AP182" s="102">
        <v>79</v>
      </c>
      <c r="AQ182" s="102">
        <v>2009</v>
      </c>
      <c r="AR182" s="99"/>
      <c r="AS182" s="99"/>
      <c r="AT182" s="98" t="s">
        <v>5083</v>
      </c>
      <c r="AU182" s="98" t="s">
        <v>5107</v>
      </c>
      <c r="AV182" s="95">
        <v>0</v>
      </c>
      <c r="AW182" s="94" t="s">
        <v>5084</v>
      </c>
      <c r="AX182" s="95">
        <v>0</v>
      </c>
      <c r="AY182" s="98" t="s">
        <v>5152</v>
      </c>
      <c r="AZ182" s="102">
        <v>6</v>
      </c>
      <c r="BA182" s="102" t="s">
        <v>5260</v>
      </c>
      <c r="BB182" s="93"/>
    </row>
    <row r="183" spans="1:54" ht="13.8">
      <c r="A183" s="94" t="s">
        <v>6550</v>
      </c>
      <c r="B183" s="95" t="s">
        <v>6551</v>
      </c>
      <c r="C183" s="100">
        <v>29711</v>
      </c>
      <c r="D183" s="94" t="s">
        <v>2665</v>
      </c>
      <c r="E183" s="94" t="s">
        <v>1478</v>
      </c>
      <c r="F183" s="97" t="s">
        <v>1437</v>
      </c>
      <c r="G183" s="95">
        <v>4908008106</v>
      </c>
      <c r="H183" s="98" t="s">
        <v>5057</v>
      </c>
      <c r="I183" s="95">
        <v>49181000827</v>
      </c>
      <c r="J183" s="98" t="s">
        <v>5088</v>
      </c>
      <c r="K183" s="104">
        <v>44231</v>
      </c>
      <c r="L183" s="98" t="s">
        <v>6552</v>
      </c>
      <c r="M183" s="98" t="s">
        <v>6553</v>
      </c>
      <c r="N183" s="98" t="s">
        <v>6554</v>
      </c>
      <c r="O183" s="98" t="s">
        <v>6555</v>
      </c>
      <c r="P183" s="95">
        <v>949661797</v>
      </c>
      <c r="Q183" s="98" t="s">
        <v>6556</v>
      </c>
      <c r="R183" s="98" t="s">
        <v>5094</v>
      </c>
      <c r="S183" s="99"/>
      <c r="T183" s="100">
        <v>44933</v>
      </c>
      <c r="U183" s="100">
        <v>44933</v>
      </c>
      <c r="V183" s="99"/>
      <c r="W183" s="98" t="s">
        <v>5068</v>
      </c>
      <c r="X183" s="98" t="s">
        <v>5187</v>
      </c>
      <c r="Y183" s="99"/>
      <c r="Z183" s="99"/>
      <c r="AA183" s="99"/>
      <c r="AB183" s="99"/>
      <c r="AC183" s="99"/>
      <c r="AD183" s="99"/>
      <c r="AE183" s="95" t="s">
        <v>6557</v>
      </c>
      <c r="AF183" s="99"/>
      <c r="AG183" s="95">
        <v>0</v>
      </c>
      <c r="AH183" s="94" t="s">
        <v>5084</v>
      </c>
      <c r="AI183" s="94" t="s">
        <v>5133</v>
      </c>
      <c r="AJ183" s="98" t="s">
        <v>5134</v>
      </c>
      <c r="AK183" s="98" t="s">
        <v>6558</v>
      </c>
      <c r="AL183" s="101" t="s">
        <v>5078</v>
      </c>
      <c r="AM183" s="99"/>
      <c r="AN183" s="98" t="s">
        <v>5079</v>
      </c>
      <c r="AO183" s="98" t="s">
        <v>5080</v>
      </c>
      <c r="AP183" s="98" t="s">
        <v>5425</v>
      </c>
      <c r="AQ183" s="102">
        <v>2008</v>
      </c>
      <c r="AR183" s="98" t="s">
        <v>5106</v>
      </c>
      <c r="AS183" s="99"/>
      <c r="AT183" s="99"/>
      <c r="AU183" s="98" t="s">
        <v>5151</v>
      </c>
      <c r="AV183" s="99"/>
      <c r="AW183" s="94" t="s">
        <v>5084</v>
      </c>
      <c r="AX183" s="95">
        <v>0</v>
      </c>
      <c r="AY183" s="98" t="s">
        <v>5085</v>
      </c>
      <c r="AZ183" s="102">
        <v>2</v>
      </c>
      <c r="BA183" s="102" t="s">
        <v>5086</v>
      </c>
      <c r="BB183" s="93"/>
    </row>
    <row r="184" spans="1:54" ht="13.8">
      <c r="A184" s="94" t="s">
        <v>6559</v>
      </c>
      <c r="B184" s="95" t="s">
        <v>6560</v>
      </c>
      <c r="C184" s="100">
        <v>29797</v>
      </c>
      <c r="D184" s="94" t="s">
        <v>2665</v>
      </c>
      <c r="E184" s="94" t="s">
        <v>1478</v>
      </c>
      <c r="F184" s="97" t="s">
        <v>1437</v>
      </c>
      <c r="G184" s="95">
        <v>406014578</v>
      </c>
      <c r="H184" s="98" t="s">
        <v>5057</v>
      </c>
      <c r="I184" s="95">
        <v>45181002712</v>
      </c>
      <c r="J184" s="98" t="s">
        <v>5691</v>
      </c>
      <c r="K184" s="95" t="s">
        <v>5089</v>
      </c>
      <c r="L184" s="98" t="s">
        <v>6561</v>
      </c>
      <c r="M184" s="98" t="s">
        <v>6357</v>
      </c>
      <c r="N184" s="98" t="s">
        <v>6562</v>
      </c>
      <c r="O184" s="98" t="s">
        <v>6562</v>
      </c>
      <c r="P184" s="95">
        <v>983234781</v>
      </c>
      <c r="Q184" s="98" t="s">
        <v>6563</v>
      </c>
      <c r="R184" s="98" t="s">
        <v>5094</v>
      </c>
      <c r="S184" s="99"/>
      <c r="T184" s="100">
        <v>43477</v>
      </c>
      <c r="U184" s="100">
        <v>43477</v>
      </c>
      <c r="V184" s="99"/>
      <c r="W184" s="98" t="s">
        <v>5068</v>
      </c>
      <c r="X184" s="98" t="s">
        <v>5096</v>
      </c>
      <c r="Y184" s="99"/>
      <c r="Z184" s="99"/>
      <c r="AA184" s="99"/>
      <c r="AB184" s="99"/>
      <c r="AC184" s="99"/>
      <c r="AD184" s="99"/>
      <c r="AE184" s="99"/>
      <c r="AF184" s="99"/>
      <c r="AG184" s="95">
        <v>0</v>
      </c>
      <c r="AH184" s="94" t="s">
        <v>5074</v>
      </c>
      <c r="AI184" s="94" t="s">
        <v>5133</v>
      </c>
      <c r="AJ184" s="98" t="s">
        <v>5134</v>
      </c>
      <c r="AK184" s="98" t="s">
        <v>6564</v>
      </c>
      <c r="AL184" s="101" t="s">
        <v>5149</v>
      </c>
      <c r="AM184" s="99"/>
      <c r="AN184" s="98" t="s">
        <v>5079</v>
      </c>
      <c r="AO184" s="98" t="s">
        <v>5080</v>
      </c>
      <c r="AP184" s="98" t="s">
        <v>5638</v>
      </c>
      <c r="AQ184" s="102">
        <v>2024</v>
      </c>
      <c r="AR184" s="99"/>
      <c r="AS184" s="98" t="s">
        <v>5561</v>
      </c>
      <c r="AT184" s="99"/>
      <c r="AU184" s="98" t="s">
        <v>5151</v>
      </c>
      <c r="AV184" s="99"/>
      <c r="AW184" s="94" t="s">
        <v>5074</v>
      </c>
      <c r="AX184" s="95">
        <v>0</v>
      </c>
      <c r="AY184" s="98" t="s">
        <v>5152</v>
      </c>
      <c r="AZ184" s="102">
        <v>8</v>
      </c>
      <c r="BA184" s="102" t="s">
        <v>5211</v>
      </c>
      <c r="BB184" s="93"/>
    </row>
    <row r="185" spans="1:54" ht="13.8">
      <c r="A185" s="94" t="s">
        <v>6565</v>
      </c>
      <c r="B185" s="95" t="s">
        <v>6566</v>
      </c>
      <c r="C185" s="100">
        <v>29343</v>
      </c>
      <c r="D185" s="94" t="s">
        <v>2665</v>
      </c>
      <c r="E185" s="94" t="s">
        <v>1478</v>
      </c>
      <c r="F185" s="97" t="s">
        <v>1437</v>
      </c>
      <c r="G185" s="95">
        <v>3204003401</v>
      </c>
      <c r="H185" s="98" t="s">
        <v>5057</v>
      </c>
      <c r="I185" s="95">
        <v>45180003887</v>
      </c>
      <c r="J185" s="98" t="s">
        <v>5088</v>
      </c>
      <c r="K185" s="95" t="s">
        <v>6567</v>
      </c>
      <c r="L185" s="98" t="s">
        <v>6568</v>
      </c>
      <c r="M185" s="98" t="s">
        <v>6569</v>
      </c>
      <c r="N185" s="98" t="s">
        <v>6570</v>
      </c>
      <c r="O185" s="98" t="s">
        <v>6571</v>
      </c>
      <c r="P185" s="95">
        <v>888659968</v>
      </c>
      <c r="Q185" s="98" t="s">
        <v>6572</v>
      </c>
      <c r="R185" s="98" t="s">
        <v>5094</v>
      </c>
      <c r="S185" s="98" t="s">
        <v>5116</v>
      </c>
      <c r="T185" s="100">
        <v>44927</v>
      </c>
      <c r="U185" s="100">
        <v>45030</v>
      </c>
      <c r="V185" s="99"/>
      <c r="W185" s="98" t="s">
        <v>5068</v>
      </c>
      <c r="X185" s="98" t="s">
        <v>5187</v>
      </c>
      <c r="Y185" s="99"/>
      <c r="Z185" s="99"/>
      <c r="AA185" s="99"/>
      <c r="AB185" s="99"/>
      <c r="AC185" s="99"/>
      <c r="AD185" s="99"/>
      <c r="AE185" s="95" t="s">
        <v>6573</v>
      </c>
      <c r="AF185" s="99"/>
      <c r="AG185" s="95">
        <v>0</v>
      </c>
      <c r="AH185" s="94" t="s">
        <v>5074</v>
      </c>
      <c r="AI185" s="94" t="s">
        <v>5133</v>
      </c>
      <c r="AJ185" s="98" t="s">
        <v>5134</v>
      </c>
      <c r="AK185" s="98" t="s">
        <v>6574</v>
      </c>
      <c r="AL185" s="101" t="s">
        <v>5149</v>
      </c>
      <c r="AM185" s="99"/>
      <c r="AN185" s="98" t="s">
        <v>5079</v>
      </c>
      <c r="AO185" s="98" t="s">
        <v>5080</v>
      </c>
      <c r="AP185" s="98" t="s">
        <v>5218</v>
      </c>
      <c r="AQ185" s="102">
        <v>2008</v>
      </c>
      <c r="AR185" s="98" t="s">
        <v>5082</v>
      </c>
      <c r="AS185" s="98" t="s">
        <v>6500</v>
      </c>
      <c r="AT185" s="99"/>
      <c r="AU185" s="98" t="s">
        <v>5228</v>
      </c>
      <c r="AV185" s="99"/>
      <c r="AW185" s="94" t="s">
        <v>5074</v>
      </c>
      <c r="AX185" s="95">
        <v>0</v>
      </c>
      <c r="AY185" s="98" t="s">
        <v>5152</v>
      </c>
      <c r="AZ185" s="102">
        <v>8</v>
      </c>
      <c r="BA185" s="102" t="s">
        <v>5211</v>
      </c>
      <c r="BB185" s="93"/>
    </row>
    <row r="186" spans="1:54" ht="13.8">
      <c r="A186" s="94" t="s">
        <v>4846</v>
      </c>
      <c r="B186" s="95" t="s">
        <v>4847</v>
      </c>
      <c r="C186" s="100">
        <v>32509</v>
      </c>
      <c r="D186" s="94" t="s">
        <v>2665</v>
      </c>
      <c r="E186" s="94" t="s">
        <v>1478</v>
      </c>
      <c r="F186" s="97" t="s">
        <v>1437</v>
      </c>
      <c r="G186" s="95">
        <v>4811044766</v>
      </c>
      <c r="H186" s="98" t="s">
        <v>5057</v>
      </c>
      <c r="I186" s="95">
        <v>49189011502</v>
      </c>
      <c r="J186" s="98" t="s">
        <v>5088</v>
      </c>
      <c r="K186" s="95" t="s">
        <v>6575</v>
      </c>
      <c r="L186" s="98" t="s">
        <v>6576</v>
      </c>
      <c r="M186" s="98" t="s">
        <v>6577</v>
      </c>
      <c r="N186" s="98" t="s">
        <v>6578</v>
      </c>
      <c r="O186" s="98" t="s">
        <v>6578</v>
      </c>
      <c r="P186" s="95">
        <v>935967333</v>
      </c>
      <c r="Q186" s="98" t="s">
        <v>6579</v>
      </c>
      <c r="R186" s="98" t="s">
        <v>5094</v>
      </c>
      <c r="S186" s="99"/>
      <c r="T186" s="100">
        <v>40553</v>
      </c>
      <c r="U186" s="100">
        <v>41275</v>
      </c>
      <c r="V186" s="98" t="s">
        <v>5095</v>
      </c>
      <c r="W186" s="98" t="s">
        <v>5068</v>
      </c>
      <c r="X186" s="98" t="s">
        <v>5096</v>
      </c>
      <c r="Y186" s="98" t="s">
        <v>5068</v>
      </c>
      <c r="Z186" s="99"/>
      <c r="AA186" s="99"/>
      <c r="AB186" s="95" t="s">
        <v>5161</v>
      </c>
      <c r="AC186" s="99"/>
      <c r="AD186" s="99"/>
      <c r="AE186" s="95" t="s">
        <v>6580</v>
      </c>
      <c r="AF186" s="99"/>
      <c r="AG186" s="95">
        <v>1</v>
      </c>
      <c r="AH186" s="94" t="s">
        <v>5074</v>
      </c>
      <c r="AI186" s="94" t="s">
        <v>5133</v>
      </c>
      <c r="AJ186" s="98" t="s">
        <v>5134</v>
      </c>
      <c r="AK186" s="98" t="s">
        <v>5544</v>
      </c>
      <c r="AL186" s="101" t="s">
        <v>5149</v>
      </c>
      <c r="AM186" s="99"/>
      <c r="AN186" s="98" t="s">
        <v>5079</v>
      </c>
      <c r="AO186" s="98" t="s">
        <v>5080</v>
      </c>
      <c r="AP186" s="98" t="s">
        <v>5425</v>
      </c>
      <c r="AQ186" s="102">
        <v>2024</v>
      </c>
      <c r="AR186" s="98" t="s">
        <v>5082</v>
      </c>
      <c r="AS186" s="99"/>
      <c r="AT186" s="98" t="s">
        <v>5083</v>
      </c>
      <c r="AU186" s="98" t="s">
        <v>5228</v>
      </c>
      <c r="AV186" s="95">
        <v>0</v>
      </c>
      <c r="AW186" s="94" t="s">
        <v>5074</v>
      </c>
      <c r="AX186" s="95">
        <v>0</v>
      </c>
      <c r="AY186" s="98" t="s">
        <v>5152</v>
      </c>
      <c r="AZ186" s="102">
        <v>5</v>
      </c>
      <c r="BA186" s="102" t="s">
        <v>5153</v>
      </c>
      <c r="BB186" s="93"/>
    </row>
    <row r="187" spans="1:54" ht="13.8">
      <c r="A187" s="94" t="s">
        <v>6581</v>
      </c>
      <c r="B187" s="95" t="s">
        <v>6582</v>
      </c>
      <c r="C187" s="100">
        <v>28136</v>
      </c>
      <c r="D187" s="94" t="s">
        <v>2665</v>
      </c>
      <c r="E187" s="94" t="s">
        <v>1478</v>
      </c>
      <c r="F187" s="97" t="s">
        <v>1437</v>
      </c>
      <c r="G187" s="95">
        <v>405007853</v>
      </c>
      <c r="H187" s="98" t="s">
        <v>5057</v>
      </c>
      <c r="I187" s="95">
        <v>49177006454</v>
      </c>
      <c r="J187" s="98" t="s">
        <v>5088</v>
      </c>
      <c r="K187" s="104">
        <v>44477</v>
      </c>
      <c r="L187" s="98" t="s">
        <v>6583</v>
      </c>
      <c r="M187" s="98" t="s">
        <v>6584</v>
      </c>
      <c r="N187" s="98" t="s">
        <v>6585</v>
      </c>
      <c r="O187" s="98" t="s">
        <v>6585</v>
      </c>
      <c r="P187" s="95">
        <v>983201104</v>
      </c>
      <c r="Q187" s="98" t="s">
        <v>6586</v>
      </c>
      <c r="R187" s="98" t="s">
        <v>5094</v>
      </c>
      <c r="S187" s="99"/>
      <c r="T187" s="100">
        <v>36784</v>
      </c>
      <c r="U187" s="100">
        <v>37265</v>
      </c>
      <c r="V187" s="98" t="s">
        <v>5095</v>
      </c>
      <c r="W187" s="98" t="s">
        <v>5068</v>
      </c>
      <c r="X187" s="98" t="s">
        <v>5096</v>
      </c>
      <c r="Y187" s="98" t="s">
        <v>5068</v>
      </c>
      <c r="Z187" s="99"/>
      <c r="AA187" s="99"/>
      <c r="AB187" s="99"/>
      <c r="AC187" s="99"/>
      <c r="AD187" s="98" t="s">
        <v>5510</v>
      </c>
      <c r="AE187" s="114">
        <v>41254</v>
      </c>
      <c r="AF187" s="99"/>
      <c r="AG187" s="95">
        <v>1</v>
      </c>
      <c r="AH187" s="94" t="s">
        <v>5074</v>
      </c>
      <c r="AI187" s="94" t="s">
        <v>5133</v>
      </c>
      <c r="AJ187" s="98" t="s">
        <v>5134</v>
      </c>
      <c r="AK187" s="98" t="s">
        <v>6587</v>
      </c>
      <c r="AL187" s="101" t="s">
        <v>5078</v>
      </c>
      <c r="AM187" s="98" t="s">
        <v>5105</v>
      </c>
      <c r="AN187" s="98" t="s">
        <v>5079</v>
      </c>
      <c r="AO187" s="98" t="s">
        <v>5080</v>
      </c>
      <c r="AP187" s="102">
        <v>75</v>
      </c>
      <c r="AQ187" s="99"/>
      <c r="AR187" s="98" t="s">
        <v>5082</v>
      </c>
      <c r="AS187" s="99"/>
      <c r="AT187" s="99"/>
      <c r="AU187" s="98" t="s">
        <v>5228</v>
      </c>
      <c r="AV187" s="95">
        <v>0</v>
      </c>
      <c r="AW187" s="94" t="s">
        <v>5074</v>
      </c>
      <c r="AX187" s="95">
        <v>0</v>
      </c>
      <c r="AY187" s="98" t="s">
        <v>5085</v>
      </c>
      <c r="AZ187" s="102">
        <v>3</v>
      </c>
      <c r="BA187" s="105">
        <v>46239</v>
      </c>
      <c r="BB187" s="93"/>
    </row>
    <row r="188" spans="1:54" ht="13.8">
      <c r="A188" s="94" t="s">
        <v>6588</v>
      </c>
      <c r="B188" s="95" t="s">
        <v>6589</v>
      </c>
      <c r="C188" s="96">
        <v>33166</v>
      </c>
      <c r="D188" s="94" t="s">
        <v>2665</v>
      </c>
      <c r="E188" s="94" t="s">
        <v>1478</v>
      </c>
      <c r="F188" s="97" t="s">
        <v>1437</v>
      </c>
      <c r="G188" s="95">
        <v>4912014693</v>
      </c>
      <c r="H188" s="98" t="s">
        <v>5057</v>
      </c>
      <c r="I188" s="95">
        <v>67190002779</v>
      </c>
      <c r="J188" s="98" t="s">
        <v>5088</v>
      </c>
      <c r="K188" s="95" t="s">
        <v>6590</v>
      </c>
      <c r="L188" s="98" t="s">
        <v>6591</v>
      </c>
      <c r="M188" s="98" t="s">
        <v>6592</v>
      </c>
      <c r="N188" s="98" t="s">
        <v>6593</v>
      </c>
      <c r="O188" s="98" t="s">
        <v>6594</v>
      </c>
      <c r="P188" s="95">
        <v>979325754</v>
      </c>
      <c r="Q188" s="98" t="s">
        <v>6595</v>
      </c>
      <c r="R188" s="98" t="s">
        <v>5094</v>
      </c>
      <c r="S188" s="99"/>
      <c r="T188" s="100">
        <v>43106</v>
      </c>
      <c r="U188" s="109"/>
      <c r="V188" s="98" t="s">
        <v>5095</v>
      </c>
      <c r="W188" s="98" t="s">
        <v>5068</v>
      </c>
      <c r="X188" s="98" t="s">
        <v>5187</v>
      </c>
      <c r="Y188" s="98" t="s">
        <v>6399</v>
      </c>
      <c r="Z188" s="99"/>
      <c r="AA188" s="99"/>
      <c r="AB188" s="99"/>
      <c r="AC188" s="99"/>
      <c r="AD188" s="99"/>
      <c r="AE188" s="99"/>
      <c r="AF188" s="99"/>
      <c r="AG188" s="95">
        <v>1</v>
      </c>
      <c r="AH188" s="94" t="s">
        <v>5084</v>
      </c>
      <c r="AI188" s="94" t="s">
        <v>5133</v>
      </c>
      <c r="AJ188" s="98" t="s">
        <v>5134</v>
      </c>
      <c r="AK188" s="98" t="s">
        <v>2837</v>
      </c>
      <c r="AL188" s="101" t="s">
        <v>5149</v>
      </c>
      <c r="AM188" s="98" t="s">
        <v>6173</v>
      </c>
      <c r="AN188" s="98" t="s">
        <v>5079</v>
      </c>
      <c r="AO188" s="98" t="s">
        <v>5080</v>
      </c>
      <c r="AP188" s="102">
        <v>4</v>
      </c>
      <c r="AQ188" s="102">
        <v>2015</v>
      </c>
      <c r="AR188" s="99"/>
      <c r="AS188" s="99"/>
      <c r="AT188" s="98" t="s">
        <v>5083</v>
      </c>
      <c r="AU188" s="98" t="s">
        <v>5135</v>
      </c>
      <c r="AV188" s="99"/>
      <c r="AW188" s="94" t="s">
        <v>5084</v>
      </c>
      <c r="AX188" s="95">
        <v>0</v>
      </c>
      <c r="AY188" s="98" t="s">
        <v>5152</v>
      </c>
      <c r="AZ188" s="102">
        <v>3</v>
      </c>
      <c r="BA188" s="102">
        <v>3</v>
      </c>
      <c r="BB188" s="93"/>
    </row>
    <row r="189" spans="1:54" ht="13.8">
      <c r="A189" s="94" t="s">
        <v>6596</v>
      </c>
      <c r="B189" s="95" t="s">
        <v>6597</v>
      </c>
      <c r="C189" s="100">
        <v>24201</v>
      </c>
      <c r="D189" s="94" t="s">
        <v>2656</v>
      </c>
      <c r="E189" s="94" t="s">
        <v>1478</v>
      </c>
      <c r="F189" s="97" t="s">
        <v>1437</v>
      </c>
      <c r="G189" s="95">
        <v>3496050842</v>
      </c>
      <c r="H189" s="98" t="s">
        <v>5057</v>
      </c>
      <c r="I189" s="95">
        <v>49066017014</v>
      </c>
      <c r="J189" s="98" t="s">
        <v>5088</v>
      </c>
      <c r="K189" s="95" t="s">
        <v>5170</v>
      </c>
      <c r="L189" s="98" t="s">
        <v>6598</v>
      </c>
      <c r="M189" s="98" t="s">
        <v>6599</v>
      </c>
      <c r="N189" s="98" t="s">
        <v>6600</v>
      </c>
      <c r="O189" s="98" t="s">
        <v>6600</v>
      </c>
      <c r="P189" s="95">
        <v>907349313</v>
      </c>
      <c r="Q189" s="98" t="s">
        <v>6601</v>
      </c>
      <c r="R189" s="98" t="s">
        <v>5094</v>
      </c>
      <c r="S189" s="99"/>
      <c r="T189" s="100">
        <v>42011</v>
      </c>
      <c r="U189" s="109"/>
      <c r="V189" s="98" t="s">
        <v>5095</v>
      </c>
      <c r="W189" s="98" t="s">
        <v>5068</v>
      </c>
      <c r="X189" s="98" t="s">
        <v>5096</v>
      </c>
      <c r="Y189" s="98" t="s">
        <v>5068</v>
      </c>
      <c r="Z189" s="99"/>
      <c r="AA189" s="99"/>
      <c r="AB189" s="99"/>
      <c r="AC189" s="99"/>
      <c r="AD189" s="99"/>
      <c r="AE189" s="99"/>
      <c r="AF189" s="99"/>
      <c r="AG189" s="95">
        <v>1</v>
      </c>
      <c r="AH189" s="94" t="s">
        <v>5074</v>
      </c>
      <c r="AI189" s="94" t="s">
        <v>5133</v>
      </c>
      <c r="AJ189" s="98" t="s">
        <v>5134</v>
      </c>
      <c r="AK189" s="98" t="s">
        <v>6602</v>
      </c>
      <c r="AL189" s="101" t="s">
        <v>5149</v>
      </c>
      <c r="AM189" s="99"/>
      <c r="AN189" s="98" t="s">
        <v>5079</v>
      </c>
      <c r="AO189" s="98" t="s">
        <v>5080</v>
      </c>
      <c r="AP189" s="98" t="s">
        <v>6603</v>
      </c>
      <c r="AQ189" s="102">
        <v>2014</v>
      </c>
      <c r="AR189" s="99"/>
      <c r="AS189" s="99"/>
      <c r="AT189" s="99"/>
      <c r="AU189" s="99"/>
      <c r="AV189" s="99"/>
      <c r="AW189" s="94" t="s">
        <v>5074</v>
      </c>
      <c r="AX189" s="95">
        <v>0</v>
      </c>
      <c r="AY189" s="98" t="s">
        <v>5152</v>
      </c>
      <c r="AZ189" s="102">
        <v>9</v>
      </c>
      <c r="BA189" s="102" t="s">
        <v>5221</v>
      </c>
      <c r="BB189" s="93"/>
    </row>
    <row r="190" spans="1:54" ht="13.8">
      <c r="A190" s="94" t="s">
        <v>6604</v>
      </c>
      <c r="B190" s="95" t="s">
        <v>6605</v>
      </c>
      <c r="C190" s="96">
        <v>31345</v>
      </c>
      <c r="D190" s="94" t="s">
        <v>2665</v>
      </c>
      <c r="E190" s="94" t="s">
        <v>1478</v>
      </c>
      <c r="F190" s="97" t="s">
        <v>1437</v>
      </c>
      <c r="G190" s="95">
        <v>4812040871</v>
      </c>
      <c r="H190" s="98" t="s">
        <v>5057</v>
      </c>
      <c r="I190" s="95">
        <v>48185005227</v>
      </c>
      <c r="J190" s="98" t="s">
        <v>5088</v>
      </c>
      <c r="K190" s="95" t="s">
        <v>6606</v>
      </c>
      <c r="L190" s="98" t="s">
        <v>6607</v>
      </c>
      <c r="M190" s="98" t="s">
        <v>6608</v>
      </c>
      <c r="N190" s="98" t="s">
        <v>6609</v>
      </c>
      <c r="O190" s="98" t="s">
        <v>6610</v>
      </c>
      <c r="P190" s="95">
        <v>905492369</v>
      </c>
      <c r="Q190" s="98" t="s">
        <v>6611</v>
      </c>
      <c r="R190" s="98" t="s">
        <v>5094</v>
      </c>
      <c r="S190" s="99"/>
      <c r="T190" s="100">
        <v>40916</v>
      </c>
      <c r="U190" s="100">
        <v>41282</v>
      </c>
      <c r="V190" s="98" t="s">
        <v>5095</v>
      </c>
      <c r="W190" s="98" t="s">
        <v>5068</v>
      </c>
      <c r="X190" s="98" t="s">
        <v>5096</v>
      </c>
      <c r="Y190" s="98" t="s">
        <v>5068</v>
      </c>
      <c r="Z190" s="99"/>
      <c r="AA190" s="99"/>
      <c r="AB190" s="95" t="s">
        <v>5161</v>
      </c>
      <c r="AC190" s="98" t="s">
        <v>6375</v>
      </c>
      <c r="AD190" s="99"/>
      <c r="AE190" s="104">
        <v>39454</v>
      </c>
      <c r="AF190" s="99"/>
      <c r="AG190" s="95">
        <v>1</v>
      </c>
      <c r="AH190" s="94" t="s">
        <v>5074</v>
      </c>
      <c r="AI190" s="94" t="s">
        <v>5133</v>
      </c>
      <c r="AJ190" s="98" t="s">
        <v>5134</v>
      </c>
      <c r="AK190" s="98" t="s">
        <v>6612</v>
      </c>
      <c r="AL190" s="101" t="s">
        <v>5149</v>
      </c>
      <c r="AM190" s="99"/>
      <c r="AN190" s="98" t="s">
        <v>5079</v>
      </c>
      <c r="AO190" s="98" t="s">
        <v>5746</v>
      </c>
      <c r="AP190" s="98" t="s">
        <v>5747</v>
      </c>
      <c r="AQ190" s="102">
        <v>2023</v>
      </c>
      <c r="AR190" s="99"/>
      <c r="AS190" s="99"/>
      <c r="AT190" s="98" t="s">
        <v>5083</v>
      </c>
      <c r="AU190" s="98" t="s">
        <v>5220</v>
      </c>
      <c r="AV190" s="95">
        <v>0</v>
      </c>
      <c r="AW190" s="94" t="s">
        <v>5074</v>
      </c>
      <c r="AX190" s="95">
        <v>0</v>
      </c>
      <c r="AY190" s="98" t="s">
        <v>5152</v>
      </c>
      <c r="AZ190" s="102">
        <v>6</v>
      </c>
      <c r="BA190" s="102" t="s">
        <v>5260</v>
      </c>
      <c r="BB190" s="93"/>
    </row>
    <row r="191" spans="1:54" ht="13.8">
      <c r="A191" s="94" t="s">
        <v>6613</v>
      </c>
      <c r="B191" s="95" t="s">
        <v>6614</v>
      </c>
      <c r="C191" s="100">
        <v>31278</v>
      </c>
      <c r="D191" s="94" t="s">
        <v>2665</v>
      </c>
      <c r="E191" s="94" t="s">
        <v>1478</v>
      </c>
      <c r="F191" s="97" t="s">
        <v>1437</v>
      </c>
      <c r="G191" s="95">
        <v>4814016893</v>
      </c>
      <c r="H191" s="98" t="s">
        <v>5057</v>
      </c>
      <c r="I191" s="95">
        <v>30185020936</v>
      </c>
      <c r="J191" s="98" t="s">
        <v>5088</v>
      </c>
      <c r="K191" s="95" t="s">
        <v>5089</v>
      </c>
      <c r="L191" s="98" t="s">
        <v>5476</v>
      </c>
      <c r="M191" s="98" t="s">
        <v>6615</v>
      </c>
      <c r="N191" s="98" t="s">
        <v>6616</v>
      </c>
      <c r="O191" s="98" t="s">
        <v>6616</v>
      </c>
      <c r="P191" s="95">
        <v>963645075</v>
      </c>
      <c r="Q191" s="98" t="s">
        <v>6617</v>
      </c>
      <c r="R191" s="98" t="s">
        <v>5094</v>
      </c>
      <c r="S191" s="99"/>
      <c r="T191" s="100">
        <v>41645</v>
      </c>
      <c r="U191" s="100">
        <v>42014</v>
      </c>
      <c r="V191" s="98" t="s">
        <v>5095</v>
      </c>
      <c r="W191" s="98" t="s">
        <v>5068</v>
      </c>
      <c r="X191" s="98" t="s">
        <v>5096</v>
      </c>
      <c r="Y191" s="98" t="s">
        <v>5068</v>
      </c>
      <c r="Z191" s="99"/>
      <c r="AA191" s="99"/>
      <c r="AB191" s="95" t="s">
        <v>5161</v>
      </c>
      <c r="AC191" s="99"/>
      <c r="AD191" s="99"/>
      <c r="AE191" s="95" t="s">
        <v>5161</v>
      </c>
      <c r="AF191" s="99"/>
      <c r="AG191" s="95">
        <v>0</v>
      </c>
      <c r="AH191" s="94" t="s">
        <v>5074</v>
      </c>
      <c r="AI191" s="94" t="s">
        <v>5075</v>
      </c>
      <c r="AJ191" s="98" t="s">
        <v>6013</v>
      </c>
      <c r="AK191" s="98" t="s">
        <v>6202</v>
      </c>
      <c r="AL191" s="101" t="s">
        <v>5149</v>
      </c>
      <c r="AM191" s="99"/>
      <c r="AN191" s="98" t="s">
        <v>5079</v>
      </c>
      <c r="AO191" s="98" t="s">
        <v>3209</v>
      </c>
      <c r="AP191" s="98" t="s">
        <v>6618</v>
      </c>
      <c r="AQ191" s="102">
        <v>2014</v>
      </c>
      <c r="AR191" s="99"/>
      <c r="AS191" s="99"/>
      <c r="AT191" s="98" t="s">
        <v>5083</v>
      </c>
      <c r="AU191" s="99"/>
      <c r="AV191" s="95">
        <v>0</v>
      </c>
      <c r="AW191" s="94" t="s">
        <v>5074</v>
      </c>
      <c r="AX191" s="95">
        <v>0</v>
      </c>
      <c r="AY191" s="98" t="s">
        <v>5152</v>
      </c>
      <c r="AZ191" s="102">
        <v>6</v>
      </c>
      <c r="BA191" s="102" t="s">
        <v>5260</v>
      </c>
      <c r="BB191" s="93"/>
    </row>
    <row r="192" spans="1:54" ht="13.8">
      <c r="A192" s="94" t="s">
        <v>674</v>
      </c>
      <c r="B192" s="95" t="s">
        <v>6619</v>
      </c>
      <c r="C192" s="100">
        <v>24951</v>
      </c>
      <c r="D192" s="94" t="s">
        <v>2665</v>
      </c>
      <c r="E192" s="94" t="s">
        <v>1478</v>
      </c>
      <c r="F192" s="97" t="s">
        <v>1437</v>
      </c>
      <c r="G192" s="95">
        <v>499011050</v>
      </c>
      <c r="H192" s="98" t="s">
        <v>5057</v>
      </c>
      <c r="I192" s="95">
        <v>48168005438</v>
      </c>
      <c r="J192" s="98" t="s">
        <v>5088</v>
      </c>
      <c r="K192" s="95" t="s">
        <v>6620</v>
      </c>
      <c r="L192" s="98" t="s">
        <v>6621</v>
      </c>
      <c r="M192" s="98" t="s">
        <v>5694</v>
      </c>
      <c r="N192" s="98" t="s">
        <v>6622</v>
      </c>
      <c r="O192" s="98" t="s">
        <v>6622</v>
      </c>
      <c r="P192" s="95">
        <v>946925599</v>
      </c>
      <c r="Q192" s="98" t="s">
        <v>6623</v>
      </c>
      <c r="R192" s="98" t="s">
        <v>5094</v>
      </c>
      <c r="S192" s="99"/>
      <c r="T192" s="109"/>
      <c r="U192" s="109"/>
      <c r="V192" s="98" t="s">
        <v>5095</v>
      </c>
      <c r="W192" s="98" t="s">
        <v>5068</v>
      </c>
      <c r="X192" s="98" t="s">
        <v>5653</v>
      </c>
      <c r="Y192" s="98" t="s">
        <v>5068</v>
      </c>
      <c r="Z192" s="99"/>
      <c r="AA192" s="99"/>
      <c r="AB192" s="95" t="s">
        <v>5161</v>
      </c>
      <c r="AC192" s="99"/>
      <c r="AD192" s="99"/>
      <c r="AE192" s="95" t="s">
        <v>5161</v>
      </c>
      <c r="AF192" s="99"/>
      <c r="AG192" s="95">
        <v>1</v>
      </c>
      <c r="AH192" s="94" t="s">
        <v>5074</v>
      </c>
      <c r="AI192" s="94" t="s">
        <v>5101</v>
      </c>
      <c r="AJ192" s="98" t="s">
        <v>5320</v>
      </c>
      <c r="AK192" s="98" t="s">
        <v>6624</v>
      </c>
      <c r="AL192" s="101" t="s">
        <v>5078</v>
      </c>
      <c r="AM192" s="99"/>
      <c r="AN192" s="98" t="s">
        <v>5079</v>
      </c>
      <c r="AO192" s="98" t="s">
        <v>5080</v>
      </c>
      <c r="AP192" s="98" t="s">
        <v>6625</v>
      </c>
      <c r="AQ192" s="102">
        <v>2017</v>
      </c>
      <c r="AR192" s="99"/>
      <c r="AS192" s="99"/>
      <c r="AT192" s="99"/>
      <c r="AU192" s="98" t="s">
        <v>5082</v>
      </c>
      <c r="AV192" s="95">
        <v>0</v>
      </c>
      <c r="AW192" s="94" t="s">
        <v>5074</v>
      </c>
      <c r="AX192" s="95">
        <v>0</v>
      </c>
      <c r="AY192" s="98" t="s">
        <v>5085</v>
      </c>
      <c r="AZ192" s="102">
        <v>4</v>
      </c>
      <c r="BA192" s="102" t="s">
        <v>6490</v>
      </c>
      <c r="BB192" s="93"/>
    </row>
    <row r="193" spans="1:54" ht="13.8">
      <c r="A193" s="94" t="s">
        <v>1941</v>
      </c>
      <c r="B193" s="95" t="s">
        <v>6626</v>
      </c>
      <c r="C193" s="100">
        <v>31318</v>
      </c>
      <c r="D193" s="94" t="s">
        <v>2665</v>
      </c>
      <c r="E193" s="94" t="s">
        <v>1478</v>
      </c>
      <c r="F193" s="97" t="s">
        <v>1437</v>
      </c>
      <c r="G193" s="95">
        <v>4810031398</v>
      </c>
      <c r="H193" s="98" t="s">
        <v>5057</v>
      </c>
      <c r="I193" s="95">
        <v>44185012521</v>
      </c>
      <c r="J193" s="98" t="s">
        <v>5088</v>
      </c>
      <c r="K193" s="95" t="s">
        <v>6627</v>
      </c>
      <c r="L193" s="98" t="s">
        <v>6628</v>
      </c>
      <c r="M193" s="98" t="s">
        <v>6629</v>
      </c>
      <c r="N193" s="98" t="s">
        <v>6630</v>
      </c>
      <c r="O193" s="98" t="s">
        <v>6630</v>
      </c>
      <c r="P193" s="95">
        <v>905534357</v>
      </c>
      <c r="Q193" s="98" t="s">
        <v>5813</v>
      </c>
      <c r="R193" s="98" t="s">
        <v>5094</v>
      </c>
      <c r="S193" s="99"/>
      <c r="T193" s="100">
        <v>40189</v>
      </c>
      <c r="U193" s="100">
        <v>40554</v>
      </c>
      <c r="V193" s="98" t="s">
        <v>5095</v>
      </c>
      <c r="W193" s="98" t="s">
        <v>5068</v>
      </c>
      <c r="X193" s="98" t="s">
        <v>5096</v>
      </c>
      <c r="Y193" s="98" t="s">
        <v>5068</v>
      </c>
      <c r="Z193" s="99"/>
      <c r="AA193" s="99"/>
      <c r="AB193" s="95" t="s">
        <v>5161</v>
      </c>
      <c r="AC193" s="99"/>
      <c r="AD193" s="99"/>
      <c r="AE193" s="95" t="s">
        <v>5161</v>
      </c>
      <c r="AF193" s="99"/>
      <c r="AG193" s="95">
        <v>1</v>
      </c>
      <c r="AH193" s="94" t="s">
        <v>5074</v>
      </c>
      <c r="AI193" s="94" t="s">
        <v>5075</v>
      </c>
      <c r="AJ193" s="98" t="s">
        <v>5489</v>
      </c>
      <c r="AK193" s="98" t="s">
        <v>6264</v>
      </c>
      <c r="AL193" s="101" t="s">
        <v>5149</v>
      </c>
      <c r="AM193" s="99"/>
      <c r="AN193" s="98" t="s">
        <v>5079</v>
      </c>
      <c r="AO193" s="98" t="s">
        <v>5080</v>
      </c>
      <c r="AP193" s="98" t="s">
        <v>5638</v>
      </c>
      <c r="AQ193" s="102">
        <v>2023</v>
      </c>
      <c r="AR193" s="99"/>
      <c r="AS193" s="99"/>
      <c r="AT193" s="98" t="s">
        <v>5083</v>
      </c>
      <c r="AU193" s="99"/>
      <c r="AV193" s="95">
        <v>0</v>
      </c>
      <c r="AW193" s="94" t="s">
        <v>5074</v>
      </c>
      <c r="AX193" s="95">
        <v>0</v>
      </c>
      <c r="AY193" s="98" t="s">
        <v>5152</v>
      </c>
      <c r="AZ193" s="102">
        <v>6</v>
      </c>
      <c r="BA193" s="102" t="s">
        <v>5260</v>
      </c>
      <c r="BB193" s="93"/>
    </row>
    <row r="194" spans="1:54" ht="13.8">
      <c r="A194" s="94" t="s">
        <v>6631</v>
      </c>
      <c r="B194" s="95" t="s">
        <v>6632</v>
      </c>
      <c r="C194" s="96">
        <v>33932</v>
      </c>
      <c r="D194" s="94" t="s">
        <v>2665</v>
      </c>
      <c r="E194" s="94" t="s">
        <v>1820</v>
      </c>
      <c r="F194" s="97" t="s">
        <v>1462</v>
      </c>
      <c r="G194" s="95">
        <v>4815020051</v>
      </c>
      <c r="H194" s="98" t="s">
        <v>5181</v>
      </c>
      <c r="I194" s="95">
        <v>48192006933</v>
      </c>
      <c r="J194" s="98" t="s">
        <v>5088</v>
      </c>
      <c r="K194" s="95" t="s">
        <v>5089</v>
      </c>
      <c r="L194" s="98" t="s">
        <v>6633</v>
      </c>
      <c r="M194" s="98" t="s">
        <v>6634</v>
      </c>
      <c r="N194" s="98" t="s">
        <v>6635</v>
      </c>
      <c r="O194" s="98" t="s">
        <v>6635</v>
      </c>
      <c r="P194" s="95">
        <v>935652677</v>
      </c>
      <c r="Q194" s="98" t="s">
        <v>6636</v>
      </c>
      <c r="R194" s="98" t="s">
        <v>5094</v>
      </c>
      <c r="S194" s="99"/>
      <c r="T194" s="100">
        <v>42011</v>
      </c>
      <c r="U194" s="109"/>
      <c r="V194" s="98" t="s">
        <v>5095</v>
      </c>
      <c r="W194" s="98" t="s">
        <v>5142</v>
      </c>
      <c r="X194" s="98" t="s">
        <v>5096</v>
      </c>
      <c r="Y194" s="98" t="s">
        <v>5208</v>
      </c>
      <c r="Z194" s="99"/>
      <c r="AA194" s="99"/>
      <c r="AB194" s="99"/>
      <c r="AC194" s="99"/>
      <c r="AD194" s="99"/>
      <c r="AE194" s="99"/>
      <c r="AF194" s="99"/>
      <c r="AG194" s="95">
        <v>1</v>
      </c>
      <c r="AH194" s="94" t="s">
        <v>5084</v>
      </c>
      <c r="AI194" s="94" t="s">
        <v>5122</v>
      </c>
      <c r="AJ194" s="98" t="s">
        <v>5266</v>
      </c>
      <c r="AK194" s="98" t="s">
        <v>2676</v>
      </c>
      <c r="AL194" s="101" t="s">
        <v>5142</v>
      </c>
      <c r="AM194" s="99"/>
      <c r="AN194" s="98" t="s">
        <v>5079</v>
      </c>
      <c r="AO194" s="98" t="s">
        <v>5080</v>
      </c>
      <c r="AP194" s="98" t="s">
        <v>5188</v>
      </c>
      <c r="AQ194" s="102">
        <v>2023</v>
      </c>
      <c r="AR194" s="99"/>
      <c r="AS194" s="98" t="s">
        <v>5142</v>
      </c>
      <c r="AT194" s="99"/>
      <c r="AU194" s="98" t="s">
        <v>5220</v>
      </c>
      <c r="AV194" s="99"/>
      <c r="AW194" s="94" t="s">
        <v>5084</v>
      </c>
      <c r="AX194" s="95">
        <v>0</v>
      </c>
      <c r="AY194" s="98" t="s">
        <v>5167</v>
      </c>
      <c r="AZ194" s="102">
        <v>3</v>
      </c>
      <c r="BA194" s="102">
        <v>3</v>
      </c>
      <c r="BB194" s="93"/>
    </row>
    <row r="195" spans="1:54" ht="13.8">
      <c r="A195" s="94" t="s">
        <v>6637</v>
      </c>
      <c r="B195" s="95" t="s">
        <v>6638</v>
      </c>
      <c r="C195" s="96">
        <v>23307</v>
      </c>
      <c r="D195" s="94" t="s">
        <v>2656</v>
      </c>
      <c r="E195" s="94" t="s">
        <v>1820</v>
      </c>
      <c r="F195" s="97" t="s">
        <v>1462</v>
      </c>
      <c r="G195" s="95">
        <v>3496041893</v>
      </c>
      <c r="H195" s="98" t="s">
        <v>5057</v>
      </c>
      <c r="I195" s="95">
        <v>34063012912</v>
      </c>
      <c r="J195" s="98" t="s">
        <v>5088</v>
      </c>
      <c r="K195" s="95" t="s">
        <v>5089</v>
      </c>
      <c r="L195" s="98" t="s">
        <v>6639</v>
      </c>
      <c r="M195" s="98" t="s">
        <v>6640</v>
      </c>
      <c r="N195" s="98" t="s">
        <v>6641</v>
      </c>
      <c r="O195" s="98" t="s">
        <v>6641</v>
      </c>
      <c r="P195" s="95">
        <v>913419226</v>
      </c>
      <c r="Q195" s="98" t="s">
        <v>6642</v>
      </c>
      <c r="R195" s="98" t="s">
        <v>5094</v>
      </c>
      <c r="S195" s="98" t="s">
        <v>6643</v>
      </c>
      <c r="T195" s="100">
        <v>30692</v>
      </c>
      <c r="U195" s="109"/>
      <c r="V195" s="98" t="s">
        <v>6644</v>
      </c>
      <c r="W195" s="98" t="s">
        <v>5068</v>
      </c>
      <c r="X195" s="98" t="s">
        <v>5067</v>
      </c>
      <c r="Y195" s="98" t="s">
        <v>5066</v>
      </c>
      <c r="Z195" s="99"/>
      <c r="AA195" s="99"/>
      <c r="AB195" s="99"/>
      <c r="AC195" s="99"/>
      <c r="AD195" s="98" t="s">
        <v>5069</v>
      </c>
      <c r="AE195" s="104">
        <v>32394</v>
      </c>
      <c r="AF195" s="99"/>
      <c r="AG195" s="95">
        <v>1</v>
      </c>
      <c r="AH195" s="94" t="s">
        <v>5074</v>
      </c>
      <c r="AI195" s="94" t="s">
        <v>5133</v>
      </c>
      <c r="AJ195" s="98" t="s">
        <v>5134</v>
      </c>
      <c r="AK195" s="98" t="s">
        <v>5210</v>
      </c>
      <c r="AL195" s="101" t="s">
        <v>5104</v>
      </c>
      <c r="AM195" s="99"/>
      <c r="AN195" s="98" t="s">
        <v>5079</v>
      </c>
      <c r="AO195" s="98" t="s">
        <v>5080</v>
      </c>
      <c r="AP195" s="98" t="s">
        <v>6645</v>
      </c>
      <c r="AQ195" s="102">
        <v>2010</v>
      </c>
      <c r="AR195" s="98" t="s">
        <v>5106</v>
      </c>
      <c r="AS195" s="98" t="s">
        <v>5561</v>
      </c>
      <c r="AT195" s="98" t="s">
        <v>6646</v>
      </c>
      <c r="AU195" s="98" t="s">
        <v>5151</v>
      </c>
      <c r="AV195" s="95">
        <v>2016</v>
      </c>
      <c r="AW195" s="94" t="s">
        <v>5108</v>
      </c>
      <c r="AX195" s="95">
        <v>0</v>
      </c>
      <c r="AY195" s="98" t="s">
        <v>5109</v>
      </c>
      <c r="AZ195" s="102">
        <v>4</v>
      </c>
      <c r="BA195" s="102" t="s">
        <v>5126</v>
      </c>
      <c r="BB195" s="93"/>
    </row>
    <row r="196" spans="1:54" ht="13.8">
      <c r="A196" s="94" t="s">
        <v>6647</v>
      </c>
      <c r="B196" s="95" t="s">
        <v>6648</v>
      </c>
      <c r="C196" s="100">
        <v>21969</v>
      </c>
      <c r="D196" s="94" t="s">
        <v>2656</v>
      </c>
      <c r="E196" s="94" t="s">
        <v>1820</v>
      </c>
      <c r="F196" s="97" t="s">
        <v>1462</v>
      </c>
      <c r="G196" s="99"/>
      <c r="H196" s="99"/>
      <c r="I196" s="95">
        <v>36060007399</v>
      </c>
      <c r="J196" s="98" t="s">
        <v>5088</v>
      </c>
      <c r="K196" s="104">
        <v>44420</v>
      </c>
      <c r="L196" s="98" t="s">
        <v>5476</v>
      </c>
      <c r="M196" s="99"/>
      <c r="N196" s="98" t="s">
        <v>6649</v>
      </c>
      <c r="O196" s="98" t="s">
        <v>6649</v>
      </c>
      <c r="P196" s="95">
        <v>945718888</v>
      </c>
      <c r="Q196" s="98" t="s">
        <v>6650</v>
      </c>
      <c r="R196" s="98" t="s">
        <v>5094</v>
      </c>
      <c r="S196" s="99"/>
      <c r="T196" s="109"/>
      <c r="U196" s="109"/>
      <c r="V196" s="99"/>
      <c r="W196" s="98" t="s">
        <v>5068</v>
      </c>
      <c r="X196" s="98" t="s">
        <v>5653</v>
      </c>
      <c r="Y196" s="99"/>
      <c r="Z196" s="99"/>
      <c r="AA196" s="99"/>
      <c r="AB196" s="99"/>
      <c r="AC196" s="99"/>
      <c r="AD196" s="99"/>
      <c r="AE196" s="99"/>
      <c r="AF196" s="99"/>
      <c r="AG196" s="95">
        <v>0</v>
      </c>
      <c r="AH196" s="94" t="s">
        <v>5074</v>
      </c>
      <c r="AI196" s="94" t="s">
        <v>5133</v>
      </c>
      <c r="AJ196" s="98" t="s">
        <v>5134</v>
      </c>
      <c r="AK196" s="98" t="s">
        <v>5210</v>
      </c>
      <c r="AL196" s="101" t="s">
        <v>5149</v>
      </c>
      <c r="AM196" s="99"/>
      <c r="AN196" s="98" t="s">
        <v>5079</v>
      </c>
      <c r="AO196" s="98" t="s">
        <v>5080</v>
      </c>
      <c r="AP196" s="98" t="s">
        <v>6645</v>
      </c>
      <c r="AQ196" s="99"/>
      <c r="AR196" s="99"/>
      <c r="AS196" s="99"/>
      <c r="AT196" s="99"/>
      <c r="AU196" s="99"/>
      <c r="AV196" s="99"/>
      <c r="AW196" s="94" t="s">
        <v>5108</v>
      </c>
      <c r="AX196" s="95">
        <v>0</v>
      </c>
      <c r="AY196" s="98" t="s">
        <v>5152</v>
      </c>
      <c r="AZ196" s="102">
        <v>1</v>
      </c>
      <c r="BA196" s="99"/>
      <c r="BB196" s="93"/>
    </row>
    <row r="197" spans="1:54" ht="13.8">
      <c r="A197" s="94" t="s">
        <v>6651</v>
      </c>
      <c r="B197" s="95" t="s">
        <v>4796</v>
      </c>
      <c r="C197" s="100">
        <v>30104</v>
      </c>
      <c r="D197" s="94" t="s">
        <v>2665</v>
      </c>
      <c r="E197" s="94" t="s">
        <v>1820</v>
      </c>
      <c r="F197" s="97" t="s">
        <v>1462</v>
      </c>
      <c r="G197" s="95">
        <v>4810005096</v>
      </c>
      <c r="H197" s="98" t="s">
        <v>5057</v>
      </c>
      <c r="I197" s="95">
        <v>49182010985</v>
      </c>
      <c r="J197" s="98" t="s">
        <v>5088</v>
      </c>
      <c r="K197" s="104">
        <v>44447</v>
      </c>
      <c r="L197" s="98" t="s">
        <v>6652</v>
      </c>
      <c r="M197" s="98" t="s">
        <v>6653</v>
      </c>
      <c r="N197" s="98" t="s">
        <v>6654</v>
      </c>
      <c r="O197" s="98" t="s">
        <v>6654</v>
      </c>
      <c r="P197" s="95">
        <v>983323231</v>
      </c>
      <c r="Q197" s="98" t="s">
        <v>6655</v>
      </c>
      <c r="R197" s="98" t="s">
        <v>5094</v>
      </c>
      <c r="S197" s="99"/>
      <c r="T197" s="100">
        <v>40179</v>
      </c>
      <c r="U197" s="100">
        <v>40544</v>
      </c>
      <c r="V197" s="98" t="s">
        <v>5095</v>
      </c>
      <c r="W197" s="98" t="s">
        <v>5068</v>
      </c>
      <c r="X197" s="98" t="s">
        <v>5096</v>
      </c>
      <c r="Y197" s="98" t="s">
        <v>5068</v>
      </c>
      <c r="Z197" s="99"/>
      <c r="AA197" s="99"/>
      <c r="AB197" s="99"/>
      <c r="AC197" s="99"/>
      <c r="AD197" s="99"/>
      <c r="AE197" s="104">
        <v>39060</v>
      </c>
      <c r="AF197" s="99"/>
      <c r="AG197" s="95">
        <v>1</v>
      </c>
      <c r="AH197" s="94" t="s">
        <v>5074</v>
      </c>
      <c r="AI197" s="94" t="s">
        <v>5122</v>
      </c>
      <c r="AJ197" s="98" t="s">
        <v>6157</v>
      </c>
      <c r="AK197" s="98" t="s">
        <v>6656</v>
      </c>
      <c r="AL197" s="101" t="s">
        <v>5104</v>
      </c>
      <c r="AM197" s="98" t="s">
        <v>6657</v>
      </c>
      <c r="AN197" s="98" t="s">
        <v>5079</v>
      </c>
      <c r="AO197" s="98" t="s">
        <v>5080</v>
      </c>
      <c r="AP197" s="102">
        <v>246</v>
      </c>
      <c r="AQ197" s="99"/>
      <c r="AR197" s="98" t="s">
        <v>5082</v>
      </c>
      <c r="AS197" s="99"/>
      <c r="AT197" s="98" t="s">
        <v>5083</v>
      </c>
      <c r="AU197" s="98" t="s">
        <v>5228</v>
      </c>
      <c r="AV197" s="95">
        <v>2024</v>
      </c>
      <c r="AW197" s="94" t="s">
        <v>5108</v>
      </c>
      <c r="AX197" s="95">
        <v>0</v>
      </c>
      <c r="AY197" s="98" t="s">
        <v>5109</v>
      </c>
      <c r="AZ197" s="102">
        <v>1</v>
      </c>
      <c r="BA197" s="110">
        <v>46059</v>
      </c>
      <c r="BB197" s="93"/>
    </row>
    <row r="198" spans="1:54" ht="13.8">
      <c r="A198" s="94" t="s">
        <v>6658</v>
      </c>
      <c r="B198" s="95" t="s">
        <v>6659</v>
      </c>
      <c r="C198" s="96">
        <v>27691</v>
      </c>
      <c r="D198" s="94" t="s">
        <v>2665</v>
      </c>
      <c r="E198" s="94" t="s">
        <v>1820</v>
      </c>
      <c r="F198" s="97" t="s">
        <v>1462</v>
      </c>
      <c r="G198" s="95">
        <v>105061464</v>
      </c>
      <c r="H198" s="98" t="s">
        <v>5057</v>
      </c>
      <c r="I198" s="95">
        <v>1175043940</v>
      </c>
      <c r="J198" s="98" t="s">
        <v>5088</v>
      </c>
      <c r="K198" s="95" t="s">
        <v>5089</v>
      </c>
      <c r="L198" s="98" t="s">
        <v>6583</v>
      </c>
      <c r="M198" s="98" t="s">
        <v>5838</v>
      </c>
      <c r="N198" s="98" t="s">
        <v>6660</v>
      </c>
      <c r="O198" s="98" t="s">
        <v>6660</v>
      </c>
      <c r="P198" s="95">
        <v>913529435</v>
      </c>
      <c r="Q198" s="98" t="s">
        <v>6661</v>
      </c>
      <c r="R198" s="98" t="s">
        <v>5094</v>
      </c>
      <c r="S198" s="99"/>
      <c r="T198" s="109"/>
      <c r="U198" s="109"/>
      <c r="V198" s="98" t="s">
        <v>5095</v>
      </c>
      <c r="W198" s="98" t="s">
        <v>5068</v>
      </c>
      <c r="X198" s="98" t="s">
        <v>5096</v>
      </c>
      <c r="Y198" s="98" t="s">
        <v>5068</v>
      </c>
      <c r="Z198" s="99"/>
      <c r="AA198" s="98" t="s">
        <v>5587</v>
      </c>
      <c r="AB198" s="95" t="s">
        <v>5318</v>
      </c>
      <c r="AC198" s="99"/>
      <c r="AD198" s="98" t="s">
        <v>6662</v>
      </c>
      <c r="AE198" s="104">
        <v>39847</v>
      </c>
      <c r="AF198" s="99"/>
      <c r="AG198" s="95">
        <v>1</v>
      </c>
      <c r="AH198" s="94" t="s">
        <v>5074</v>
      </c>
      <c r="AI198" s="94" t="s">
        <v>5122</v>
      </c>
      <c r="AJ198" s="98" t="s">
        <v>6157</v>
      </c>
      <c r="AK198" s="98" t="s">
        <v>2854</v>
      </c>
      <c r="AL198" s="101" t="s">
        <v>5104</v>
      </c>
      <c r="AM198" s="99"/>
      <c r="AN198" s="98" t="s">
        <v>5079</v>
      </c>
      <c r="AO198" s="98" t="s">
        <v>5080</v>
      </c>
      <c r="AP198" s="98" t="s">
        <v>6603</v>
      </c>
      <c r="AQ198" s="102">
        <v>2014</v>
      </c>
      <c r="AR198" s="98" t="s">
        <v>5082</v>
      </c>
      <c r="AS198" s="99"/>
      <c r="AT198" s="98" t="s">
        <v>5083</v>
      </c>
      <c r="AU198" s="98" t="s">
        <v>5228</v>
      </c>
      <c r="AV198" s="95">
        <v>2023</v>
      </c>
      <c r="AW198" s="94" t="s">
        <v>5108</v>
      </c>
      <c r="AX198" s="95">
        <v>0</v>
      </c>
      <c r="AY198" s="98" t="s">
        <v>5109</v>
      </c>
      <c r="AZ198" s="102">
        <v>1</v>
      </c>
      <c r="BA198" s="110">
        <v>46059</v>
      </c>
      <c r="BB198" s="93"/>
    </row>
    <row r="199" spans="1:54" ht="13.8">
      <c r="A199" s="94" t="s">
        <v>6663</v>
      </c>
      <c r="B199" s="95" t="s">
        <v>4761</v>
      </c>
      <c r="C199" s="100">
        <v>32115</v>
      </c>
      <c r="D199" s="94" t="s">
        <v>2665</v>
      </c>
      <c r="E199" s="94" t="s">
        <v>1820</v>
      </c>
      <c r="F199" s="97" t="s">
        <v>1462</v>
      </c>
      <c r="G199" s="95">
        <v>4810013741</v>
      </c>
      <c r="H199" s="98" t="s">
        <v>5057</v>
      </c>
      <c r="I199" s="95">
        <v>36187015211</v>
      </c>
      <c r="J199" s="98" t="s">
        <v>5088</v>
      </c>
      <c r="K199" s="104">
        <v>44901</v>
      </c>
      <c r="L199" s="98" t="s">
        <v>6664</v>
      </c>
      <c r="M199" s="98" t="s">
        <v>6665</v>
      </c>
      <c r="N199" s="98" t="s">
        <v>6666</v>
      </c>
      <c r="O199" s="98" t="s">
        <v>6666</v>
      </c>
      <c r="P199" s="95">
        <v>976157914</v>
      </c>
      <c r="Q199" s="98" t="s">
        <v>6667</v>
      </c>
      <c r="R199" s="98" t="s">
        <v>5094</v>
      </c>
      <c r="S199" s="99"/>
      <c r="T199" s="100">
        <v>39825</v>
      </c>
      <c r="U199" s="109"/>
      <c r="V199" s="98" t="s">
        <v>5095</v>
      </c>
      <c r="W199" s="98" t="s">
        <v>5068</v>
      </c>
      <c r="X199" s="98" t="s">
        <v>5096</v>
      </c>
      <c r="Y199" s="98" t="s">
        <v>5068</v>
      </c>
      <c r="Z199" s="99"/>
      <c r="AA199" s="99"/>
      <c r="AB199" s="99"/>
      <c r="AC199" s="99"/>
      <c r="AD199" s="99"/>
      <c r="AE199" s="104">
        <v>43378</v>
      </c>
      <c r="AF199" s="99"/>
      <c r="AG199" s="95">
        <v>1</v>
      </c>
      <c r="AH199" s="94" t="s">
        <v>5074</v>
      </c>
      <c r="AI199" s="94" t="s">
        <v>5122</v>
      </c>
      <c r="AJ199" s="98" t="s">
        <v>6157</v>
      </c>
      <c r="AK199" s="98" t="s">
        <v>6498</v>
      </c>
      <c r="AL199" s="101" t="s">
        <v>5149</v>
      </c>
      <c r="AM199" s="99"/>
      <c r="AN199" s="98" t="s">
        <v>5079</v>
      </c>
      <c r="AO199" s="98" t="s">
        <v>5080</v>
      </c>
      <c r="AP199" s="98" t="s">
        <v>6499</v>
      </c>
      <c r="AQ199" s="102">
        <v>2021</v>
      </c>
      <c r="AR199" s="98" t="s">
        <v>5082</v>
      </c>
      <c r="AS199" s="99"/>
      <c r="AT199" s="98" t="s">
        <v>5083</v>
      </c>
      <c r="AU199" s="98" t="s">
        <v>5228</v>
      </c>
      <c r="AV199" s="95">
        <v>0</v>
      </c>
      <c r="AW199" s="94" t="s">
        <v>5074</v>
      </c>
      <c r="AX199" s="95">
        <v>0</v>
      </c>
      <c r="AY199" s="98" t="s">
        <v>5085</v>
      </c>
      <c r="AZ199" s="102">
        <v>1</v>
      </c>
      <c r="BA199" s="110">
        <v>46116</v>
      </c>
      <c r="BB199" s="93"/>
    </row>
    <row r="200" spans="1:54" ht="13.8">
      <c r="A200" s="94" t="s">
        <v>4760</v>
      </c>
      <c r="B200" s="95" t="s">
        <v>6668</v>
      </c>
      <c r="C200" s="96">
        <v>32092</v>
      </c>
      <c r="D200" s="94" t="s">
        <v>2665</v>
      </c>
      <c r="E200" s="94" t="s">
        <v>1820</v>
      </c>
      <c r="F200" s="97" t="s">
        <v>1462</v>
      </c>
      <c r="G200" s="95">
        <v>4909017612</v>
      </c>
      <c r="H200" s="98" t="s">
        <v>5057</v>
      </c>
      <c r="I200" s="95">
        <v>51187015269</v>
      </c>
      <c r="J200" s="98" t="s">
        <v>5088</v>
      </c>
      <c r="K200" s="95" t="s">
        <v>6669</v>
      </c>
      <c r="L200" s="98" t="s">
        <v>6670</v>
      </c>
      <c r="M200" s="98" t="s">
        <v>6671</v>
      </c>
      <c r="N200" s="98" t="s">
        <v>6672</v>
      </c>
      <c r="O200" s="98" t="s">
        <v>6672</v>
      </c>
      <c r="P200" s="95">
        <v>976622085</v>
      </c>
      <c r="Q200" s="98" t="s">
        <v>6673</v>
      </c>
      <c r="R200" s="98" t="s">
        <v>5094</v>
      </c>
      <c r="S200" s="99"/>
      <c r="T200" s="100">
        <v>40553</v>
      </c>
      <c r="U200" s="100">
        <v>40918</v>
      </c>
      <c r="V200" s="98" t="s">
        <v>6674</v>
      </c>
      <c r="W200" s="98" t="s">
        <v>5068</v>
      </c>
      <c r="X200" s="98" t="s">
        <v>5096</v>
      </c>
      <c r="Y200" s="98" t="s">
        <v>5068</v>
      </c>
      <c r="Z200" s="99"/>
      <c r="AA200" s="99"/>
      <c r="AB200" s="99"/>
      <c r="AC200" s="99"/>
      <c r="AD200" s="99"/>
      <c r="AE200" s="95" t="s">
        <v>6675</v>
      </c>
      <c r="AF200" s="99"/>
      <c r="AG200" s="95">
        <v>1</v>
      </c>
      <c r="AH200" s="94" t="s">
        <v>5074</v>
      </c>
      <c r="AI200" s="94" t="s">
        <v>5122</v>
      </c>
      <c r="AJ200" s="98" t="s">
        <v>6157</v>
      </c>
      <c r="AK200" s="98" t="s">
        <v>6676</v>
      </c>
      <c r="AL200" s="101" t="s">
        <v>5078</v>
      </c>
      <c r="AM200" s="99"/>
      <c r="AN200" s="98" t="s">
        <v>5079</v>
      </c>
      <c r="AO200" s="98" t="s">
        <v>5080</v>
      </c>
      <c r="AP200" s="98" t="s">
        <v>6603</v>
      </c>
      <c r="AQ200" s="102">
        <v>2016</v>
      </c>
      <c r="AR200" s="98" t="s">
        <v>5200</v>
      </c>
      <c r="AS200" s="99"/>
      <c r="AT200" s="98" t="s">
        <v>5083</v>
      </c>
      <c r="AU200" s="98" t="s">
        <v>5135</v>
      </c>
      <c r="AV200" s="99"/>
      <c r="AW200" s="94" t="s">
        <v>5074</v>
      </c>
      <c r="AX200" s="95">
        <v>0</v>
      </c>
      <c r="AY200" s="98" t="s">
        <v>5152</v>
      </c>
      <c r="AZ200" s="102">
        <v>4</v>
      </c>
      <c r="BA200" s="102" t="s">
        <v>5168</v>
      </c>
      <c r="BB200" s="93"/>
    </row>
    <row r="201" spans="1:54" ht="13.8">
      <c r="A201" s="94" t="s">
        <v>6677</v>
      </c>
      <c r="B201" s="95" t="s">
        <v>6678</v>
      </c>
      <c r="C201" s="100">
        <v>30258</v>
      </c>
      <c r="D201" s="94" t="s">
        <v>2656</v>
      </c>
      <c r="E201" s="94" t="s">
        <v>1820</v>
      </c>
      <c r="F201" s="97" t="s">
        <v>1462</v>
      </c>
      <c r="G201" s="95">
        <v>4811019660</v>
      </c>
      <c r="H201" s="98" t="s">
        <v>5057</v>
      </c>
      <c r="I201" s="95">
        <v>38082033481</v>
      </c>
      <c r="J201" s="98" t="s">
        <v>5088</v>
      </c>
      <c r="K201" s="95" t="s">
        <v>5340</v>
      </c>
      <c r="L201" s="98" t="s">
        <v>6679</v>
      </c>
      <c r="M201" s="98" t="s">
        <v>6680</v>
      </c>
      <c r="N201" s="98" t="s">
        <v>6681</v>
      </c>
      <c r="O201" s="98" t="s">
        <v>6682</v>
      </c>
      <c r="P201" s="95">
        <v>982403302</v>
      </c>
      <c r="Q201" s="98" t="s">
        <v>6683</v>
      </c>
      <c r="R201" s="98" t="s">
        <v>5094</v>
      </c>
      <c r="S201" s="99"/>
      <c r="T201" s="100">
        <v>40547</v>
      </c>
      <c r="U201" s="100">
        <v>40912</v>
      </c>
      <c r="V201" s="98" t="s">
        <v>5095</v>
      </c>
      <c r="W201" s="98" t="s">
        <v>5068</v>
      </c>
      <c r="X201" s="98" t="s">
        <v>5187</v>
      </c>
      <c r="Y201" s="98" t="s">
        <v>5068</v>
      </c>
      <c r="Z201" s="99"/>
      <c r="AA201" s="98" t="s">
        <v>5569</v>
      </c>
      <c r="AB201" s="95" t="s">
        <v>5144</v>
      </c>
      <c r="AC201" s="99"/>
      <c r="AD201" s="99"/>
      <c r="AE201" s="104">
        <v>41312</v>
      </c>
      <c r="AF201" s="99"/>
      <c r="AG201" s="95">
        <v>1</v>
      </c>
      <c r="AH201" s="94" t="s">
        <v>5074</v>
      </c>
      <c r="AI201" s="94" t="s">
        <v>5122</v>
      </c>
      <c r="AJ201" s="98" t="s">
        <v>6157</v>
      </c>
      <c r="AK201" s="98" t="s">
        <v>6684</v>
      </c>
      <c r="AL201" s="101" t="s">
        <v>5104</v>
      </c>
      <c r="AM201" s="98" t="s">
        <v>2674</v>
      </c>
      <c r="AN201" s="98" t="s">
        <v>5079</v>
      </c>
      <c r="AO201" s="98" t="s">
        <v>2674</v>
      </c>
      <c r="AP201" s="102">
        <v>934</v>
      </c>
      <c r="AQ201" s="102">
        <v>2018</v>
      </c>
      <c r="AR201" s="98" t="s">
        <v>5200</v>
      </c>
      <c r="AS201" s="99"/>
      <c r="AT201" s="99"/>
      <c r="AU201" s="98" t="s">
        <v>5228</v>
      </c>
      <c r="AV201" s="95">
        <v>2024</v>
      </c>
      <c r="AW201" s="94" t="s">
        <v>5108</v>
      </c>
      <c r="AX201" s="95">
        <v>0</v>
      </c>
      <c r="AY201" s="98" t="s">
        <v>5109</v>
      </c>
      <c r="AZ201" s="102">
        <v>1</v>
      </c>
      <c r="BA201" s="110">
        <v>46059</v>
      </c>
      <c r="BB201" s="93"/>
    </row>
    <row r="202" spans="1:54" ht="13.8">
      <c r="A202" s="94" t="s">
        <v>6685</v>
      </c>
      <c r="B202" s="95" t="s">
        <v>6686</v>
      </c>
      <c r="C202" s="100">
        <v>29013</v>
      </c>
      <c r="D202" s="94" t="s">
        <v>2665</v>
      </c>
      <c r="E202" s="94" t="s">
        <v>1820</v>
      </c>
      <c r="F202" s="97" t="s">
        <v>1462</v>
      </c>
      <c r="G202" s="95">
        <v>4808000462</v>
      </c>
      <c r="H202" s="98" t="s">
        <v>5057</v>
      </c>
      <c r="I202" s="95">
        <v>38179038975</v>
      </c>
      <c r="J202" s="98" t="s">
        <v>5088</v>
      </c>
      <c r="K202" s="104">
        <v>44447</v>
      </c>
      <c r="L202" s="98" t="s">
        <v>6687</v>
      </c>
      <c r="M202" s="98" t="s">
        <v>6688</v>
      </c>
      <c r="N202" s="98" t="s">
        <v>6689</v>
      </c>
      <c r="O202" s="98" t="s">
        <v>6689</v>
      </c>
      <c r="P202" s="95">
        <v>905471009</v>
      </c>
      <c r="Q202" s="98" t="s">
        <v>6690</v>
      </c>
      <c r="R202" s="98" t="s">
        <v>5094</v>
      </c>
      <c r="S202" s="99"/>
      <c r="T202" s="100">
        <v>38579</v>
      </c>
      <c r="U202" s="100">
        <v>38726</v>
      </c>
      <c r="V202" s="98" t="s">
        <v>5095</v>
      </c>
      <c r="W202" s="98" t="s">
        <v>5068</v>
      </c>
      <c r="X202" s="98" t="s">
        <v>5096</v>
      </c>
      <c r="Y202" s="98" t="s">
        <v>5068</v>
      </c>
      <c r="Z202" s="99"/>
      <c r="AA202" s="99"/>
      <c r="AB202" s="99"/>
      <c r="AC202" s="99"/>
      <c r="AD202" s="99"/>
      <c r="AE202" s="104">
        <v>42677</v>
      </c>
      <c r="AF202" s="99"/>
      <c r="AG202" s="95">
        <v>1</v>
      </c>
      <c r="AH202" s="94" t="s">
        <v>5084</v>
      </c>
      <c r="AI202" s="94" t="s">
        <v>5122</v>
      </c>
      <c r="AJ202" s="98" t="s">
        <v>6157</v>
      </c>
      <c r="AK202" s="98" t="s">
        <v>2755</v>
      </c>
      <c r="AL202" s="101" t="s">
        <v>5078</v>
      </c>
      <c r="AM202" s="98" t="s">
        <v>5926</v>
      </c>
      <c r="AN202" s="98" t="s">
        <v>5079</v>
      </c>
      <c r="AO202" s="98" t="s">
        <v>5080</v>
      </c>
      <c r="AP202" s="102">
        <v>1</v>
      </c>
      <c r="AQ202" s="102">
        <v>2012</v>
      </c>
      <c r="AR202" s="98" t="s">
        <v>5200</v>
      </c>
      <c r="AS202" s="99"/>
      <c r="AT202" s="98" t="s">
        <v>5083</v>
      </c>
      <c r="AU202" s="98" t="s">
        <v>5228</v>
      </c>
      <c r="AV202" s="95">
        <v>0</v>
      </c>
      <c r="AW202" s="94" t="s">
        <v>5084</v>
      </c>
      <c r="AX202" s="95">
        <v>0</v>
      </c>
      <c r="AY202" s="98" t="s">
        <v>5085</v>
      </c>
      <c r="AZ202" s="102">
        <v>3</v>
      </c>
      <c r="BA202" s="105">
        <v>46239</v>
      </c>
      <c r="BB202" s="93"/>
    </row>
    <row r="203" spans="1:54" ht="13.8">
      <c r="A203" s="94" t="s">
        <v>6691</v>
      </c>
      <c r="B203" s="95" t="s">
        <v>6692</v>
      </c>
      <c r="C203" s="100">
        <v>31236</v>
      </c>
      <c r="D203" s="94" t="s">
        <v>2665</v>
      </c>
      <c r="E203" s="94" t="s">
        <v>1820</v>
      </c>
      <c r="F203" s="97" t="s">
        <v>1462</v>
      </c>
      <c r="G203" s="95">
        <v>4810031410</v>
      </c>
      <c r="H203" s="98" t="s">
        <v>5057</v>
      </c>
      <c r="I203" s="95">
        <v>40185013884</v>
      </c>
      <c r="J203" s="98" t="s">
        <v>5088</v>
      </c>
      <c r="K203" s="95" t="s">
        <v>6693</v>
      </c>
      <c r="L203" s="98" t="s">
        <v>6694</v>
      </c>
      <c r="M203" s="98" t="s">
        <v>6695</v>
      </c>
      <c r="N203" s="98" t="s">
        <v>6696</v>
      </c>
      <c r="O203" s="98" t="s">
        <v>6697</v>
      </c>
      <c r="P203" s="95">
        <v>982871510</v>
      </c>
      <c r="Q203" s="98" t="s">
        <v>6698</v>
      </c>
      <c r="R203" s="98" t="s">
        <v>5094</v>
      </c>
      <c r="S203" s="99"/>
      <c r="T203" s="100">
        <v>40189</v>
      </c>
      <c r="U203" s="100">
        <v>40554</v>
      </c>
      <c r="V203" s="98" t="s">
        <v>5243</v>
      </c>
      <c r="W203" s="98" t="s">
        <v>5068</v>
      </c>
      <c r="X203" s="98" t="s">
        <v>5096</v>
      </c>
      <c r="Y203" s="98" t="s">
        <v>5068</v>
      </c>
      <c r="Z203" s="99"/>
      <c r="AA203" s="99"/>
      <c r="AB203" s="95" t="s">
        <v>5161</v>
      </c>
      <c r="AC203" s="99"/>
      <c r="AD203" s="99"/>
      <c r="AE203" s="95" t="s">
        <v>6699</v>
      </c>
      <c r="AF203" s="99"/>
      <c r="AG203" s="95">
        <v>1</v>
      </c>
      <c r="AH203" s="94" t="s">
        <v>5074</v>
      </c>
      <c r="AI203" s="94" t="s">
        <v>5122</v>
      </c>
      <c r="AJ203" s="98" t="s">
        <v>6157</v>
      </c>
      <c r="AK203" s="98" t="s">
        <v>2854</v>
      </c>
      <c r="AL203" s="101" t="s">
        <v>5078</v>
      </c>
      <c r="AM203" s="98" t="s">
        <v>5268</v>
      </c>
      <c r="AN203" s="98" t="s">
        <v>5079</v>
      </c>
      <c r="AO203" s="98" t="s">
        <v>5080</v>
      </c>
      <c r="AP203" s="102">
        <v>83</v>
      </c>
      <c r="AQ203" s="102">
        <v>2018</v>
      </c>
      <c r="AR203" s="98" t="s">
        <v>5082</v>
      </c>
      <c r="AS203" s="99"/>
      <c r="AT203" s="98" t="s">
        <v>5083</v>
      </c>
      <c r="AU203" s="98" t="s">
        <v>5107</v>
      </c>
      <c r="AV203" s="95">
        <v>0</v>
      </c>
      <c r="AW203" s="94" t="s">
        <v>5074</v>
      </c>
      <c r="AX203" s="95">
        <v>0</v>
      </c>
      <c r="AY203" s="98" t="s">
        <v>5085</v>
      </c>
      <c r="AZ203" s="102">
        <v>2</v>
      </c>
      <c r="BA203" s="102" t="s">
        <v>5086</v>
      </c>
      <c r="BB203" s="93"/>
    </row>
    <row r="204" spans="1:54" ht="13.8">
      <c r="A204" s="94" t="s">
        <v>6700</v>
      </c>
      <c r="B204" s="95" t="s">
        <v>6701</v>
      </c>
      <c r="C204" s="100">
        <v>33852</v>
      </c>
      <c r="D204" s="94" t="s">
        <v>2665</v>
      </c>
      <c r="E204" s="94" t="s">
        <v>1820</v>
      </c>
      <c r="F204" s="97" t="s">
        <v>1462</v>
      </c>
      <c r="G204" s="95">
        <v>4821361053</v>
      </c>
      <c r="H204" s="98" t="s">
        <v>5181</v>
      </c>
      <c r="I204" s="95">
        <v>48192001669</v>
      </c>
      <c r="J204" s="98" t="s">
        <v>5088</v>
      </c>
      <c r="K204" s="95" t="s">
        <v>5546</v>
      </c>
      <c r="L204" s="98" t="s">
        <v>6702</v>
      </c>
      <c r="M204" s="98" t="s">
        <v>5156</v>
      </c>
      <c r="N204" s="98" t="s">
        <v>6703</v>
      </c>
      <c r="O204" s="98" t="s">
        <v>6704</v>
      </c>
      <c r="P204" s="95">
        <v>936050992</v>
      </c>
      <c r="Q204" s="98" t="s">
        <v>6705</v>
      </c>
      <c r="R204" s="98" t="s">
        <v>5094</v>
      </c>
      <c r="S204" s="99"/>
      <c r="T204" s="100">
        <v>43106</v>
      </c>
      <c r="U204" s="100">
        <v>43471</v>
      </c>
      <c r="V204" s="98" t="s">
        <v>5095</v>
      </c>
      <c r="W204" s="98" t="s">
        <v>5068</v>
      </c>
      <c r="X204" s="98" t="s">
        <v>5096</v>
      </c>
      <c r="Y204" s="98" t="s">
        <v>6399</v>
      </c>
      <c r="Z204" s="99"/>
      <c r="AA204" s="99"/>
      <c r="AB204" s="99"/>
      <c r="AC204" s="99"/>
      <c r="AD204" s="99"/>
      <c r="AE204" s="99"/>
      <c r="AF204" s="99"/>
      <c r="AG204" s="95">
        <v>1</v>
      </c>
      <c r="AH204" s="94" t="s">
        <v>5084</v>
      </c>
      <c r="AI204" s="94" t="s">
        <v>5122</v>
      </c>
      <c r="AJ204" s="98" t="s">
        <v>6157</v>
      </c>
      <c r="AK204" s="98" t="s">
        <v>6656</v>
      </c>
      <c r="AL204" s="101" t="s">
        <v>5149</v>
      </c>
      <c r="AM204" s="98" t="s">
        <v>6706</v>
      </c>
      <c r="AN204" s="98" t="s">
        <v>5079</v>
      </c>
      <c r="AO204" s="98" t="s">
        <v>5080</v>
      </c>
      <c r="AP204" s="102">
        <v>150</v>
      </c>
      <c r="AQ204" s="102">
        <v>2017</v>
      </c>
      <c r="AR204" s="99"/>
      <c r="AS204" s="99"/>
      <c r="AT204" s="99"/>
      <c r="AU204" s="99"/>
      <c r="AV204" s="99"/>
      <c r="AW204" s="94" t="s">
        <v>5084</v>
      </c>
      <c r="AX204" s="95">
        <v>0</v>
      </c>
      <c r="AY204" s="98" t="s">
        <v>5152</v>
      </c>
      <c r="AZ204" s="102">
        <v>4</v>
      </c>
      <c r="BA204" s="102" t="s">
        <v>5168</v>
      </c>
      <c r="BB204" s="93"/>
    </row>
    <row r="205" spans="1:54" ht="13.8">
      <c r="A205" s="94" t="s">
        <v>2256</v>
      </c>
      <c r="B205" s="95" t="s">
        <v>6707</v>
      </c>
      <c r="C205" s="100">
        <v>31355</v>
      </c>
      <c r="D205" s="94" t="s">
        <v>2665</v>
      </c>
      <c r="E205" s="94" t="s">
        <v>1820</v>
      </c>
      <c r="F205" s="97" t="s">
        <v>1462</v>
      </c>
      <c r="G205" s="95">
        <v>4811004941</v>
      </c>
      <c r="H205" s="98" t="s">
        <v>5057</v>
      </c>
      <c r="I205" s="95">
        <v>42185015361</v>
      </c>
      <c r="J205" s="98" t="s">
        <v>5088</v>
      </c>
      <c r="K205" s="95" t="s">
        <v>6708</v>
      </c>
      <c r="L205" s="98" t="s">
        <v>6709</v>
      </c>
      <c r="M205" s="98" t="s">
        <v>6710</v>
      </c>
      <c r="N205" s="98" t="s">
        <v>6711</v>
      </c>
      <c r="O205" s="98" t="s">
        <v>6711</v>
      </c>
      <c r="P205" s="95">
        <v>987454584</v>
      </c>
      <c r="Q205" s="98" t="s">
        <v>6712</v>
      </c>
      <c r="R205" s="98" t="s">
        <v>5094</v>
      </c>
      <c r="S205" s="99"/>
      <c r="T205" s="100">
        <v>40920</v>
      </c>
      <c r="U205" s="100">
        <v>41645</v>
      </c>
      <c r="V205" s="98" t="s">
        <v>5095</v>
      </c>
      <c r="W205" s="98" t="s">
        <v>5068</v>
      </c>
      <c r="X205" s="98" t="s">
        <v>5187</v>
      </c>
      <c r="Y205" s="98" t="s">
        <v>5068</v>
      </c>
      <c r="Z205" s="99"/>
      <c r="AA205" s="99"/>
      <c r="AB205" s="95" t="s">
        <v>5161</v>
      </c>
      <c r="AC205" s="99"/>
      <c r="AD205" s="99"/>
      <c r="AE205" s="95" t="s">
        <v>5161</v>
      </c>
      <c r="AF205" s="99"/>
      <c r="AG205" s="95">
        <v>1</v>
      </c>
      <c r="AH205" s="94" t="s">
        <v>5074</v>
      </c>
      <c r="AI205" s="94" t="s">
        <v>5122</v>
      </c>
      <c r="AJ205" s="98" t="s">
        <v>6157</v>
      </c>
      <c r="AK205" s="98" t="s">
        <v>2854</v>
      </c>
      <c r="AL205" s="101" t="s">
        <v>5078</v>
      </c>
      <c r="AM205" s="99"/>
      <c r="AN205" s="98" t="s">
        <v>5079</v>
      </c>
      <c r="AO205" s="98" t="s">
        <v>2674</v>
      </c>
      <c r="AP205" s="98" t="s">
        <v>6713</v>
      </c>
      <c r="AQ205" s="102">
        <v>2019</v>
      </c>
      <c r="AR205" s="99"/>
      <c r="AS205" s="99"/>
      <c r="AT205" s="98" t="s">
        <v>5083</v>
      </c>
      <c r="AU205" s="99"/>
      <c r="AV205" s="95">
        <v>0</v>
      </c>
      <c r="AW205" s="94" t="s">
        <v>5074</v>
      </c>
      <c r="AX205" s="95">
        <v>0</v>
      </c>
      <c r="AY205" s="98" t="s">
        <v>5085</v>
      </c>
      <c r="AZ205" s="102">
        <v>1</v>
      </c>
      <c r="BA205" s="110">
        <v>46116</v>
      </c>
      <c r="BB205" s="93"/>
    </row>
    <row r="206" spans="1:54" ht="13.8">
      <c r="A206" s="94" t="s">
        <v>4800</v>
      </c>
      <c r="B206" s="95" t="s">
        <v>4801</v>
      </c>
      <c r="C206" s="100">
        <v>31545</v>
      </c>
      <c r="D206" s="94" t="s">
        <v>2656</v>
      </c>
      <c r="E206" s="94" t="s">
        <v>1820</v>
      </c>
      <c r="F206" s="97" t="s">
        <v>1462</v>
      </c>
      <c r="G206" s="95">
        <v>4909022804</v>
      </c>
      <c r="H206" s="98" t="s">
        <v>5057</v>
      </c>
      <c r="I206" s="95">
        <v>40086008647</v>
      </c>
      <c r="J206" s="98" t="s">
        <v>5088</v>
      </c>
      <c r="K206" s="95" t="s">
        <v>5546</v>
      </c>
      <c r="L206" s="98" t="s">
        <v>6714</v>
      </c>
      <c r="M206" s="98" t="s">
        <v>6715</v>
      </c>
      <c r="N206" s="98" t="s">
        <v>6716</v>
      </c>
      <c r="O206" s="98" t="s">
        <v>6717</v>
      </c>
      <c r="P206" s="95">
        <v>987377512</v>
      </c>
      <c r="Q206" s="98" t="s">
        <v>6718</v>
      </c>
      <c r="R206" s="98" t="s">
        <v>5094</v>
      </c>
      <c r="S206" s="99"/>
      <c r="T206" s="100">
        <v>40547</v>
      </c>
      <c r="U206" s="100">
        <v>41648</v>
      </c>
      <c r="V206" s="98" t="s">
        <v>5095</v>
      </c>
      <c r="W206" s="98" t="s">
        <v>5068</v>
      </c>
      <c r="X206" s="98" t="s">
        <v>5096</v>
      </c>
      <c r="Y206" s="98" t="s">
        <v>5068</v>
      </c>
      <c r="Z206" s="99"/>
      <c r="AA206" s="99"/>
      <c r="AB206" s="95" t="s">
        <v>5161</v>
      </c>
      <c r="AC206" s="99"/>
      <c r="AD206" s="99"/>
      <c r="AE206" s="95" t="s">
        <v>6719</v>
      </c>
      <c r="AF206" s="99"/>
      <c r="AG206" s="95">
        <v>1</v>
      </c>
      <c r="AH206" s="94" t="s">
        <v>5074</v>
      </c>
      <c r="AI206" s="94" t="s">
        <v>5122</v>
      </c>
      <c r="AJ206" s="98" t="s">
        <v>6157</v>
      </c>
      <c r="AK206" s="98" t="s">
        <v>6720</v>
      </c>
      <c r="AL206" s="101" t="s">
        <v>5078</v>
      </c>
      <c r="AM206" s="98" t="s">
        <v>3209</v>
      </c>
      <c r="AN206" s="98" t="s">
        <v>5079</v>
      </c>
      <c r="AO206" s="98" t="s">
        <v>3209</v>
      </c>
      <c r="AP206" s="102">
        <v>921</v>
      </c>
      <c r="AQ206" s="102">
        <v>2017</v>
      </c>
      <c r="AR206" s="98" t="s">
        <v>5200</v>
      </c>
      <c r="AS206" s="99"/>
      <c r="AT206" s="98" t="s">
        <v>5083</v>
      </c>
      <c r="AU206" s="98" t="s">
        <v>5220</v>
      </c>
      <c r="AV206" s="95">
        <v>0</v>
      </c>
      <c r="AW206" s="94" t="s">
        <v>5074</v>
      </c>
      <c r="AX206" s="95">
        <v>0</v>
      </c>
      <c r="AY206" s="98" t="s">
        <v>5085</v>
      </c>
      <c r="AZ206" s="102">
        <v>1</v>
      </c>
      <c r="BA206" s="110">
        <v>46116</v>
      </c>
      <c r="BB206" s="93"/>
    </row>
    <row r="207" spans="1:54" ht="13.8">
      <c r="A207" s="94" t="s">
        <v>6721</v>
      </c>
      <c r="B207" s="95" t="s">
        <v>6722</v>
      </c>
      <c r="C207" s="100">
        <v>28988</v>
      </c>
      <c r="D207" s="94" t="s">
        <v>2656</v>
      </c>
      <c r="E207" s="94" t="s">
        <v>1820</v>
      </c>
      <c r="F207" s="97" t="s">
        <v>1462</v>
      </c>
      <c r="G207" s="95">
        <v>3304004162</v>
      </c>
      <c r="H207" s="98" t="s">
        <v>5057</v>
      </c>
      <c r="I207" s="95">
        <v>45079000248</v>
      </c>
      <c r="J207" s="98" t="s">
        <v>5088</v>
      </c>
      <c r="K207" s="104">
        <v>44319</v>
      </c>
      <c r="L207" s="98" t="s">
        <v>6723</v>
      </c>
      <c r="M207" s="98" t="s">
        <v>6724</v>
      </c>
      <c r="N207" s="98" t="s">
        <v>6725</v>
      </c>
      <c r="O207" s="98" t="s">
        <v>6725</v>
      </c>
      <c r="P207" s="95">
        <v>905050135</v>
      </c>
      <c r="Q207" s="98" t="s">
        <v>6726</v>
      </c>
      <c r="R207" s="98" t="s">
        <v>5094</v>
      </c>
      <c r="S207" s="99"/>
      <c r="T207" s="100">
        <v>39450</v>
      </c>
      <c r="U207" s="100">
        <v>40181</v>
      </c>
      <c r="V207" s="99"/>
      <c r="W207" s="98" t="s">
        <v>5821</v>
      </c>
      <c r="X207" s="98" t="s">
        <v>5096</v>
      </c>
      <c r="Y207" s="99"/>
      <c r="Z207" s="99"/>
      <c r="AA207" s="99"/>
      <c r="AB207" s="99"/>
      <c r="AC207" s="99"/>
      <c r="AD207" s="99"/>
      <c r="AE207" s="99"/>
      <c r="AF207" s="99"/>
      <c r="AG207" s="95">
        <v>0</v>
      </c>
      <c r="AH207" s="94" t="s">
        <v>5074</v>
      </c>
      <c r="AI207" s="94" t="s">
        <v>5122</v>
      </c>
      <c r="AJ207" s="98" t="s">
        <v>6157</v>
      </c>
      <c r="AK207" s="98" t="s">
        <v>5210</v>
      </c>
      <c r="AL207" s="101" t="s">
        <v>5078</v>
      </c>
      <c r="AM207" s="99"/>
      <c r="AN207" s="98" t="s">
        <v>5079</v>
      </c>
      <c r="AO207" s="98" t="s">
        <v>5080</v>
      </c>
      <c r="AP207" s="99"/>
      <c r="AQ207" s="99"/>
      <c r="AR207" s="99"/>
      <c r="AS207" s="99"/>
      <c r="AT207" s="99"/>
      <c r="AU207" s="99"/>
      <c r="AV207" s="99"/>
      <c r="AW207" s="94" t="s">
        <v>5074</v>
      </c>
      <c r="AX207" s="95">
        <v>0</v>
      </c>
      <c r="AY207" s="98" t="s">
        <v>5085</v>
      </c>
      <c r="AZ207" s="102">
        <v>1</v>
      </c>
      <c r="BA207" s="110">
        <v>46116</v>
      </c>
      <c r="BB207" s="93"/>
    </row>
    <row r="208" spans="1:54" ht="13.8">
      <c r="A208" s="94" t="s">
        <v>4729</v>
      </c>
      <c r="B208" s="95" t="s">
        <v>4730</v>
      </c>
      <c r="C208" s="100">
        <v>31518</v>
      </c>
      <c r="D208" s="94" t="s">
        <v>2665</v>
      </c>
      <c r="E208" s="94" t="s">
        <v>1820</v>
      </c>
      <c r="F208" s="97" t="s">
        <v>1462</v>
      </c>
      <c r="G208" s="95">
        <v>4813008502</v>
      </c>
      <c r="H208" s="98" t="s">
        <v>5057</v>
      </c>
      <c r="I208" s="95">
        <v>40186038851</v>
      </c>
      <c r="J208" s="98" t="s">
        <v>5088</v>
      </c>
      <c r="K208" s="104">
        <v>44447</v>
      </c>
      <c r="L208" s="98" t="s">
        <v>6727</v>
      </c>
      <c r="M208" s="98" t="s">
        <v>6728</v>
      </c>
      <c r="N208" s="98" t="s">
        <v>6729</v>
      </c>
      <c r="O208" s="98" t="s">
        <v>6729</v>
      </c>
      <c r="P208" s="95">
        <v>979153887</v>
      </c>
      <c r="Q208" s="98" t="s">
        <v>6730</v>
      </c>
      <c r="R208" s="98" t="s">
        <v>5094</v>
      </c>
      <c r="S208" s="99"/>
      <c r="T208" s="100">
        <v>40920</v>
      </c>
      <c r="U208" s="100">
        <v>41286</v>
      </c>
      <c r="V208" s="98" t="s">
        <v>5095</v>
      </c>
      <c r="W208" s="98" t="s">
        <v>5068</v>
      </c>
      <c r="X208" s="98" t="s">
        <v>5096</v>
      </c>
      <c r="Y208" s="98" t="s">
        <v>5068</v>
      </c>
      <c r="Z208" s="99"/>
      <c r="AA208" s="99"/>
      <c r="AB208" s="95" t="s">
        <v>5161</v>
      </c>
      <c r="AC208" s="98" t="s">
        <v>6360</v>
      </c>
      <c r="AD208" s="99"/>
      <c r="AE208" s="95" t="s">
        <v>5161</v>
      </c>
      <c r="AF208" s="99"/>
      <c r="AG208" s="95">
        <v>1</v>
      </c>
      <c r="AH208" s="94" t="s">
        <v>5074</v>
      </c>
      <c r="AI208" s="94" t="s">
        <v>5122</v>
      </c>
      <c r="AJ208" s="98" t="s">
        <v>6157</v>
      </c>
      <c r="AK208" s="98" t="s">
        <v>6676</v>
      </c>
      <c r="AL208" s="101" t="s">
        <v>5078</v>
      </c>
      <c r="AM208" s="99"/>
      <c r="AN208" s="98" t="s">
        <v>5079</v>
      </c>
      <c r="AO208" s="98" t="s">
        <v>5080</v>
      </c>
      <c r="AP208" s="98" t="s">
        <v>6731</v>
      </c>
      <c r="AQ208" s="102">
        <v>2020</v>
      </c>
      <c r="AR208" s="99"/>
      <c r="AS208" s="99"/>
      <c r="AT208" s="98" t="s">
        <v>5083</v>
      </c>
      <c r="AU208" s="98" t="s">
        <v>5107</v>
      </c>
      <c r="AV208" s="95">
        <v>0</v>
      </c>
      <c r="AW208" s="94" t="s">
        <v>5074</v>
      </c>
      <c r="AX208" s="95">
        <v>0</v>
      </c>
      <c r="AY208" s="98" t="s">
        <v>5085</v>
      </c>
      <c r="AZ208" s="102">
        <v>1</v>
      </c>
      <c r="BA208" s="110">
        <v>46116</v>
      </c>
      <c r="BB208" s="93"/>
    </row>
    <row r="209" spans="1:54" ht="13.8">
      <c r="A209" s="94" t="s">
        <v>6732</v>
      </c>
      <c r="B209" s="95" t="s">
        <v>6733</v>
      </c>
      <c r="C209" s="100">
        <v>29731</v>
      </c>
      <c r="D209" s="94" t="s">
        <v>2665</v>
      </c>
      <c r="E209" s="94" t="s">
        <v>1820</v>
      </c>
      <c r="F209" s="97" t="s">
        <v>1462</v>
      </c>
      <c r="G209" s="95">
        <v>2906003395</v>
      </c>
      <c r="H209" s="98" t="s">
        <v>5057</v>
      </c>
      <c r="I209" s="95">
        <v>40181009436</v>
      </c>
      <c r="J209" s="98" t="s">
        <v>5929</v>
      </c>
      <c r="K209" s="104">
        <v>45841</v>
      </c>
      <c r="L209" s="98" t="s">
        <v>6734</v>
      </c>
      <c r="M209" s="98" t="s">
        <v>6735</v>
      </c>
      <c r="N209" s="98" t="s">
        <v>6736</v>
      </c>
      <c r="O209" s="98" t="s">
        <v>6737</v>
      </c>
      <c r="P209" s="95">
        <v>912866268</v>
      </c>
      <c r="Q209" s="98" t="s">
        <v>6738</v>
      </c>
      <c r="R209" s="98" t="s">
        <v>5094</v>
      </c>
      <c r="S209" s="99"/>
      <c r="T209" s="100">
        <v>44199</v>
      </c>
      <c r="U209" s="100">
        <v>44587</v>
      </c>
      <c r="V209" s="99"/>
      <c r="W209" s="98" t="s">
        <v>5068</v>
      </c>
      <c r="X209" s="98" t="s">
        <v>5187</v>
      </c>
      <c r="Y209" s="99"/>
      <c r="Z209" s="99"/>
      <c r="AA209" s="99"/>
      <c r="AB209" s="99"/>
      <c r="AC209" s="99"/>
      <c r="AD209" s="99"/>
      <c r="AE209" s="99"/>
      <c r="AF209" s="99"/>
      <c r="AG209" s="95">
        <v>0</v>
      </c>
      <c r="AH209" s="94" t="s">
        <v>5074</v>
      </c>
      <c r="AI209" s="94" t="s">
        <v>5122</v>
      </c>
      <c r="AJ209" s="98" t="s">
        <v>6157</v>
      </c>
      <c r="AK209" s="98" t="s">
        <v>2854</v>
      </c>
      <c r="AL209" s="101" t="s">
        <v>5149</v>
      </c>
      <c r="AM209" s="99"/>
      <c r="AN209" s="98" t="s">
        <v>5079</v>
      </c>
      <c r="AO209" s="98" t="s">
        <v>5080</v>
      </c>
      <c r="AP209" s="98" t="s">
        <v>6739</v>
      </c>
      <c r="AQ209" s="102">
        <v>2023</v>
      </c>
      <c r="AR209" s="99"/>
      <c r="AS209" s="99"/>
      <c r="AT209" s="99"/>
      <c r="AU209" s="98" t="s">
        <v>5151</v>
      </c>
      <c r="AV209" s="99"/>
      <c r="AW209" s="94" t="s">
        <v>5074</v>
      </c>
      <c r="AX209" s="95">
        <v>0</v>
      </c>
      <c r="AY209" s="98" t="s">
        <v>5152</v>
      </c>
      <c r="AZ209" s="102">
        <v>6</v>
      </c>
      <c r="BA209" s="102" t="s">
        <v>5260</v>
      </c>
      <c r="BB209" s="93"/>
    </row>
    <row r="210" spans="1:54" ht="13.8">
      <c r="A210" s="94" t="s">
        <v>69</v>
      </c>
      <c r="B210" s="95" t="s">
        <v>6740</v>
      </c>
      <c r="C210" s="96">
        <v>31038</v>
      </c>
      <c r="D210" s="94" t="s">
        <v>2665</v>
      </c>
      <c r="E210" s="94" t="s">
        <v>1820</v>
      </c>
      <c r="F210" s="97" t="s">
        <v>1462</v>
      </c>
      <c r="G210" s="95">
        <v>206335538</v>
      </c>
      <c r="H210" s="98" t="s">
        <v>5057</v>
      </c>
      <c r="I210" s="95">
        <v>34184010865</v>
      </c>
      <c r="J210" s="98" t="s">
        <v>5088</v>
      </c>
      <c r="K210" s="114">
        <v>45607</v>
      </c>
      <c r="L210" s="98" t="s">
        <v>5476</v>
      </c>
      <c r="M210" s="98" t="s">
        <v>6741</v>
      </c>
      <c r="N210" s="98" t="s">
        <v>6742</v>
      </c>
      <c r="O210" s="98" t="s">
        <v>6743</v>
      </c>
      <c r="P210" s="95">
        <v>983467878</v>
      </c>
      <c r="Q210" s="98" t="s">
        <v>6744</v>
      </c>
      <c r="R210" s="98" t="s">
        <v>5094</v>
      </c>
      <c r="S210" s="99"/>
      <c r="T210" s="100">
        <v>46023</v>
      </c>
      <c r="U210" s="109"/>
      <c r="V210" s="99"/>
      <c r="W210" s="98" t="s">
        <v>5068</v>
      </c>
      <c r="X210" s="98" t="s">
        <v>5653</v>
      </c>
      <c r="Y210" s="99"/>
      <c r="Z210" s="99"/>
      <c r="AA210" s="99"/>
      <c r="AB210" s="99"/>
      <c r="AC210" s="99"/>
      <c r="AD210" s="99"/>
      <c r="AE210" s="99"/>
      <c r="AF210" s="99"/>
      <c r="AG210" s="95">
        <v>0</v>
      </c>
      <c r="AH210" s="94" t="s">
        <v>5074</v>
      </c>
      <c r="AI210" s="94" t="s">
        <v>5122</v>
      </c>
      <c r="AJ210" s="98" t="s">
        <v>6157</v>
      </c>
      <c r="AK210" s="98" t="s">
        <v>5210</v>
      </c>
      <c r="AL210" s="101" t="s">
        <v>5149</v>
      </c>
      <c r="AM210" s="99"/>
      <c r="AN210" s="98" t="s">
        <v>5079</v>
      </c>
      <c r="AO210" s="98" t="s">
        <v>5080</v>
      </c>
      <c r="AP210" s="98" t="s">
        <v>5792</v>
      </c>
      <c r="AQ210" s="102">
        <v>2025</v>
      </c>
      <c r="AR210" s="99"/>
      <c r="AS210" s="99"/>
      <c r="AT210" s="99"/>
      <c r="AU210" s="99"/>
      <c r="AV210" s="99"/>
      <c r="AW210" s="94" t="s">
        <v>5074</v>
      </c>
      <c r="AX210" s="95">
        <v>1</v>
      </c>
      <c r="AY210" s="98" t="s">
        <v>5152</v>
      </c>
      <c r="AZ210" s="102">
        <v>7</v>
      </c>
      <c r="BA210" s="102" t="s">
        <v>5286</v>
      </c>
      <c r="BB210" s="93"/>
    </row>
    <row r="211" spans="1:54" ht="13.8">
      <c r="A211" s="94" t="s">
        <v>6745</v>
      </c>
      <c r="B211" s="95" t="s">
        <v>6746</v>
      </c>
      <c r="C211" s="100">
        <v>32614</v>
      </c>
      <c r="D211" s="94" t="s">
        <v>2665</v>
      </c>
      <c r="E211" s="94" t="s">
        <v>1820</v>
      </c>
      <c r="F211" s="97" t="s">
        <v>1462</v>
      </c>
      <c r="G211" s="95">
        <v>4813036687</v>
      </c>
      <c r="H211" s="98" t="s">
        <v>5057</v>
      </c>
      <c r="I211" s="95">
        <v>20189006686</v>
      </c>
      <c r="J211" s="98" t="s">
        <v>5182</v>
      </c>
      <c r="K211" s="104">
        <v>44447</v>
      </c>
      <c r="L211" s="98" t="s">
        <v>6747</v>
      </c>
      <c r="M211" s="98" t="s">
        <v>6748</v>
      </c>
      <c r="N211" s="98" t="s">
        <v>6749</v>
      </c>
      <c r="O211" s="98" t="s">
        <v>6749</v>
      </c>
      <c r="P211" s="95">
        <v>356028762</v>
      </c>
      <c r="Q211" s="98" t="s">
        <v>6750</v>
      </c>
      <c r="R211" s="98" t="s">
        <v>6751</v>
      </c>
      <c r="S211" s="99"/>
      <c r="T211" s="100">
        <v>45658</v>
      </c>
      <c r="U211" s="100">
        <v>46023</v>
      </c>
      <c r="V211" s="99"/>
      <c r="W211" s="98" t="s">
        <v>5781</v>
      </c>
      <c r="X211" s="98" t="s">
        <v>5187</v>
      </c>
      <c r="Y211" s="99"/>
      <c r="Z211" s="99"/>
      <c r="AA211" s="99"/>
      <c r="AB211" s="99"/>
      <c r="AC211" s="99"/>
      <c r="AD211" s="99"/>
      <c r="AE211" s="99"/>
      <c r="AF211" s="99"/>
      <c r="AG211" s="95">
        <v>0</v>
      </c>
      <c r="AH211" s="94" t="s">
        <v>5084</v>
      </c>
      <c r="AI211" s="94" t="s">
        <v>5122</v>
      </c>
      <c r="AJ211" s="98" t="s">
        <v>6157</v>
      </c>
      <c r="AK211" s="98" t="s">
        <v>2854</v>
      </c>
      <c r="AL211" s="101" t="s">
        <v>5149</v>
      </c>
      <c r="AM211" s="99"/>
      <c r="AN211" s="98" t="s">
        <v>5079</v>
      </c>
      <c r="AO211" s="98" t="s">
        <v>5080</v>
      </c>
      <c r="AP211" s="98" t="s">
        <v>5095</v>
      </c>
      <c r="AQ211" s="102">
        <v>2024</v>
      </c>
      <c r="AR211" s="99"/>
      <c r="AS211" s="99"/>
      <c r="AT211" s="99"/>
      <c r="AU211" s="98" t="s">
        <v>5228</v>
      </c>
      <c r="AV211" s="99"/>
      <c r="AW211" s="94" t="s">
        <v>5084</v>
      </c>
      <c r="AX211" s="95">
        <v>0</v>
      </c>
      <c r="AY211" s="98" t="s">
        <v>5152</v>
      </c>
      <c r="AZ211" s="102">
        <v>1</v>
      </c>
      <c r="BA211" s="102" t="s">
        <v>5189</v>
      </c>
      <c r="BB211" s="93"/>
    </row>
    <row r="212" spans="1:54" ht="13.8">
      <c r="A212" s="94" t="s">
        <v>6752</v>
      </c>
      <c r="B212" s="95" t="s">
        <v>6753</v>
      </c>
      <c r="C212" s="100">
        <v>32393</v>
      </c>
      <c r="D212" s="94" t="s">
        <v>2665</v>
      </c>
      <c r="E212" s="94" t="s">
        <v>1820</v>
      </c>
      <c r="F212" s="97" t="s">
        <v>1462</v>
      </c>
      <c r="G212" s="95">
        <v>112005493</v>
      </c>
      <c r="H212" s="98" t="s">
        <v>5057</v>
      </c>
      <c r="I212" s="95">
        <v>38188033014</v>
      </c>
      <c r="J212" s="98" t="s">
        <v>5088</v>
      </c>
      <c r="K212" s="95" t="s">
        <v>5089</v>
      </c>
      <c r="L212" s="98" t="s">
        <v>6754</v>
      </c>
      <c r="M212" s="98" t="s">
        <v>6755</v>
      </c>
      <c r="N212" s="98" t="s">
        <v>6756</v>
      </c>
      <c r="O212" s="98" t="s">
        <v>6756</v>
      </c>
      <c r="P212" s="95">
        <v>1669494442</v>
      </c>
      <c r="Q212" s="98" t="s">
        <v>6757</v>
      </c>
      <c r="R212" s="98" t="s">
        <v>5094</v>
      </c>
      <c r="S212" s="99"/>
      <c r="T212" s="100">
        <v>42738</v>
      </c>
      <c r="U212" s="100">
        <v>43104</v>
      </c>
      <c r="V212" s="98" t="s">
        <v>5095</v>
      </c>
      <c r="W212" s="98" t="s">
        <v>5068</v>
      </c>
      <c r="X212" s="98" t="s">
        <v>5096</v>
      </c>
      <c r="Y212" s="98" t="s">
        <v>5068</v>
      </c>
      <c r="Z212" s="99"/>
      <c r="AA212" s="99"/>
      <c r="AB212" s="99"/>
      <c r="AC212" s="99"/>
      <c r="AD212" s="99"/>
      <c r="AE212" s="99"/>
      <c r="AF212" s="99"/>
      <c r="AG212" s="95">
        <v>1</v>
      </c>
      <c r="AH212" s="94" t="s">
        <v>5084</v>
      </c>
      <c r="AI212" s="94" t="s">
        <v>5122</v>
      </c>
      <c r="AJ212" s="98" t="s">
        <v>6157</v>
      </c>
      <c r="AK212" s="98" t="s">
        <v>6676</v>
      </c>
      <c r="AL212" s="101" t="s">
        <v>5149</v>
      </c>
      <c r="AM212" s="98" t="s">
        <v>6489</v>
      </c>
      <c r="AN212" s="98" t="s">
        <v>5079</v>
      </c>
      <c r="AO212" s="98" t="s">
        <v>5080</v>
      </c>
      <c r="AP212" s="102">
        <v>76</v>
      </c>
      <c r="AQ212" s="102">
        <v>2015</v>
      </c>
      <c r="AR212" s="99"/>
      <c r="AS212" s="99"/>
      <c r="AT212" s="98" t="s">
        <v>5083</v>
      </c>
      <c r="AU212" s="98" t="s">
        <v>5228</v>
      </c>
      <c r="AV212" s="99"/>
      <c r="AW212" s="94" t="s">
        <v>5084</v>
      </c>
      <c r="AX212" s="95">
        <v>0</v>
      </c>
      <c r="AY212" s="98" t="s">
        <v>5152</v>
      </c>
      <c r="AZ212" s="102">
        <v>4</v>
      </c>
      <c r="BA212" s="102" t="s">
        <v>5168</v>
      </c>
      <c r="BB212" s="93"/>
    </row>
    <row r="213" spans="1:54" ht="13.8">
      <c r="A213" s="94" t="s">
        <v>377</v>
      </c>
      <c r="B213" s="95" t="s">
        <v>6758</v>
      </c>
      <c r="C213" s="100">
        <v>31446</v>
      </c>
      <c r="D213" s="94" t="s">
        <v>2665</v>
      </c>
      <c r="E213" s="94" t="s">
        <v>1820</v>
      </c>
      <c r="F213" s="97" t="s">
        <v>1462</v>
      </c>
      <c r="G213" s="95">
        <v>4808033762</v>
      </c>
      <c r="H213" s="98" t="s">
        <v>5057</v>
      </c>
      <c r="I213" s="95">
        <v>36186024939</v>
      </c>
      <c r="J213" s="98" t="s">
        <v>5088</v>
      </c>
      <c r="K213" s="95" t="s">
        <v>5089</v>
      </c>
      <c r="L213" s="98" t="s">
        <v>6759</v>
      </c>
      <c r="M213" s="98" t="s">
        <v>6760</v>
      </c>
      <c r="N213" s="98" t="s">
        <v>6761</v>
      </c>
      <c r="O213" s="98" t="s">
        <v>6761</v>
      </c>
      <c r="P213" s="95">
        <v>914473782</v>
      </c>
      <c r="Q213" s="98" t="s">
        <v>6762</v>
      </c>
      <c r="R213" s="98" t="s">
        <v>5094</v>
      </c>
      <c r="S213" s="99"/>
      <c r="T213" s="100">
        <v>42011</v>
      </c>
      <c r="U213" s="100">
        <v>42736</v>
      </c>
      <c r="V213" s="98" t="s">
        <v>5095</v>
      </c>
      <c r="W213" s="98" t="s">
        <v>5068</v>
      </c>
      <c r="X213" s="98" t="s">
        <v>5096</v>
      </c>
      <c r="Y213" s="98" t="s">
        <v>5068</v>
      </c>
      <c r="Z213" s="99"/>
      <c r="AA213" s="99"/>
      <c r="AB213" s="99"/>
      <c r="AC213" s="99"/>
      <c r="AD213" s="99"/>
      <c r="AE213" s="99"/>
      <c r="AF213" s="99"/>
      <c r="AG213" s="95">
        <v>1</v>
      </c>
      <c r="AH213" s="94" t="s">
        <v>5074</v>
      </c>
      <c r="AI213" s="94" t="s">
        <v>5122</v>
      </c>
      <c r="AJ213" s="98" t="s">
        <v>6157</v>
      </c>
      <c r="AK213" s="98" t="s">
        <v>2854</v>
      </c>
      <c r="AL213" s="101" t="s">
        <v>5149</v>
      </c>
      <c r="AM213" s="98" t="s">
        <v>6706</v>
      </c>
      <c r="AN213" s="98" t="s">
        <v>5079</v>
      </c>
      <c r="AO213" s="98" t="s">
        <v>5080</v>
      </c>
      <c r="AP213" s="102">
        <v>150</v>
      </c>
      <c r="AQ213" s="102">
        <v>2012</v>
      </c>
      <c r="AR213" s="99"/>
      <c r="AS213" s="99"/>
      <c r="AT213" s="98" t="s">
        <v>5083</v>
      </c>
      <c r="AU213" s="98" t="s">
        <v>5135</v>
      </c>
      <c r="AV213" s="99"/>
      <c r="AW213" s="94" t="s">
        <v>5074</v>
      </c>
      <c r="AX213" s="95">
        <v>0</v>
      </c>
      <c r="AY213" s="98" t="s">
        <v>5152</v>
      </c>
      <c r="AZ213" s="102">
        <v>4</v>
      </c>
      <c r="BA213" s="102" t="s">
        <v>5168</v>
      </c>
      <c r="BB213" s="93"/>
    </row>
    <row r="214" spans="1:54" ht="13.8">
      <c r="A214" s="94" t="s">
        <v>6763</v>
      </c>
      <c r="B214" s="95" t="s">
        <v>6764</v>
      </c>
      <c r="C214" s="100">
        <v>29465</v>
      </c>
      <c r="D214" s="94" t="s">
        <v>2665</v>
      </c>
      <c r="E214" s="94" t="s">
        <v>1820</v>
      </c>
      <c r="F214" s="97" t="s">
        <v>1462</v>
      </c>
      <c r="G214" s="95">
        <v>112075156</v>
      </c>
      <c r="H214" s="98" t="s">
        <v>5057</v>
      </c>
      <c r="I214" s="95">
        <v>40180001570</v>
      </c>
      <c r="J214" s="98" t="s">
        <v>5088</v>
      </c>
      <c r="K214" s="95" t="s">
        <v>6135</v>
      </c>
      <c r="L214" s="98" t="s">
        <v>6765</v>
      </c>
      <c r="M214" s="98" t="s">
        <v>6766</v>
      </c>
      <c r="N214" s="98" t="s">
        <v>5525</v>
      </c>
      <c r="O214" s="98" t="s">
        <v>6138</v>
      </c>
      <c r="P214" s="95">
        <v>912423719</v>
      </c>
      <c r="Q214" s="98" t="s">
        <v>6525</v>
      </c>
      <c r="R214" s="98" t="s">
        <v>5094</v>
      </c>
      <c r="S214" s="99"/>
      <c r="T214" s="100">
        <v>40920</v>
      </c>
      <c r="U214" s="100">
        <v>41286</v>
      </c>
      <c r="V214" s="98" t="s">
        <v>5243</v>
      </c>
      <c r="W214" s="98" t="s">
        <v>5068</v>
      </c>
      <c r="X214" s="98" t="s">
        <v>5096</v>
      </c>
      <c r="Y214" s="98" t="s">
        <v>5068</v>
      </c>
      <c r="Z214" s="99"/>
      <c r="AA214" s="99"/>
      <c r="AB214" s="99"/>
      <c r="AC214" s="99"/>
      <c r="AD214" s="99"/>
      <c r="AE214" s="95" t="s">
        <v>5161</v>
      </c>
      <c r="AF214" s="99"/>
      <c r="AG214" s="95">
        <v>1</v>
      </c>
      <c r="AH214" s="94" t="s">
        <v>5074</v>
      </c>
      <c r="AI214" s="94" t="s">
        <v>5122</v>
      </c>
      <c r="AJ214" s="98" t="s">
        <v>6157</v>
      </c>
      <c r="AK214" s="98" t="s">
        <v>2854</v>
      </c>
      <c r="AL214" s="101" t="s">
        <v>5104</v>
      </c>
      <c r="AM214" s="99"/>
      <c r="AN214" s="98" t="s">
        <v>5079</v>
      </c>
      <c r="AO214" s="98" t="s">
        <v>5080</v>
      </c>
      <c r="AP214" s="98" t="s">
        <v>6767</v>
      </c>
      <c r="AQ214" s="102">
        <v>2013</v>
      </c>
      <c r="AR214" s="98" t="s">
        <v>5082</v>
      </c>
      <c r="AS214" s="99"/>
      <c r="AT214" s="98" t="s">
        <v>5083</v>
      </c>
      <c r="AU214" s="98" t="s">
        <v>5107</v>
      </c>
      <c r="AV214" s="95">
        <v>2023</v>
      </c>
      <c r="AW214" s="94" t="s">
        <v>5108</v>
      </c>
      <c r="AX214" s="95">
        <v>0</v>
      </c>
      <c r="AY214" s="98" t="s">
        <v>5109</v>
      </c>
      <c r="AZ214" s="102">
        <v>1</v>
      </c>
      <c r="BA214" s="110">
        <v>46059</v>
      </c>
      <c r="BB214" s="93"/>
    </row>
    <row r="215" spans="1:54" ht="13.8">
      <c r="A215" s="94" t="s">
        <v>6768</v>
      </c>
      <c r="B215" s="95" t="s">
        <v>6769</v>
      </c>
      <c r="C215" s="100">
        <v>32532</v>
      </c>
      <c r="D215" s="94" t="s">
        <v>2665</v>
      </c>
      <c r="E215" s="94" t="s">
        <v>1820</v>
      </c>
      <c r="F215" s="97" t="s">
        <v>1462</v>
      </c>
      <c r="G215" s="95">
        <v>114161384</v>
      </c>
      <c r="H215" s="98" t="s">
        <v>5181</v>
      </c>
      <c r="I215" s="95">
        <v>24189011960</v>
      </c>
      <c r="J215" s="98" t="s">
        <v>5088</v>
      </c>
      <c r="K215" s="95" t="s">
        <v>6770</v>
      </c>
      <c r="L215" s="98" t="s">
        <v>6771</v>
      </c>
      <c r="M215" s="98" t="s">
        <v>6772</v>
      </c>
      <c r="N215" s="98" t="s">
        <v>6773</v>
      </c>
      <c r="O215" s="98" t="s">
        <v>6774</v>
      </c>
      <c r="P215" s="95">
        <v>982792745</v>
      </c>
      <c r="Q215" s="98" t="s">
        <v>6775</v>
      </c>
      <c r="R215" s="98" t="s">
        <v>5094</v>
      </c>
      <c r="S215" s="99"/>
      <c r="T215" s="100">
        <v>44411</v>
      </c>
      <c r="U215" s="109"/>
      <c r="V215" s="99"/>
      <c r="W215" s="98" t="s">
        <v>5068</v>
      </c>
      <c r="X215" s="98" t="s">
        <v>5187</v>
      </c>
      <c r="Y215" s="99"/>
      <c r="Z215" s="99"/>
      <c r="AA215" s="99"/>
      <c r="AB215" s="99"/>
      <c r="AC215" s="99"/>
      <c r="AD215" s="99"/>
      <c r="AE215" s="99"/>
      <c r="AF215" s="99"/>
      <c r="AG215" s="95">
        <v>0</v>
      </c>
      <c r="AH215" s="94" t="s">
        <v>5074</v>
      </c>
      <c r="AI215" s="94" t="s">
        <v>5133</v>
      </c>
      <c r="AJ215" s="98" t="s">
        <v>5134</v>
      </c>
      <c r="AK215" s="98" t="s">
        <v>6776</v>
      </c>
      <c r="AL215" s="101" t="s">
        <v>5149</v>
      </c>
      <c r="AM215" s="99"/>
      <c r="AN215" s="98" t="s">
        <v>5079</v>
      </c>
      <c r="AO215" s="98" t="s">
        <v>2674</v>
      </c>
      <c r="AP215" s="98" t="s">
        <v>6777</v>
      </c>
      <c r="AQ215" s="102">
        <v>2020</v>
      </c>
      <c r="AR215" s="99"/>
      <c r="AS215" s="99"/>
      <c r="AT215" s="98" t="s">
        <v>5083</v>
      </c>
      <c r="AU215" s="98" t="s">
        <v>5151</v>
      </c>
      <c r="AV215" s="99"/>
      <c r="AW215" s="94" t="s">
        <v>5074</v>
      </c>
      <c r="AX215" s="95">
        <v>0</v>
      </c>
      <c r="AY215" s="98" t="s">
        <v>5152</v>
      </c>
      <c r="AZ215" s="102">
        <v>4</v>
      </c>
      <c r="BA215" s="102" t="s">
        <v>5168</v>
      </c>
      <c r="BB215" s="93"/>
    </row>
    <row r="216" spans="1:54" ht="13.8">
      <c r="A216" s="94" t="s">
        <v>6778</v>
      </c>
      <c r="B216" s="95" t="s">
        <v>6779</v>
      </c>
      <c r="C216" s="100">
        <v>31057</v>
      </c>
      <c r="D216" s="94" t="s">
        <v>2665</v>
      </c>
      <c r="E216" s="94" t="s">
        <v>1820</v>
      </c>
      <c r="F216" s="97" t="s">
        <v>1462</v>
      </c>
      <c r="G216" s="95">
        <v>4814009054</v>
      </c>
      <c r="H216" s="98" t="s">
        <v>5057</v>
      </c>
      <c r="I216" s="95">
        <v>49185018580</v>
      </c>
      <c r="J216" s="98" t="s">
        <v>5088</v>
      </c>
      <c r="K216" s="104">
        <v>45236</v>
      </c>
      <c r="L216" s="98" t="s">
        <v>6780</v>
      </c>
      <c r="M216" s="98" t="s">
        <v>6781</v>
      </c>
      <c r="N216" s="98" t="s">
        <v>6782</v>
      </c>
      <c r="O216" s="98" t="s">
        <v>6783</v>
      </c>
      <c r="P216" s="95">
        <v>906736365</v>
      </c>
      <c r="Q216" s="98" t="s">
        <v>6784</v>
      </c>
      <c r="R216" s="98" t="s">
        <v>5094</v>
      </c>
      <c r="S216" s="99"/>
      <c r="T216" s="100">
        <v>41640</v>
      </c>
      <c r="U216" s="100">
        <v>42005</v>
      </c>
      <c r="V216" s="98" t="s">
        <v>5095</v>
      </c>
      <c r="W216" s="98" t="s">
        <v>5068</v>
      </c>
      <c r="X216" s="98" t="s">
        <v>5096</v>
      </c>
      <c r="Y216" s="98" t="s">
        <v>5068</v>
      </c>
      <c r="Z216" s="99"/>
      <c r="AA216" s="99"/>
      <c r="AB216" s="95" t="s">
        <v>5161</v>
      </c>
      <c r="AC216" s="99"/>
      <c r="AD216" s="99"/>
      <c r="AE216" s="95" t="s">
        <v>5161</v>
      </c>
      <c r="AF216" s="99"/>
      <c r="AG216" s="95">
        <v>1</v>
      </c>
      <c r="AH216" s="94" t="s">
        <v>5084</v>
      </c>
      <c r="AI216" s="94" t="s">
        <v>5122</v>
      </c>
      <c r="AJ216" s="98" t="s">
        <v>6157</v>
      </c>
      <c r="AK216" s="98" t="s">
        <v>2854</v>
      </c>
      <c r="AL216" s="101" t="s">
        <v>5149</v>
      </c>
      <c r="AM216" s="98" t="s">
        <v>6489</v>
      </c>
      <c r="AN216" s="98" t="s">
        <v>5079</v>
      </c>
      <c r="AO216" s="98" t="s">
        <v>5080</v>
      </c>
      <c r="AP216" s="102">
        <v>76</v>
      </c>
      <c r="AQ216" s="102">
        <v>2013</v>
      </c>
      <c r="AR216" s="99"/>
      <c r="AS216" s="99"/>
      <c r="AT216" s="98" t="s">
        <v>5083</v>
      </c>
      <c r="AU216" s="98" t="s">
        <v>5228</v>
      </c>
      <c r="AV216" s="95">
        <v>0</v>
      </c>
      <c r="AW216" s="94" t="s">
        <v>5084</v>
      </c>
      <c r="AX216" s="95">
        <v>0</v>
      </c>
      <c r="AY216" s="98" t="s">
        <v>5152</v>
      </c>
      <c r="AZ216" s="102">
        <v>5</v>
      </c>
      <c r="BA216" s="102" t="s">
        <v>5153</v>
      </c>
      <c r="BB216" s="93"/>
    </row>
    <row r="217" spans="1:54" ht="13.8">
      <c r="A217" s="94" t="s">
        <v>6785</v>
      </c>
      <c r="B217" s="95" t="s">
        <v>6786</v>
      </c>
      <c r="C217" s="100">
        <v>31224</v>
      </c>
      <c r="D217" s="94" t="s">
        <v>2656</v>
      </c>
      <c r="E217" s="94" t="s">
        <v>1820</v>
      </c>
      <c r="F217" s="97" t="s">
        <v>1462</v>
      </c>
      <c r="G217" s="95">
        <v>110081783</v>
      </c>
      <c r="H217" s="98" t="s">
        <v>5057</v>
      </c>
      <c r="I217" s="95">
        <v>38085042595</v>
      </c>
      <c r="J217" s="98" t="s">
        <v>5088</v>
      </c>
      <c r="K217" s="95" t="s">
        <v>5089</v>
      </c>
      <c r="L217" s="98" t="s">
        <v>6787</v>
      </c>
      <c r="M217" s="98" t="s">
        <v>6788</v>
      </c>
      <c r="N217" s="98" t="s">
        <v>6789</v>
      </c>
      <c r="O217" s="98" t="s">
        <v>6789</v>
      </c>
      <c r="P217" s="95">
        <v>969655113</v>
      </c>
      <c r="Q217" s="98" t="s">
        <v>6790</v>
      </c>
      <c r="R217" s="98" t="s">
        <v>5094</v>
      </c>
      <c r="S217" s="99"/>
      <c r="T217" s="100">
        <v>41640</v>
      </c>
      <c r="U217" s="100">
        <v>42005</v>
      </c>
      <c r="V217" s="98" t="s">
        <v>5095</v>
      </c>
      <c r="W217" s="98" t="s">
        <v>5068</v>
      </c>
      <c r="X217" s="98" t="s">
        <v>5096</v>
      </c>
      <c r="Y217" s="98" t="s">
        <v>5068</v>
      </c>
      <c r="Z217" s="99"/>
      <c r="AA217" s="99"/>
      <c r="AB217" s="95" t="s">
        <v>5161</v>
      </c>
      <c r="AC217" s="99"/>
      <c r="AD217" s="98" t="s">
        <v>5510</v>
      </c>
      <c r="AE217" s="104">
        <v>42588</v>
      </c>
      <c r="AF217" s="99"/>
      <c r="AG217" s="95">
        <v>1</v>
      </c>
      <c r="AH217" s="94" t="s">
        <v>5074</v>
      </c>
      <c r="AI217" s="94" t="s">
        <v>5122</v>
      </c>
      <c r="AJ217" s="98" t="s">
        <v>6157</v>
      </c>
      <c r="AK217" s="98" t="s">
        <v>6720</v>
      </c>
      <c r="AL217" s="101" t="s">
        <v>5149</v>
      </c>
      <c r="AM217" s="99"/>
      <c r="AN217" s="98" t="s">
        <v>5079</v>
      </c>
      <c r="AO217" s="98" t="s">
        <v>2674</v>
      </c>
      <c r="AP217" s="98" t="s">
        <v>6791</v>
      </c>
      <c r="AQ217" s="102">
        <v>2023</v>
      </c>
      <c r="AR217" s="98" t="s">
        <v>5200</v>
      </c>
      <c r="AS217" s="99"/>
      <c r="AT217" s="98" t="s">
        <v>5083</v>
      </c>
      <c r="AU217" s="98" t="s">
        <v>5228</v>
      </c>
      <c r="AV217" s="95">
        <v>0</v>
      </c>
      <c r="AW217" s="94" t="s">
        <v>5074</v>
      </c>
      <c r="AX217" s="95">
        <v>0</v>
      </c>
      <c r="AY217" s="98" t="s">
        <v>5152</v>
      </c>
      <c r="AZ217" s="102">
        <v>4</v>
      </c>
      <c r="BA217" s="102" t="s">
        <v>5168</v>
      </c>
      <c r="BB217" s="93"/>
    </row>
    <row r="218" spans="1:54" ht="13.8">
      <c r="A218" s="94" t="s">
        <v>6792</v>
      </c>
      <c r="B218" s="95" t="s">
        <v>6793</v>
      </c>
      <c r="C218" s="100">
        <v>28065</v>
      </c>
      <c r="D218" s="94" t="s">
        <v>2665</v>
      </c>
      <c r="E218" s="94" t="s">
        <v>1939</v>
      </c>
      <c r="F218" s="97" t="s">
        <v>1512</v>
      </c>
      <c r="G218" s="95">
        <v>3301002355</v>
      </c>
      <c r="H218" s="98" t="s">
        <v>5057</v>
      </c>
      <c r="I218" s="95">
        <v>27176009934</v>
      </c>
      <c r="J218" s="98" t="s">
        <v>5088</v>
      </c>
      <c r="K218" s="95" t="s">
        <v>5089</v>
      </c>
      <c r="L218" s="98" t="s">
        <v>6794</v>
      </c>
      <c r="M218" s="98" t="s">
        <v>6795</v>
      </c>
      <c r="N218" s="98" t="s">
        <v>6796</v>
      </c>
      <c r="O218" s="98" t="s">
        <v>6797</v>
      </c>
      <c r="P218" s="95">
        <v>905114526</v>
      </c>
      <c r="Q218" s="98" t="s">
        <v>6798</v>
      </c>
      <c r="R218" s="98" t="s">
        <v>5094</v>
      </c>
      <c r="S218" s="99"/>
      <c r="T218" s="100">
        <v>39816</v>
      </c>
      <c r="U218" s="100">
        <v>42649</v>
      </c>
      <c r="V218" s="98" t="s">
        <v>5095</v>
      </c>
      <c r="W218" s="98" t="s">
        <v>5068</v>
      </c>
      <c r="X218" s="98" t="s">
        <v>5096</v>
      </c>
      <c r="Y218" s="98" t="s">
        <v>5066</v>
      </c>
      <c r="Z218" s="99"/>
      <c r="AA218" s="99"/>
      <c r="AB218" s="111"/>
      <c r="AC218" s="99"/>
      <c r="AD218" s="98" t="s">
        <v>6799</v>
      </c>
      <c r="AE218" s="95" t="s">
        <v>6800</v>
      </c>
      <c r="AF218" s="99"/>
      <c r="AG218" s="95">
        <v>1</v>
      </c>
      <c r="AH218" s="94" t="s">
        <v>5074</v>
      </c>
      <c r="AI218" s="94" t="s">
        <v>5122</v>
      </c>
      <c r="AJ218" s="98" t="s">
        <v>6157</v>
      </c>
      <c r="AK218" s="98" t="s">
        <v>6801</v>
      </c>
      <c r="AL218" s="101" t="s">
        <v>5078</v>
      </c>
      <c r="AM218" s="99"/>
      <c r="AN218" s="98" t="s">
        <v>5079</v>
      </c>
      <c r="AO218" s="98" t="s">
        <v>5080</v>
      </c>
      <c r="AP218" s="98" t="s">
        <v>6603</v>
      </c>
      <c r="AQ218" s="102">
        <v>2013</v>
      </c>
      <c r="AR218" s="98" t="s">
        <v>5082</v>
      </c>
      <c r="AS218" s="99"/>
      <c r="AT218" s="98" t="s">
        <v>5083</v>
      </c>
      <c r="AU218" s="98" t="s">
        <v>5135</v>
      </c>
      <c r="AV218" s="95">
        <v>0</v>
      </c>
      <c r="AW218" s="94" t="s">
        <v>5074</v>
      </c>
      <c r="AX218" s="95">
        <v>0</v>
      </c>
      <c r="AY218" s="98" t="s">
        <v>5085</v>
      </c>
      <c r="AZ218" s="102">
        <v>3</v>
      </c>
      <c r="BA218" s="105">
        <v>46239</v>
      </c>
      <c r="BB218" s="93"/>
    </row>
    <row r="219" spans="1:54" ht="13.8">
      <c r="A219" s="94" t="s">
        <v>6802</v>
      </c>
      <c r="B219" s="95" t="s">
        <v>6803</v>
      </c>
      <c r="C219" s="96">
        <v>33217</v>
      </c>
      <c r="D219" s="94" t="s">
        <v>2656</v>
      </c>
      <c r="E219" s="94" t="s">
        <v>1939</v>
      </c>
      <c r="F219" s="97" t="s">
        <v>1512</v>
      </c>
      <c r="G219" s="95">
        <v>4816024979</v>
      </c>
      <c r="H219" s="98" t="s">
        <v>5057</v>
      </c>
      <c r="I219" s="95">
        <v>42090003188</v>
      </c>
      <c r="J219" s="98" t="s">
        <v>5088</v>
      </c>
      <c r="K219" s="104">
        <v>44201</v>
      </c>
      <c r="L219" s="98" t="s">
        <v>6804</v>
      </c>
      <c r="M219" s="98" t="s">
        <v>6805</v>
      </c>
      <c r="N219" s="98" t="s">
        <v>6806</v>
      </c>
      <c r="O219" s="98" t="s">
        <v>6806</v>
      </c>
      <c r="P219" s="95">
        <v>914075455</v>
      </c>
      <c r="Q219" s="98" t="s">
        <v>6807</v>
      </c>
      <c r="R219" s="98" t="s">
        <v>5094</v>
      </c>
      <c r="S219" s="99"/>
      <c r="T219" s="100">
        <v>44568</v>
      </c>
      <c r="U219" s="100">
        <v>44799</v>
      </c>
      <c r="V219" s="99"/>
      <c r="W219" s="98" t="s">
        <v>5068</v>
      </c>
      <c r="X219" s="98" t="s">
        <v>5187</v>
      </c>
      <c r="Y219" s="99"/>
      <c r="Z219" s="99"/>
      <c r="AA219" s="99"/>
      <c r="AB219" s="99"/>
      <c r="AC219" s="99"/>
      <c r="AD219" s="99"/>
      <c r="AE219" s="99"/>
      <c r="AF219" s="99"/>
      <c r="AG219" s="95">
        <v>0</v>
      </c>
      <c r="AH219" s="94" t="s">
        <v>5084</v>
      </c>
      <c r="AI219" s="94" t="s">
        <v>5122</v>
      </c>
      <c r="AJ219" s="98" t="s">
        <v>6157</v>
      </c>
      <c r="AK219" s="98" t="s">
        <v>6808</v>
      </c>
      <c r="AL219" s="101" t="s">
        <v>5149</v>
      </c>
      <c r="AM219" s="99"/>
      <c r="AN219" s="98" t="s">
        <v>5079</v>
      </c>
      <c r="AO219" s="98" t="s">
        <v>5080</v>
      </c>
      <c r="AP219" s="98" t="s">
        <v>6809</v>
      </c>
      <c r="AQ219" s="102">
        <v>2015</v>
      </c>
      <c r="AR219" s="99"/>
      <c r="AS219" s="99"/>
      <c r="AT219" s="99"/>
      <c r="AU219" s="98" t="s">
        <v>5228</v>
      </c>
      <c r="AV219" s="99"/>
      <c r="AW219" s="94" t="s">
        <v>5084</v>
      </c>
      <c r="AX219" s="95">
        <v>0</v>
      </c>
      <c r="AY219" s="98" t="s">
        <v>5152</v>
      </c>
      <c r="AZ219" s="102">
        <v>4</v>
      </c>
      <c r="BA219" s="102" t="s">
        <v>5168</v>
      </c>
      <c r="BB219" s="93"/>
    </row>
    <row r="220" spans="1:54" ht="13.8">
      <c r="A220" s="94" t="s">
        <v>6810</v>
      </c>
      <c r="B220" s="95" t="s">
        <v>6811</v>
      </c>
      <c r="C220" s="96">
        <v>32128</v>
      </c>
      <c r="D220" s="94" t="s">
        <v>2656</v>
      </c>
      <c r="E220" s="94" t="s">
        <v>1939</v>
      </c>
      <c r="F220" s="97" t="s">
        <v>1512</v>
      </c>
      <c r="G220" s="95">
        <v>4810005094</v>
      </c>
      <c r="H220" s="98" t="s">
        <v>5181</v>
      </c>
      <c r="I220" s="95">
        <v>40087038332</v>
      </c>
      <c r="J220" s="98" t="s">
        <v>5088</v>
      </c>
      <c r="K220" s="104">
        <v>44990</v>
      </c>
      <c r="L220" s="98" t="s">
        <v>6812</v>
      </c>
      <c r="M220" s="98" t="s">
        <v>6813</v>
      </c>
      <c r="N220" s="98" t="s">
        <v>6813</v>
      </c>
      <c r="O220" s="98" t="s">
        <v>6814</v>
      </c>
      <c r="P220" s="95">
        <v>917072985</v>
      </c>
      <c r="Q220" s="98" t="s">
        <v>6815</v>
      </c>
      <c r="R220" s="98" t="s">
        <v>5094</v>
      </c>
      <c r="S220" s="99"/>
      <c r="T220" s="100">
        <v>42774</v>
      </c>
      <c r="U220" s="100">
        <v>40551</v>
      </c>
      <c r="V220" s="98" t="s">
        <v>5095</v>
      </c>
      <c r="W220" s="98" t="s">
        <v>5068</v>
      </c>
      <c r="X220" s="98" t="s">
        <v>5096</v>
      </c>
      <c r="Y220" s="98" t="s">
        <v>5068</v>
      </c>
      <c r="Z220" s="99"/>
      <c r="AA220" s="99"/>
      <c r="AB220" s="99"/>
      <c r="AC220" s="99"/>
      <c r="AD220" s="99"/>
      <c r="AE220" s="95" t="s">
        <v>5161</v>
      </c>
      <c r="AF220" s="99"/>
      <c r="AG220" s="95">
        <v>1</v>
      </c>
      <c r="AH220" s="94" t="s">
        <v>5074</v>
      </c>
      <c r="AI220" s="94" t="s">
        <v>5122</v>
      </c>
      <c r="AJ220" s="98" t="s">
        <v>6157</v>
      </c>
      <c r="AK220" s="98" t="s">
        <v>6816</v>
      </c>
      <c r="AL220" s="101" t="s">
        <v>5104</v>
      </c>
      <c r="AM220" s="99"/>
      <c r="AN220" s="98" t="s">
        <v>5079</v>
      </c>
      <c r="AO220" s="98" t="s">
        <v>6817</v>
      </c>
      <c r="AP220" s="98" t="s">
        <v>6818</v>
      </c>
      <c r="AQ220" s="102">
        <v>2020</v>
      </c>
      <c r="AR220" s="98" t="s">
        <v>5200</v>
      </c>
      <c r="AS220" s="99"/>
      <c r="AT220" s="98" t="s">
        <v>5083</v>
      </c>
      <c r="AU220" s="99"/>
      <c r="AV220" s="95">
        <v>2025</v>
      </c>
      <c r="AW220" s="94" t="s">
        <v>5108</v>
      </c>
      <c r="AX220" s="95">
        <v>0</v>
      </c>
      <c r="AY220" s="98" t="s">
        <v>5109</v>
      </c>
      <c r="AZ220" s="102">
        <v>1</v>
      </c>
      <c r="BA220" s="110">
        <v>46059</v>
      </c>
      <c r="BB220" s="93"/>
    </row>
    <row r="221" spans="1:54" ht="13.8">
      <c r="A221" s="94" t="s">
        <v>6819</v>
      </c>
      <c r="B221" s="95" t="s">
        <v>6820</v>
      </c>
      <c r="C221" s="100">
        <v>33634</v>
      </c>
      <c r="D221" s="94" t="s">
        <v>2665</v>
      </c>
      <c r="E221" s="94" t="s">
        <v>1939</v>
      </c>
      <c r="F221" s="97" t="s">
        <v>1512</v>
      </c>
      <c r="G221" s="95">
        <v>4620491238</v>
      </c>
      <c r="H221" s="98" t="s">
        <v>5181</v>
      </c>
      <c r="I221" s="95">
        <v>46192011151</v>
      </c>
      <c r="J221" s="98" t="s">
        <v>5088</v>
      </c>
      <c r="K221" s="95" t="s">
        <v>5089</v>
      </c>
      <c r="L221" s="98" t="s">
        <v>6821</v>
      </c>
      <c r="M221" s="98" t="s">
        <v>6822</v>
      </c>
      <c r="N221" s="98" t="s">
        <v>6823</v>
      </c>
      <c r="O221" s="98" t="s">
        <v>6824</v>
      </c>
      <c r="P221" s="95">
        <v>386659437</v>
      </c>
      <c r="Q221" s="98" t="s">
        <v>6825</v>
      </c>
      <c r="R221" s="98" t="s">
        <v>5094</v>
      </c>
      <c r="S221" s="99"/>
      <c r="T221" s="100">
        <v>43106</v>
      </c>
      <c r="U221" s="100">
        <v>43471</v>
      </c>
      <c r="V221" s="98" t="s">
        <v>5095</v>
      </c>
      <c r="W221" s="98" t="s">
        <v>5068</v>
      </c>
      <c r="X221" s="98" t="s">
        <v>5096</v>
      </c>
      <c r="Y221" s="98" t="s">
        <v>6399</v>
      </c>
      <c r="Z221" s="99"/>
      <c r="AA221" s="99"/>
      <c r="AB221" s="99"/>
      <c r="AC221" s="99"/>
      <c r="AD221" s="99"/>
      <c r="AE221" s="95" t="s">
        <v>6826</v>
      </c>
      <c r="AF221" s="99"/>
      <c r="AG221" s="95">
        <v>1</v>
      </c>
      <c r="AH221" s="94" t="s">
        <v>5084</v>
      </c>
      <c r="AI221" s="94" t="s">
        <v>5133</v>
      </c>
      <c r="AJ221" s="98" t="s">
        <v>5134</v>
      </c>
      <c r="AK221" s="98" t="s">
        <v>6827</v>
      </c>
      <c r="AL221" s="101" t="s">
        <v>5149</v>
      </c>
      <c r="AM221" s="98" t="s">
        <v>5716</v>
      </c>
      <c r="AN221" s="98" t="s">
        <v>5079</v>
      </c>
      <c r="AO221" s="98" t="s">
        <v>5080</v>
      </c>
      <c r="AP221" s="102">
        <v>87</v>
      </c>
      <c r="AQ221" s="102">
        <v>2017</v>
      </c>
      <c r="AR221" s="98" t="s">
        <v>5200</v>
      </c>
      <c r="AS221" s="99"/>
      <c r="AT221" s="99"/>
      <c r="AU221" s="98" t="s">
        <v>5228</v>
      </c>
      <c r="AV221" s="99"/>
      <c r="AW221" s="94" t="s">
        <v>5084</v>
      </c>
      <c r="AX221" s="95">
        <v>0</v>
      </c>
      <c r="AY221" s="98" t="s">
        <v>5152</v>
      </c>
      <c r="AZ221" s="102">
        <v>4</v>
      </c>
      <c r="BA221" s="102" t="s">
        <v>5168</v>
      </c>
      <c r="BB221" s="93"/>
    </row>
    <row r="222" spans="1:54" ht="13.8">
      <c r="A222" s="94" t="s">
        <v>6828</v>
      </c>
      <c r="B222" s="95" t="s">
        <v>6829</v>
      </c>
      <c r="C222" s="96">
        <v>31768</v>
      </c>
      <c r="D222" s="94" t="s">
        <v>2656</v>
      </c>
      <c r="E222" s="94" t="s">
        <v>1939</v>
      </c>
      <c r="F222" s="97" t="s">
        <v>1512</v>
      </c>
      <c r="G222" s="95">
        <v>4016631887</v>
      </c>
      <c r="H222" s="98" t="s">
        <v>5057</v>
      </c>
      <c r="I222" s="95">
        <v>40086016417</v>
      </c>
      <c r="J222" s="98" t="s">
        <v>5088</v>
      </c>
      <c r="K222" s="95" t="s">
        <v>6198</v>
      </c>
      <c r="L222" s="98" t="s">
        <v>5476</v>
      </c>
      <c r="M222" s="98" t="s">
        <v>6830</v>
      </c>
      <c r="N222" s="98" t="s">
        <v>6830</v>
      </c>
      <c r="O222" s="98" t="s">
        <v>6831</v>
      </c>
      <c r="P222" s="95">
        <v>984437411</v>
      </c>
      <c r="Q222" s="98" t="s">
        <v>6832</v>
      </c>
      <c r="R222" s="98" t="s">
        <v>5094</v>
      </c>
      <c r="S222" s="99"/>
      <c r="T222" s="100">
        <v>46023</v>
      </c>
      <c r="U222" s="109"/>
      <c r="V222" s="99"/>
      <c r="W222" s="98" t="s">
        <v>5068</v>
      </c>
      <c r="X222" s="98" t="s">
        <v>5653</v>
      </c>
      <c r="Y222" s="99"/>
      <c r="Z222" s="99"/>
      <c r="AA222" s="99"/>
      <c r="AB222" s="99"/>
      <c r="AC222" s="99"/>
      <c r="AD222" s="99"/>
      <c r="AE222" s="99"/>
      <c r="AF222" s="99"/>
      <c r="AG222" s="95">
        <v>0</v>
      </c>
      <c r="AH222" s="94" t="s">
        <v>5074</v>
      </c>
      <c r="AI222" s="94" t="s">
        <v>5122</v>
      </c>
      <c r="AJ222" s="98" t="s">
        <v>5266</v>
      </c>
      <c r="AK222" s="98" t="s">
        <v>3221</v>
      </c>
      <c r="AL222" s="101" t="s">
        <v>5149</v>
      </c>
      <c r="AM222" s="99"/>
      <c r="AN222" s="98" t="s">
        <v>5079</v>
      </c>
      <c r="AO222" s="98" t="s">
        <v>6833</v>
      </c>
      <c r="AP222" s="98" t="s">
        <v>6834</v>
      </c>
      <c r="AQ222" s="102">
        <v>2021</v>
      </c>
      <c r="AR222" s="99"/>
      <c r="AS222" s="99"/>
      <c r="AT222" s="99"/>
      <c r="AU222" s="99"/>
      <c r="AV222" s="99"/>
      <c r="AW222" s="94" t="s">
        <v>5074</v>
      </c>
      <c r="AX222" s="95">
        <v>0</v>
      </c>
      <c r="AY222" s="98" t="s">
        <v>5152</v>
      </c>
      <c r="AZ222" s="102">
        <v>3</v>
      </c>
      <c r="BA222" s="102">
        <v>3</v>
      </c>
      <c r="BB222" s="93"/>
    </row>
    <row r="223" spans="1:54" ht="13.8">
      <c r="A223" s="94" t="s">
        <v>6835</v>
      </c>
      <c r="B223" s="95" t="s">
        <v>6836</v>
      </c>
      <c r="C223" s="100">
        <v>32449</v>
      </c>
      <c r="D223" s="94" t="s">
        <v>2656</v>
      </c>
      <c r="E223" s="94" t="s">
        <v>1939</v>
      </c>
      <c r="F223" s="97" t="s">
        <v>1512</v>
      </c>
      <c r="G223" s="95">
        <v>4815020046</v>
      </c>
      <c r="H223" s="98" t="s">
        <v>5057</v>
      </c>
      <c r="I223" s="95">
        <v>46088009767</v>
      </c>
      <c r="J223" s="98" t="s">
        <v>5088</v>
      </c>
      <c r="K223" s="104">
        <v>44565</v>
      </c>
      <c r="L223" s="98" t="s">
        <v>6837</v>
      </c>
      <c r="M223" s="98" t="s">
        <v>6838</v>
      </c>
      <c r="N223" s="98" t="s">
        <v>6839</v>
      </c>
      <c r="O223" s="98" t="s">
        <v>6840</v>
      </c>
      <c r="P223" s="95">
        <v>977181076</v>
      </c>
      <c r="Q223" s="98" t="s">
        <v>6683</v>
      </c>
      <c r="R223" s="98" t="s">
        <v>5094</v>
      </c>
      <c r="S223" s="99"/>
      <c r="T223" s="100">
        <v>42011</v>
      </c>
      <c r="U223" s="100">
        <v>42376</v>
      </c>
      <c r="V223" s="98" t="s">
        <v>5095</v>
      </c>
      <c r="W223" s="98" t="s">
        <v>5068</v>
      </c>
      <c r="X223" s="98" t="s">
        <v>5096</v>
      </c>
      <c r="Y223" s="98" t="s">
        <v>5068</v>
      </c>
      <c r="Z223" s="99"/>
      <c r="AA223" s="99"/>
      <c r="AB223" s="99"/>
      <c r="AC223" s="99"/>
      <c r="AD223" s="99"/>
      <c r="AE223" s="99"/>
      <c r="AF223" s="99"/>
      <c r="AG223" s="95">
        <v>1</v>
      </c>
      <c r="AH223" s="94" t="s">
        <v>5074</v>
      </c>
      <c r="AI223" s="94" t="s">
        <v>5133</v>
      </c>
      <c r="AJ223" s="98" t="s">
        <v>5134</v>
      </c>
      <c r="AK223" s="98" t="s">
        <v>6841</v>
      </c>
      <c r="AL223" s="101" t="s">
        <v>5149</v>
      </c>
      <c r="AM223" s="99"/>
      <c r="AN223" s="98" t="s">
        <v>5079</v>
      </c>
      <c r="AO223" s="98" t="s">
        <v>5080</v>
      </c>
      <c r="AP223" s="98" t="s">
        <v>5425</v>
      </c>
      <c r="AQ223" s="102">
        <v>2024</v>
      </c>
      <c r="AR223" s="99"/>
      <c r="AS223" s="99"/>
      <c r="AT223" s="98" t="s">
        <v>5083</v>
      </c>
      <c r="AU223" s="98" t="s">
        <v>5228</v>
      </c>
      <c r="AV223" s="99"/>
      <c r="AW223" s="94" t="s">
        <v>5074</v>
      </c>
      <c r="AX223" s="95">
        <v>0</v>
      </c>
      <c r="AY223" s="98" t="s">
        <v>5152</v>
      </c>
      <c r="AZ223" s="102">
        <v>5</v>
      </c>
      <c r="BA223" s="102" t="s">
        <v>5153</v>
      </c>
      <c r="BB223" s="93"/>
    </row>
    <row r="224" spans="1:54" ht="13.8">
      <c r="A224" s="94" t="s">
        <v>6842</v>
      </c>
      <c r="B224" s="95" t="s">
        <v>6843</v>
      </c>
      <c r="C224" s="100">
        <v>32771</v>
      </c>
      <c r="D224" s="94" t="s">
        <v>2656</v>
      </c>
      <c r="E224" s="94" t="s">
        <v>1939</v>
      </c>
      <c r="F224" s="97" t="s">
        <v>1512</v>
      </c>
      <c r="G224" s="95">
        <v>4811044774</v>
      </c>
      <c r="H224" s="98" t="s">
        <v>5057</v>
      </c>
      <c r="I224" s="95">
        <v>49089003360</v>
      </c>
      <c r="J224" s="98" t="s">
        <v>5088</v>
      </c>
      <c r="K224" s="95" t="s">
        <v>6567</v>
      </c>
      <c r="L224" s="98" t="s">
        <v>6844</v>
      </c>
      <c r="M224" s="98" t="s">
        <v>6845</v>
      </c>
      <c r="N224" s="98" t="s">
        <v>6845</v>
      </c>
      <c r="O224" s="98" t="s">
        <v>6846</v>
      </c>
      <c r="P224" s="95">
        <v>935523357</v>
      </c>
      <c r="Q224" s="98" t="s">
        <v>6847</v>
      </c>
      <c r="R224" s="98" t="s">
        <v>5094</v>
      </c>
      <c r="S224" s="99"/>
      <c r="T224" s="100">
        <v>43997</v>
      </c>
      <c r="U224" s="109"/>
      <c r="V224" s="98" t="s">
        <v>5095</v>
      </c>
      <c r="W224" s="98" t="s">
        <v>5068</v>
      </c>
      <c r="X224" s="98" t="s">
        <v>5096</v>
      </c>
      <c r="Y224" s="98" t="s">
        <v>5068</v>
      </c>
      <c r="Z224" s="99"/>
      <c r="AA224" s="99"/>
      <c r="AB224" s="95" t="s">
        <v>5161</v>
      </c>
      <c r="AC224" s="99"/>
      <c r="AD224" s="99"/>
      <c r="AE224" s="95" t="s">
        <v>5161</v>
      </c>
      <c r="AF224" s="99"/>
      <c r="AG224" s="95">
        <v>1</v>
      </c>
      <c r="AH224" s="94" t="s">
        <v>5084</v>
      </c>
      <c r="AI224" s="94" t="s">
        <v>5133</v>
      </c>
      <c r="AJ224" s="98" t="s">
        <v>5134</v>
      </c>
      <c r="AK224" s="98" t="s">
        <v>6848</v>
      </c>
      <c r="AL224" s="101" t="s">
        <v>5149</v>
      </c>
      <c r="AM224" s="98" t="s">
        <v>5218</v>
      </c>
      <c r="AN224" s="98" t="s">
        <v>5079</v>
      </c>
      <c r="AO224" s="98" t="s">
        <v>5080</v>
      </c>
      <c r="AP224" s="102">
        <v>803</v>
      </c>
      <c r="AQ224" s="102">
        <v>2014</v>
      </c>
      <c r="AR224" s="99"/>
      <c r="AS224" s="99"/>
      <c r="AT224" s="98" t="s">
        <v>5083</v>
      </c>
      <c r="AU224" s="98" t="s">
        <v>5125</v>
      </c>
      <c r="AV224" s="95">
        <v>0</v>
      </c>
      <c r="AW224" s="94" t="s">
        <v>5084</v>
      </c>
      <c r="AX224" s="95">
        <v>0</v>
      </c>
      <c r="AY224" s="98" t="s">
        <v>5152</v>
      </c>
      <c r="AZ224" s="102">
        <v>5</v>
      </c>
      <c r="BA224" s="102" t="s">
        <v>5153</v>
      </c>
      <c r="BB224" s="93"/>
    </row>
    <row r="225" spans="1:54" ht="13.8">
      <c r="A225" s="94" t="s">
        <v>6849</v>
      </c>
      <c r="B225" s="95" t="s">
        <v>6850</v>
      </c>
      <c r="C225" s="100">
        <v>31579</v>
      </c>
      <c r="D225" s="94" t="s">
        <v>2656</v>
      </c>
      <c r="E225" s="94" t="s">
        <v>1939</v>
      </c>
      <c r="F225" s="97" t="s">
        <v>1512</v>
      </c>
      <c r="G225" s="95">
        <v>4811002542</v>
      </c>
      <c r="H225" s="98" t="s">
        <v>5057</v>
      </c>
      <c r="I225" s="95">
        <v>38086025685</v>
      </c>
      <c r="J225" s="98" t="s">
        <v>5088</v>
      </c>
      <c r="K225" s="95" t="s">
        <v>6851</v>
      </c>
      <c r="L225" s="98" t="s">
        <v>6852</v>
      </c>
      <c r="M225" s="98" t="s">
        <v>6853</v>
      </c>
      <c r="N225" s="98" t="s">
        <v>6854</v>
      </c>
      <c r="O225" s="98" t="s">
        <v>6854</v>
      </c>
      <c r="P225" s="95">
        <v>935289398</v>
      </c>
      <c r="Q225" s="98" t="s">
        <v>6855</v>
      </c>
      <c r="R225" s="98" t="s">
        <v>5094</v>
      </c>
      <c r="S225" s="99"/>
      <c r="T225" s="100">
        <v>40553</v>
      </c>
      <c r="U225" s="100">
        <v>40918</v>
      </c>
      <c r="V225" s="99"/>
      <c r="W225" s="98" t="s">
        <v>5068</v>
      </c>
      <c r="X225" s="98" t="s">
        <v>5096</v>
      </c>
      <c r="Y225" s="99"/>
      <c r="Z225" s="99"/>
      <c r="AA225" s="99"/>
      <c r="AB225" s="99"/>
      <c r="AC225" s="99"/>
      <c r="AD225" s="99"/>
      <c r="AE225" s="95" t="s">
        <v>6856</v>
      </c>
      <c r="AF225" s="99"/>
      <c r="AG225" s="95">
        <v>0</v>
      </c>
      <c r="AH225" s="94" t="s">
        <v>5084</v>
      </c>
      <c r="AI225" s="94" t="s">
        <v>5122</v>
      </c>
      <c r="AJ225" s="98" t="s">
        <v>6857</v>
      </c>
      <c r="AK225" s="98" t="s">
        <v>2916</v>
      </c>
      <c r="AL225" s="101" t="s">
        <v>5078</v>
      </c>
      <c r="AM225" s="99"/>
      <c r="AN225" s="98" t="s">
        <v>5079</v>
      </c>
      <c r="AO225" s="98" t="s">
        <v>5080</v>
      </c>
      <c r="AP225" s="98" t="s">
        <v>6603</v>
      </c>
      <c r="AQ225" s="102">
        <v>2017</v>
      </c>
      <c r="AR225" s="98" t="s">
        <v>5200</v>
      </c>
      <c r="AS225" s="98" t="s">
        <v>5561</v>
      </c>
      <c r="AT225" s="98" t="s">
        <v>5083</v>
      </c>
      <c r="AU225" s="98" t="s">
        <v>5483</v>
      </c>
      <c r="AV225" s="99"/>
      <c r="AW225" s="94" t="s">
        <v>5084</v>
      </c>
      <c r="AX225" s="95">
        <v>0</v>
      </c>
      <c r="AY225" s="98" t="s">
        <v>5085</v>
      </c>
      <c r="AZ225" s="102">
        <v>1</v>
      </c>
      <c r="BA225" s="110">
        <v>46116</v>
      </c>
      <c r="BB225" s="93"/>
    </row>
    <row r="226" spans="1:54" ht="13.8">
      <c r="A226" s="94" t="s">
        <v>6858</v>
      </c>
      <c r="B226" s="95" t="s">
        <v>6859</v>
      </c>
      <c r="C226" s="100">
        <v>29803</v>
      </c>
      <c r="D226" s="94" t="s">
        <v>2665</v>
      </c>
      <c r="E226" s="94" t="s">
        <v>1939</v>
      </c>
      <c r="F226" s="97" t="s">
        <v>1512</v>
      </c>
      <c r="G226" s="95">
        <v>9004000554</v>
      </c>
      <c r="H226" s="98" t="s">
        <v>5057</v>
      </c>
      <c r="I226" s="95">
        <v>40177010419</v>
      </c>
      <c r="J226" s="98" t="s">
        <v>5088</v>
      </c>
      <c r="K226" s="95" t="s">
        <v>6258</v>
      </c>
      <c r="L226" s="98" t="s">
        <v>6860</v>
      </c>
      <c r="M226" s="98" t="s">
        <v>6861</v>
      </c>
      <c r="N226" s="98" t="s">
        <v>6862</v>
      </c>
      <c r="O226" s="98" t="s">
        <v>6863</v>
      </c>
      <c r="P226" s="95">
        <v>914180100</v>
      </c>
      <c r="Q226" s="98" t="s">
        <v>6864</v>
      </c>
      <c r="R226" s="98" t="s">
        <v>5094</v>
      </c>
      <c r="S226" s="99"/>
      <c r="T226" s="100">
        <v>39089</v>
      </c>
      <c r="U226" s="100">
        <v>39091</v>
      </c>
      <c r="V226" s="99"/>
      <c r="W226" s="98" t="s">
        <v>5068</v>
      </c>
      <c r="X226" s="98" t="s">
        <v>5187</v>
      </c>
      <c r="Y226" s="99"/>
      <c r="Z226" s="99"/>
      <c r="AA226" s="99"/>
      <c r="AB226" s="99"/>
      <c r="AC226" s="99"/>
      <c r="AD226" s="99"/>
      <c r="AE226" s="95" t="s">
        <v>6865</v>
      </c>
      <c r="AF226" s="99"/>
      <c r="AG226" s="95">
        <v>0</v>
      </c>
      <c r="AH226" s="94" t="s">
        <v>5074</v>
      </c>
      <c r="AI226" s="94" t="s">
        <v>5133</v>
      </c>
      <c r="AJ226" s="98" t="s">
        <v>5134</v>
      </c>
      <c r="AK226" s="98" t="s">
        <v>6866</v>
      </c>
      <c r="AL226" s="101" t="s">
        <v>5078</v>
      </c>
      <c r="AM226" s="99"/>
      <c r="AN226" s="98" t="s">
        <v>5079</v>
      </c>
      <c r="AO226" s="98" t="s">
        <v>5080</v>
      </c>
      <c r="AP226" s="98" t="s">
        <v>5425</v>
      </c>
      <c r="AQ226" s="102">
        <v>2020</v>
      </c>
      <c r="AR226" s="98" t="s">
        <v>5200</v>
      </c>
      <c r="AS226" s="99"/>
      <c r="AT226" s="98" t="s">
        <v>5083</v>
      </c>
      <c r="AU226" s="98" t="s">
        <v>5151</v>
      </c>
      <c r="AV226" s="99"/>
      <c r="AW226" s="94" t="s">
        <v>5074</v>
      </c>
      <c r="AX226" s="95">
        <v>0</v>
      </c>
      <c r="AY226" s="98" t="s">
        <v>5152</v>
      </c>
      <c r="AZ226" s="102">
        <v>7</v>
      </c>
      <c r="BA226" s="102" t="s">
        <v>5286</v>
      </c>
      <c r="BB226" s="93"/>
    </row>
    <row r="227" spans="1:54" ht="13.8">
      <c r="A227" s="94" t="s">
        <v>1304</v>
      </c>
      <c r="B227" s="95" t="s">
        <v>6867</v>
      </c>
      <c r="C227" s="100">
        <v>28297</v>
      </c>
      <c r="D227" s="94" t="s">
        <v>2665</v>
      </c>
      <c r="E227" s="94" t="s">
        <v>1939</v>
      </c>
      <c r="F227" s="97" t="s">
        <v>1512</v>
      </c>
      <c r="G227" s="95">
        <v>108024632</v>
      </c>
      <c r="H227" s="98" t="s">
        <v>5057</v>
      </c>
      <c r="I227" s="95">
        <v>66181007040</v>
      </c>
      <c r="J227" s="98" t="s">
        <v>5088</v>
      </c>
      <c r="K227" s="95" t="s">
        <v>5089</v>
      </c>
      <c r="L227" s="98" t="s">
        <v>6868</v>
      </c>
      <c r="M227" s="98" t="s">
        <v>6869</v>
      </c>
      <c r="N227" s="98" t="s">
        <v>6870</v>
      </c>
      <c r="O227" s="98" t="s">
        <v>6871</v>
      </c>
      <c r="P227" s="95">
        <v>834333599</v>
      </c>
      <c r="Q227" s="98" t="s">
        <v>6872</v>
      </c>
      <c r="R227" s="98" t="s">
        <v>5094</v>
      </c>
      <c r="S227" s="99"/>
      <c r="T227" s="100">
        <v>43997</v>
      </c>
      <c r="U227" s="96">
        <v>44177</v>
      </c>
      <c r="V227" s="98" t="s">
        <v>5095</v>
      </c>
      <c r="W227" s="98" t="s">
        <v>5068</v>
      </c>
      <c r="X227" s="98" t="s">
        <v>5096</v>
      </c>
      <c r="Y227" s="98" t="s">
        <v>5068</v>
      </c>
      <c r="Z227" s="99"/>
      <c r="AA227" s="99"/>
      <c r="AB227" s="99"/>
      <c r="AC227" s="99"/>
      <c r="AD227" s="99"/>
      <c r="AE227" s="104">
        <v>40882</v>
      </c>
      <c r="AF227" s="99"/>
      <c r="AG227" s="95">
        <v>1</v>
      </c>
      <c r="AH227" s="94" t="s">
        <v>5074</v>
      </c>
      <c r="AI227" s="94" t="s">
        <v>5133</v>
      </c>
      <c r="AJ227" s="98" t="s">
        <v>5134</v>
      </c>
      <c r="AK227" s="98" t="s">
        <v>6873</v>
      </c>
      <c r="AL227" s="101" t="s">
        <v>5149</v>
      </c>
      <c r="AM227" s="99"/>
      <c r="AN227" s="98" t="s">
        <v>5079</v>
      </c>
      <c r="AO227" s="98" t="s">
        <v>5080</v>
      </c>
      <c r="AP227" s="98" t="s">
        <v>6874</v>
      </c>
      <c r="AQ227" s="102">
        <v>2017</v>
      </c>
      <c r="AR227" s="98" t="s">
        <v>5082</v>
      </c>
      <c r="AS227" s="99"/>
      <c r="AT227" s="98" t="s">
        <v>5083</v>
      </c>
      <c r="AU227" s="98" t="s">
        <v>5107</v>
      </c>
      <c r="AV227" s="95">
        <v>0</v>
      </c>
      <c r="AW227" s="94" t="s">
        <v>5074</v>
      </c>
      <c r="AX227" s="95">
        <v>0</v>
      </c>
      <c r="AY227" s="98" t="s">
        <v>5085</v>
      </c>
      <c r="AZ227" s="102">
        <v>2</v>
      </c>
      <c r="BA227" s="102" t="s">
        <v>5086</v>
      </c>
      <c r="BB227" s="93"/>
    </row>
    <row r="228" spans="1:54" ht="13.8">
      <c r="A228" s="94" t="s">
        <v>6875</v>
      </c>
      <c r="B228" s="95" t="s">
        <v>6876</v>
      </c>
      <c r="C228" s="100">
        <v>30927</v>
      </c>
      <c r="D228" s="94" t="s">
        <v>2656</v>
      </c>
      <c r="E228" s="94" t="s">
        <v>1939</v>
      </c>
      <c r="F228" s="97" t="s">
        <v>1512</v>
      </c>
      <c r="G228" s="95">
        <v>4810020530</v>
      </c>
      <c r="H228" s="98" t="s">
        <v>5057</v>
      </c>
      <c r="I228" s="95">
        <v>42084004681</v>
      </c>
      <c r="J228" s="98" t="s">
        <v>5182</v>
      </c>
      <c r="K228" s="95" t="s">
        <v>6877</v>
      </c>
      <c r="L228" s="98" t="s">
        <v>6878</v>
      </c>
      <c r="M228" s="98" t="s">
        <v>6879</v>
      </c>
      <c r="N228" s="98" t="s">
        <v>6880</v>
      </c>
      <c r="O228" s="98" t="s">
        <v>6881</v>
      </c>
      <c r="P228" s="95">
        <v>987760410</v>
      </c>
      <c r="Q228" s="98" t="s">
        <v>6882</v>
      </c>
      <c r="R228" s="98" t="s">
        <v>5094</v>
      </c>
      <c r="S228" s="99"/>
      <c r="T228" s="96">
        <v>45655</v>
      </c>
      <c r="U228" s="100">
        <v>45833</v>
      </c>
      <c r="V228" s="99"/>
      <c r="W228" s="98" t="s">
        <v>5781</v>
      </c>
      <c r="X228" s="98" t="s">
        <v>5187</v>
      </c>
      <c r="Y228" s="99"/>
      <c r="Z228" s="99"/>
      <c r="AA228" s="99"/>
      <c r="AB228" s="99"/>
      <c r="AC228" s="99"/>
      <c r="AD228" s="99"/>
      <c r="AE228" s="99"/>
      <c r="AF228" s="99"/>
      <c r="AG228" s="95">
        <v>0</v>
      </c>
      <c r="AH228" s="94" t="s">
        <v>5074</v>
      </c>
      <c r="AI228" s="94" t="s">
        <v>5122</v>
      </c>
      <c r="AJ228" s="98" t="s">
        <v>6157</v>
      </c>
      <c r="AK228" s="98" t="s">
        <v>6158</v>
      </c>
      <c r="AL228" s="101" t="s">
        <v>5104</v>
      </c>
      <c r="AM228" s="99"/>
      <c r="AN228" s="98" t="s">
        <v>5079</v>
      </c>
      <c r="AO228" s="98" t="s">
        <v>5080</v>
      </c>
      <c r="AP228" s="98" t="s">
        <v>5218</v>
      </c>
      <c r="AQ228" s="102">
        <v>2014</v>
      </c>
      <c r="AR228" s="99"/>
      <c r="AS228" s="99"/>
      <c r="AT228" s="99"/>
      <c r="AU228" s="98" t="s">
        <v>5228</v>
      </c>
      <c r="AV228" s="95">
        <v>2025</v>
      </c>
      <c r="AW228" s="94" t="s">
        <v>5108</v>
      </c>
      <c r="AX228" s="95">
        <v>0</v>
      </c>
      <c r="AY228" s="98" t="s">
        <v>5109</v>
      </c>
      <c r="AZ228" s="102">
        <v>1</v>
      </c>
      <c r="BA228" s="110">
        <v>46059</v>
      </c>
      <c r="BB228" s="93"/>
    </row>
    <row r="229" spans="1:54" ht="13.8">
      <c r="A229" s="94" t="s">
        <v>6883</v>
      </c>
      <c r="B229" s="95" t="s">
        <v>6884</v>
      </c>
      <c r="C229" s="100">
        <v>30126</v>
      </c>
      <c r="D229" s="94" t="s">
        <v>2656</v>
      </c>
      <c r="E229" s="94" t="s">
        <v>1939</v>
      </c>
      <c r="F229" s="97" t="s">
        <v>1512</v>
      </c>
      <c r="G229" s="95">
        <v>4808004733</v>
      </c>
      <c r="H229" s="98" t="s">
        <v>5057</v>
      </c>
      <c r="I229" s="95">
        <v>49082020647</v>
      </c>
      <c r="J229" s="98" t="s">
        <v>5088</v>
      </c>
      <c r="K229" s="95" t="s">
        <v>6088</v>
      </c>
      <c r="L229" s="98" t="s">
        <v>6885</v>
      </c>
      <c r="M229" s="98" t="s">
        <v>6886</v>
      </c>
      <c r="N229" s="98" t="s">
        <v>6887</v>
      </c>
      <c r="O229" s="98" t="s">
        <v>6888</v>
      </c>
      <c r="P229" s="95">
        <v>982993885</v>
      </c>
      <c r="Q229" s="98" t="s">
        <v>6889</v>
      </c>
      <c r="R229" s="98" t="s">
        <v>5094</v>
      </c>
      <c r="S229" s="99"/>
      <c r="T229" s="96">
        <v>38645</v>
      </c>
      <c r="U229" s="100">
        <v>39086</v>
      </c>
      <c r="V229" s="98" t="s">
        <v>5095</v>
      </c>
      <c r="W229" s="98" t="s">
        <v>5068</v>
      </c>
      <c r="X229" s="98" t="s">
        <v>5096</v>
      </c>
      <c r="Y229" s="98" t="s">
        <v>5068</v>
      </c>
      <c r="Z229" s="99"/>
      <c r="AA229" s="99"/>
      <c r="AB229" s="99"/>
      <c r="AC229" s="98" t="s">
        <v>5590</v>
      </c>
      <c r="AD229" s="99"/>
      <c r="AE229" s="95" t="s">
        <v>6890</v>
      </c>
      <c r="AF229" s="98" t="s">
        <v>5590</v>
      </c>
      <c r="AG229" s="95">
        <v>1</v>
      </c>
      <c r="AH229" s="94" t="s">
        <v>5084</v>
      </c>
      <c r="AI229" s="94" t="s">
        <v>5133</v>
      </c>
      <c r="AJ229" s="98" t="s">
        <v>5134</v>
      </c>
      <c r="AK229" s="98" t="s">
        <v>6891</v>
      </c>
      <c r="AL229" s="101" t="s">
        <v>5149</v>
      </c>
      <c r="AM229" s="98" t="s">
        <v>6892</v>
      </c>
      <c r="AN229" s="98" t="s">
        <v>5079</v>
      </c>
      <c r="AO229" s="98" t="s">
        <v>5080</v>
      </c>
      <c r="AP229" s="102">
        <v>135</v>
      </c>
      <c r="AQ229" s="99"/>
      <c r="AR229" s="99"/>
      <c r="AS229" s="99"/>
      <c r="AT229" s="99"/>
      <c r="AU229" s="98" t="s">
        <v>5228</v>
      </c>
      <c r="AV229" s="95">
        <v>0</v>
      </c>
      <c r="AW229" s="94" t="s">
        <v>5084</v>
      </c>
      <c r="AX229" s="95">
        <v>0</v>
      </c>
      <c r="AY229" s="98" t="s">
        <v>5152</v>
      </c>
      <c r="AZ229" s="102">
        <v>6</v>
      </c>
      <c r="BA229" s="102" t="s">
        <v>5260</v>
      </c>
      <c r="BB229" s="93"/>
    </row>
    <row r="230" spans="1:54" ht="13.8">
      <c r="A230" s="94" t="s">
        <v>241</v>
      </c>
      <c r="B230" s="95" t="s">
        <v>6893</v>
      </c>
      <c r="C230" s="100">
        <v>33279</v>
      </c>
      <c r="D230" s="94" t="s">
        <v>2665</v>
      </c>
      <c r="E230" s="94" t="s">
        <v>1939</v>
      </c>
      <c r="F230" s="97" t="s">
        <v>1512</v>
      </c>
      <c r="G230" s="95">
        <v>4816047925</v>
      </c>
      <c r="H230" s="98" t="s">
        <v>5057</v>
      </c>
      <c r="I230" s="95">
        <v>44191008302</v>
      </c>
      <c r="J230" s="98" t="s">
        <v>5088</v>
      </c>
      <c r="K230" s="95" t="s">
        <v>6894</v>
      </c>
      <c r="L230" s="98" t="s">
        <v>6895</v>
      </c>
      <c r="M230" s="98" t="s">
        <v>6896</v>
      </c>
      <c r="N230" s="98" t="s">
        <v>6896</v>
      </c>
      <c r="O230" s="98" t="s">
        <v>6897</v>
      </c>
      <c r="P230" s="95">
        <v>905515856</v>
      </c>
      <c r="Q230" s="98" t="s">
        <v>6898</v>
      </c>
      <c r="R230" s="98" t="s">
        <v>5094</v>
      </c>
      <c r="S230" s="99"/>
      <c r="T230" s="100">
        <v>42738</v>
      </c>
      <c r="U230" s="109"/>
      <c r="V230" s="98" t="s">
        <v>5095</v>
      </c>
      <c r="W230" s="98" t="s">
        <v>5068</v>
      </c>
      <c r="X230" s="98" t="s">
        <v>5096</v>
      </c>
      <c r="Y230" s="98" t="s">
        <v>5068</v>
      </c>
      <c r="Z230" s="99"/>
      <c r="AA230" s="99"/>
      <c r="AB230" s="99"/>
      <c r="AC230" s="99"/>
      <c r="AD230" s="99"/>
      <c r="AE230" s="99"/>
      <c r="AF230" s="99"/>
      <c r="AG230" s="95">
        <v>1</v>
      </c>
      <c r="AH230" s="94" t="s">
        <v>5074</v>
      </c>
      <c r="AI230" s="94" t="s">
        <v>5133</v>
      </c>
      <c r="AJ230" s="98" t="s">
        <v>5134</v>
      </c>
      <c r="AK230" s="98" t="s">
        <v>5385</v>
      </c>
      <c r="AL230" s="101" t="s">
        <v>5149</v>
      </c>
      <c r="AM230" s="99"/>
      <c r="AN230" s="98" t="s">
        <v>5079</v>
      </c>
      <c r="AO230" s="98" t="s">
        <v>5080</v>
      </c>
      <c r="AP230" s="98" t="s">
        <v>6899</v>
      </c>
      <c r="AQ230" s="102">
        <v>2023</v>
      </c>
      <c r="AR230" s="99"/>
      <c r="AS230" s="99"/>
      <c r="AT230" s="98" t="s">
        <v>5083</v>
      </c>
      <c r="AU230" s="98" t="s">
        <v>5228</v>
      </c>
      <c r="AV230" s="99"/>
      <c r="AW230" s="94" t="s">
        <v>5074</v>
      </c>
      <c r="AX230" s="95">
        <v>0</v>
      </c>
      <c r="AY230" s="98" t="s">
        <v>5152</v>
      </c>
      <c r="AZ230" s="102">
        <v>4</v>
      </c>
      <c r="BA230" s="102" t="s">
        <v>5168</v>
      </c>
      <c r="BB230" s="93"/>
    </row>
    <row r="231" spans="1:54" ht="13.8">
      <c r="A231" s="94" t="s">
        <v>6900</v>
      </c>
      <c r="B231" s="95" t="s">
        <v>6901</v>
      </c>
      <c r="C231" s="96">
        <v>29877</v>
      </c>
      <c r="D231" s="94" t="s">
        <v>2665</v>
      </c>
      <c r="E231" s="94" t="s">
        <v>1939</v>
      </c>
      <c r="F231" s="97" t="s">
        <v>1512</v>
      </c>
      <c r="G231" s="95">
        <v>4810031402</v>
      </c>
      <c r="H231" s="98" t="s">
        <v>5057</v>
      </c>
      <c r="I231" s="95">
        <v>49188015812</v>
      </c>
      <c r="J231" s="98" t="s">
        <v>5088</v>
      </c>
      <c r="K231" s="95" t="s">
        <v>6088</v>
      </c>
      <c r="L231" s="98" t="s">
        <v>6902</v>
      </c>
      <c r="M231" s="98" t="s">
        <v>6903</v>
      </c>
      <c r="N231" s="98" t="s">
        <v>6904</v>
      </c>
      <c r="O231" s="98" t="s">
        <v>6905</v>
      </c>
      <c r="P231" s="95">
        <v>973220505</v>
      </c>
      <c r="Q231" s="98" t="s">
        <v>6906</v>
      </c>
      <c r="R231" s="98" t="s">
        <v>5094</v>
      </c>
      <c r="S231" s="99"/>
      <c r="T231" s="100">
        <v>40189</v>
      </c>
      <c r="U231" s="100">
        <v>40554</v>
      </c>
      <c r="V231" s="98" t="s">
        <v>5095</v>
      </c>
      <c r="W231" s="98" t="s">
        <v>5068</v>
      </c>
      <c r="X231" s="98" t="s">
        <v>5096</v>
      </c>
      <c r="Y231" s="98" t="s">
        <v>5068</v>
      </c>
      <c r="Z231" s="99"/>
      <c r="AA231" s="99"/>
      <c r="AB231" s="95" t="s">
        <v>5161</v>
      </c>
      <c r="AC231" s="99"/>
      <c r="AD231" s="99"/>
      <c r="AE231" s="95" t="s">
        <v>5423</v>
      </c>
      <c r="AF231" s="99"/>
      <c r="AG231" s="95">
        <v>1</v>
      </c>
      <c r="AH231" s="94" t="s">
        <v>5074</v>
      </c>
      <c r="AI231" s="94" t="s">
        <v>5133</v>
      </c>
      <c r="AJ231" s="98" t="s">
        <v>6857</v>
      </c>
      <c r="AK231" s="98" t="s">
        <v>6907</v>
      </c>
      <c r="AL231" s="101" t="s">
        <v>5078</v>
      </c>
      <c r="AM231" s="98" t="s">
        <v>6489</v>
      </c>
      <c r="AN231" s="98" t="s">
        <v>5079</v>
      </c>
      <c r="AO231" s="98" t="s">
        <v>5080</v>
      </c>
      <c r="AP231" s="102">
        <v>76</v>
      </c>
      <c r="AQ231" s="102">
        <v>2014</v>
      </c>
      <c r="AR231" s="98" t="s">
        <v>5200</v>
      </c>
      <c r="AS231" s="99"/>
      <c r="AT231" s="98" t="s">
        <v>5083</v>
      </c>
      <c r="AU231" s="98" t="s">
        <v>5107</v>
      </c>
      <c r="AV231" s="95">
        <v>0</v>
      </c>
      <c r="AW231" s="94" t="s">
        <v>5074</v>
      </c>
      <c r="AX231" s="95">
        <v>0</v>
      </c>
      <c r="AY231" s="98" t="s">
        <v>5152</v>
      </c>
      <c r="AZ231" s="102">
        <v>5</v>
      </c>
      <c r="BA231" s="102" t="s">
        <v>5153</v>
      </c>
      <c r="BB231" s="93"/>
    </row>
    <row r="232" spans="1:54" ht="13.8">
      <c r="A232" s="94" t="s">
        <v>6908</v>
      </c>
      <c r="B232" s="95" t="s">
        <v>6909</v>
      </c>
      <c r="C232" s="100">
        <v>32566</v>
      </c>
      <c r="D232" s="94" t="s">
        <v>2665</v>
      </c>
      <c r="E232" s="94" t="s">
        <v>1939</v>
      </c>
      <c r="F232" s="97" t="s">
        <v>1512</v>
      </c>
      <c r="G232" s="95">
        <v>4811044767</v>
      </c>
      <c r="H232" s="98" t="s">
        <v>5057</v>
      </c>
      <c r="I232" s="95">
        <v>44189000303</v>
      </c>
      <c r="J232" s="98" t="s">
        <v>5088</v>
      </c>
      <c r="K232" s="104">
        <v>44237</v>
      </c>
      <c r="L232" s="98" t="s">
        <v>6910</v>
      </c>
      <c r="M232" s="98" t="s">
        <v>6911</v>
      </c>
      <c r="N232" s="98" t="s">
        <v>6912</v>
      </c>
      <c r="O232" s="98" t="s">
        <v>6913</v>
      </c>
      <c r="P232" s="95">
        <v>875525788</v>
      </c>
      <c r="Q232" s="98" t="s">
        <v>6914</v>
      </c>
      <c r="R232" s="98" t="s">
        <v>5094</v>
      </c>
      <c r="S232" s="99"/>
      <c r="T232" s="100">
        <v>40553</v>
      </c>
      <c r="U232" s="100">
        <v>40918</v>
      </c>
      <c r="V232" s="98" t="s">
        <v>5095</v>
      </c>
      <c r="W232" s="98" t="s">
        <v>5068</v>
      </c>
      <c r="X232" s="98" t="s">
        <v>5096</v>
      </c>
      <c r="Y232" s="98" t="s">
        <v>5068</v>
      </c>
      <c r="Z232" s="99"/>
      <c r="AA232" s="99"/>
      <c r="AB232" s="95" t="s">
        <v>5161</v>
      </c>
      <c r="AC232" s="99"/>
      <c r="AD232" s="99"/>
      <c r="AE232" s="95" t="s">
        <v>5161</v>
      </c>
      <c r="AF232" s="99"/>
      <c r="AG232" s="95">
        <v>1</v>
      </c>
      <c r="AH232" s="94" t="s">
        <v>5074</v>
      </c>
      <c r="AI232" s="94" t="s">
        <v>5122</v>
      </c>
      <c r="AJ232" s="98" t="s">
        <v>6157</v>
      </c>
      <c r="AK232" s="98" t="s">
        <v>5385</v>
      </c>
      <c r="AL232" s="101" t="s">
        <v>5149</v>
      </c>
      <c r="AM232" s="99"/>
      <c r="AN232" s="98" t="s">
        <v>5079</v>
      </c>
      <c r="AO232" s="98" t="s">
        <v>3209</v>
      </c>
      <c r="AP232" s="98" t="s">
        <v>6915</v>
      </c>
      <c r="AQ232" s="102">
        <v>2019</v>
      </c>
      <c r="AR232" s="98" t="s">
        <v>5200</v>
      </c>
      <c r="AS232" s="99"/>
      <c r="AT232" s="98" t="s">
        <v>5083</v>
      </c>
      <c r="AU232" s="99"/>
      <c r="AV232" s="95">
        <v>0</v>
      </c>
      <c r="AW232" s="94" t="s">
        <v>5074</v>
      </c>
      <c r="AX232" s="95">
        <v>0</v>
      </c>
      <c r="AY232" s="98" t="s">
        <v>5152</v>
      </c>
      <c r="AZ232" s="102">
        <v>4</v>
      </c>
      <c r="BA232" s="102" t="s">
        <v>5168</v>
      </c>
      <c r="BB232" s="93"/>
    </row>
    <row r="233" spans="1:54" ht="13.8">
      <c r="A233" s="94" t="s">
        <v>6916</v>
      </c>
      <c r="B233" s="95" t="s">
        <v>6917</v>
      </c>
      <c r="C233" s="100">
        <v>32365</v>
      </c>
      <c r="D233" s="94" t="s">
        <v>2665</v>
      </c>
      <c r="E233" s="94" t="s">
        <v>1939</v>
      </c>
      <c r="F233" s="97" t="s">
        <v>1512</v>
      </c>
      <c r="G233" s="95">
        <v>4808000477</v>
      </c>
      <c r="H233" s="98" t="s">
        <v>5057</v>
      </c>
      <c r="I233" s="95">
        <v>48181005732</v>
      </c>
      <c r="J233" s="98" t="s">
        <v>5088</v>
      </c>
      <c r="K233" s="95" t="s">
        <v>5089</v>
      </c>
      <c r="L233" s="98" t="s">
        <v>6918</v>
      </c>
      <c r="M233" s="98" t="s">
        <v>5156</v>
      </c>
      <c r="N233" s="98" t="s">
        <v>5818</v>
      </c>
      <c r="O233" s="98" t="s">
        <v>6919</v>
      </c>
      <c r="P233" s="95">
        <v>983800607</v>
      </c>
      <c r="Q233" s="98" t="s">
        <v>6906</v>
      </c>
      <c r="R233" s="98" t="s">
        <v>5094</v>
      </c>
      <c r="S233" s="98" t="s">
        <v>5116</v>
      </c>
      <c r="T233" s="100">
        <v>37998</v>
      </c>
      <c r="U233" s="100">
        <v>38723</v>
      </c>
      <c r="V233" s="98" t="s">
        <v>5095</v>
      </c>
      <c r="W233" s="98" t="s">
        <v>5068</v>
      </c>
      <c r="X233" s="98" t="s">
        <v>5096</v>
      </c>
      <c r="Y233" s="98" t="s">
        <v>5068</v>
      </c>
      <c r="Z233" s="99"/>
      <c r="AA233" s="99"/>
      <c r="AB233" s="99"/>
      <c r="AC233" s="99"/>
      <c r="AD233" s="99"/>
      <c r="AE233" s="95" t="s">
        <v>6890</v>
      </c>
      <c r="AF233" s="99"/>
      <c r="AG233" s="95">
        <v>1</v>
      </c>
      <c r="AH233" s="94" t="s">
        <v>5074</v>
      </c>
      <c r="AI233" s="94" t="s">
        <v>5122</v>
      </c>
      <c r="AJ233" s="98" t="s">
        <v>5134</v>
      </c>
      <c r="AK233" s="98" t="s">
        <v>6891</v>
      </c>
      <c r="AL233" s="101" t="s">
        <v>5149</v>
      </c>
      <c r="AM233" s="99"/>
      <c r="AN233" s="98" t="s">
        <v>5079</v>
      </c>
      <c r="AO233" s="98" t="s">
        <v>5080</v>
      </c>
      <c r="AP233" s="98" t="s">
        <v>6920</v>
      </c>
      <c r="AQ233" s="102">
        <v>2024</v>
      </c>
      <c r="AR233" s="98" t="s">
        <v>5200</v>
      </c>
      <c r="AS233" s="99"/>
      <c r="AT233" s="98" t="s">
        <v>5083</v>
      </c>
      <c r="AU233" s="98" t="s">
        <v>5125</v>
      </c>
      <c r="AV233" s="95">
        <v>0</v>
      </c>
      <c r="AW233" s="94" t="s">
        <v>5074</v>
      </c>
      <c r="AX233" s="95">
        <v>0</v>
      </c>
      <c r="AY233" s="98" t="s">
        <v>5085</v>
      </c>
      <c r="AZ233" s="102">
        <v>2</v>
      </c>
      <c r="BA233" s="102" t="s">
        <v>5086</v>
      </c>
      <c r="BB233" s="93"/>
    </row>
    <row r="234" spans="1:54" ht="13.8">
      <c r="A234" s="94" t="s">
        <v>4832</v>
      </c>
      <c r="B234" s="95" t="s">
        <v>4833</v>
      </c>
      <c r="C234" s="100">
        <v>28668</v>
      </c>
      <c r="D234" s="94" t="s">
        <v>2656</v>
      </c>
      <c r="E234" s="94" t="s">
        <v>1939</v>
      </c>
      <c r="F234" s="97" t="s">
        <v>1512</v>
      </c>
      <c r="G234" s="95">
        <v>403011288</v>
      </c>
      <c r="H234" s="98" t="s">
        <v>5057</v>
      </c>
      <c r="I234" s="95">
        <v>49078039078</v>
      </c>
      <c r="J234" s="98" t="s">
        <v>5088</v>
      </c>
      <c r="K234" s="95" t="s">
        <v>6921</v>
      </c>
      <c r="L234" s="98" t="s">
        <v>5476</v>
      </c>
      <c r="M234" s="98" t="s">
        <v>5156</v>
      </c>
      <c r="N234" s="98" t="s">
        <v>6922</v>
      </c>
      <c r="O234" s="98" t="s">
        <v>6923</v>
      </c>
      <c r="P234" s="95">
        <v>983306567</v>
      </c>
      <c r="Q234" s="98" t="s">
        <v>6924</v>
      </c>
      <c r="R234" s="98" t="s">
        <v>5094</v>
      </c>
      <c r="S234" s="99"/>
      <c r="T234" s="100">
        <v>45666</v>
      </c>
      <c r="U234" s="100">
        <v>45666</v>
      </c>
      <c r="V234" s="99"/>
      <c r="W234" s="98" t="s">
        <v>5821</v>
      </c>
      <c r="X234" s="98" t="s">
        <v>5096</v>
      </c>
      <c r="Y234" s="99"/>
      <c r="Z234" s="99"/>
      <c r="AA234" s="99"/>
      <c r="AB234" s="99"/>
      <c r="AC234" s="99"/>
      <c r="AD234" s="99"/>
      <c r="AE234" s="99"/>
      <c r="AF234" s="99"/>
      <c r="AG234" s="95">
        <v>0</v>
      </c>
      <c r="AH234" s="94" t="s">
        <v>5074</v>
      </c>
      <c r="AI234" s="94" t="s">
        <v>5163</v>
      </c>
      <c r="AJ234" s="98" t="s">
        <v>5365</v>
      </c>
      <c r="AK234" s="98" t="s">
        <v>6925</v>
      </c>
      <c r="AL234" s="101" t="s">
        <v>5078</v>
      </c>
      <c r="AM234" s="99"/>
      <c r="AN234" s="98" t="s">
        <v>5079</v>
      </c>
      <c r="AO234" s="98" t="s">
        <v>6926</v>
      </c>
      <c r="AP234" s="98" t="s">
        <v>6927</v>
      </c>
      <c r="AQ234" s="102">
        <v>2022</v>
      </c>
      <c r="AR234" s="99"/>
      <c r="AS234" s="99"/>
      <c r="AT234" s="99"/>
      <c r="AU234" s="99"/>
      <c r="AV234" s="99"/>
      <c r="AW234" s="94" t="s">
        <v>5074</v>
      </c>
      <c r="AX234" s="95">
        <v>0</v>
      </c>
      <c r="AY234" s="98" t="s">
        <v>5085</v>
      </c>
      <c r="AZ234" s="102">
        <v>4</v>
      </c>
      <c r="BA234" s="102" t="s">
        <v>6490</v>
      </c>
      <c r="BB234" s="93"/>
    </row>
    <row r="235" spans="1:54" ht="13.8">
      <c r="A235" s="94" t="s">
        <v>4882</v>
      </c>
      <c r="B235" s="95" t="s">
        <v>4883</v>
      </c>
      <c r="C235" s="100">
        <v>33734</v>
      </c>
      <c r="D235" s="94" t="s">
        <v>2665</v>
      </c>
      <c r="E235" s="94" t="s">
        <v>1939</v>
      </c>
      <c r="F235" s="97" t="s">
        <v>1512</v>
      </c>
      <c r="G235" s="95">
        <v>4820748565</v>
      </c>
      <c r="H235" s="98" t="s">
        <v>5057</v>
      </c>
      <c r="I235" s="95">
        <v>48192006176</v>
      </c>
      <c r="J235" s="98" t="s">
        <v>5088</v>
      </c>
      <c r="K235" s="104">
        <v>44444</v>
      </c>
      <c r="L235" s="98" t="s">
        <v>6928</v>
      </c>
      <c r="M235" s="98" t="s">
        <v>6929</v>
      </c>
      <c r="N235" s="98" t="s">
        <v>6930</v>
      </c>
      <c r="O235" s="98" t="s">
        <v>6931</v>
      </c>
      <c r="P235" s="95">
        <v>933379873</v>
      </c>
      <c r="Q235" s="98" t="s">
        <v>6932</v>
      </c>
      <c r="R235" s="98" t="s">
        <v>5094</v>
      </c>
      <c r="S235" s="99"/>
      <c r="T235" s="100">
        <v>43477</v>
      </c>
      <c r="U235" s="100">
        <v>44202</v>
      </c>
      <c r="V235" s="99"/>
      <c r="W235" s="98" t="s">
        <v>5068</v>
      </c>
      <c r="X235" s="98" t="s">
        <v>5096</v>
      </c>
      <c r="Y235" s="99"/>
      <c r="Z235" s="99"/>
      <c r="AA235" s="99"/>
      <c r="AB235" s="99"/>
      <c r="AC235" s="99"/>
      <c r="AD235" s="99"/>
      <c r="AE235" s="95" t="s">
        <v>6800</v>
      </c>
      <c r="AF235" s="99"/>
      <c r="AG235" s="95">
        <v>0</v>
      </c>
      <c r="AH235" s="94" t="s">
        <v>5084</v>
      </c>
      <c r="AI235" s="94" t="s">
        <v>5122</v>
      </c>
      <c r="AJ235" s="98" t="s">
        <v>6857</v>
      </c>
      <c r="AK235" s="98" t="s">
        <v>6933</v>
      </c>
      <c r="AL235" s="101" t="s">
        <v>5149</v>
      </c>
      <c r="AM235" s="99"/>
      <c r="AN235" s="98" t="s">
        <v>5079</v>
      </c>
      <c r="AO235" s="98" t="s">
        <v>5080</v>
      </c>
      <c r="AP235" s="98" t="s">
        <v>6739</v>
      </c>
      <c r="AQ235" s="102">
        <v>2018</v>
      </c>
      <c r="AR235" s="99"/>
      <c r="AS235" s="98" t="s">
        <v>5561</v>
      </c>
      <c r="AT235" s="99"/>
      <c r="AU235" s="98" t="s">
        <v>5151</v>
      </c>
      <c r="AV235" s="99"/>
      <c r="AW235" s="94" t="s">
        <v>5084</v>
      </c>
      <c r="AX235" s="95">
        <v>0</v>
      </c>
      <c r="AY235" s="98" t="s">
        <v>5152</v>
      </c>
      <c r="AZ235" s="102">
        <v>3</v>
      </c>
      <c r="BA235" s="102">
        <v>3</v>
      </c>
      <c r="BB235" s="93"/>
    </row>
    <row r="236" spans="1:54" ht="13.8">
      <c r="A236" s="94" t="s">
        <v>6934</v>
      </c>
      <c r="B236" s="95" t="s">
        <v>6935</v>
      </c>
      <c r="C236" s="100">
        <v>34132</v>
      </c>
      <c r="D236" s="94" t="s">
        <v>2665</v>
      </c>
      <c r="E236" s="94" t="s">
        <v>1939</v>
      </c>
      <c r="F236" s="97" t="s">
        <v>1512</v>
      </c>
      <c r="G236" s="95">
        <v>4421026540</v>
      </c>
      <c r="H236" s="98" t="s">
        <v>5181</v>
      </c>
      <c r="I236" s="95">
        <v>44193007750</v>
      </c>
      <c r="J236" s="98" t="s">
        <v>5088</v>
      </c>
      <c r="K236" s="95" t="s">
        <v>6936</v>
      </c>
      <c r="L236" s="98" t="s">
        <v>6937</v>
      </c>
      <c r="M236" s="98" t="s">
        <v>6896</v>
      </c>
      <c r="N236" s="98" t="s">
        <v>6896</v>
      </c>
      <c r="O236" s="98" t="s">
        <v>6938</v>
      </c>
      <c r="P236" s="95">
        <v>857018827</v>
      </c>
      <c r="Q236" s="98" t="s">
        <v>6939</v>
      </c>
      <c r="R236" s="98" t="s">
        <v>5094</v>
      </c>
      <c r="S236" s="99"/>
      <c r="T236" s="100">
        <v>43831</v>
      </c>
      <c r="U236" s="100">
        <v>44197</v>
      </c>
      <c r="V236" s="99"/>
      <c r="W236" s="98" t="s">
        <v>5068</v>
      </c>
      <c r="X236" s="98" t="s">
        <v>5187</v>
      </c>
      <c r="Y236" s="99"/>
      <c r="Z236" s="99"/>
      <c r="AA236" s="99"/>
      <c r="AB236" s="99"/>
      <c r="AC236" s="99"/>
      <c r="AD236" s="99"/>
      <c r="AE236" s="99"/>
      <c r="AF236" s="99"/>
      <c r="AG236" s="95">
        <v>0</v>
      </c>
      <c r="AH236" s="94" t="s">
        <v>5074</v>
      </c>
      <c r="AI236" s="94" t="s">
        <v>5163</v>
      </c>
      <c r="AJ236" s="98" t="s">
        <v>5164</v>
      </c>
      <c r="AK236" s="98" t="s">
        <v>6940</v>
      </c>
      <c r="AL236" s="101" t="s">
        <v>5149</v>
      </c>
      <c r="AM236" s="99"/>
      <c r="AN236" s="98" t="s">
        <v>5079</v>
      </c>
      <c r="AO236" s="98" t="s">
        <v>4044</v>
      </c>
      <c r="AP236" s="98" t="s">
        <v>6941</v>
      </c>
      <c r="AQ236" s="102">
        <v>2024</v>
      </c>
      <c r="AR236" s="99"/>
      <c r="AS236" s="99"/>
      <c r="AT236" s="99"/>
      <c r="AU236" s="98" t="s">
        <v>5151</v>
      </c>
      <c r="AV236" s="99"/>
      <c r="AW236" s="94" t="s">
        <v>5074</v>
      </c>
      <c r="AX236" s="95">
        <v>0</v>
      </c>
      <c r="AY236" s="98" t="s">
        <v>5152</v>
      </c>
      <c r="AZ236" s="102">
        <v>3</v>
      </c>
      <c r="BA236" s="102">
        <v>3</v>
      </c>
      <c r="BB236" s="93"/>
    </row>
    <row r="237" spans="1:54" ht="13.8">
      <c r="A237" s="94" t="s">
        <v>6256</v>
      </c>
      <c r="B237" s="95" t="s">
        <v>6942</v>
      </c>
      <c r="C237" s="100">
        <v>30849</v>
      </c>
      <c r="D237" s="94" t="s">
        <v>2665</v>
      </c>
      <c r="E237" s="94" t="s">
        <v>1939</v>
      </c>
      <c r="F237" s="97" t="s">
        <v>1512</v>
      </c>
      <c r="G237" s="95">
        <v>6221215613</v>
      </c>
      <c r="H237" s="98" t="s">
        <v>5181</v>
      </c>
      <c r="I237" s="95">
        <v>38194013098</v>
      </c>
      <c r="J237" s="98" t="s">
        <v>5088</v>
      </c>
      <c r="K237" s="95" t="s">
        <v>5261</v>
      </c>
      <c r="L237" s="98" t="s">
        <v>6943</v>
      </c>
      <c r="M237" s="98" t="s">
        <v>6944</v>
      </c>
      <c r="N237" s="98" t="s">
        <v>6945</v>
      </c>
      <c r="O237" s="98" t="s">
        <v>6946</v>
      </c>
      <c r="P237" s="95">
        <v>392741236</v>
      </c>
      <c r="Q237" s="98" t="s">
        <v>6947</v>
      </c>
      <c r="R237" s="98" t="s">
        <v>5094</v>
      </c>
      <c r="S237" s="99"/>
      <c r="T237" s="100">
        <v>39086</v>
      </c>
      <c r="U237" s="100">
        <v>39451</v>
      </c>
      <c r="V237" s="99"/>
      <c r="W237" s="98" t="s">
        <v>5068</v>
      </c>
      <c r="X237" s="98" t="s">
        <v>5096</v>
      </c>
      <c r="Y237" s="99"/>
      <c r="Z237" s="99"/>
      <c r="AA237" s="99"/>
      <c r="AB237" s="99"/>
      <c r="AC237" s="99"/>
      <c r="AD237" s="99"/>
      <c r="AE237" s="99"/>
      <c r="AF237" s="99"/>
      <c r="AG237" s="95">
        <v>0</v>
      </c>
      <c r="AH237" s="94" t="s">
        <v>5074</v>
      </c>
      <c r="AI237" s="94" t="s">
        <v>5133</v>
      </c>
      <c r="AJ237" s="98" t="s">
        <v>5134</v>
      </c>
      <c r="AK237" s="98" t="s">
        <v>6948</v>
      </c>
      <c r="AL237" s="101" t="s">
        <v>5078</v>
      </c>
      <c r="AM237" s="99"/>
      <c r="AN237" s="98" t="s">
        <v>5079</v>
      </c>
      <c r="AO237" s="98" t="s">
        <v>5080</v>
      </c>
      <c r="AP237" s="98" t="s">
        <v>5425</v>
      </c>
      <c r="AQ237" s="102">
        <v>2018</v>
      </c>
      <c r="AR237" s="99"/>
      <c r="AS237" s="99"/>
      <c r="AT237" s="99"/>
      <c r="AU237" s="98" t="s">
        <v>5151</v>
      </c>
      <c r="AV237" s="99"/>
      <c r="AW237" s="94" t="s">
        <v>5074</v>
      </c>
      <c r="AX237" s="95">
        <v>0</v>
      </c>
      <c r="AY237" s="98" t="s">
        <v>5152</v>
      </c>
      <c r="AZ237" s="102">
        <v>3</v>
      </c>
      <c r="BA237" s="102">
        <v>3</v>
      </c>
      <c r="BB237" s="93"/>
    </row>
    <row r="238" spans="1:54" ht="13.8">
      <c r="A238" s="94" t="s">
        <v>6949</v>
      </c>
      <c r="B238" s="95" t="s">
        <v>6950</v>
      </c>
      <c r="C238" s="100">
        <v>34355</v>
      </c>
      <c r="D238" s="94" t="s">
        <v>2665</v>
      </c>
      <c r="E238" s="94" t="s">
        <v>1939</v>
      </c>
      <c r="F238" s="97" t="s">
        <v>1512</v>
      </c>
      <c r="G238" s="95">
        <v>4808004737</v>
      </c>
      <c r="H238" s="98" t="s">
        <v>5057</v>
      </c>
      <c r="I238" s="95">
        <v>49184016575</v>
      </c>
      <c r="J238" s="98" t="s">
        <v>5088</v>
      </c>
      <c r="K238" s="95" t="s">
        <v>5170</v>
      </c>
      <c r="L238" s="98" t="s">
        <v>6951</v>
      </c>
      <c r="M238" s="98" t="s">
        <v>6952</v>
      </c>
      <c r="N238" s="98" t="s">
        <v>6953</v>
      </c>
      <c r="O238" s="98" t="s">
        <v>6954</v>
      </c>
      <c r="P238" s="95">
        <v>934744677</v>
      </c>
      <c r="Q238" s="98" t="s">
        <v>6955</v>
      </c>
      <c r="R238" s="98" t="s">
        <v>5094</v>
      </c>
      <c r="S238" s="99"/>
      <c r="T238" s="100">
        <v>43477</v>
      </c>
      <c r="U238" s="100">
        <v>43842</v>
      </c>
      <c r="V238" s="98" t="s">
        <v>5095</v>
      </c>
      <c r="W238" s="98" t="s">
        <v>5068</v>
      </c>
      <c r="X238" s="98" t="s">
        <v>5096</v>
      </c>
      <c r="Y238" s="98" t="s">
        <v>5068</v>
      </c>
      <c r="Z238" s="99"/>
      <c r="AA238" s="99"/>
      <c r="AB238" s="95" t="s">
        <v>5161</v>
      </c>
      <c r="AC238" s="99"/>
      <c r="AD238" s="99"/>
      <c r="AE238" s="95" t="s">
        <v>5161</v>
      </c>
      <c r="AF238" s="99"/>
      <c r="AG238" s="95">
        <v>1</v>
      </c>
      <c r="AH238" s="94" t="s">
        <v>5084</v>
      </c>
      <c r="AI238" s="94" t="s">
        <v>5133</v>
      </c>
      <c r="AJ238" s="98" t="s">
        <v>5134</v>
      </c>
      <c r="AK238" s="98" t="s">
        <v>6956</v>
      </c>
      <c r="AL238" s="101" t="s">
        <v>5149</v>
      </c>
      <c r="AM238" s="98" t="s">
        <v>2674</v>
      </c>
      <c r="AN238" s="98" t="s">
        <v>5079</v>
      </c>
      <c r="AO238" s="98" t="s">
        <v>2674</v>
      </c>
      <c r="AP238" s="102">
        <v>934</v>
      </c>
      <c r="AQ238" s="102">
        <v>2016</v>
      </c>
      <c r="AR238" s="99"/>
      <c r="AS238" s="99"/>
      <c r="AT238" s="98" t="s">
        <v>5083</v>
      </c>
      <c r="AU238" s="98" t="s">
        <v>5228</v>
      </c>
      <c r="AV238" s="95">
        <v>0</v>
      </c>
      <c r="AW238" s="94" t="s">
        <v>5084</v>
      </c>
      <c r="AX238" s="95">
        <v>0</v>
      </c>
      <c r="AY238" s="98" t="s">
        <v>5085</v>
      </c>
      <c r="AZ238" s="102">
        <v>1</v>
      </c>
      <c r="BA238" s="110">
        <v>46116</v>
      </c>
      <c r="BB238" s="93"/>
    </row>
    <row r="239" spans="1:54" ht="13.8">
      <c r="A239" s="94" t="s">
        <v>6957</v>
      </c>
      <c r="B239" s="95" t="s">
        <v>6958</v>
      </c>
      <c r="C239" s="100">
        <v>27822</v>
      </c>
      <c r="D239" s="94" t="s">
        <v>2665</v>
      </c>
      <c r="E239" s="94" t="s">
        <v>1939</v>
      </c>
      <c r="F239" s="97" t="s">
        <v>1512</v>
      </c>
      <c r="G239" s="95">
        <v>402009925</v>
      </c>
      <c r="H239" s="98" t="s">
        <v>5057</v>
      </c>
      <c r="I239" s="95">
        <v>38176037931</v>
      </c>
      <c r="J239" s="98" t="s">
        <v>5088</v>
      </c>
      <c r="K239" s="95" t="s">
        <v>5089</v>
      </c>
      <c r="L239" s="98" t="s">
        <v>6959</v>
      </c>
      <c r="M239" s="98" t="s">
        <v>6960</v>
      </c>
      <c r="N239" s="98" t="s">
        <v>6961</v>
      </c>
      <c r="O239" s="98" t="s">
        <v>6961</v>
      </c>
      <c r="P239" s="95">
        <v>935293939</v>
      </c>
      <c r="Q239" s="98" t="s">
        <v>6962</v>
      </c>
      <c r="R239" s="98" t="s">
        <v>5094</v>
      </c>
      <c r="S239" s="99"/>
      <c r="T239" s="100">
        <v>35806</v>
      </c>
      <c r="U239" s="108" t="s">
        <v>5161</v>
      </c>
      <c r="V239" s="98" t="s">
        <v>5283</v>
      </c>
      <c r="W239" s="98" t="s">
        <v>5142</v>
      </c>
      <c r="X239" s="98" t="s">
        <v>5096</v>
      </c>
      <c r="Y239" s="98" t="s">
        <v>5208</v>
      </c>
      <c r="Z239" s="99"/>
      <c r="AA239" s="99"/>
      <c r="AB239" s="95" t="s">
        <v>5161</v>
      </c>
      <c r="AC239" s="99"/>
      <c r="AD239" s="99"/>
      <c r="AE239" s="95" t="s">
        <v>5161</v>
      </c>
      <c r="AF239" s="99"/>
      <c r="AG239" s="95">
        <v>1</v>
      </c>
      <c r="AH239" s="94" t="s">
        <v>5162</v>
      </c>
      <c r="AI239" s="94" t="s">
        <v>5122</v>
      </c>
      <c r="AJ239" s="98" t="s">
        <v>5266</v>
      </c>
      <c r="AK239" s="98" t="s">
        <v>5292</v>
      </c>
      <c r="AL239" s="101" t="s">
        <v>5142</v>
      </c>
      <c r="AM239" s="98" t="s">
        <v>5268</v>
      </c>
      <c r="AN239" s="98" t="s">
        <v>5259</v>
      </c>
      <c r="AO239" s="98" t="s">
        <v>5080</v>
      </c>
      <c r="AP239" s="102">
        <v>83</v>
      </c>
      <c r="AQ239" s="102">
        <v>2003</v>
      </c>
      <c r="AR239" s="99"/>
      <c r="AS239" s="99"/>
      <c r="AT239" s="99"/>
      <c r="AU239" s="98" t="s">
        <v>5135</v>
      </c>
      <c r="AV239" s="95">
        <v>0</v>
      </c>
      <c r="AW239" s="94" t="s">
        <v>5162</v>
      </c>
      <c r="AX239" s="95">
        <v>0</v>
      </c>
      <c r="AY239" s="98" t="s">
        <v>5167</v>
      </c>
      <c r="AZ239" s="102">
        <v>9</v>
      </c>
      <c r="BA239" s="102" t="s">
        <v>5221</v>
      </c>
      <c r="BB239" s="93"/>
    </row>
    <row r="240" spans="1:54" ht="13.8">
      <c r="A240" s="94" t="s">
        <v>6963</v>
      </c>
      <c r="B240" s="95" t="s">
        <v>6964</v>
      </c>
      <c r="C240" s="100">
        <v>30386</v>
      </c>
      <c r="D240" s="94" t="s">
        <v>2665</v>
      </c>
      <c r="E240" s="94" t="s">
        <v>1939</v>
      </c>
      <c r="F240" s="97" t="s">
        <v>1512</v>
      </c>
      <c r="G240" s="95">
        <v>4812020837</v>
      </c>
      <c r="H240" s="98" t="s">
        <v>5057</v>
      </c>
      <c r="I240" s="95">
        <v>27183003491</v>
      </c>
      <c r="J240" s="98" t="s">
        <v>5088</v>
      </c>
      <c r="K240" s="104">
        <v>44381</v>
      </c>
      <c r="L240" s="98" t="s">
        <v>6965</v>
      </c>
      <c r="M240" s="98" t="s">
        <v>6966</v>
      </c>
      <c r="N240" s="98" t="s">
        <v>6967</v>
      </c>
      <c r="O240" s="98" t="s">
        <v>6968</v>
      </c>
      <c r="P240" s="95">
        <v>986857845</v>
      </c>
      <c r="Q240" s="98" t="s">
        <v>6969</v>
      </c>
      <c r="R240" s="98" t="s">
        <v>5094</v>
      </c>
      <c r="S240" s="99"/>
      <c r="T240" s="100">
        <v>44932</v>
      </c>
      <c r="U240" s="96">
        <v>45240</v>
      </c>
      <c r="V240" s="99"/>
      <c r="W240" s="98" t="s">
        <v>5068</v>
      </c>
      <c r="X240" s="98" t="s">
        <v>5187</v>
      </c>
      <c r="Y240" s="99"/>
      <c r="Z240" s="99"/>
      <c r="AA240" s="99"/>
      <c r="AB240" s="99"/>
      <c r="AC240" s="99"/>
      <c r="AD240" s="99"/>
      <c r="AE240" s="95" t="s">
        <v>6970</v>
      </c>
      <c r="AF240" s="99"/>
      <c r="AG240" s="95">
        <v>0</v>
      </c>
      <c r="AH240" s="94" t="s">
        <v>5084</v>
      </c>
      <c r="AI240" s="94" t="s">
        <v>5122</v>
      </c>
      <c r="AJ240" s="98" t="s">
        <v>6157</v>
      </c>
      <c r="AK240" s="98" t="s">
        <v>3221</v>
      </c>
      <c r="AL240" s="101" t="s">
        <v>5149</v>
      </c>
      <c r="AM240" s="99"/>
      <c r="AN240" s="98" t="s">
        <v>5079</v>
      </c>
      <c r="AO240" s="98" t="s">
        <v>5080</v>
      </c>
      <c r="AP240" s="98" t="s">
        <v>6739</v>
      </c>
      <c r="AQ240" s="102">
        <v>2012</v>
      </c>
      <c r="AR240" s="98" t="s">
        <v>5200</v>
      </c>
      <c r="AS240" s="99"/>
      <c r="AT240" s="99"/>
      <c r="AU240" s="98" t="s">
        <v>5220</v>
      </c>
      <c r="AV240" s="99"/>
      <c r="AW240" s="94" t="s">
        <v>5084</v>
      </c>
      <c r="AX240" s="95">
        <v>0</v>
      </c>
      <c r="AY240" s="98" t="s">
        <v>5152</v>
      </c>
      <c r="AZ240" s="102">
        <v>5</v>
      </c>
      <c r="BA240" s="102" t="s">
        <v>5153</v>
      </c>
      <c r="BB240" s="93"/>
    </row>
    <row r="241" spans="1:54" ht="13.8">
      <c r="A241" s="94" t="s">
        <v>6971</v>
      </c>
      <c r="B241" s="95" t="s">
        <v>6972</v>
      </c>
      <c r="C241" s="96">
        <v>31374</v>
      </c>
      <c r="D241" s="94" t="s">
        <v>2665</v>
      </c>
      <c r="E241" s="94" t="s">
        <v>1939</v>
      </c>
      <c r="F241" s="97" t="s">
        <v>1512</v>
      </c>
      <c r="G241" s="95">
        <v>4808038140</v>
      </c>
      <c r="H241" s="98" t="s">
        <v>5057</v>
      </c>
      <c r="I241" s="95">
        <v>48185005744</v>
      </c>
      <c r="J241" s="98" t="s">
        <v>5088</v>
      </c>
      <c r="K241" s="95" t="s">
        <v>5089</v>
      </c>
      <c r="L241" s="98" t="s">
        <v>6973</v>
      </c>
      <c r="M241" s="98" t="s">
        <v>5156</v>
      </c>
      <c r="N241" s="98" t="s">
        <v>6974</v>
      </c>
      <c r="O241" s="98" t="s">
        <v>6975</v>
      </c>
      <c r="P241" s="95">
        <v>914354575</v>
      </c>
      <c r="Q241" s="98" t="s">
        <v>6976</v>
      </c>
      <c r="R241" s="98" t="s">
        <v>5094</v>
      </c>
      <c r="S241" s="99"/>
      <c r="T241" s="100">
        <v>39814</v>
      </c>
      <c r="U241" s="100">
        <v>39817</v>
      </c>
      <c r="V241" s="98" t="s">
        <v>5095</v>
      </c>
      <c r="W241" s="98" t="s">
        <v>5068</v>
      </c>
      <c r="X241" s="98" t="s">
        <v>5096</v>
      </c>
      <c r="Y241" s="98" t="s">
        <v>5068</v>
      </c>
      <c r="Z241" s="99"/>
      <c r="AA241" s="99"/>
      <c r="AB241" s="95" t="s">
        <v>5161</v>
      </c>
      <c r="AC241" s="99"/>
      <c r="AD241" s="99"/>
      <c r="AE241" s="95" t="s">
        <v>5161</v>
      </c>
      <c r="AF241" s="99"/>
      <c r="AG241" s="95">
        <v>1</v>
      </c>
      <c r="AH241" s="94" t="s">
        <v>5074</v>
      </c>
      <c r="AI241" s="94" t="s">
        <v>5133</v>
      </c>
      <c r="AJ241" s="98" t="s">
        <v>5134</v>
      </c>
      <c r="AK241" s="98" t="s">
        <v>5385</v>
      </c>
      <c r="AL241" s="101" t="s">
        <v>5078</v>
      </c>
      <c r="AM241" s="99"/>
      <c r="AN241" s="98" t="s">
        <v>5079</v>
      </c>
      <c r="AO241" s="98" t="s">
        <v>5080</v>
      </c>
      <c r="AP241" s="98" t="s">
        <v>5425</v>
      </c>
      <c r="AQ241" s="102">
        <v>2023</v>
      </c>
      <c r="AR241" s="99"/>
      <c r="AS241" s="99"/>
      <c r="AT241" s="98" t="s">
        <v>5083</v>
      </c>
      <c r="AU241" s="98" t="s">
        <v>5220</v>
      </c>
      <c r="AV241" s="95">
        <v>0</v>
      </c>
      <c r="AW241" s="94" t="s">
        <v>5074</v>
      </c>
      <c r="AX241" s="95">
        <v>0</v>
      </c>
      <c r="AY241" s="98" t="s">
        <v>5085</v>
      </c>
      <c r="AZ241" s="102">
        <v>2</v>
      </c>
      <c r="BA241" s="102" t="s">
        <v>5086</v>
      </c>
      <c r="BB241" s="93"/>
    </row>
    <row r="242" spans="1:54" ht="13.8">
      <c r="A242" s="94" t="s">
        <v>6977</v>
      </c>
      <c r="B242" s="95" t="s">
        <v>4766</v>
      </c>
      <c r="C242" s="100">
        <v>31309</v>
      </c>
      <c r="D242" s="94" t="s">
        <v>2665</v>
      </c>
      <c r="E242" s="94" t="s">
        <v>1939</v>
      </c>
      <c r="F242" s="97" t="s">
        <v>1512</v>
      </c>
      <c r="G242" s="95">
        <v>4808000515</v>
      </c>
      <c r="H242" s="98" t="s">
        <v>5057</v>
      </c>
      <c r="I242" s="95">
        <v>49083019292</v>
      </c>
      <c r="J242" s="98" t="s">
        <v>5088</v>
      </c>
      <c r="K242" s="95" t="s">
        <v>5277</v>
      </c>
      <c r="L242" s="98" t="s">
        <v>6978</v>
      </c>
      <c r="M242" s="98" t="s">
        <v>6979</v>
      </c>
      <c r="N242" s="98" t="s">
        <v>6980</v>
      </c>
      <c r="O242" s="98" t="s">
        <v>6981</v>
      </c>
      <c r="P242" s="95">
        <v>905046123</v>
      </c>
      <c r="Q242" s="98" t="s">
        <v>6982</v>
      </c>
      <c r="R242" s="98" t="s">
        <v>5094</v>
      </c>
      <c r="S242" s="98" t="s">
        <v>5116</v>
      </c>
      <c r="T242" s="100">
        <v>40186</v>
      </c>
      <c r="U242" s="100">
        <v>40551</v>
      </c>
      <c r="V242" s="98" t="s">
        <v>6983</v>
      </c>
      <c r="W242" s="99"/>
      <c r="X242" s="98" t="s">
        <v>5096</v>
      </c>
      <c r="Y242" s="98" t="s">
        <v>5066</v>
      </c>
      <c r="Z242" s="99"/>
      <c r="AA242" s="99"/>
      <c r="AB242" s="99"/>
      <c r="AC242" s="99"/>
      <c r="AD242" s="98" t="s">
        <v>6984</v>
      </c>
      <c r="AE242" s="95" t="s">
        <v>6985</v>
      </c>
      <c r="AF242" s="99"/>
      <c r="AG242" s="95">
        <v>1</v>
      </c>
      <c r="AH242" s="94" t="s">
        <v>5074</v>
      </c>
      <c r="AI242" s="94" t="s">
        <v>5122</v>
      </c>
      <c r="AJ242" s="98" t="s">
        <v>5134</v>
      </c>
      <c r="AK242" s="98" t="s">
        <v>2668</v>
      </c>
      <c r="AL242" s="101" t="s">
        <v>5104</v>
      </c>
      <c r="AM242" s="98" t="s">
        <v>5716</v>
      </c>
      <c r="AN242" s="98" t="s">
        <v>5079</v>
      </c>
      <c r="AO242" s="98" t="s">
        <v>5080</v>
      </c>
      <c r="AP242" s="102">
        <v>87</v>
      </c>
      <c r="AQ242" s="102">
        <v>2018</v>
      </c>
      <c r="AR242" s="98" t="s">
        <v>5082</v>
      </c>
      <c r="AS242" s="98" t="s">
        <v>6986</v>
      </c>
      <c r="AT242" s="98" t="s">
        <v>5083</v>
      </c>
      <c r="AU242" s="98" t="s">
        <v>5082</v>
      </c>
      <c r="AV242" s="95">
        <v>2025</v>
      </c>
      <c r="AW242" s="94" t="s">
        <v>5108</v>
      </c>
      <c r="AX242" s="95">
        <v>0</v>
      </c>
      <c r="AY242" s="98" t="s">
        <v>5085</v>
      </c>
      <c r="AZ242" s="102">
        <v>3</v>
      </c>
      <c r="BA242" s="105">
        <v>46239</v>
      </c>
      <c r="BB242" s="93"/>
    </row>
    <row r="243" spans="1:54" ht="13.8">
      <c r="A243" s="94" t="s">
        <v>4765</v>
      </c>
      <c r="B243" s="95" t="s">
        <v>6987</v>
      </c>
      <c r="C243" s="100">
        <v>30395</v>
      </c>
      <c r="D243" s="94" t="s">
        <v>2656</v>
      </c>
      <c r="E243" s="94" t="s">
        <v>1939</v>
      </c>
      <c r="F243" s="97" t="s">
        <v>1512</v>
      </c>
      <c r="G243" s="95">
        <v>4809007916</v>
      </c>
      <c r="H243" s="98" t="s">
        <v>5057</v>
      </c>
      <c r="I243" s="95">
        <v>48185001430</v>
      </c>
      <c r="J243" s="98" t="s">
        <v>5088</v>
      </c>
      <c r="K243" s="95" t="s">
        <v>5277</v>
      </c>
      <c r="L243" s="98" t="s">
        <v>6988</v>
      </c>
      <c r="M243" s="98" t="s">
        <v>5156</v>
      </c>
      <c r="N243" s="98" t="s">
        <v>6989</v>
      </c>
      <c r="O243" s="98" t="s">
        <v>6990</v>
      </c>
      <c r="P243" s="95">
        <v>942017977</v>
      </c>
      <c r="Q243" s="98" t="s">
        <v>6991</v>
      </c>
      <c r="R243" s="98" t="s">
        <v>5094</v>
      </c>
      <c r="S243" s="98" t="s">
        <v>5116</v>
      </c>
      <c r="T243" s="96">
        <v>38671</v>
      </c>
      <c r="U243" s="96">
        <v>43830</v>
      </c>
      <c r="V243" s="98" t="s">
        <v>5095</v>
      </c>
      <c r="W243" s="98" t="s">
        <v>5068</v>
      </c>
      <c r="X243" s="98" t="s">
        <v>5096</v>
      </c>
      <c r="Y243" s="98" t="s">
        <v>5068</v>
      </c>
      <c r="Z243" s="99"/>
      <c r="AA243" s="98" t="s">
        <v>5587</v>
      </c>
      <c r="AB243" s="95" t="s">
        <v>5318</v>
      </c>
      <c r="AC243" s="98" t="s">
        <v>6992</v>
      </c>
      <c r="AD243" s="99"/>
      <c r="AE243" s="104">
        <v>39419</v>
      </c>
      <c r="AF243" s="99"/>
      <c r="AG243" s="95">
        <v>1</v>
      </c>
      <c r="AH243" s="94" t="s">
        <v>5074</v>
      </c>
      <c r="AI243" s="94" t="s">
        <v>5133</v>
      </c>
      <c r="AJ243" s="98" t="s">
        <v>6157</v>
      </c>
      <c r="AK243" s="98" t="s">
        <v>2668</v>
      </c>
      <c r="AL243" s="101" t="s">
        <v>5104</v>
      </c>
      <c r="AM243" s="98" t="s">
        <v>6051</v>
      </c>
      <c r="AN243" s="98" t="s">
        <v>5079</v>
      </c>
      <c r="AO243" s="98" t="s">
        <v>5080</v>
      </c>
      <c r="AP243" s="102">
        <v>84</v>
      </c>
      <c r="AQ243" s="102">
        <v>2016</v>
      </c>
      <c r="AR243" s="98" t="s">
        <v>5082</v>
      </c>
      <c r="AS243" s="99"/>
      <c r="AT243" s="98" t="s">
        <v>5083</v>
      </c>
      <c r="AU243" s="99"/>
      <c r="AV243" s="95">
        <v>2025</v>
      </c>
      <c r="AW243" s="94" t="s">
        <v>5108</v>
      </c>
      <c r="AX243" s="95">
        <v>0</v>
      </c>
      <c r="AY243" s="98" t="s">
        <v>5085</v>
      </c>
      <c r="AZ243" s="102">
        <v>3</v>
      </c>
      <c r="BA243" s="105">
        <v>46239</v>
      </c>
      <c r="BB243" s="93"/>
    </row>
    <row r="244" spans="1:54" ht="13.8">
      <c r="A244" s="94" t="s">
        <v>6993</v>
      </c>
      <c r="B244" s="95" t="s">
        <v>6994</v>
      </c>
      <c r="C244" s="96">
        <v>30243</v>
      </c>
      <c r="D244" s="94" t="s">
        <v>2656</v>
      </c>
      <c r="E244" s="94" t="s">
        <v>1939</v>
      </c>
      <c r="F244" s="97" t="s">
        <v>1512</v>
      </c>
      <c r="G244" s="95">
        <v>407012629</v>
      </c>
      <c r="H244" s="98" t="s">
        <v>5057</v>
      </c>
      <c r="I244" s="95">
        <v>38082022843</v>
      </c>
      <c r="J244" s="98" t="s">
        <v>5088</v>
      </c>
      <c r="K244" s="95" t="s">
        <v>6103</v>
      </c>
      <c r="L244" s="98" t="s">
        <v>6995</v>
      </c>
      <c r="M244" s="98" t="s">
        <v>6996</v>
      </c>
      <c r="N244" s="98" t="s">
        <v>6997</v>
      </c>
      <c r="O244" s="98" t="s">
        <v>6998</v>
      </c>
      <c r="P244" s="95">
        <v>904752877</v>
      </c>
      <c r="Q244" s="98" t="s">
        <v>6999</v>
      </c>
      <c r="R244" s="98" t="s">
        <v>5094</v>
      </c>
      <c r="S244" s="99"/>
      <c r="T244" s="100">
        <v>45052</v>
      </c>
      <c r="U244" s="100">
        <v>45052</v>
      </c>
      <c r="V244" s="99"/>
      <c r="W244" s="98" t="s">
        <v>5068</v>
      </c>
      <c r="X244" s="98" t="s">
        <v>5187</v>
      </c>
      <c r="Y244" s="99"/>
      <c r="Z244" s="99"/>
      <c r="AA244" s="99"/>
      <c r="AB244" s="99"/>
      <c r="AC244" s="99"/>
      <c r="AD244" s="99"/>
      <c r="AE244" s="104">
        <v>40792</v>
      </c>
      <c r="AF244" s="99"/>
      <c r="AG244" s="95">
        <v>0</v>
      </c>
      <c r="AH244" s="94" t="s">
        <v>5074</v>
      </c>
      <c r="AI244" s="94" t="s">
        <v>5122</v>
      </c>
      <c r="AJ244" s="98" t="s">
        <v>6157</v>
      </c>
      <c r="AK244" s="98" t="s">
        <v>7000</v>
      </c>
      <c r="AL244" s="101" t="s">
        <v>5078</v>
      </c>
      <c r="AM244" s="99"/>
      <c r="AN244" s="98" t="s">
        <v>5079</v>
      </c>
      <c r="AO244" s="98" t="s">
        <v>5080</v>
      </c>
      <c r="AP244" s="98" t="s">
        <v>6603</v>
      </c>
      <c r="AQ244" s="102">
        <v>2017</v>
      </c>
      <c r="AR244" s="98" t="s">
        <v>5106</v>
      </c>
      <c r="AS244" s="98" t="s">
        <v>6500</v>
      </c>
      <c r="AT244" s="99"/>
      <c r="AU244" s="98" t="s">
        <v>5151</v>
      </c>
      <c r="AV244" s="99"/>
      <c r="AW244" s="94" t="s">
        <v>5074</v>
      </c>
      <c r="AX244" s="95">
        <v>0</v>
      </c>
      <c r="AY244" s="98" t="s">
        <v>5085</v>
      </c>
      <c r="AZ244" s="102">
        <v>2</v>
      </c>
      <c r="BA244" s="102" t="s">
        <v>5086</v>
      </c>
      <c r="BB244" s="93"/>
    </row>
    <row r="245" spans="1:54" ht="13.8">
      <c r="A245" s="94" t="s">
        <v>7001</v>
      </c>
      <c r="B245" s="95" t="s">
        <v>7002</v>
      </c>
      <c r="C245" s="100">
        <v>31474</v>
      </c>
      <c r="D245" s="94" t="s">
        <v>2656</v>
      </c>
      <c r="E245" s="94" t="s">
        <v>1939</v>
      </c>
      <c r="F245" s="97" t="s">
        <v>1512</v>
      </c>
      <c r="G245" s="95">
        <v>4810031404</v>
      </c>
      <c r="H245" s="98" t="s">
        <v>5057</v>
      </c>
      <c r="I245" s="95">
        <v>40086078054</v>
      </c>
      <c r="J245" s="98" t="s">
        <v>5088</v>
      </c>
      <c r="K245" s="95" t="s">
        <v>5277</v>
      </c>
      <c r="L245" s="98" t="s">
        <v>7003</v>
      </c>
      <c r="M245" s="98" t="s">
        <v>7004</v>
      </c>
      <c r="N245" s="98" t="s">
        <v>7005</v>
      </c>
      <c r="O245" s="98" t="s">
        <v>7006</v>
      </c>
      <c r="P245" s="95">
        <v>976315689</v>
      </c>
      <c r="Q245" s="98" t="s">
        <v>7007</v>
      </c>
      <c r="R245" s="98" t="s">
        <v>5094</v>
      </c>
      <c r="S245" s="98" t="s">
        <v>5116</v>
      </c>
      <c r="T245" s="100">
        <v>40189</v>
      </c>
      <c r="U245" s="100">
        <v>40554</v>
      </c>
      <c r="V245" s="98" t="s">
        <v>5095</v>
      </c>
      <c r="W245" s="98" t="s">
        <v>5068</v>
      </c>
      <c r="X245" s="98" t="s">
        <v>5096</v>
      </c>
      <c r="Y245" s="98" t="s">
        <v>5068</v>
      </c>
      <c r="Z245" s="99"/>
      <c r="AA245" s="99"/>
      <c r="AB245" s="95" t="s">
        <v>5161</v>
      </c>
      <c r="AC245" s="99"/>
      <c r="AD245" s="99"/>
      <c r="AE245" s="95" t="s">
        <v>7008</v>
      </c>
      <c r="AF245" s="99"/>
      <c r="AG245" s="95">
        <v>1</v>
      </c>
      <c r="AH245" s="94" t="s">
        <v>5074</v>
      </c>
      <c r="AI245" s="94" t="s">
        <v>5133</v>
      </c>
      <c r="AJ245" s="98" t="s">
        <v>5134</v>
      </c>
      <c r="AK245" s="98" t="s">
        <v>7009</v>
      </c>
      <c r="AL245" s="101" t="s">
        <v>5078</v>
      </c>
      <c r="AM245" s="98" t="s">
        <v>6489</v>
      </c>
      <c r="AN245" s="98" t="s">
        <v>5079</v>
      </c>
      <c r="AO245" s="98" t="s">
        <v>5080</v>
      </c>
      <c r="AP245" s="102">
        <v>76</v>
      </c>
      <c r="AQ245" s="102">
        <v>2016</v>
      </c>
      <c r="AR245" s="98" t="s">
        <v>5200</v>
      </c>
      <c r="AS245" s="99"/>
      <c r="AT245" s="98" t="s">
        <v>5083</v>
      </c>
      <c r="AU245" s="98" t="s">
        <v>5228</v>
      </c>
      <c r="AV245" s="95">
        <v>0</v>
      </c>
      <c r="AW245" s="94" t="s">
        <v>5074</v>
      </c>
      <c r="AX245" s="95">
        <v>0</v>
      </c>
      <c r="AY245" s="98" t="s">
        <v>5085</v>
      </c>
      <c r="AZ245" s="102">
        <v>1</v>
      </c>
      <c r="BA245" s="110">
        <v>46116</v>
      </c>
      <c r="BB245" s="93"/>
    </row>
    <row r="246" spans="1:54" ht="13.8">
      <c r="A246" s="94" t="s">
        <v>7010</v>
      </c>
      <c r="B246" s="95" t="s">
        <v>7011</v>
      </c>
      <c r="C246" s="100">
        <v>24108</v>
      </c>
      <c r="D246" s="94" t="s">
        <v>2656</v>
      </c>
      <c r="E246" s="94" t="s">
        <v>1939</v>
      </c>
      <c r="F246" s="97" t="s">
        <v>1512</v>
      </c>
      <c r="G246" s="99"/>
      <c r="H246" s="99"/>
      <c r="I246" s="95">
        <v>4906601782</v>
      </c>
      <c r="J246" s="98" t="s">
        <v>5088</v>
      </c>
      <c r="K246" s="95" t="s">
        <v>5089</v>
      </c>
      <c r="L246" s="98" t="s">
        <v>5476</v>
      </c>
      <c r="M246" s="98" t="s">
        <v>7012</v>
      </c>
      <c r="N246" s="98" t="s">
        <v>7013</v>
      </c>
      <c r="O246" s="98" t="s">
        <v>7013</v>
      </c>
      <c r="P246" s="95">
        <v>905174774</v>
      </c>
      <c r="Q246" s="98" t="s">
        <v>7014</v>
      </c>
      <c r="R246" s="98" t="s">
        <v>5094</v>
      </c>
      <c r="S246" s="99"/>
      <c r="T246" s="109"/>
      <c r="U246" s="109"/>
      <c r="V246" s="99"/>
      <c r="W246" s="98" t="s">
        <v>5068</v>
      </c>
      <c r="X246" s="98" t="s">
        <v>5653</v>
      </c>
      <c r="Y246" s="99"/>
      <c r="Z246" s="99"/>
      <c r="AA246" s="99"/>
      <c r="AB246" s="99"/>
      <c r="AC246" s="99"/>
      <c r="AD246" s="99"/>
      <c r="AE246" s="99"/>
      <c r="AF246" s="99"/>
      <c r="AG246" s="95">
        <v>0</v>
      </c>
      <c r="AH246" s="94" t="s">
        <v>5074</v>
      </c>
      <c r="AI246" s="94" t="s">
        <v>5163</v>
      </c>
      <c r="AJ246" s="98" t="s">
        <v>5365</v>
      </c>
      <c r="AK246" s="98" t="s">
        <v>6925</v>
      </c>
      <c r="AL246" s="101" t="s">
        <v>5149</v>
      </c>
      <c r="AM246" s="99"/>
      <c r="AN246" s="98" t="s">
        <v>5079</v>
      </c>
      <c r="AO246" s="98" t="s">
        <v>5080</v>
      </c>
      <c r="AP246" s="98" t="s">
        <v>7015</v>
      </c>
      <c r="AQ246" s="102">
        <v>2017</v>
      </c>
      <c r="AR246" s="99"/>
      <c r="AS246" s="99"/>
      <c r="AT246" s="99"/>
      <c r="AU246" s="99"/>
      <c r="AV246" s="99"/>
      <c r="AW246" s="94" t="s">
        <v>5074</v>
      </c>
      <c r="AX246" s="95">
        <v>0</v>
      </c>
      <c r="AY246" s="98" t="s">
        <v>5152</v>
      </c>
      <c r="AZ246" s="102">
        <v>1</v>
      </c>
      <c r="BA246" s="99"/>
      <c r="BB246" s="93"/>
    </row>
    <row r="247" spans="1:54" ht="13.8">
      <c r="A247" s="94" t="s">
        <v>7016</v>
      </c>
      <c r="B247" s="95" t="s">
        <v>7017</v>
      </c>
      <c r="C247" s="96">
        <v>31380</v>
      </c>
      <c r="D247" s="94" t="s">
        <v>2665</v>
      </c>
      <c r="E247" s="94" t="s">
        <v>1939</v>
      </c>
      <c r="F247" s="97" t="s">
        <v>1512</v>
      </c>
      <c r="G247" s="95">
        <v>4809013612</v>
      </c>
      <c r="H247" s="98" t="s">
        <v>5625</v>
      </c>
      <c r="I247" s="95">
        <v>48185006825</v>
      </c>
      <c r="J247" s="98" t="s">
        <v>5088</v>
      </c>
      <c r="K247" s="95" t="s">
        <v>7018</v>
      </c>
      <c r="L247" s="98" t="s">
        <v>7019</v>
      </c>
      <c r="M247" s="98" t="s">
        <v>6584</v>
      </c>
      <c r="N247" s="98" t="s">
        <v>7020</v>
      </c>
      <c r="O247" s="98" t="s">
        <v>7020</v>
      </c>
      <c r="P247" s="95">
        <v>905607508</v>
      </c>
      <c r="Q247" s="98" t="s">
        <v>7021</v>
      </c>
      <c r="R247" s="98" t="s">
        <v>5094</v>
      </c>
      <c r="S247" s="99"/>
      <c r="T247" s="100">
        <v>44208</v>
      </c>
      <c r="U247" s="100">
        <v>44586</v>
      </c>
      <c r="V247" s="99"/>
      <c r="W247" s="98" t="s">
        <v>5068</v>
      </c>
      <c r="X247" s="98" t="s">
        <v>5187</v>
      </c>
      <c r="Y247" s="99"/>
      <c r="Z247" s="99"/>
      <c r="AA247" s="99"/>
      <c r="AB247" s="99"/>
      <c r="AC247" s="99"/>
      <c r="AD247" s="99"/>
      <c r="AE247" s="99"/>
      <c r="AF247" s="99"/>
      <c r="AG247" s="95">
        <v>0</v>
      </c>
      <c r="AH247" s="94" t="s">
        <v>5074</v>
      </c>
      <c r="AI247" s="94" t="s">
        <v>5163</v>
      </c>
      <c r="AJ247" s="98" t="s">
        <v>5365</v>
      </c>
      <c r="AK247" s="98" t="s">
        <v>5366</v>
      </c>
      <c r="AL247" s="101" t="s">
        <v>5078</v>
      </c>
      <c r="AM247" s="99"/>
      <c r="AN247" s="98" t="s">
        <v>5079</v>
      </c>
      <c r="AO247" s="98" t="s">
        <v>5080</v>
      </c>
      <c r="AP247" s="98" t="s">
        <v>6603</v>
      </c>
      <c r="AQ247" s="102">
        <v>2017</v>
      </c>
      <c r="AR247" s="99"/>
      <c r="AS247" s="99"/>
      <c r="AT247" s="98" t="s">
        <v>5083</v>
      </c>
      <c r="AU247" s="98" t="s">
        <v>5135</v>
      </c>
      <c r="AV247" s="99"/>
      <c r="AW247" s="94" t="s">
        <v>5074</v>
      </c>
      <c r="AX247" s="95">
        <v>0</v>
      </c>
      <c r="AY247" s="98" t="s">
        <v>5085</v>
      </c>
      <c r="AZ247" s="102">
        <v>1</v>
      </c>
      <c r="BA247" s="110">
        <v>46116</v>
      </c>
      <c r="BB247" s="93"/>
    </row>
    <row r="248" spans="1:54" ht="13.8">
      <c r="A248" s="94" t="s">
        <v>7022</v>
      </c>
      <c r="B248" s="95" t="s">
        <v>7023</v>
      </c>
      <c r="C248" s="100">
        <v>32193</v>
      </c>
      <c r="D248" s="94" t="s">
        <v>2656</v>
      </c>
      <c r="E248" s="94" t="s">
        <v>1939</v>
      </c>
      <c r="F248" s="97" t="s">
        <v>1512</v>
      </c>
      <c r="G248" s="95">
        <v>4814009051</v>
      </c>
      <c r="H248" s="98" t="s">
        <v>5057</v>
      </c>
      <c r="I248" s="95">
        <v>42088005496</v>
      </c>
      <c r="J248" s="98" t="s">
        <v>5088</v>
      </c>
      <c r="K248" s="104">
        <v>44778</v>
      </c>
      <c r="L248" s="98" t="s">
        <v>7024</v>
      </c>
      <c r="M248" s="98" t="s">
        <v>7025</v>
      </c>
      <c r="N248" s="98" t="s">
        <v>7025</v>
      </c>
      <c r="O248" s="98" t="s">
        <v>7026</v>
      </c>
      <c r="P248" s="95">
        <v>905851083</v>
      </c>
      <c r="Q248" s="98" t="s">
        <v>7027</v>
      </c>
      <c r="R248" s="98" t="s">
        <v>5094</v>
      </c>
      <c r="S248" s="99"/>
      <c r="T248" s="100">
        <v>41640</v>
      </c>
      <c r="U248" s="100">
        <v>42005</v>
      </c>
      <c r="V248" s="98" t="s">
        <v>5095</v>
      </c>
      <c r="W248" s="98" t="s">
        <v>5068</v>
      </c>
      <c r="X248" s="98" t="s">
        <v>5096</v>
      </c>
      <c r="Y248" s="98" t="s">
        <v>5068</v>
      </c>
      <c r="Z248" s="99"/>
      <c r="AA248" s="99"/>
      <c r="AB248" s="95" t="s">
        <v>5161</v>
      </c>
      <c r="AC248" s="99"/>
      <c r="AD248" s="99"/>
      <c r="AE248" s="95" t="s">
        <v>5161</v>
      </c>
      <c r="AF248" s="99"/>
      <c r="AG248" s="95">
        <v>1</v>
      </c>
      <c r="AH248" s="94" t="s">
        <v>5074</v>
      </c>
      <c r="AI248" s="94" t="s">
        <v>5133</v>
      </c>
      <c r="AJ248" s="98" t="s">
        <v>5134</v>
      </c>
      <c r="AK248" s="98" t="s">
        <v>2741</v>
      </c>
      <c r="AL248" s="101" t="s">
        <v>5078</v>
      </c>
      <c r="AM248" s="99"/>
      <c r="AN248" s="98" t="s">
        <v>5079</v>
      </c>
      <c r="AO248" s="98" t="s">
        <v>5080</v>
      </c>
      <c r="AP248" s="98" t="s">
        <v>5425</v>
      </c>
      <c r="AQ248" s="102">
        <v>2019</v>
      </c>
      <c r="AR248" s="99"/>
      <c r="AS248" s="98" t="s">
        <v>5561</v>
      </c>
      <c r="AT248" s="98" t="s">
        <v>5083</v>
      </c>
      <c r="AU248" s="99"/>
      <c r="AV248" s="95">
        <v>0</v>
      </c>
      <c r="AW248" s="94" t="s">
        <v>5074</v>
      </c>
      <c r="AX248" s="95">
        <v>0</v>
      </c>
      <c r="AY248" s="98" t="s">
        <v>5085</v>
      </c>
      <c r="AZ248" s="102">
        <v>1</v>
      </c>
      <c r="BA248" s="110">
        <v>46116</v>
      </c>
      <c r="BB248" s="93"/>
    </row>
    <row r="249" spans="1:54" ht="13.8">
      <c r="A249" s="94" t="s">
        <v>7028</v>
      </c>
      <c r="B249" s="95" t="s">
        <v>7029</v>
      </c>
      <c r="C249" s="100">
        <v>30621</v>
      </c>
      <c r="D249" s="94" t="s">
        <v>2656</v>
      </c>
      <c r="E249" s="94" t="s">
        <v>1939</v>
      </c>
      <c r="F249" s="97" t="s">
        <v>1512</v>
      </c>
      <c r="G249" s="95">
        <v>8908014683</v>
      </c>
      <c r="H249" s="98" t="s">
        <v>5057</v>
      </c>
      <c r="I249" s="95">
        <v>40083020856</v>
      </c>
      <c r="J249" s="98" t="s">
        <v>5088</v>
      </c>
      <c r="K249" s="95" t="s">
        <v>7030</v>
      </c>
      <c r="L249" s="98" t="s">
        <v>7031</v>
      </c>
      <c r="M249" s="98" t="s">
        <v>7032</v>
      </c>
      <c r="N249" s="98" t="s">
        <v>7033</v>
      </c>
      <c r="O249" s="98" t="s">
        <v>7034</v>
      </c>
      <c r="P249" s="95">
        <v>939774959</v>
      </c>
      <c r="Q249" s="98" t="s">
        <v>7035</v>
      </c>
      <c r="R249" s="98" t="s">
        <v>5094</v>
      </c>
      <c r="S249" s="99"/>
      <c r="T249" s="100">
        <v>43838</v>
      </c>
      <c r="U249" s="109"/>
      <c r="V249" s="99"/>
      <c r="W249" s="98" t="s">
        <v>5068</v>
      </c>
      <c r="X249" s="98" t="s">
        <v>5187</v>
      </c>
      <c r="Y249" s="99"/>
      <c r="Z249" s="99"/>
      <c r="AA249" s="99"/>
      <c r="AB249" s="99"/>
      <c r="AC249" s="99"/>
      <c r="AD249" s="99"/>
      <c r="AE249" s="99"/>
      <c r="AF249" s="99"/>
      <c r="AG249" s="95">
        <v>0</v>
      </c>
      <c r="AH249" s="94" t="s">
        <v>5074</v>
      </c>
      <c r="AI249" s="94" t="s">
        <v>5122</v>
      </c>
      <c r="AJ249" s="98" t="s">
        <v>6157</v>
      </c>
      <c r="AK249" s="98" t="s">
        <v>7036</v>
      </c>
      <c r="AL249" s="101" t="s">
        <v>5078</v>
      </c>
      <c r="AM249" s="99"/>
      <c r="AN249" s="98" t="s">
        <v>5079</v>
      </c>
      <c r="AO249" s="98" t="s">
        <v>5080</v>
      </c>
      <c r="AP249" s="98" t="s">
        <v>7037</v>
      </c>
      <c r="AQ249" s="102">
        <v>2020</v>
      </c>
      <c r="AR249" s="98" t="s">
        <v>5200</v>
      </c>
      <c r="AS249" s="98" t="s">
        <v>5561</v>
      </c>
      <c r="AT249" s="98" t="s">
        <v>5083</v>
      </c>
      <c r="AU249" s="98" t="s">
        <v>5483</v>
      </c>
      <c r="AV249" s="99"/>
      <c r="AW249" s="94" t="s">
        <v>5074</v>
      </c>
      <c r="AX249" s="95">
        <v>0</v>
      </c>
      <c r="AY249" s="98" t="s">
        <v>5085</v>
      </c>
      <c r="AZ249" s="102">
        <v>1</v>
      </c>
      <c r="BA249" s="110">
        <v>46116</v>
      </c>
      <c r="BB249" s="93"/>
    </row>
    <row r="250" spans="1:54" ht="13.8">
      <c r="A250" s="94" t="s">
        <v>7038</v>
      </c>
      <c r="B250" s="95" t="s">
        <v>7039</v>
      </c>
      <c r="C250" s="100">
        <v>31987</v>
      </c>
      <c r="D250" s="94" t="s">
        <v>2665</v>
      </c>
      <c r="E250" s="94" t="s">
        <v>1939</v>
      </c>
      <c r="F250" s="97" t="s">
        <v>1512</v>
      </c>
      <c r="G250" s="95">
        <v>4812040870</v>
      </c>
      <c r="H250" s="98" t="s">
        <v>5057</v>
      </c>
      <c r="I250" s="95">
        <v>48187004011</v>
      </c>
      <c r="J250" s="98" t="s">
        <v>5088</v>
      </c>
      <c r="K250" s="95" t="s">
        <v>5089</v>
      </c>
      <c r="L250" s="98" t="s">
        <v>5155</v>
      </c>
      <c r="M250" s="98" t="s">
        <v>5868</v>
      </c>
      <c r="N250" s="98" t="s">
        <v>7040</v>
      </c>
      <c r="O250" s="98" t="s">
        <v>7040</v>
      </c>
      <c r="P250" s="95">
        <v>936299987</v>
      </c>
      <c r="Q250" s="98" t="s">
        <v>7041</v>
      </c>
      <c r="R250" s="98" t="s">
        <v>5094</v>
      </c>
      <c r="S250" s="99"/>
      <c r="T250" s="100">
        <v>40916</v>
      </c>
      <c r="U250" s="100">
        <v>41282</v>
      </c>
      <c r="V250" s="98" t="s">
        <v>5095</v>
      </c>
      <c r="W250" s="98" t="s">
        <v>5068</v>
      </c>
      <c r="X250" s="98" t="s">
        <v>5096</v>
      </c>
      <c r="Y250" s="98" t="s">
        <v>5068</v>
      </c>
      <c r="Z250" s="99"/>
      <c r="AA250" s="99"/>
      <c r="AB250" s="95" t="s">
        <v>5161</v>
      </c>
      <c r="AC250" s="98" t="s">
        <v>6360</v>
      </c>
      <c r="AD250" s="99"/>
      <c r="AE250" s="104">
        <v>41336</v>
      </c>
      <c r="AF250" s="99"/>
      <c r="AG250" s="95">
        <v>1</v>
      </c>
      <c r="AH250" s="94" t="s">
        <v>5084</v>
      </c>
      <c r="AI250" s="94" t="s">
        <v>5133</v>
      </c>
      <c r="AJ250" s="98" t="s">
        <v>5134</v>
      </c>
      <c r="AK250" s="98" t="s">
        <v>6466</v>
      </c>
      <c r="AL250" s="101" t="s">
        <v>5078</v>
      </c>
      <c r="AM250" s="98" t="s">
        <v>6051</v>
      </c>
      <c r="AN250" s="98" t="s">
        <v>5079</v>
      </c>
      <c r="AO250" s="98" t="s">
        <v>5080</v>
      </c>
      <c r="AP250" s="102">
        <v>84</v>
      </c>
      <c r="AQ250" s="102">
        <v>2011</v>
      </c>
      <c r="AR250" s="98" t="s">
        <v>5200</v>
      </c>
      <c r="AS250" s="99"/>
      <c r="AT250" s="98" t="s">
        <v>5083</v>
      </c>
      <c r="AU250" s="98" t="s">
        <v>5135</v>
      </c>
      <c r="AV250" s="95">
        <v>0</v>
      </c>
      <c r="AW250" s="94" t="s">
        <v>5084</v>
      </c>
      <c r="AX250" s="95">
        <v>0</v>
      </c>
      <c r="AY250" s="98" t="s">
        <v>5085</v>
      </c>
      <c r="AZ250" s="102">
        <v>1</v>
      </c>
      <c r="BA250" s="110">
        <v>46116</v>
      </c>
      <c r="BB250" s="93"/>
    </row>
    <row r="251" spans="1:54" ht="13.8">
      <c r="A251" s="94" t="s">
        <v>7042</v>
      </c>
      <c r="B251" s="95" t="s">
        <v>7043</v>
      </c>
      <c r="C251" s="96">
        <v>31003</v>
      </c>
      <c r="D251" s="94" t="s">
        <v>2665</v>
      </c>
      <c r="E251" s="94" t="s">
        <v>1939</v>
      </c>
      <c r="F251" s="97" t="s">
        <v>1512</v>
      </c>
      <c r="G251" s="95">
        <v>5210005361</v>
      </c>
      <c r="H251" s="98" t="s">
        <v>5057</v>
      </c>
      <c r="I251" s="95">
        <v>49184004890</v>
      </c>
      <c r="J251" s="98" t="s">
        <v>5088</v>
      </c>
      <c r="K251" s="95" t="s">
        <v>5089</v>
      </c>
      <c r="L251" s="98" t="s">
        <v>6652</v>
      </c>
      <c r="M251" s="98" t="s">
        <v>7044</v>
      </c>
      <c r="N251" s="98" t="s">
        <v>7045</v>
      </c>
      <c r="O251" s="98" t="s">
        <v>7046</v>
      </c>
      <c r="P251" s="95">
        <v>935949399</v>
      </c>
      <c r="Q251" s="98" t="s">
        <v>7047</v>
      </c>
      <c r="R251" s="98" t="s">
        <v>5094</v>
      </c>
      <c r="S251" s="99"/>
      <c r="T251" s="100">
        <v>40916</v>
      </c>
      <c r="U251" s="100">
        <v>42649</v>
      </c>
      <c r="V251" s="98" t="s">
        <v>5095</v>
      </c>
      <c r="W251" s="98" t="s">
        <v>5068</v>
      </c>
      <c r="X251" s="98" t="s">
        <v>5096</v>
      </c>
      <c r="Y251" s="98" t="s">
        <v>5068</v>
      </c>
      <c r="Z251" s="99"/>
      <c r="AA251" s="99"/>
      <c r="AB251" s="95" t="s">
        <v>5161</v>
      </c>
      <c r="AC251" s="98" t="s">
        <v>7048</v>
      </c>
      <c r="AD251" s="99"/>
      <c r="AE251" s="95" t="s">
        <v>7049</v>
      </c>
      <c r="AF251" s="99"/>
      <c r="AG251" s="95">
        <v>1</v>
      </c>
      <c r="AH251" s="94" t="s">
        <v>5074</v>
      </c>
      <c r="AI251" s="94" t="s">
        <v>5122</v>
      </c>
      <c r="AJ251" s="98" t="s">
        <v>6157</v>
      </c>
      <c r="AK251" s="98" t="s">
        <v>7050</v>
      </c>
      <c r="AL251" s="101" t="s">
        <v>5078</v>
      </c>
      <c r="AM251" s="98" t="s">
        <v>5716</v>
      </c>
      <c r="AN251" s="98" t="s">
        <v>5079</v>
      </c>
      <c r="AO251" s="98" t="s">
        <v>5080</v>
      </c>
      <c r="AP251" s="102">
        <v>87</v>
      </c>
      <c r="AQ251" s="102">
        <v>2010</v>
      </c>
      <c r="AR251" s="98" t="s">
        <v>5200</v>
      </c>
      <c r="AS251" s="99"/>
      <c r="AT251" s="98" t="s">
        <v>5083</v>
      </c>
      <c r="AU251" s="98" t="s">
        <v>5228</v>
      </c>
      <c r="AV251" s="95">
        <v>0</v>
      </c>
      <c r="AW251" s="94" t="s">
        <v>5074</v>
      </c>
      <c r="AX251" s="95">
        <v>0</v>
      </c>
      <c r="AY251" s="98" t="s">
        <v>5085</v>
      </c>
      <c r="AZ251" s="102">
        <v>2</v>
      </c>
      <c r="BA251" s="102" t="s">
        <v>5086</v>
      </c>
      <c r="BB251" s="93"/>
    </row>
    <row r="252" spans="1:54" ht="13.8">
      <c r="A252" s="94" t="s">
        <v>7051</v>
      </c>
      <c r="B252" s="95" t="s">
        <v>7052</v>
      </c>
      <c r="C252" s="100">
        <v>30483</v>
      </c>
      <c r="D252" s="94" t="s">
        <v>2656</v>
      </c>
      <c r="E252" s="94" t="s">
        <v>1939</v>
      </c>
      <c r="F252" s="97" t="s">
        <v>1512</v>
      </c>
      <c r="G252" s="95">
        <v>4810005110</v>
      </c>
      <c r="H252" s="98" t="s">
        <v>5057</v>
      </c>
      <c r="I252" s="95">
        <v>51083005903</v>
      </c>
      <c r="J252" s="98" t="s">
        <v>5088</v>
      </c>
      <c r="K252" s="95" t="s">
        <v>5089</v>
      </c>
      <c r="L252" s="98" t="s">
        <v>7053</v>
      </c>
      <c r="M252" s="98" t="s">
        <v>7054</v>
      </c>
      <c r="N252" s="98" t="s">
        <v>7054</v>
      </c>
      <c r="O252" s="98" t="s">
        <v>7055</v>
      </c>
      <c r="P252" s="95">
        <v>1626068774</v>
      </c>
      <c r="Q252" s="98" t="s">
        <v>7056</v>
      </c>
      <c r="R252" s="98" t="s">
        <v>5094</v>
      </c>
      <c r="S252" s="99"/>
      <c r="T252" s="100">
        <v>40179</v>
      </c>
      <c r="U252" s="100">
        <v>40544</v>
      </c>
      <c r="V252" s="98" t="s">
        <v>5095</v>
      </c>
      <c r="W252" s="98" t="s">
        <v>5068</v>
      </c>
      <c r="X252" s="98" t="s">
        <v>5096</v>
      </c>
      <c r="Y252" s="98" t="s">
        <v>5068</v>
      </c>
      <c r="Z252" s="99"/>
      <c r="AA252" s="99"/>
      <c r="AB252" s="99"/>
      <c r="AC252" s="99"/>
      <c r="AD252" s="99"/>
      <c r="AE252" s="95" t="s">
        <v>7057</v>
      </c>
      <c r="AF252" s="99"/>
      <c r="AG252" s="95">
        <v>1</v>
      </c>
      <c r="AH252" s="94" t="s">
        <v>5074</v>
      </c>
      <c r="AI252" s="94" t="s">
        <v>5122</v>
      </c>
      <c r="AJ252" s="98" t="s">
        <v>6157</v>
      </c>
      <c r="AK252" s="98" t="s">
        <v>7058</v>
      </c>
      <c r="AL252" s="101" t="s">
        <v>5104</v>
      </c>
      <c r="AM252" s="98" t="s">
        <v>2674</v>
      </c>
      <c r="AN252" s="98" t="s">
        <v>5079</v>
      </c>
      <c r="AO252" s="98" t="s">
        <v>2674</v>
      </c>
      <c r="AP252" s="102">
        <v>934</v>
      </c>
      <c r="AQ252" s="102">
        <v>2016</v>
      </c>
      <c r="AR252" s="98" t="s">
        <v>5082</v>
      </c>
      <c r="AS252" s="99"/>
      <c r="AT252" s="98" t="s">
        <v>5083</v>
      </c>
      <c r="AU252" s="98" t="s">
        <v>5135</v>
      </c>
      <c r="AV252" s="95">
        <v>2023</v>
      </c>
      <c r="AW252" s="94" t="s">
        <v>5108</v>
      </c>
      <c r="AX252" s="95">
        <v>0</v>
      </c>
      <c r="AY252" s="98" t="s">
        <v>5109</v>
      </c>
      <c r="AZ252" s="102">
        <v>1</v>
      </c>
      <c r="BA252" s="110">
        <v>46059</v>
      </c>
      <c r="BB252" s="93"/>
    </row>
    <row r="253" spans="1:54" ht="13.8">
      <c r="A253" s="94" t="s">
        <v>350</v>
      </c>
      <c r="B253" s="95" t="s">
        <v>7059</v>
      </c>
      <c r="C253" s="100">
        <v>32624</v>
      </c>
      <c r="D253" s="94" t="s">
        <v>2665</v>
      </c>
      <c r="E253" s="94" t="s">
        <v>1939</v>
      </c>
      <c r="F253" s="97" t="s">
        <v>1512</v>
      </c>
      <c r="G253" s="95">
        <v>4811043751</v>
      </c>
      <c r="H253" s="98" t="s">
        <v>5057</v>
      </c>
      <c r="I253" s="95">
        <v>44189006525</v>
      </c>
      <c r="J253" s="98" t="s">
        <v>5088</v>
      </c>
      <c r="K253" s="95" t="s">
        <v>7060</v>
      </c>
      <c r="L253" s="98" t="s">
        <v>7061</v>
      </c>
      <c r="M253" s="98" t="s">
        <v>7062</v>
      </c>
      <c r="N253" s="98" t="s">
        <v>7063</v>
      </c>
      <c r="O253" s="98" t="s">
        <v>7063</v>
      </c>
      <c r="P253" s="95">
        <v>932469264</v>
      </c>
      <c r="Q253" s="98" t="s">
        <v>7064</v>
      </c>
      <c r="R253" s="98" t="s">
        <v>5094</v>
      </c>
      <c r="S253" s="99"/>
      <c r="T253" s="100">
        <v>43477</v>
      </c>
      <c r="U253" s="100">
        <v>43477</v>
      </c>
      <c r="V253" s="99"/>
      <c r="W253" s="98" t="s">
        <v>5068</v>
      </c>
      <c r="X253" s="98" t="s">
        <v>5096</v>
      </c>
      <c r="Y253" s="99"/>
      <c r="Z253" s="99"/>
      <c r="AA253" s="99"/>
      <c r="AB253" s="99"/>
      <c r="AC253" s="99"/>
      <c r="AD253" s="99"/>
      <c r="AE253" s="99"/>
      <c r="AF253" s="99"/>
      <c r="AG253" s="95">
        <v>0</v>
      </c>
      <c r="AH253" s="94" t="s">
        <v>5074</v>
      </c>
      <c r="AI253" s="94" t="s">
        <v>5133</v>
      </c>
      <c r="AJ253" s="98" t="s">
        <v>5134</v>
      </c>
      <c r="AK253" s="98" t="s">
        <v>7065</v>
      </c>
      <c r="AL253" s="101" t="s">
        <v>5078</v>
      </c>
      <c r="AM253" s="99"/>
      <c r="AN253" s="98" t="s">
        <v>5079</v>
      </c>
      <c r="AO253" s="98" t="s">
        <v>5080</v>
      </c>
      <c r="AP253" s="98" t="s">
        <v>7066</v>
      </c>
      <c r="AQ253" s="102">
        <v>2022</v>
      </c>
      <c r="AR253" s="99"/>
      <c r="AS253" s="98" t="s">
        <v>5561</v>
      </c>
      <c r="AT253" s="99"/>
      <c r="AU253" s="98" t="s">
        <v>5228</v>
      </c>
      <c r="AV253" s="99"/>
      <c r="AW253" s="94" t="s">
        <v>5074</v>
      </c>
      <c r="AX253" s="95">
        <v>0</v>
      </c>
      <c r="AY253" s="98" t="s">
        <v>5085</v>
      </c>
      <c r="AZ253" s="102">
        <v>1</v>
      </c>
      <c r="BA253" s="110">
        <v>46116</v>
      </c>
      <c r="BB253" s="93"/>
    </row>
    <row r="254" spans="1:54" ht="13.8">
      <c r="A254" s="94" t="s">
        <v>7067</v>
      </c>
      <c r="B254" s="95" t="s">
        <v>7068</v>
      </c>
      <c r="C254" s="100">
        <v>34838</v>
      </c>
      <c r="D254" s="94" t="s">
        <v>2665</v>
      </c>
      <c r="E254" s="94" t="s">
        <v>1939</v>
      </c>
      <c r="F254" s="97" t="s">
        <v>1512</v>
      </c>
      <c r="G254" s="95">
        <v>4421075149</v>
      </c>
      <c r="H254" s="98" t="s">
        <v>5057</v>
      </c>
      <c r="I254" s="95">
        <v>44195006512</v>
      </c>
      <c r="J254" s="98" t="s">
        <v>5088</v>
      </c>
      <c r="K254" s="95" t="s">
        <v>6061</v>
      </c>
      <c r="L254" s="98" t="s">
        <v>7069</v>
      </c>
      <c r="M254" s="98" t="s">
        <v>6896</v>
      </c>
      <c r="N254" s="98" t="s">
        <v>7070</v>
      </c>
      <c r="O254" s="98" t="s">
        <v>7071</v>
      </c>
      <c r="P254" s="95">
        <v>935720753</v>
      </c>
      <c r="Q254" s="98" t="s">
        <v>7072</v>
      </c>
      <c r="R254" s="98" t="s">
        <v>5094</v>
      </c>
      <c r="S254" s="99"/>
      <c r="T254" s="100">
        <v>44200</v>
      </c>
      <c r="U254" s="100">
        <v>44587</v>
      </c>
      <c r="V254" s="99"/>
      <c r="W254" s="98" t="s">
        <v>5068</v>
      </c>
      <c r="X254" s="98" t="s">
        <v>5187</v>
      </c>
      <c r="Y254" s="99"/>
      <c r="Z254" s="99"/>
      <c r="AA254" s="99"/>
      <c r="AB254" s="99"/>
      <c r="AC254" s="99"/>
      <c r="AD254" s="99"/>
      <c r="AE254" s="99"/>
      <c r="AF254" s="99"/>
      <c r="AG254" s="95">
        <v>0</v>
      </c>
      <c r="AH254" s="94" t="s">
        <v>5084</v>
      </c>
      <c r="AI254" s="94" t="s">
        <v>5163</v>
      </c>
      <c r="AJ254" s="98" t="s">
        <v>5365</v>
      </c>
      <c r="AK254" s="98" t="s">
        <v>7073</v>
      </c>
      <c r="AL254" s="101" t="s">
        <v>5149</v>
      </c>
      <c r="AM254" s="99"/>
      <c r="AN254" s="98" t="s">
        <v>5079</v>
      </c>
      <c r="AO254" s="98" t="s">
        <v>5080</v>
      </c>
      <c r="AP254" s="98" t="s">
        <v>6603</v>
      </c>
      <c r="AQ254" s="102">
        <v>2019</v>
      </c>
      <c r="AR254" s="99"/>
      <c r="AS254" s="99"/>
      <c r="AT254" s="99"/>
      <c r="AU254" s="98" t="s">
        <v>5151</v>
      </c>
      <c r="AV254" s="99"/>
      <c r="AW254" s="94" t="s">
        <v>5084</v>
      </c>
      <c r="AX254" s="95">
        <v>0</v>
      </c>
      <c r="AY254" s="98" t="s">
        <v>5152</v>
      </c>
      <c r="AZ254" s="102">
        <v>3</v>
      </c>
      <c r="BA254" s="102">
        <v>3</v>
      </c>
      <c r="BB254" s="93"/>
    </row>
    <row r="255" spans="1:54" ht="13.8">
      <c r="A255" s="94" t="s">
        <v>7074</v>
      </c>
      <c r="B255" s="95" t="s">
        <v>7075</v>
      </c>
      <c r="C255" s="100">
        <v>33415</v>
      </c>
      <c r="D255" s="94" t="s">
        <v>2656</v>
      </c>
      <c r="E255" s="94" t="s">
        <v>1939</v>
      </c>
      <c r="F255" s="97" t="s">
        <v>1512</v>
      </c>
      <c r="G255" s="95">
        <v>4814009050</v>
      </c>
      <c r="H255" s="98" t="s">
        <v>5057</v>
      </c>
      <c r="I255" s="95">
        <v>48091003024</v>
      </c>
      <c r="J255" s="98" t="s">
        <v>5088</v>
      </c>
      <c r="K255" s="95" t="s">
        <v>5089</v>
      </c>
      <c r="L255" s="98" t="s">
        <v>5223</v>
      </c>
      <c r="M255" s="98" t="s">
        <v>5224</v>
      </c>
      <c r="N255" s="98" t="s">
        <v>7076</v>
      </c>
      <c r="O255" s="98" t="s">
        <v>7076</v>
      </c>
      <c r="P255" s="95">
        <v>392786512</v>
      </c>
      <c r="Q255" s="98" t="s">
        <v>7077</v>
      </c>
      <c r="R255" s="98" t="s">
        <v>5094</v>
      </c>
      <c r="S255" s="99"/>
      <c r="T255" s="100">
        <v>41640</v>
      </c>
      <c r="U255" s="100">
        <v>42005</v>
      </c>
      <c r="V255" s="98" t="s">
        <v>5095</v>
      </c>
      <c r="W255" s="98" t="s">
        <v>5068</v>
      </c>
      <c r="X255" s="98" t="s">
        <v>5096</v>
      </c>
      <c r="Y255" s="98" t="s">
        <v>5068</v>
      </c>
      <c r="Z255" s="99"/>
      <c r="AA255" s="99"/>
      <c r="AB255" s="95" t="s">
        <v>5161</v>
      </c>
      <c r="AC255" s="98" t="s">
        <v>7078</v>
      </c>
      <c r="AD255" s="99"/>
      <c r="AE255" s="95" t="s">
        <v>7079</v>
      </c>
      <c r="AF255" s="99"/>
      <c r="AG255" s="95">
        <v>1</v>
      </c>
      <c r="AH255" s="94" t="s">
        <v>5074</v>
      </c>
      <c r="AI255" s="94" t="s">
        <v>5122</v>
      </c>
      <c r="AJ255" s="98" t="s">
        <v>6857</v>
      </c>
      <c r="AK255" s="98" t="s">
        <v>2916</v>
      </c>
      <c r="AL255" s="101" t="s">
        <v>5149</v>
      </c>
      <c r="AM255" s="99"/>
      <c r="AN255" s="98" t="s">
        <v>5079</v>
      </c>
      <c r="AO255" s="98" t="s">
        <v>5080</v>
      </c>
      <c r="AP255" s="98" t="s">
        <v>6603</v>
      </c>
      <c r="AQ255" s="102">
        <v>2016</v>
      </c>
      <c r="AR255" s="98" t="s">
        <v>5200</v>
      </c>
      <c r="AS255" s="99"/>
      <c r="AT255" s="98" t="s">
        <v>5083</v>
      </c>
      <c r="AU255" s="98" t="s">
        <v>5135</v>
      </c>
      <c r="AV255" s="95">
        <v>0</v>
      </c>
      <c r="AW255" s="94" t="s">
        <v>5074</v>
      </c>
      <c r="AX255" s="95">
        <v>0</v>
      </c>
      <c r="AY255" s="98" t="s">
        <v>5152</v>
      </c>
      <c r="AZ255" s="102">
        <v>4</v>
      </c>
      <c r="BA255" s="102" t="s">
        <v>5168</v>
      </c>
      <c r="BB255" s="93"/>
    </row>
    <row r="256" spans="1:54" ht="13.8">
      <c r="A256" s="94" t="s">
        <v>7080</v>
      </c>
      <c r="B256" s="95" t="s">
        <v>7081</v>
      </c>
      <c r="C256" s="100">
        <v>23080</v>
      </c>
      <c r="D256" s="94" t="s">
        <v>2656</v>
      </c>
      <c r="E256" s="94" t="s">
        <v>1939</v>
      </c>
      <c r="F256" s="97" t="s">
        <v>1512</v>
      </c>
      <c r="G256" s="95">
        <v>3496042519</v>
      </c>
      <c r="H256" s="98" t="s">
        <v>5057</v>
      </c>
      <c r="I256" s="95">
        <v>49063014747</v>
      </c>
      <c r="J256" s="98" t="s">
        <v>5088</v>
      </c>
      <c r="K256" s="95" t="s">
        <v>5270</v>
      </c>
      <c r="L256" s="98" t="s">
        <v>7082</v>
      </c>
      <c r="M256" s="98" t="s">
        <v>6903</v>
      </c>
      <c r="N256" s="98" t="s">
        <v>7083</v>
      </c>
      <c r="O256" s="98" t="s">
        <v>7083</v>
      </c>
      <c r="P256" s="95">
        <v>914009921</v>
      </c>
      <c r="Q256" s="98" t="s">
        <v>7084</v>
      </c>
      <c r="R256" s="98" t="s">
        <v>5094</v>
      </c>
      <c r="S256" s="99"/>
      <c r="T256" s="100">
        <v>31780</v>
      </c>
      <c r="U256" s="100">
        <v>32511</v>
      </c>
      <c r="V256" s="98" t="s">
        <v>7085</v>
      </c>
      <c r="W256" s="98" t="s">
        <v>5068</v>
      </c>
      <c r="X256" s="98" t="s">
        <v>5067</v>
      </c>
      <c r="Y256" s="98" t="s">
        <v>5068</v>
      </c>
      <c r="Z256" s="99"/>
      <c r="AA256" s="99"/>
      <c r="AB256" s="99"/>
      <c r="AC256" s="99"/>
      <c r="AD256" s="98" t="s">
        <v>7086</v>
      </c>
      <c r="AE256" s="95" t="s">
        <v>7087</v>
      </c>
      <c r="AF256" s="98" t="s">
        <v>7088</v>
      </c>
      <c r="AG256" s="95">
        <v>1</v>
      </c>
      <c r="AH256" s="94" t="s">
        <v>5074</v>
      </c>
      <c r="AI256" s="94" t="s">
        <v>5133</v>
      </c>
      <c r="AJ256" s="98" t="s">
        <v>5134</v>
      </c>
      <c r="AK256" s="98" t="s">
        <v>2668</v>
      </c>
      <c r="AL256" s="101" t="s">
        <v>5104</v>
      </c>
      <c r="AM256" s="99"/>
      <c r="AN256" s="98" t="s">
        <v>5079</v>
      </c>
      <c r="AO256" s="98" t="s">
        <v>5080</v>
      </c>
      <c r="AP256" s="98" t="s">
        <v>5425</v>
      </c>
      <c r="AQ256" s="102">
        <v>2004</v>
      </c>
      <c r="AR256" s="98" t="s">
        <v>5106</v>
      </c>
      <c r="AS256" s="99"/>
      <c r="AT256" s="99"/>
      <c r="AU256" s="98" t="s">
        <v>5228</v>
      </c>
      <c r="AV256" s="95">
        <v>2012</v>
      </c>
      <c r="AW256" s="94" t="s">
        <v>5108</v>
      </c>
      <c r="AX256" s="95">
        <v>0</v>
      </c>
      <c r="AY256" s="98" t="s">
        <v>5109</v>
      </c>
      <c r="AZ256" s="102">
        <v>5</v>
      </c>
      <c r="BA256" s="102" t="s">
        <v>7089</v>
      </c>
      <c r="BB256" s="93"/>
    </row>
    <row r="257" spans="1:54" ht="13.8">
      <c r="A257" s="94" t="s">
        <v>7090</v>
      </c>
      <c r="B257" s="95" t="s">
        <v>7091</v>
      </c>
      <c r="C257" s="100">
        <v>30873</v>
      </c>
      <c r="D257" s="94" t="s">
        <v>2656</v>
      </c>
      <c r="E257" s="94" t="s">
        <v>1939</v>
      </c>
      <c r="F257" s="97" t="s">
        <v>1512</v>
      </c>
      <c r="G257" s="95">
        <v>4813008506</v>
      </c>
      <c r="H257" s="98" t="s">
        <v>5057</v>
      </c>
      <c r="I257" s="95">
        <v>38084007285</v>
      </c>
      <c r="J257" s="98" t="s">
        <v>5088</v>
      </c>
      <c r="K257" s="95" t="s">
        <v>6363</v>
      </c>
      <c r="L257" s="98" t="s">
        <v>7092</v>
      </c>
      <c r="M257" s="98" t="s">
        <v>7093</v>
      </c>
      <c r="N257" s="98" t="s">
        <v>7094</v>
      </c>
      <c r="O257" s="98" t="s">
        <v>7095</v>
      </c>
      <c r="P257" s="95">
        <v>936154841</v>
      </c>
      <c r="Q257" s="98" t="s">
        <v>7096</v>
      </c>
      <c r="R257" s="98" t="s">
        <v>5094</v>
      </c>
      <c r="S257" s="99"/>
      <c r="T257" s="100">
        <v>42381</v>
      </c>
      <c r="U257" s="100">
        <v>41286</v>
      </c>
      <c r="V257" s="98" t="s">
        <v>5095</v>
      </c>
      <c r="W257" s="98" t="s">
        <v>5068</v>
      </c>
      <c r="X257" s="98" t="s">
        <v>5096</v>
      </c>
      <c r="Y257" s="98" t="s">
        <v>5068</v>
      </c>
      <c r="Z257" s="99"/>
      <c r="AA257" s="99"/>
      <c r="AB257" s="99"/>
      <c r="AC257" s="99"/>
      <c r="AD257" s="98" t="s">
        <v>5510</v>
      </c>
      <c r="AE257" s="95" t="s">
        <v>5161</v>
      </c>
      <c r="AF257" s="99"/>
      <c r="AG257" s="95">
        <v>1</v>
      </c>
      <c r="AH257" s="94" t="s">
        <v>5074</v>
      </c>
      <c r="AI257" s="94" t="s">
        <v>5133</v>
      </c>
      <c r="AJ257" s="98" t="s">
        <v>5134</v>
      </c>
      <c r="AK257" s="98" t="s">
        <v>7000</v>
      </c>
      <c r="AL257" s="101" t="s">
        <v>5149</v>
      </c>
      <c r="AM257" s="99"/>
      <c r="AN257" s="98" t="s">
        <v>5079</v>
      </c>
      <c r="AO257" s="98" t="s">
        <v>5080</v>
      </c>
      <c r="AP257" s="98" t="s">
        <v>6603</v>
      </c>
      <c r="AQ257" s="102">
        <v>2015</v>
      </c>
      <c r="AR257" s="99"/>
      <c r="AS257" s="99"/>
      <c r="AT257" s="98" t="s">
        <v>5083</v>
      </c>
      <c r="AU257" s="98" t="s">
        <v>5228</v>
      </c>
      <c r="AV257" s="95">
        <v>0</v>
      </c>
      <c r="AW257" s="94" t="s">
        <v>5074</v>
      </c>
      <c r="AX257" s="95">
        <v>0</v>
      </c>
      <c r="AY257" s="98" t="s">
        <v>5152</v>
      </c>
      <c r="AZ257" s="102">
        <v>5</v>
      </c>
      <c r="BA257" s="102" t="s">
        <v>5153</v>
      </c>
      <c r="BB257" s="93"/>
    </row>
    <row r="258" spans="1:54" ht="13.8">
      <c r="A258" s="94" t="s">
        <v>4826</v>
      </c>
      <c r="B258" s="95" t="s">
        <v>4827</v>
      </c>
      <c r="C258" s="100">
        <v>30073</v>
      </c>
      <c r="D258" s="94" t="s">
        <v>2656</v>
      </c>
      <c r="E258" s="94" t="s">
        <v>1939</v>
      </c>
      <c r="F258" s="97" t="s">
        <v>1512</v>
      </c>
      <c r="G258" s="95">
        <v>4808004740</v>
      </c>
      <c r="H258" s="98" t="s">
        <v>5057</v>
      </c>
      <c r="I258" s="95">
        <v>51082017828</v>
      </c>
      <c r="J258" s="98" t="s">
        <v>5088</v>
      </c>
      <c r="K258" s="95" t="s">
        <v>5089</v>
      </c>
      <c r="L258" s="98" t="s">
        <v>7097</v>
      </c>
      <c r="M258" s="98" t="s">
        <v>7098</v>
      </c>
      <c r="N258" s="98" t="s">
        <v>7099</v>
      </c>
      <c r="O258" s="98" t="s">
        <v>7100</v>
      </c>
      <c r="P258" s="95">
        <v>788557733</v>
      </c>
      <c r="Q258" s="98" t="s">
        <v>7101</v>
      </c>
      <c r="R258" s="98" t="s">
        <v>5094</v>
      </c>
      <c r="S258" s="99"/>
      <c r="T258" s="100">
        <v>39162</v>
      </c>
      <c r="U258" s="100">
        <v>42649</v>
      </c>
      <c r="V258" s="98" t="s">
        <v>7102</v>
      </c>
      <c r="W258" s="98" t="s">
        <v>5068</v>
      </c>
      <c r="X258" s="98" t="s">
        <v>5096</v>
      </c>
      <c r="Y258" s="98" t="s">
        <v>5068</v>
      </c>
      <c r="Z258" s="99"/>
      <c r="AA258" s="98" t="s">
        <v>5569</v>
      </c>
      <c r="AB258" s="95" t="s">
        <v>5144</v>
      </c>
      <c r="AC258" s="99"/>
      <c r="AD258" s="98" t="s">
        <v>7103</v>
      </c>
      <c r="AE258" s="95" t="s">
        <v>5161</v>
      </c>
      <c r="AF258" s="99"/>
      <c r="AG258" s="95">
        <v>1</v>
      </c>
      <c r="AH258" s="94" t="s">
        <v>5074</v>
      </c>
      <c r="AI258" s="94" t="s">
        <v>5122</v>
      </c>
      <c r="AJ258" s="98" t="s">
        <v>5123</v>
      </c>
      <c r="AK258" s="98" t="s">
        <v>6466</v>
      </c>
      <c r="AL258" s="101" t="s">
        <v>5078</v>
      </c>
      <c r="AM258" s="98" t="s">
        <v>5218</v>
      </c>
      <c r="AN258" s="98" t="s">
        <v>5079</v>
      </c>
      <c r="AO258" s="98" t="s">
        <v>5080</v>
      </c>
      <c r="AP258" s="102">
        <v>803</v>
      </c>
      <c r="AQ258" s="102">
        <v>2010</v>
      </c>
      <c r="AR258" s="98" t="s">
        <v>5082</v>
      </c>
      <c r="AS258" s="99"/>
      <c r="AT258" s="98" t="s">
        <v>5083</v>
      </c>
      <c r="AU258" s="99"/>
      <c r="AV258" s="95">
        <v>0</v>
      </c>
      <c r="AW258" s="94" t="s">
        <v>5074</v>
      </c>
      <c r="AX258" s="95">
        <v>0</v>
      </c>
      <c r="AY258" s="98" t="s">
        <v>5085</v>
      </c>
      <c r="AZ258" s="102">
        <v>2</v>
      </c>
      <c r="BA258" s="102" t="s">
        <v>5086</v>
      </c>
      <c r="BB258" s="93"/>
    </row>
    <row r="259" spans="1:54" ht="13.8">
      <c r="A259" s="94" t="s">
        <v>7104</v>
      </c>
      <c r="B259" s="95" t="s">
        <v>7105</v>
      </c>
      <c r="C259" s="100">
        <v>35632</v>
      </c>
      <c r="D259" s="94" t="s">
        <v>2665</v>
      </c>
      <c r="E259" s="94" t="s">
        <v>1939</v>
      </c>
      <c r="F259" s="97" t="s">
        <v>1512</v>
      </c>
      <c r="G259" s="95">
        <v>4821088150</v>
      </c>
      <c r="H259" s="98" t="s">
        <v>5181</v>
      </c>
      <c r="I259" s="95">
        <v>48197003284</v>
      </c>
      <c r="J259" s="98" t="s">
        <v>5088</v>
      </c>
      <c r="K259" s="95" t="s">
        <v>5089</v>
      </c>
      <c r="L259" s="98" t="s">
        <v>7106</v>
      </c>
      <c r="M259" s="98" t="s">
        <v>5224</v>
      </c>
      <c r="N259" s="98" t="s">
        <v>7107</v>
      </c>
      <c r="O259" s="98" t="s">
        <v>7107</v>
      </c>
      <c r="P259" s="95">
        <v>763050095</v>
      </c>
      <c r="Q259" s="98" t="s">
        <v>5813</v>
      </c>
      <c r="R259" s="98" t="s">
        <v>5094</v>
      </c>
      <c r="S259" s="99"/>
      <c r="T259" s="100">
        <v>44568</v>
      </c>
      <c r="U259" s="100">
        <v>44933</v>
      </c>
      <c r="V259" s="99"/>
      <c r="W259" s="98" t="s">
        <v>5068</v>
      </c>
      <c r="X259" s="98" t="s">
        <v>5187</v>
      </c>
      <c r="Y259" s="99"/>
      <c r="Z259" s="99"/>
      <c r="AA259" s="99"/>
      <c r="AB259" s="99"/>
      <c r="AC259" s="99"/>
      <c r="AD259" s="99"/>
      <c r="AE259" s="95" t="s">
        <v>7108</v>
      </c>
      <c r="AF259" s="99"/>
      <c r="AG259" s="95">
        <v>0</v>
      </c>
      <c r="AH259" s="94" t="s">
        <v>5084</v>
      </c>
      <c r="AI259" s="94" t="s">
        <v>5122</v>
      </c>
      <c r="AJ259" s="98" t="s">
        <v>6157</v>
      </c>
      <c r="AK259" s="98" t="s">
        <v>7109</v>
      </c>
      <c r="AL259" s="101" t="s">
        <v>5149</v>
      </c>
      <c r="AM259" s="99"/>
      <c r="AN259" s="98" t="s">
        <v>5079</v>
      </c>
      <c r="AO259" s="98" t="s">
        <v>5080</v>
      </c>
      <c r="AP259" s="98" t="s">
        <v>7110</v>
      </c>
      <c r="AQ259" s="102">
        <v>2022</v>
      </c>
      <c r="AR259" s="98" t="s">
        <v>5200</v>
      </c>
      <c r="AS259" s="99"/>
      <c r="AT259" s="99"/>
      <c r="AU259" s="98" t="s">
        <v>5151</v>
      </c>
      <c r="AV259" s="99"/>
      <c r="AW259" s="94" t="s">
        <v>5084</v>
      </c>
      <c r="AX259" s="95">
        <v>0</v>
      </c>
      <c r="AY259" s="98" t="s">
        <v>5152</v>
      </c>
      <c r="AZ259" s="102">
        <v>2</v>
      </c>
      <c r="BA259" s="102" t="s">
        <v>5237</v>
      </c>
      <c r="BB259" s="93"/>
    </row>
    <row r="260" spans="1:54" ht="13.8">
      <c r="A260" s="94" t="s">
        <v>7111</v>
      </c>
      <c r="B260" s="95" t="s">
        <v>7112</v>
      </c>
      <c r="C260" s="100">
        <v>31987</v>
      </c>
      <c r="D260" s="94" t="s">
        <v>2665</v>
      </c>
      <c r="E260" s="94" t="s">
        <v>2361</v>
      </c>
      <c r="F260" s="97" t="s">
        <v>1417</v>
      </c>
      <c r="G260" s="95">
        <v>4810031395</v>
      </c>
      <c r="H260" s="98" t="s">
        <v>5057</v>
      </c>
      <c r="I260" s="95">
        <v>45187004009</v>
      </c>
      <c r="J260" s="98" t="s">
        <v>5088</v>
      </c>
      <c r="K260" s="104">
        <v>44565</v>
      </c>
      <c r="L260" s="98" t="s">
        <v>7113</v>
      </c>
      <c r="M260" s="98" t="s">
        <v>7114</v>
      </c>
      <c r="N260" s="98" t="s">
        <v>5253</v>
      </c>
      <c r="O260" s="98" t="s">
        <v>5253</v>
      </c>
      <c r="P260" s="95">
        <v>942234909</v>
      </c>
      <c r="Q260" s="98" t="s">
        <v>7115</v>
      </c>
      <c r="R260" s="98" t="s">
        <v>5094</v>
      </c>
      <c r="S260" s="99"/>
      <c r="T260" s="100">
        <v>40189</v>
      </c>
      <c r="U260" s="100">
        <v>40554</v>
      </c>
      <c r="V260" s="98" t="s">
        <v>5095</v>
      </c>
      <c r="W260" s="98" t="s">
        <v>5068</v>
      </c>
      <c r="X260" s="98" t="s">
        <v>5187</v>
      </c>
      <c r="Y260" s="98" t="s">
        <v>5068</v>
      </c>
      <c r="Z260" s="99"/>
      <c r="AA260" s="99"/>
      <c r="AB260" s="95" t="s">
        <v>5161</v>
      </c>
      <c r="AC260" s="99"/>
      <c r="AD260" s="99"/>
      <c r="AE260" s="95" t="s">
        <v>5161</v>
      </c>
      <c r="AF260" s="99"/>
      <c r="AG260" s="95">
        <v>1</v>
      </c>
      <c r="AH260" s="94" t="s">
        <v>5084</v>
      </c>
      <c r="AI260" s="94" t="s">
        <v>5122</v>
      </c>
      <c r="AJ260" s="98" t="s">
        <v>5407</v>
      </c>
      <c r="AK260" s="98" t="s">
        <v>7116</v>
      </c>
      <c r="AL260" s="101" t="s">
        <v>5149</v>
      </c>
      <c r="AM260" s="98" t="s">
        <v>6489</v>
      </c>
      <c r="AN260" s="98" t="s">
        <v>5079</v>
      </c>
      <c r="AO260" s="98" t="s">
        <v>5080</v>
      </c>
      <c r="AP260" s="102">
        <v>76</v>
      </c>
      <c r="AQ260" s="102">
        <v>2015</v>
      </c>
      <c r="AR260" s="99"/>
      <c r="AS260" s="99"/>
      <c r="AT260" s="98" t="s">
        <v>5083</v>
      </c>
      <c r="AU260" s="98" t="s">
        <v>5135</v>
      </c>
      <c r="AV260" s="95">
        <v>0</v>
      </c>
      <c r="AW260" s="94" t="s">
        <v>5084</v>
      </c>
      <c r="AX260" s="95">
        <v>0</v>
      </c>
      <c r="AY260" s="98" t="s">
        <v>5152</v>
      </c>
      <c r="AZ260" s="102">
        <v>5</v>
      </c>
      <c r="BA260" s="102" t="s">
        <v>5153</v>
      </c>
      <c r="BB260" s="93"/>
    </row>
    <row r="261" spans="1:54" ht="13.8">
      <c r="A261" s="94" t="s">
        <v>7117</v>
      </c>
      <c r="B261" s="95" t="s">
        <v>7118</v>
      </c>
      <c r="C261" s="100">
        <v>28652</v>
      </c>
      <c r="D261" s="94" t="s">
        <v>2665</v>
      </c>
      <c r="E261" s="94" t="s">
        <v>2361</v>
      </c>
      <c r="F261" s="97" t="s">
        <v>1417</v>
      </c>
      <c r="G261" s="95">
        <v>402010763</v>
      </c>
      <c r="H261" s="98" t="s">
        <v>5057</v>
      </c>
      <c r="I261" s="95">
        <v>48178005703</v>
      </c>
      <c r="J261" s="98" t="s">
        <v>5088</v>
      </c>
      <c r="K261" s="95" t="s">
        <v>5089</v>
      </c>
      <c r="L261" s="98" t="s">
        <v>7119</v>
      </c>
      <c r="M261" s="98" t="s">
        <v>7120</v>
      </c>
      <c r="N261" s="98" t="s">
        <v>7121</v>
      </c>
      <c r="O261" s="98" t="s">
        <v>7122</v>
      </c>
      <c r="P261" s="95">
        <v>911748222</v>
      </c>
      <c r="Q261" s="98" t="s">
        <v>7123</v>
      </c>
      <c r="R261" s="98" t="s">
        <v>5094</v>
      </c>
      <c r="S261" s="99"/>
      <c r="T261" s="100">
        <v>38723</v>
      </c>
      <c r="U261" s="100">
        <v>37263</v>
      </c>
      <c r="V261" s="98" t="s">
        <v>7124</v>
      </c>
      <c r="W261" s="98" t="s">
        <v>5068</v>
      </c>
      <c r="X261" s="98" t="s">
        <v>5096</v>
      </c>
      <c r="Y261" s="98" t="s">
        <v>5068</v>
      </c>
      <c r="Z261" s="99"/>
      <c r="AA261" s="99"/>
      <c r="AB261" s="99"/>
      <c r="AC261" s="98" t="s">
        <v>7125</v>
      </c>
      <c r="AD261" s="98" t="s">
        <v>7126</v>
      </c>
      <c r="AE261" s="95" t="s">
        <v>7127</v>
      </c>
      <c r="AF261" s="99"/>
      <c r="AG261" s="95">
        <v>0</v>
      </c>
      <c r="AH261" s="94" t="s">
        <v>5074</v>
      </c>
      <c r="AI261" s="94" t="s">
        <v>5122</v>
      </c>
      <c r="AJ261" s="98" t="s">
        <v>5266</v>
      </c>
      <c r="AK261" s="98" t="s">
        <v>5275</v>
      </c>
      <c r="AL261" s="101" t="s">
        <v>5078</v>
      </c>
      <c r="AM261" s="99"/>
      <c r="AN261" s="98" t="s">
        <v>5079</v>
      </c>
      <c r="AO261" s="98" t="s">
        <v>5080</v>
      </c>
      <c r="AP261" s="98" t="s">
        <v>6899</v>
      </c>
      <c r="AQ261" s="102">
        <v>2013</v>
      </c>
      <c r="AR261" s="98" t="s">
        <v>5106</v>
      </c>
      <c r="AS261" s="98" t="s">
        <v>5561</v>
      </c>
      <c r="AT261" s="98" t="s">
        <v>5083</v>
      </c>
      <c r="AU261" s="98" t="s">
        <v>5220</v>
      </c>
      <c r="AV261" s="95">
        <v>0</v>
      </c>
      <c r="AW261" s="94" t="s">
        <v>5074</v>
      </c>
      <c r="AX261" s="95">
        <v>0</v>
      </c>
      <c r="AY261" s="98" t="s">
        <v>5085</v>
      </c>
      <c r="AZ261" s="102">
        <v>3</v>
      </c>
      <c r="BA261" s="105">
        <v>46239</v>
      </c>
      <c r="BB261" s="93"/>
    </row>
    <row r="262" spans="1:54" ht="13.8">
      <c r="A262" s="94" t="s">
        <v>7128</v>
      </c>
      <c r="B262" s="95" t="s">
        <v>7129</v>
      </c>
      <c r="C262" s="100">
        <v>28760</v>
      </c>
      <c r="D262" s="94" t="s">
        <v>2656</v>
      </c>
      <c r="E262" s="94" t="s">
        <v>2361</v>
      </c>
      <c r="F262" s="97" t="s">
        <v>1417</v>
      </c>
      <c r="G262" s="95">
        <v>406001014</v>
      </c>
      <c r="H262" s="98" t="s">
        <v>5057</v>
      </c>
      <c r="I262" s="95">
        <v>40078077977</v>
      </c>
      <c r="J262" s="98" t="s">
        <v>5088</v>
      </c>
      <c r="K262" s="95" t="s">
        <v>5277</v>
      </c>
      <c r="L262" s="98" t="s">
        <v>7130</v>
      </c>
      <c r="M262" s="98" t="s">
        <v>7131</v>
      </c>
      <c r="N262" s="98" t="s">
        <v>7132</v>
      </c>
      <c r="O262" s="98" t="s">
        <v>7133</v>
      </c>
      <c r="P262" s="95">
        <v>935323657</v>
      </c>
      <c r="Q262" s="98" t="s">
        <v>7134</v>
      </c>
      <c r="R262" s="98" t="s">
        <v>5094</v>
      </c>
      <c r="S262" s="99"/>
      <c r="T262" s="100">
        <v>44568</v>
      </c>
      <c r="U262" s="100">
        <v>44799</v>
      </c>
      <c r="V262" s="99"/>
      <c r="W262" s="98" t="s">
        <v>5068</v>
      </c>
      <c r="X262" s="98" t="s">
        <v>5187</v>
      </c>
      <c r="Y262" s="99"/>
      <c r="Z262" s="99"/>
      <c r="AA262" s="99"/>
      <c r="AB262" s="99"/>
      <c r="AC262" s="99"/>
      <c r="AD262" s="99"/>
      <c r="AE262" s="95" t="s">
        <v>7135</v>
      </c>
      <c r="AF262" s="99"/>
      <c r="AG262" s="95">
        <v>0</v>
      </c>
      <c r="AH262" s="94" t="s">
        <v>5084</v>
      </c>
      <c r="AI262" s="94" t="s">
        <v>5122</v>
      </c>
      <c r="AJ262" s="98" t="s">
        <v>5266</v>
      </c>
      <c r="AK262" s="98" t="s">
        <v>5275</v>
      </c>
      <c r="AL262" s="101" t="s">
        <v>5149</v>
      </c>
      <c r="AM262" s="99"/>
      <c r="AN262" s="98" t="s">
        <v>5079</v>
      </c>
      <c r="AO262" s="98" t="s">
        <v>5080</v>
      </c>
      <c r="AP262" s="98" t="s">
        <v>5218</v>
      </c>
      <c r="AQ262" s="102">
        <v>2005</v>
      </c>
      <c r="AR262" s="98" t="s">
        <v>5200</v>
      </c>
      <c r="AS262" s="99"/>
      <c r="AT262" s="99"/>
      <c r="AU262" s="98" t="s">
        <v>5220</v>
      </c>
      <c r="AV262" s="99"/>
      <c r="AW262" s="94" t="s">
        <v>5084</v>
      </c>
      <c r="AX262" s="95">
        <v>0</v>
      </c>
      <c r="AY262" s="98" t="s">
        <v>5152</v>
      </c>
      <c r="AZ262" s="102">
        <v>7</v>
      </c>
      <c r="BA262" s="102" t="s">
        <v>5286</v>
      </c>
      <c r="BB262" s="93"/>
    </row>
    <row r="263" spans="1:54" ht="13.8">
      <c r="A263" s="94" t="s">
        <v>7136</v>
      </c>
      <c r="B263" s="95" t="s">
        <v>7137</v>
      </c>
      <c r="C263" s="100">
        <v>32532</v>
      </c>
      <c r="D263" s="94" t="s">
        <v>2665</v>
      </c>
      <c r="E263" s="94" t="s">
        <v>2361</v>
      </c>
      <c r="F263" s="97" t="s">
        <v>1417</v>
      </c>
      <c r="G263" s="95">
        <v>4814016894</v>
      </c>
      <c r="H263" s="98" t="s">
        <v>5057</v>
      </c>
      <c r="I263" s="95">
        <v>48089007547</v>
      </c>
      <c r="J263" s="98" t="s">
        <v>5088</v>
      </c>
      <c r="K263" s="104">
        <v>44447</v>
      </c>
      <c r="L263" s="98" t="s">
        <v>7138</v>
      </c>
      <c r="M263" s="98" t="s">
        <v>7139</v>
      </c>
      <c r="N263" s="98" t="s">
        <v>7140</v>
      </c>
      <c r="O263" s="98" t="s">
        <v>7140</v>
      </c>
      <c r="P263" s="95">
        <v>865186718</v>
      </c>
      <c r="Q263" s="98" t="s">
        <v>7141</v>
      </c>
      <c r="R263" s="98" t="s">
        <v>5094</v>
      </c>
      <c r="S263" s="99"/>
      <c r="T263" s="100">
        <v>41645</v>
      </c>
      <c r="U263" s="100">
        <v>42010</v>
      </c>
      <c r="V263" s="98" t="s">
        <v>5095</v>
      </c>
      <c r="W263" s="98" t="s">
        <v>5068</v>
      </c>
      <c r="X263" s="98" t="s">
        <v>5096</v>
      </c>
      <c r="Y263" s="98" t="s">
        <v>5068</v>
      </c>
      <c r="Z263" s="99"/>
      <c r="AA263" s="99"/>
      <c r="AB263" s="95" t="s">
        <v>5144</v>
      </c>
      <c r="AC263" s="99"/>
      <c r="AD263" s="99"/>
      <c r="AE263" s="104">
        <v>40701</v>
      </c>
      <c r="AF263" s="99"/>
      <c r="AG263" s="95">
        <v>1</v>
      </c>
      <c r="AH263" s="94" t="s">
        <v>5074</v>
      </c>
      <c r="AI263" s="94" t="s">
        <v>5122</v>
      </c>
      <c r="AJ263" s="98" t="s">
        <v>5266</v>
      </c>
      <c r="AK263" s="98" t="s">
        <v>5275</v>
      </c>
      <c r="AL263" s="101" t="s">
        <v>5149</v>
      </c>
      <c r="AM263" s="98" t="s">
        <v>6051</v>
      </c>
      <c r="AN263" s="98" t="s">
        <v>5079</v>
      </c>
      <c r="AO263" s="98" t="s">
        <v>5080</v>
      </c>
      <c r="AP263" s="102">
        <v>84</v>
      </c>
      <c r="AQ263" s="102">
        <v>2018</v>
      </c>
      <c r="AR263" s="99"/>
      <c r="AS263" s="99"/>
      <c r="AT263" s="98" t="s">
        <v>5083</v>
      </c>
      <c r="AU263" s="98" t="s">
        <v>5135</v>
      </c>
      <c r="AV263" s="95">
        <v>0</v>
      </c>
      <c r="AW263" s="94" t="s">
        <v>5074</v>
      </c>
      <c r="AX263" s="95">
        <v>0</v>
      </c>
      <c r="AY263" s="98" t="s">
        <v>5152</v>
      </c>
      <c r="AZ263" s="102">
        <v>5</v>
      </c>
      <c r="BA263" s="102" t="s">
        <v>5153</v>
      </c>
      <c r="BB263" s="93"/>
    </row>
    <row r="264" spans="1:54" ht="13.8">
      <c r="A264" s="94" t="s">
        <v>7142</v>
      </c>
      <c r="B264" s="95" t="s">
        <v>7143</v>
      </c>
      <c r="C264" s="96">
        <v>28094</v>
      </c>
      <c r="D264" s="94" t="s">
        <v>2665</v>
      </c>
      <c r="E264" s="94" t="s">
        <v>2361</v>
      </c>
      <c r="F264" s="97" t="s">
        <v>1417</v>
      </c>
      <c r="G264" s="95">
        <v>401002406</v>
      </c>
      <c r="H264" s="98" t="s">
        <v>5057</v>
      </c>
      <c r="I264" s="95">
        <v>1176045195</v>
      </c>
      <c r="J264" s="98" t="s">
        <v>5088</v>
      </c>
      <c r="K264" s="95" t="s">
        <v>5277</v>
      </c>
      <c r="L264" s="98" t="s">
        <v>7144</v>
      </c>
      <c r="M264" s="98" t="s">
        <v>5204</v>
      </c>
      <c r="N264" s="98" t="s">
        <v>7145</v>
      </c>
      <c r="O264" s="98" t="s">
        <v>7145</v>
      </c>
      <c r="P264" s="95">
        <v>915221825</v>
      </c>
      <c r="Q264" s="98" t="s">
        <v>7146</v>
      </c>
      <c r="R264" s="98" t="s">
        <v>5094</v>
      </c>
      <c r="S264" s="99"/>
      <c r="T264" s="100">
        <v>40179</v>
      </c>
      <c r="U264" s="100">
        <v>39091</v>
      </c>
      <c r="V264" s="98" t="s">
        <v>5095</v>
      </c>
      <c r="W264" s="98" t="s">
        <v>5068</v>
      </c>
      <c r="X264" s="98" t="s">
        <v>5096</v>
      </c>
      <c r="Y264" s="98" t="s">
        <v>5068</v>
      </c>
      <c r="Z264" s="99"/>
      <c r="AA264" s="99"/>
      <c r="AB264" s="95" t="s">
        <v>5161</v>
      </c>
      <c r="AC264" s="99"/>
      <c r="AD264" s="99"/>
      <c r="AE264" s="95" t="s">
        <v>5161</v>
      </c>
      <c r="AF264" s="99"/>
      <c r="AG264" s="95">
        <v>1</v>
      </c>
      <c r="AH264" s="94" t="s">
        <v>5074</v>
      </c>
      <c r="AI264" s="94" t="s">
        <v>5122</v>
      </c>
      <c r="AJ264" s="98" t="s">
        <v>5407</v>
      </c>
      <c r="AK264" s="98" t="s">
        <v>3075</v>
      </c>
      <c r="AL264" s="101" t="s">
        <v>5149</v>
      </c>
      <c r="AM264" s="98" t="s">
        <v>6073</v>
      </c>
      <c r="AN264" s="98" t="s">
        <v>5079</v>
      </c>
      <c r="AO264" s="98" t="s">
        <v>3216</v>
      </c>
      <c r="AP264" s="102">
        <v>935</v>
      </c>
      <c r="AQ264" s="102">
        <v>2017</v>
      </c>
      <c r="AR264" s="99"/>
      <c r="AS264" s="99"/>
      <c r="AT264" s="99"/>
      <c r="AU264" s="98" t="s">
        <v>5220</v>
      </c>
      <c r="AV264" s="95">
        <v>0</v>
      </c>
      <c r="AW264" s="94" t="s">
        <v>5074</v>
      </c>
      <c r="AX264" s="95">
        <v>0</v>
      </c>
      <c r="AY264" s="98" t="s">
        <v>5152</v>
      </c>
      <c r="AZ264" s="102">
        <v>8</v>
      </c>
      <c r="BA264" s="102" t="s">
        <v>5211</v>
      </c>
      <c r="BB264" s="93"/>
    </row>
    <row r="265" spans="1:54" ht="13.8">
      <c r="A265" s="94" t="s">
        <v>7147</v>
      </c>
      <c r="B265" s="95" t="s">
        <v>7148</v>
      </c>
      <c r="C265" s="100">
        <v>31607</v>
      </c>
      <c r="D265" s="94" t="s">
        <v>2665</v>
      </c>
      <c r="E265" s="94" t="s">
        <v>2361</v>
      </c>
      <c r="F265" s="97" t="s">
        <v>1417</v>
      </c>
      <c r="G265" s="95">
        <v>4808004729</v>
      </c>
      <c r="H265" s="98" t="s">
        <v>5057</v>
      </c>
      <c r="I265" s="95">
        <v>44180006331</v>
      </c>
      <c r="J265" s="98" t="s">
        <v>5088</v>
      </c>
      <c r="K265" s="95" t="s">
        <v>5202</v>
      </c>
      <c r="L265" s="98" t="s">
        <v>7149</v>
      </c>
      <c r="M265" s="98" t="s">
        <v>7150</v>
      </c>
      <c r="N265" s="98" t="s">
        <v>7151</v>
      </c>
      <c r="O265" s="98" t="s">
        <v>7152</v>
      </c>
      <c r="P265" s="95">
        <v>905560668</v>
      </c>
      <c r="Q265" s="98" t="s">
        <v>7153</v>
      </c>
      <c r="R265" s="98" t="s">
        <v>5094</v>
      </c>
      <c r="S265" s="98" t="s">
        <v>5116</v>
      </c>
      <c r="T265" s="100">
        <v>40185</v>
      </c>
      <c r="U265" s="100">
        <v>40550</v>
      </c>
      <c r="V265" s="98" t="s">
        <v>7154</v>
      </c>
      <c r="W265" s="98" t="s">
        <v>5068</v>
      </c>
      <c r="X265" s="98" t="s">
        <v>5096</v>
      </c>
      <c r="Y265" s="98" t="s">
        <v>5068</v>
      </c>
      <c r="Z265" s="99"/>
      <c r="AA265" s="99"/>
      <c r="AB265" s="99"/>
      <c r="AC265" s="99"/>
      <c r="AD265" s="99"/>
      <c r="AE265" s="95" t="s">
        <v>7155</v>
      </c>
      <c r="AF265" s="99"/>
      <c r="AG265" s="95">
        <v>1</v>
      </c>
      <c r="AH265" s="94" t="s">
        <v>5084</v>
      </c>
      <c r="AI265" s="94" t="s">
        <v>5122</v>
      </c>
      <c r="AJ265" s="98" t="s">
        <v>5407</v>
      </c>
      <c r="AK265" s="98" t="s">
        <v>7116</v>
      </c>
      <c r="AL265" s="101" t="s">
        <v>5149</v>
      </c>
      <c r="AM265" s="98" t="s">
        <v>6489</v>
      </c>
      <c r="AN265" s="98" t="s">
        <v>5079</v>
      </c>
      <c r="AO265" s="98" t="s">
        <v>5080</v>
      </c>
      <c r="AP265" s="102">
        <v>76</v>
      </c>
      <c r="AQ265" s="102">
        <v>2009</v>
      </c>
      <c r="AR265" s="98" t="s">
        <v>5200</v>
      </c>
      <c r="AS265" s="99"/>
      <c r="AT265" s="99"/>
      <c r="AU265" s="98" t="s">
        <v>5220</v>
      </c>
      <c r="AV265" s="95">
        <v>0</v>
      </c>
      <c r="AW265" s="94" t="s">
        <v>5084</v>
      </c>
      <c r="AX265" s="95">
        <v>0</v>
      </c>
      <c r="AY265" s="98" t="s">
        <v>5085</v>
      </c>
      <c r="AZ265" s="102">
        <v>2</v>
      </c>
      <c r="BA265" s="102" t="s">
        <v>5086</v>
      </c>
      <c r="BB265" s="93"/>
    </row>
    <row r="266" spans="1:54" ht="13.8">
      <c r="A266" s="94" t="s">
        <v>7156</v>
      </c>
      <c r="B266" s="95" t="s">
        <v>7157</v>
      </c>
      <c r="C266" s="100">
        <v>29529</v>
      </c>
      <c r="D266" s="94" t="s">
        <v>2665</v>
      </c>
      <c r="E266" s="94" t="s">
        <v>2361</v>
      </c>
      <c r="F266" s="97" t="s">
        <v>1417</v>
      </c>
      <c r="G266" s="95">
        <v>4810023189</v>
      </c>
      <c r="H266" s="98" t="s">
        <v>5057</v>
      </c>
      <c r="I266" s="95">
        <v>48185000655</v>
      </c>
      <c r="J266" s="98" t="s">
        <v>5088</v>
      </c>
      <c r="K266" s="95" t="s">
        <v>7158</v>
      </c>
      <c r="L266" s="98" t="s">
        <v>6462</v>
      </c>
      <c r="M266" s="98" t="s">
        <v>7159</v>
      </c>
      <c r="N266" s="98" t="s">
        <v>7160</v>
      </c>
      <c r="O266" s="98" t="s">
        <v>7161</v>
      </c>
      <c r="P266" s="95">
        <v>903577183</v>
      </c>
      <c r="Q266" s="98" t="s">
        <v>7162</v>
      </c>
      <c r="R266" s="98" t="s">
        <v>5094</v>
      </c>
      <c r="S266" s="99"/>
      <c r="T266" s="100">
        <v>46023</v>
      </c>
      <c r="U266" s="109"/>
      <c r="V266" s="98" t="s">
        <v>5095</v>
      </c>
      <c r="W266" s="98" t="s">
        <v>5068</v>
      </c>
      <c r="X266" s="98" t="s">
        <v>5096</v>
      </c>
      <c r="Y266" s="98" t="s">
        <v>5068</v>
      </c>
      <c r="Z266" s="99"/>
      <c r="AA266" s="99"/>
      <c r="AB266" s="95" t="s">
        <v>5161</v>
      </c>
      <c r="AC266" s="99"/>
      <c r="AD266" s="99"/>
      <c r="AE266" s="95" t="s">
        <v>5161</v>
      </c>
      <c r="AF266" s="99"/>
      <c r="AG266" s="95">
        <v>1</v>
      </c>
      <c r="AH266" s="94" t="s">
        <v>5084</v>
      </c>
      <c r="AI266" s="94" t="s">
        <v>5122</v>
      </c>
      <c r="AJ266" s="98" t="s">
        <v>5134</v>
      </c>
      <c r="AK266" s="98" t="s">
        <v>7163</v>
      </c>
      <c r="AL266" s="101" t="s">
        <v>5078</v>
      </c>
      <c r="AM266" s="98" t="s">
        <v>5716</v>
      </c>
      <c r="AN266" s="98" t="s">
        <v>5079</v>
      </c>
      <c r="AO266" s="98" t="s">
        <v>5080</v>
      </c>
      <c r="AP266" s="102">
        <v>87</v>
      </c>
      <c r="AQ266" s="102">
        <v>2009</v>
      </c>
      <c r="AR266" s="99"/>
      <c r="AS266" s="99"/>
      <c r="AT266" s="98" t="s">
        <v>5083</v>
      </c>
      <c r="AU266" s="98" t="s">
        <v>6353</v>
      </c>
      <c r="AV266" s="95">
        <v>0</v>
      </c>
      <c r="AW266" s="94" t="s">
        <v>5084</v>
      </c>
      <c r="AX266" s="95">
        <v>0</v>
      </c>
      <c r="AY266" s="98" t="s">
        <v>5152</v>
      </c>
      <c r="AZ266" s="102">
        <v>6</v>
      </c>
      <c r="BA266" s="102" t="s">
        <v>5260</v>
      </c>
      <c r="BB266" s="93"/>
    </row>
    <row r="267" spans="1:54" ht="13.8">
      <c r="A267" s="94" t="s">
        <v>7164</v>
      </c>
      <c r="B267" s="95" t="s">
        <v>7165</v>
      </c>
      <c r="C267" s="100">
        <v>31161</v>
      </c>
      <c r="D267" s="94" t="s">
        <v>2665</v>
      </c>
      <c r="E267" s="94" t="s">
        <v>2361</v>
      </c>
      <c r="F267" s="97" t="s">
        <v>1417</v>
      </c>
      <c r="G267" s="95">
        <v>4814016407</v>
      </c>
      <c r="H267" s="99"/>
      <c r="I267" s="95">
        <v>45186004312</v>
      </c>
      <c r="J267" s="98" t="s">
        <v>5088</v>
      </c>
      <c r="K267" s="104">
        <v>44538</v>
      </c>
      <c r="L267" s="98" t="s">
        <v>5476</v>
      </c>
      <c r="M267" s="98" t="s">
        <v>7166</v>
      </c>
      <c r="N267" s="98" t="s">
        <v>7167</v>
      </c>
      <c r="O267" s="98" t="s">
        <v>7167</v>
      </c>
      <c r="P267" s="95">
        <v>983275147</v>
      </c>
      <c r="Q267" s="98" t="s">
        <v>7168</v>
      </c>
      <c r="R267" s="98" t="s">
        <v>5094</v>
      </c>
      <c r="S267" s="99"/>
      <c r="T267" s="100">
        <v>37992</v>
      </c>
      <c r="U267" s="100">
        <v>39452</v>
      </c>
      <c r="V267" s="99"/>
      <c r="W267" s="99"/>
      <c r="X267" s="98" t="s">
        <v>5187</v>
      </c>
      <c r="Y267" s="99"/>
      <c r="Z267" s="99"/>
      <c r="AA267" s="99"/>
      <c r="AB267" s="99"/>
      <c r="AC267" s="99"/>
      <c r="AD267" s="99"/>
      <c r="AE267" s="99"/>
      <c r="AF267" s="99"/>
      <c r="AG267" s="95">
        <v>0</v>
      </c>
      <c r="AH267" s="94" t="s">
        <v>5084</v>
      </c>
      <c r="AI267" s="94" t="s">
        <v>5133</v>
      </c>
      <c r="AJ267" s="98" t="s">
        <v>5266</v>
      </c>
      <c r="AK267" s="98" t="s">
        <v>7169</v>
      </c>
      <c r="AL267" s="101" t="s">
        <v>5149</v>
      </c>
      <c r="AM267" s="99"/>
      <c r="AN267" s="98" t="s">
        <v>5079</v>
      </c>
      <c r="AO267" s="98" t="s">
        <v>5080</v>
      </c>
      <c r="AP267" s="98" t="s">
        <v>5425</v>
      </c>
      <c r="AQ267" s="102">
        <v>2011</v>
      </c>
      <c r="AR267" s="99"/>
      <c r="AS267" s="99"/>
      <c r="AT267" s="99"/>
      <c r="AU267" s="98" t="s">
        <v>5220</v>
      </c>
      <c r="AV267" s="99"/>
      <c r="AW267" s="94" t="s">
        <v>5084</v>
      </c>
      <c r="AX267" s="95">
        <v>1</v>
      </c>
      <c r="AY267" s="98" t="s">
        <v>5152</v>
      </c>
      <c r="AZ267" s="102">
        <v>4</v>
      </c>
      <c r="BA267" s="102" t="s">
        <v>5168</v>
      </c>
      <c r="BB267" s="93"/>
    </row>
    <row r="268" spans="1:54" ht="13.8">
      <c r="A268" s="94" t="s">
        <v>7170</v>
      </c>
      <c r="B268" s="95" t="s">
        <v>7171</v>
      </c>
      <c r="C268" s="100">
        <v>30655</v>
      </c>
      <c r="D268" s="94" t="s">
        <v>2656</v>
      </c>
      <c r="E268" s="94" t="s">
        <v>2361</v>
      </c>
      <c r="F268" s="97" t="s">
        <v>1417</v>
      </c>
      <c r="G268" s="95">
        <v>4813008503</v>
      </c>
      <c r="H268" s="98" t="s">
        <v>5057</v>
      </c>
      <c r="I268" s="95">
        <v>42083018456</v>
      </c>
      <c r="J268" s="98" t="s">
        <v>5088</v>
      </c>
      <c r="K268" s="95" t="s">
        <v>7172</v>
      </c>
      <c r="L268" s="98" t="s">
        <v>7173</v>
      </c>
      <c r="M268" s="98" t="s">
        <v>7174</v>
      </c>
      <c r="N268" s="98" t="s">
        <v>7175</v>
      </c>
      <c r="O268" s="98" t="s">
        <v>7176</v>
      </c>
      <c r="P268" s="95">
        <v>984695635</v>
      </c>
      <c r="Q268" s="98" t="s">
        <v>7177</v>
      </c>
      <c r="R268" s="98" t="s">
        <v>5094</v>
      </c>
      <c r="S268" s="98" t="s">
        <v>5116</v>
      </c>
      <c r="T268" s="100">
        <v>40920</v>
      </c>
      <c r="U268" s="100">
        <v>41286</v>
      </c>
      <c r="V268" s="98" t="s">
        <v>5095</v>
      </c>
      <c r="W268" s="98" t="s">
        <v>5068</v>
      </c>
      <c r="X268" s="98" t="s">
        <v>5096</v>
      </c>
      <c r="Y268" s="98" t="s">
        <v>5068</v>
      </c>
      <c r="Z268" s="99"/>
      <c r="AA268" s="99"/>
      <c r="AB268" s="99"/>
      <c r="AC268" s="99"/>
      <c r="AD268" s="98" t="s">
        <v>7178</v>
      </c>
      <c r="AE268" s="95" t="s">
        <v>5161</v>
      </c>
      <c r="AF268" s="99"/>
      <c r="AG268" s="95">
        <v>1</v>
      </c>
      <c r="AH268" s="94" t="s">
        <v>5074</v>
      </c>
      <c r="AI268" s="94" t="s">
        <v>5133</v>
      </c>
      <c r="AJ268" s="98" t="s">
        <v>5134</v>
      </c>
      <c r="AK268" s="98" t="s">
        <v>5275</v>
      </c>
      <c r="AL268" s="101" t="s">
        <v>5078</v>
      </c>
      <c r="AM268" s="98" t="s">
        <v>6051</v>
      </c>
      <c r="AN268" s="98" t="s">
        <v>5079</v>
      </c>
      <c r="AO268" s="98" t="s">
        <v>5080</v>
      </c>
      <c r="AP268" s="102">
        <v>84</v>
      </c>
      <c r="AQ268" s="102">
        <v>2016</v>
      </c>
      <c r="AR268" s="98" t="s">
        <v>5200</v>
      </c>
      <c r="AS268" s="99"/>
      <c r="AT268" s="98" t="s">
        <v>5083</v>
      </c>
      <c r="AU268" s="98" t="s">
        <v>5228</v>
      </c>
      <c r="AV268" s="95">
        <v>0</v>
      </c>
      <c r="AW268" s="94" t="s">
        <v>5074</v>
      </c>
      <c r="AX268" s="95">
        <v>0</v>
      </c>
      <c r="AY268" s="98" t="s">
        <v>5085</v>
      </c>
      <c r="AZ268" s="102">
        <v>2</v>
      </c>
      <c r="BA268" s="102" t="s">
        <v>5086</v>
      </c>
      <c r="BB268" s="93"/>
    </row>
    <row r="269" spans="1:54" ht="13.8">
      <c r="A269" s="94" t="s">
        <v>4750</v>
      </c>
      <c r="B269" s="95" t="s">
        <v>4751</v>
      </c>
      <c r="C269" s="100">
        <v>30038</v>
      </c>
      <c r="D269" s="94" t="s">
        <v>2665</v>
      </c>
      <c r="E269" s="94" t="s">
        <v>2361</v>
      </c>
      <c r="F269" s="97" t="s">
        <v>1417</v>
      </c>
      <c r="G269" s="95">
        <v>4808000486</v>
      </c>
      <c r="H269" s="98" t="s">
        <v>5057</v>
      </c>
      <c r="I269" s="95">
        <v>48182001259</v>
      </c>
      <c r="J269" s="98" t="s">
        <v>5088</v>
      </c>
      <c r="K269" s="95" t="s">
        <v>5277</v>
      </c>
      <c r="L269" s="98" t="s">
        <v>7179</v>
      </c>
      <c r="M269" s="98" t="s">
        <v>6523</v>
      </c>
      <c r="N269" s="98" t="s">
        <v>6106</v>
      </c>
      <c r="O269" s="98" t="s">
        <v>6106</v>
      </c>
      <c r="P269" s="95">
        <v>905197008</v>
      </c>
      <c r="Q269" s="98" t="s">
        <v>7180</v>
      </c>
      <c r="R269" s="98" t="s">
        <v>5094</v>
      </c>
      <c r="S269" s="99"/>
      <c r="T269" s="100">
        <v>38487</v>
      </c>
      <c r="U269" s="100">
        <v>39088</v>
      </c>
      <c r="V269" s="98" t="s">
        <v>5095</v>
      </c>
      <c r="W269" s="98" t="s">
        <v>5068</v>
      </c>
      <c r="X269" s="98" t="s">
        <v>5096</v>
      </c>
      <c r="Y269" s="98" t="s">
        <v>5068</v>
      </c>
      <c r="Z269" s="99"/>
      <c r="AA269" s="99"/>
      <c r="AB269" s="111"/>
      <c r="AC269" s="99"/>
      <c r="AD269" s="98" t="s">
        <v>5504</v>
      </c>
      <c r="AE269" s="95" t="s">
        <v>5161</v>
      </c>
      <c r="AF269" s="99"/>
      <c r="AG269" s="95">
        <v>1</v>
      </c>
      <c r="AH269" s="94" t="s">
        <v>5074</v>
      </c>
      <c r="AI269" s="94" t="s">
        <v>5122</v>
      </c>
      <c r="AJ269" s="98" t="s">
        <v>5266</v>
      </c>
      <c r="AK269" s="98" t="s">
        <v>7181</v>
      </c>
      <c r="AL269" s="101" t="s">
        <v>5078</v>
      </c>
      <c r="AM269" s="98" t="s">
        <v>6489</v>
      </c>
      <c r="AN269" s="98" t="s">
        <v>5079</v>
      </c>
      <c r="AO269" s="98" t="s">
        <v>5080</v>
      </c>
      <c r="AP269" s="102">
        <v>76</v>
      </c>
      <c r="AQ269" s="102">
        <v>2015</v>
      </c>
      <c r="AR269" s="98" t="s">
        <v>5200</v>
      </c>
      <c r="AS269" s="99"/>
      <c r="AT269" s="98" t="s">
        <v>5083</v>
      </c>
      <c r="AU269" s="98" t="s">
        <v>5220</v>
      </c>
      <c r="AV269" s="95">
        <v>0</v>
      </c>
      <c r="AW269" s="94" t="s">
        <v>5074</v>
      </c>
      <c r="AX269" s="95">
        <v>0</v>
      </c>
      <c r="AY269" s="98" t="s">
        <v>5085</v>
      </c>
      <c r="AZ269" s="102">
        <v>3</v>
      </c>
      <c r="BA269" s="105">
        <v>46239</v>
      </c>
      <c r="BB269" s="93"/>
    </row>
    <row r="270" spans="1:54" ht="13.8">
      <c r="A270" s="94" t="s">
        <v>7182</v>
      </c>
      <c r="B270" s="95" t="s">
        <v>7183</v>
      </c>
      <c r="C270" s="100">
        <v>29968</v>
      </c>
      <c r="D270" s="94" t="s">
        <v>2665</v>
      </c>
      <c r="E270" s="94" t="s">
        <v>2361</v>
      </c>
      <c r="F270" s="97" t="s">
        <v>1417</v>
      </c>
      <c r="G270" s="95">
        <v>4808000488</v>
      </c>
      <c r="H270" s="98" t="s">
        <v>5057</v>
      </c>
      <c r="I270" s="95">
        <v>49182009090</v>
      </c>
      <c r="J270" s="98" t="s">
        <v>5088</v>
      </c>
      <c r="K270" s="95" t="s">
        <v>5089</v>
      </c>
      <c r="L270" s="98" t="s">
        <v>7184</v>
      </c>
      <c r="M270" s="98" t="s">
        <v>7185</v>
      </c>
      <c r="N270" s="98" t="s">
        <v>7186</v>
      </c>
      <c r="O270" s="98" t="s">
        <v>7186</v>
      </c>
      <c r="P270" s="95">
        <v>905102095</v>
      </c>
      <c r="Q270" s="98" t="s">
        <v>7187</v>
      </c>
      <c r="R270" s="98" t="s">
        <v>5094</v>
      </c>
      <c r="S270" s="99"/>
      <c r="T270" s="100">
        <v>40185</v>
      </c>
      <c r="U270" s="100">
        <v>40885</v>
      </c>
      <c r="V270" s="98" t="s">
        <v>5095</v>
      </c>
      <c r="W270" s="98" t="s">
        <v>5142</v>
      </c>
      <c r="X270" s="98" t="s">
        <v>5096</v>
      </c>
      <c r="Y270" s="99"/>
      <c r="Z270" s="99"/>
      <c r="AA270" s="99"/>
      <c r="AB270" s="95" t="s">
        <v>5161</v>
      </c>
      <c r="AC270" s="99"/>
      <c r="AD270" s="99"/>
      <c r="AE270" s="104">
        <v>41071</v>
      </c>
      <c r="AF270" s="99"/>
      <c r="AG270" s="95">
        <v>1</v>
      </c>
      <c r="AH270" s="94" t="s">
        <v>5162</v>
      </c>
      <c r="AI270" s="94" t="s">
        <v>5122</v>
      </c>
      <c r="AJ270" s="98" t="s">
        <v>6857</v>
      </c>
      <c r="AK270" s="98" t="s">
        <v>7188</v>
      </c>
      <c r="AL270" s="101" t="s">
        <v>5142</v>
      </c>
      <c r="AM270" s="98" t="s">
        <v>5268</v>
      </c>
      <c r="AN270" s="98" t="s">
        <v>5455</v>
      </c>
      <c r="AO270" s="98" t="s">
        <v>5080</v>
      </c>
      <c r="AP270" s="102">
        <v>83</v>
      </c>
      <c r="AQ270" s="102">
        <v>2010</v>
      </c>
      <c r="AR270" s="98" t="s">
        <v>5200</v>
      </c>
      <c r="AS270" s="98" t="s">
        <v>5142</v>
      </c>
      <c r="AT270" s="99"/>
      <c r="AU270" s="98" t="s">
        <v>5228</v>
      </c>
      <c r="AV270" s="95">
        <v>0</v>
      </c>
      <c r="AW270" s="94" t="s">
        <v>5162</v>
      </c>
      <c r="AX270" s="95">
        <v>0</v>
      </c>
      <c r="AY270" s="98" t="s">
        <v>5167</v>
      </c>
      <c r="AZ270" s="102">
        <v>5</v>
      </c>
      <c r="BA270" s="102" t="s">
        <v>5153</v>
      </c>
      <c r="BB270" s="93"/>
    </row>
    <row r="271" spans="1:54" ht="13.8">
      <c r="A271" s="94" t="s">
        <v>7189</v>
      </c>
      <c r="B271" s="95" t="s">
        <v>7190</v>
      </c>
      <c r="C271" s="100">
        <v>30921</v>
      </c>
      <c r="D271" s="94" t="s">
        <v>2665</v>
      </c>
      <c r="E271" s="94" t="s">
        <v>2361</v>
      </c>
      <c r="F271" s="97" t="s">
        <v>1417</v>
      </c>
      <c r="G271" s="95">
        <v>4810025968</v>
      </c>
      <c r="H271" s="98" t="s">
        <v>5057</v>
      </c>
      <c r="I271" s="95">
        <v>46184015033</v>
      </c>
      <c r="J271" s="98" t="s">
        <v>5929</v>
      </c>
      <c r="K271" s="95" t="s">
        <v>7191</v>
      </c>
      <c r="L271" s="98" t="s">
        <v>7192</v>
      </c>
      <c r="M271" s="98" t="s">
        <v>7193</v>
      </c>
      <c r="N271" s="98" t="s">
        <v>7194</v>
      </c>
      <c r="O271" s="98" t="s">
        <v>7194</v>
      </c>
      <c r="P271" s="95">
        <v>986961928</v>
      </c>
      <c r="Q271" s="99"/>
      <c r="R271" s="98" t="s">
        <v>5094</v>
      </c>
      <c r="S271" s="99"/>
      <c r="T271" s="100">
        <v>46023</v>
      </c>
      <c r="U271" s="109"/>
      <c r="V271" s="99"/>
      <c r="W271" s="98" t="s">
        <v>5821</v>
      </c>
      <c r="X271" s="98" t="s">
        <v>5187</v>
      </c>
      <c r="Y271" s="99"/>
      <c r="Z271" s="99"/>
      <c r="AA271" s="99"/>
      <c r="AB271" s="99"/>
      <c r="AC271" s="99"/>
      <c r="AD271" s="99"/>
      <c r="AE271" s="99"/>
      <c r="AF271" s="99"/>
      <c r="AG271" s="95">
        <v>0</v>
      </c>
      <c r="AH271" s="94" t="s">
        <v>5074</v>
      </c>
      <c r="AI271" s="94" t="s">
        <v>5122</v>
      </c>
      <c r="AJ271" s="98" t="s">
        <v>5266</v>
      </c>
      <c r="AK271" s="98" t="s">
        <v>7195</v>
      </c>
      <c r="AL271" s="101" t="s">
        <v>5149</v>
      </c>
      <c r="AM271" s="99"/>
      <c r="AN271" s="98" t="s">
        <v>5079</v>
      </c>
      <c r="AO271" s="98" t="s">
        <v>5080</v>
      </c>
      <c r="AP271" s="98" t="s">
        <v>6132</v>
      </c>
      <c r="AQ271" s="102">
        <v>2022</v>
      </c>
      <c r="AR271" s="99"/>
      <c r="AS271" s="99"/>
      <c r="AT271" s="99"/>
      <c r="AU271" s="98" t="s">
        <v>5151</v>
      </c>
      <c r="AV271" s="99"/>
      <c r="AW271" s="94" t="s">
        <v>5074</v>
      </c>
      <c r="AX271" s="95">
        <v>1</v>
      </c>
      <c r="AY271" s="98" t="s">
        <v>5152</v>
      </c>
      <c r="AZ271" s="102">
        <v>7</v>
      </c>
      <c r="BA271" s="102" t="s">
        <v>5286</v>
      </c>
      <c r="BB271" s="93"/>
    </row>
    <row r="272" spans="1:54" ht="13.8">
      <c r="A272" s="94" t="s">
        <v>7196</v>
      </c>
      <c r="B272" s="95" t="s">
        <v>7197</v>
      </c>
      <c r="C272" s="96">
        <v>31407</v>
      </c>
      <c r="D272" s="94" t="s">
        <v>2665</v>
      </c>
      <c r="E272" s="94" t="s">
        <v>2361</v>
      </c>
      <c r="F272" s="97" t="s">
        <v>1417</v>
      </c>
      <c r="G272" s="95">
        <v>4810031411</v>
      </c>
      <c r="H272" s="98" t="s">
        <v>5057</v>
      </c>
      <c r="I272" s="95">
        <v>24185006194</v>
      </c>
      <c r="J272" s="98" t="s">
        <v>5088</v>
      </c>
      <c r="K272" s="95" t="s">
        <v>7198</v>
      </c>
      <c r="L272" s="98" t="s">
        <v>7199</v>
      </c>
      <c r="M272" s="98" t="s">
        <v>7200</v>
      </c>
      <c r="N272" s="98" t="s">
        <v>7201</v>
      </c>
      <c r="O272" s="98" t="s">
        <v>7201</v>
      </c>
      <c r="P272" s="95">
        <v>1239502418</v>
      </c>
      <c r="Q272" s="98" t="s">
        <v>7202</v>
      </c>
      <c r="R272" s="98" t="s">
        <v>5094</v>
      </c>
      <c r="S272" s="99"/>
      <c r="T272" s="100">
        <v>40189</v>
      </c>
      <c r="U272" s="100">
        <v>40554</v>
      </c>
      <c r="V272" s="98" t="s">
        <v>5095</v>
      </c>
      <c r="W272" s="98" t="s">
        <v>5068</v>
      </c>
      <c r="X272" s="98" t="s">
        <v>5096</v>
      </c>
      <c r="Y272" s="98" t="s">
        <v>5068</v>
      </c>
      <c r="Z272" s="99"/>
      <c r="AA272" s="99"/>
      <c r="AB272" s="95" t="s">
        <v>5161</v>
      </c>
      <c r="AC272" s="99"/>
      <c r="AD272" s="99"/>
      <c r="AE272" s="95" t="s">
        <v>5161</v>
      </c>
      <c r="AF272" s="99"/>
      <c r="AG272" s="95">
        <v>1</v>
      </c>
      <c r="AH272" s="94" t="s">
        <v>5074</v>
      </c>
      <c r="AI272" s="94" t="s">
        <v>5133</v>
      </c>
      <c r="AJ272" s="98" t="s">
        <v>5134</v>
      </c>
      <c r="AK272" s="98" t="s">
        <v>7203</v>
      </c>
      <c r="AL272" s="101" t="s">
        <v>5078</v>
      </c>
      <c r="AM272" s="98" t="s">
        <v>3209</v>
      </c>
      <c r="AN272" s="98" t="s">
        <v>5079</v>
      </c>
      <c r="AO272" s="98" t="s">
        <v>3209</v>
      </c>
      <c r="AP272" s="102">
        <v>921</v>
      </c>
      <c r="AQ272" s="102">
        <v>2017</v>
      </c>
      <c r="AR272" s="98" t="s">
        <v>5200</v>
      </c>
      <c r="AS272" s="99"/>
      <c r="AT272" s="98" t="s">
        <v>5083</v>
      </c>
      <c r="AU272" s="98" t="s">
        <v>5220</v>
      </c>
      <c r="AV272" s="95">
        <v>0</v>
      </c>
      <c r="AW272" s="94" t="s">
        <v>5074</v>
      </c>
      <c r="AX272" s="95">
        <v>0</v>
      </c>
      <c r="AY272" s="98" t="s">
        <v>5085</v>
      </c>
      <c r="AZ272" s="102">
        <v>1</v>
      </c>
      <c r="BA272" s="110">
        <v>46116</v>
      </c>
      <c r="BB272" s="93"/>
    </row>
    <row r="273" spans="1:54" ht="13.8">
      <c r="A273" s="94" t="s">
        <v>7204</v>
      </c>
      <c r="B273" s="95" t="s">
        <v>7205</v>
      </c>
      <c r="C273" s="100">
        <v>32874</v>
      </c>
      <c r="D273" s="94" t="s">
        <v>2665</v>
      </c>
      <c r="E273" s="94" t="s">
        <v>2361</v>
      </c>
      <c r="F273" s="97" t="s">
        <v>1417</v>
      </c>
      <c r="G273" s="95">
        <v>4813008505</v>
      </c>
      <c r="H273" s="98" t="s">
        <v>5057</v>
      </c>
      <c r="I273" s="95">
        <v>49190015930</v>
      </c>
      <c r="J273" s="98" t="s">
        <v>5088</v>
      </c>
      <c r="K273" s="104">
        <v>44781</v>
      </c>
      <c r="L273" s="98" t="s">
        <v>7206</v>
      </c>
      <c r="M273" s="98" t="s">
        <v>7207</v>
      </c>
      <c r="N273" s="98" t="s">
        <v>7208</v>
      </c>
      <c r="O273" s="98" t="s">
        <v>7209</v>
      </c>
      <c r="P273" s="95">
        <v>977090676</v>
      </c>
      <c r="Q273" s="98" t="s">
        <v>7210</v>
      </c>
      <c r="R273" s="98" t="s">
        <v>5094</v>
      </c>
      <c r="S273" s="99"/>
      <c r="T273" s="100">
        <v>40920</v>
      </c>
      <c r="U273" s="100">
        <v>41286</v>
      </c>
      <c r="V273" s="98" t="s">
        <v>5095</v>
      </c>
      <c r="W273" s="98" t="s">
        <v>5068</v>
      </c>
      <c r="X273" s="98" t="s">
        <v>5187</v>
      </c>
      <c r="Y273" s="98" t="s">
        <v>5068</v>
      </c>
      <c r="Z273" s="99"/>
      <c r="AA273" s="99"/>
      <c r="AB273" s="95" t="s">
        <v>5161</v>
      </c>
      <c r="AC273" s="99"/>
      <c r="AD273" s="99"/>
      <c r="AE273" s="95" t="s">
        <v>5161</v>
      </c>
      <c r="AF273" s="99"/>
      <c r="AG273" s="95">
        <v>1</v>
      </c>
      <c r="AH273" s="94" t="s">
        <v>5084</v>
      </c>
      <c r="AI273" s="94" t="s">
        <v>5122</v>
      </c>
      <c r="AJ273" s="98" t="s">
        <v>5407</v>
      </c>
      <c r="AK273" s="98" t="s">
        <v>3075</v>
      </c>
      <c r="AL273" s="101" t="s">
        <v>5149</v>
      </c>
      <c r="AM273" s="98" t="s">
        <v>6489</v>
      </c>
      <c r="AN273" s="98" t="s">
        <v>5079</v>
      </c>
      <c r="AO273" s="98" t="s">
        <v>5080</v>
      </c>
      <c r="AP273" s="102">
        <v>76</v>
      </c>
      <c r="AQ273" s="102">
        <v>2016</v>
      </c>
      <c r="AR273" s="99"/>
      <c r="AS273" s="99"/>
      <c r="AT273" s="98" t="s">
        <v>5083</v>
      </c>
      <c r="AU273" s="98" t="s">
        <v>5228</v>
      </c>
      <c r="AV273" s="95">
        <v>0</v>
      </c>
      <c r="AW273" s="94" t="s">
        <v>5084</v>
      </c>
      <c r="AX273" s="95">
        <v>0</v>
      </c>
      <c r="AY273" s="98" t="s">
        <v>5152</v>
      </c>
      <c r="AZ273" s="102">
        <v>4</v>
      </c>
      <c r="BA273" s="102" t="s">
        <v>5168</v>
      </c>
      <c r="BB273" s="93"/>
    </row>
    <row r="274" spans="1:54" ht="13.8">
      <c r="A274" s="94" t="s">
        <v>4810</v>
      </c>
      <c r="B274" s="95" t="s">
        <v>4811</v>
      </c>
      <c r="C274" s="100">
        <v>31444</v>
      </c>
      <c r="D274" s="94" t="s">
        <v>2665</v>
      </c>
      <c r="E274" s="94" t="s">
        <v>2361</v>
      </c>
      <c r="F274" s="97" t="s">
        <v>1417</v>
      </c>
      <c r="G274" s="95">
        <v>4809012902</v>
      </c>
      <c r="H274" s="98" t="s">
        <v>5057</v>
      </c>
      <c r="I274" s="95">
        <v>48186000120</v>
      </c>
      <c r="J274" s="98" t="s">
        <v>5088</v>
      </c>
      <c r="K274" s="95" t="s">
        <v>6135</v>
      </c>
      <c r="L274" s="98" t="s">
        <v>7211</v>
      </c>
      <c r="M274" s="98" t="s">
        <v>7212</v>
      </c>
      <c r="N274" s="98" t="s">
        <v>7213</v>
      </c>
      <c r="O274" s="98" t="s">
        <v>7213</v>
      </c>
      <c r="P274" s="95">
        <v>983227448</v>
      </c>
      <c r="Q274" s="98" t="s">
        <v>7214</v>
      </c>
      <c r="R274" s="98" t="s">
        <v>5094</v>
      </c>
      <c r="S274" s="99"/>
      <c r="T274" s="100">
        <v>39845</v>
      </c>
      <c r="U274" s="100">
        <v>40547</v>
      </c>
      <c r="V274" s="98" t="s">
        <v>5095</v>
      </c>
      <c r="W274" s="98" t="s">
        <v>5068</v>
      </c>
      <c r="X274" s="98" t="s">
        <v>5096</v>
      </c>
      <c r="Y274" s="98" t="s">
        <v>5068</v>
      </c>
      <c r="Z274" s="99"/>
      <c r="AA274" s="112"/>
      <c r="AB274" s="111"/>
      <c r="AC274" s="99"/>
      <c r="AD274" s="98" t="s">
        <v>5510</v>
      </c>
      <c r="AE274" s="95" t="s">
        <v>7215</v>
      </c>
      <c r="AF274" s="99"/>
      <c r="AG274" s="95">
        <v>1</v>
      </c>
      <c r="AH274" s="94" t="s">
        <v>5074</v>
      </c>
      <c r="AI274" s="94" t="s">
        <v>5122</v>
      </c>
      <c r="AJ274" s="98" t="s">
        <v>5407</v>
      </c>
      <c r="AK274" s="98" t="s">
        <v>7216</v>
      </c>
      <c r="AL274" s="101" t="s">
        <v>5078</v>
      </c>
      <c r="AM274" s="99"/>
      <c r="AN274" s="98" t="s">
        <v>5079</v>
      </c>
      <c r="AO274" s="98" t="s">
        <v>6926</v>
      </c>
      <c r="AP274" s="98" t="s">
        <v>7217</v>
      </c>
      <c r="AQ274" s="102">
        <v>2021</v>
      </c>
      <c r="AR274" s="98" t="s">
        <v>5082</v>
      </c>
      <c r="AS274" s="99"/>
      <c r="AT274" s="98" t="s">
        <v>5083</v>
      </c>
      <c r="AU274" s="99"/>
      <c r="AV274" s="95">
        <v>0</v>
      </c>
      <c r="AW274" s="94" t="s">
        <v>5074</v>
      </c>
      <c r="AX274" s="95">
        <v>0</v>
      </c>
      <c r="AY274" s="98" t="s">
        <v>5085</v>
      </c>
      <c r="AZ274" s="102">
        <v>1</v>
      </c>
      <c r="BA274" s="110">
        <v>46116</v>
      </c>
      <c r="BB274" s="93"/>
    </row>
    <row r="275" spans="1:54" ht="13.8">
      <c r="A275" s="94" t="s">
        <v>1790</v>
      </c>
      <c r="B275" s="95" t="s">
        <v>7218</v>
      </c>
      <c r="C275" s="100">
        <v>28869</v>
      </c>
      <c r="D275" s="94" t="s">
        <v>2665</v>
      </c>
      <c r="E275" s="94" t="s">
        <v>2361</v>
      </c>
      <c r="F275" s="97" t="s">
        <v>1417</v>
      </c>
      <c r="G275" s="95">
        <v>8107006379</v>
      </c>
      <c r="H275" s="98" t="s">
        <v>5057</v>
      </c>
      <c r="I275" s="95">
        <v>19179000046</v>
      </c>
      <c r="J275" s="98" t="s">
        <v>7219</v>
      </c>
      <c r="K275" s="104">
        <v>41736</v>
      </c>
      <c r="L275" s="98" t="s">
        <v>7220</v>
      </c>
      <c r="M275" s="98" t="s">
        <v>7221</v>
      </c>
      <c r="N275" s="98" t="s">
        <v>7222</v>
      </c>
      <c r="O275" s="98" t="s">
        <v>7223</v>
      </c>
      <c r="P275" s="95">
        <v>988115018</v>
      </c>
      <c r="Q275" s="98" t="s">
        <v>7224</v>
      </c>
      <c r="R275" s="98" t="s">
        <v>5094</v>
      </c>
      <c r="S275" s="99"/>
      <c r="T275" s="100">
        <v>44533</v>
      </c>
      <c r="U275" s="109"/>
      <c r="V275" s="99"/>
      <c r="W275" s="98" t="s">
        <v>5068</v>
      </c>
      <c r="X275" s="98" t="s">
        <v>5187</v>
      </c>
      <c r="Y275" s="99"/>
      <c r="Z275" s="99"/>
      <c r="AA275" s="99"/>
      <c r="AB275" s="99"/>
      <c r="AC275" s="99"/>
      <c r="AD275" s="99"/>
      <c r="AE275" s="95" t="s">
        <v>7225</v>
      </c>
      <c r="AF275" s="99"/>
      <c r="AG275" s="95">
        <v>0</v>
      </c>
      <c r="AH275" s="94" t="s">
        <v>5074</v>
      </c>
      <c r="AI275" s="94" t="s">
        <v>5133</v>
      </c>
      <c r="AJ275" s="98" t="s">
        <v>5134</v>
      </c>
      <c r="AK275" s="98" t="s">
        <v>2676</v>
      </c>
      <c r="AL275" s="101" t="s">
        <v>5078</v>
      </c>
      <c r="AM275" s="99"/>
      <c r="AN275" s="98" t="s">
        <v>5079</v>
      </c>
      <c r="AO275" s="98" t="s">
        <v>5080</v>
      </c>
      <c r="AP275" s="98" t="s">
        <v>6739</v>
      </c>
      <c r="AQ275" s="102">
        <v>2013</v>
      </c>
      <c r="AR275" s="99"/>
      <c r="AS275" s="99"/>
      <c r="AT275" s="98" t="s">
        <v>5083</v>
      </c>
      <c r="AU275" s="98" t="s">
        <v>5483</v>
      </c>
      <c r="AV275" s="99"/>
      <c r="AW275" s="94" t="s">
        <v>5074</v>
      </c>
      <c r="AX275" s="95">
        <v>0</v>
      </c>
      <c r="AY275" s="98" t="s">
        <v>5085</v>
      </c>
      <c r="AZ275" s="102">
        <v>3</v>
      </c>
      <c r="BA275" s="105">
        <v>46239</v>
      </c>
      <c r="BB275" s="93"/>
    </row>
    <row r="276" spans="1:54" ht="13.8">
      <c r="A276" s="94" t="s">
        <v>7226</v>
      </c>
      <c r="B276" s="95" t="s">
        <v>7227</v>
      </c>
      <c r="C276" s="100">
        <v>32341</v>
      </c>
      <c r="D276" s="94" t="s">
        <v>2665</v>
      </c>
      <c r="E276" s="94" t="s">
        <v>2361</v>
      </c>
      <c r="F276" s="97" t="s">
        <v>1417</v>
      </c>
      <c r="G276" s="95">
        <v>4810031409</v>
      </c>
      <c r="H276" s="98" t="s">
        <v>5057</v>
      </c>
      <c r="I276" s="95">
        <v>48188004680</v>
      </c>
      <c r="J276" s="98" t="s">
        <v>5088</v>
      </c>
      <c r="K276" s="104">
        <v>44415</v>
      </c>
      <c r="L276" s="98" t="s">
        <v>7228</v>
      </c>
      <c r="M276" s="98" t="s">
        <v>5988</v>
      </c>
      <c r="N276" s="98" t="s">
        <v>7229</v>
      </c>
      <c r="O276" s="98" t="s">
        <v>7229</v>
      </c>
      <c r="P276" s="95">
        <v>905338339</v>
      </c>
      <c r="Q276" s="98" t="s">
        <v>7230</v>
      </c>
      <c r="R276" s="98" t="s">
        <v>5094</v>
      </c>
      <c r="S276" s="99"/>
      <c r="T276" s="100">
        <v>40189</v>
      </c>
      <c r="U276" s="100">
        <v>40554</v>
      </c>
      <c r="V276" s="98" t="s">
        <v>5095</v>
      </c>
      <c r="W276" s="98" t="s">
        <v>5068</v>
      </c>
      <c r="X276" s="98" t="s">
        <v>5096</v>
      </c>
      <c r="Y276" s="98" t="s">
        <v>5068</v>
      </c>
      <c r="Z276" s="99"/>
      <c r="AA276" s="99"/>
      <c r="AB276" s="95" t="s">
        <v>5161</v>
      </c>
      <c r="AC276" s="99"/>
      <c r="AD276" s="99"/>
      <c r="AE276" s="95" t="s">
        <v>7231</v>
      </c>
      <c r="AF276" s="99"/>
      <c r="AG276" s="95">
        <v>1</v>
      </c>
      <c r="AH276" s="94" t="s">
        <v>5074</v>
      </c>
      <c r="AI276" s="94" t="s">
        <v>5133</v>
      </c>
      <c r="AJ276" s="98" t="s">
        <v>5134</v>
      </c>
      <c r="AK276" s="98" t="s">
        <v>2676</v>
      </c>
      <c r="AL276" s="101" t="s">
        <v>5078</v>
      </c>
      <c r="AM276" s="98" t="s">
        <v>5179</v>
      </c>
      <c r="AN276" s="98" t="s">
        <v>5079</v>
      </c>
      <c r="AO276" s="98" t="s">
        <v>5080</v>
      </c>
      <c r="AP276" s="102">
        <v>800</v>
      </c>
      <c r="AQ276" s="102">
        <v>2013</v>
      </c>
      <c r="AR276" s="98" t="s">
        <v>5200</v>
      </c>
      <c r="AS276" s="99"/>
      <c r="AT276" s="98" t="s">
        <v>5083</v>
      </c>
      <c r="AU276" s="98" t="s">
        <v>5220</v>
      </c>
      <c r="AV276" s="95">
        <v>0</v>
      </c>
      <c r="AW276" s="94" t="s">
        <v>5074</v>
      </c>
      <c r="AX276" s="95">
        <v>0</v>
      </c>
      <c r="AY276" s="98" t="s">
        <v>5085</v>
      </c>
      <c r="AZ276" s="102">
        <v>1</v>
      </c>
      <c r="BA276" s="110">
        <v>46116</v>
      </c>
      <c r="BB276" s="93"/>
    </row>
    <row r="277" spans="1:54" ht="13.8">
      <c r="A277" s="94" t="s">
        <v>7232</v>
      </c>
      <c r="B277" s="95" t="s">
        <v>7233</v>
      </c>
      <c r="C277" s="100">
        <v>22148</v>
      </c>
      <c r="D277" s="94" t="s">
        <v>2656</v>
      </c>
      <c r="E277" s="94" t="s">
        <v>2361</v>
      </c>
      <c r="F277" s="97" t="s">
        <v>1417</v>
      </c>
      <c r="G277" s="95">
        <v>3496042440</v>
      </c>
      <c r="H277" s="98" t="s">
        <v>5057</v>
      </c>
      <c r="I277" s="95">
        <v>45060001139</v>
      </c>
      <c r="J277" s="98" t="s">
        <v>5088</v>
      </c>
      <c r="K277" s="95" t="s">
        <v>6168</v>
      </c>
      <c r="L277" s="98" t="s">
        <v>7234</v>
      </c>
      <c r="M277" s="98" t="s">
        <v>5555</v>
      </c>
      <c r="N277" s="98" t="s">
        <v>7235</v>
      </c>
      <c r="O277" s="98" t="s">
        <v>7236</v>
      </c>
      <c r="P277" s="95">
        <v>914097175</v>
      </c>
      <c r="Q277" s="98" t="s">
        <v>7237</v>
      </c>
      <c r="R277" s="98" t="s">
        <v>5094</v>
      </c>
      <c r="S277" s="99"/>
      <c r="T277" s="100">
        <v>30328</v>
      </c>
      <c r="U277" s="100">
        <v>31413</v>
      </c>
      <c r="V277" s="98" t="s">
        <v>7238</v>
      </c>
      <c r="W277" s="98" t="s">
        <v>5068</v>
      </c>
      <c r="X277" s="98" t="s">
        <v>5067</v>
      </c>
      <c r="Y277" s="98" t="s">
        <v>5068</v>
      </c>
      <c r="Z277" s="99"/>
      <c r="AA277" s="99"/>
      <c r="AB277" s="99"/>
      <c r="AC277" s="99"/>
      <c r="AD277" s="99"/>
      <c r="AE277" s="95" t="s">
        <v>5161</v>
      </c>
      <c r="AF277" s="99"/>
      <c r="AG277" s="95">
        <v>0</v>
      </c>
      <c r="AH277" s="94" t="s">
        <v>5074</v>
      </c>
      <c r="AI277" s="94" t="s">
        <v>5122</v>
      </c>
      <c r="AJ277" s="98" t="s">
        <v>5266</v>
      </c>
      <c r="AK277" s="98" t="s">
        <v>2676</v>
      </c>
      <c r="AL277" s="101" t="s">
        <v>5104</v>
      </c>
      <c r="AM277" s="98" t="s">
        <v>6489</v>
      </c>
      <c r="AN277" s="98" t="s">
        <v>5079</v>
      </c>
      <c r="AO277" s="98" t="s">
        <v>5080</v>
      </c>
      <c r="AP277" s="102">
        <v>76</v>
      </c>
      <c r="AQ277" s="102">
        <v>2004</v>
      </c>
      <c r="AR277" s="98" t="s">
        <v>5082</v>
      </c>
      <c r="AS277" s="99"/>
      <c r="AT277" s="99"/>
      <c r="AU277" s="98" t="s">
        <v>6353</v>
      </c>
      <c r="AV277" s="95">
        <v>2017</v>
      </c>
      <c r="AW277" s="94" t="s">
        <v>5108</v>
      </c>
      <c r="AX277" s="95">
        <v>0</v>
      </c>
      <c r="AY277" s="98" t="s">
        <v>5109</v>
      </c>
      <c r="AZ277" s="102">
        <v>4</v>
      </c>
      <c r="BA277" s="102" t="s">
        <v>5126</v>
      </c>
      <c r="BB277" s="93"/>
    </row>
    <row r="278" spans="1:54" ht="13.8">
      <c r="A278" s="94" t="s">
        <v>7239</v>
      </c>
      <c r="B278" s="95" t="s">
        <v>7240</v>
      </c>
      <c r="C278" s="96">
        <v>33156</v>
      </c>
      <c r="D278" s="94" t="s">
        <v>2656</v>
      </c>
      <c r="E278" s="94" t="s">
        <v>2361</v>
      </c>
      <c r="F278" s="97" t="s">
        <v>1417</v>
      </c>
      <c r="G278" s="95">
        <v>4816000202</v>
      </c>
      <c r="H278" s="98" t="s">
        <v>5057</v>
      </c>
      <c r="I278" s="95">
        <v>49090030563</v>
      </c>
      <c r="J278" s="98" t="s">
        <v>5088</v>
      </c>
      <c r="K278" s="104">
        <v>44447</v>
      </c>
      <c r="L278" s="98" t="s">
        <v>7241</v>
      </c>
      <c r="M278" s="98" t="s">
        <v>7242</v>
      </c>
      <c r="N278" s="98" t="s">
        <v>7242</v>
      </c>
      <c r="O278" s="98" t="s">
        <v>7242</v>
      </c>
      <c r="P278" s="95">
        <v>948189289</v>
      </c>
      <c r="Q278" s="98" t="s">
        <v>7243</v>
      </c>
      <c r="R278" s="98" t="s">
        <v>5094</v>
      </c>
      <c r="S278" s="99"/>
      <c r="T278" s="100">
        <v>46023</v>
      </c>
      <c r="U278" s="109"/>
      <c r="V278" s="99"/>
      <c r="W278" s="98" t="s">
        <v>5821</v>
      </c>
      <c r="X278" s="98" t="s">
        <v>5187</v>
      </c>
      <c r="Y278" s="99"/>
      <c r="Z278" s="99"/>
      <c r="AA278" s="99"/>
      <c r="AB278" s="99"/>
      <c r="AC278" s="99"/>
      <c r="AD278" s="99"/>
      <c r="AE278" s="99"/>
      <c r="AF278" s="99"/>
      <c r="AG278" s="95">
        <v>0</v>
      </c>
      <c r="AH278" s="94" t="s">
        <v>5074</v>
      </c>
      <c r="AI278" s="94" t="s">
        <v>5122</v>
      </c>
      <c r="AJ278" s="99"/>
      <c r="AK278" s="98" t="s">
        <v>5275</v>
      </c>
      <c r="AL278" s="101" t="s">
        <v>5149</v>
      </c>
      <c r="AM278" s="99"/>
      <c r="AN278" s="98" t="s">
        <v>5079</v>
      </c>
      <c r="AO278" s="98" t="s">
        <v>5080</v>
      </c>
      <c r="AP278" s="98" t="s">
        <v>7244</v>
      </c>
      <c r="AQ278" s="102">
        <v>2023</v>
      </c>
      <c r="AR278" s="99"/>
      <c r="AS278" s="99"/>
      <c r="AT278" s="99"/>
      <c r="AU278" s="98" t="s">
        <v>5151</v>
      </c>
      <c r="AV278" s="99"/>
      <c r="AW278" s="94" t="s">
        <v>5074</v>
      </c>
      <c r="AX278" s="95">
        <v>0</v>
      </c>
      <c r="AY278" s="98" t="s">
        <v>5152</v>
      </c>
      <c r="AZ278" s="102">
        <v>2</v>
      </c>
      <c r="BA278" s="102" t="s">
        <v>5237</v>
      </c>
      <c r="BB278" s="93"/>
    </row>
    <row r="279" spans="1:54" ht="13.8">
      <c r="A279" s="94" t="s">
        <v>7245</v>
      </c>
      <c r="B279" s="95" t="s">
        <v>7246</v>
      </c>
      <c r="C279" s="96">
        <v>23723</v>
      </c>
      <c r="D279" s="94" t="s">
        <v>2656</v>
      </c>
      <c r="E279" s="94" t="s">
        <v>2361</v>
      </c>
      <c r="F279" s="97" t="s">
        <v>1417</v>
      </c>
      <c r="G279" s="99"/>
      <c r="H279" s="99"/>
      <c r="I279" s="95">
        <v>44064010929</v>
      </c>
      <c r="J279" s="98" t="s">
        <v>5088</v>
      </c>
      <c r="K279" s="104">
        <v>45389</v>
      </c>
      <c r="L279" s="98" t="s">
        <v>5476</v>
      </c>
      <c r="M279" s="99"/>
      <c r="N279" s="98" t="s">
        <v>7247</v>
      </c>
      <c r="O279" s="98" t="s">
        <v>7247</v>
      </c>
      <c r="P279" s="95">
        <v>905346656</v>
      </c>
      <c r="Q279" s="98" t="s">
        <v>7248</v>
      </c>
      <c r="R279" s="98" t="s">
        <v>5094</v>
      </c>
      <c r="S279" s="99"/>
      <c r="T279" s="109"/>
      <c r="U279" s="109"/>
      <c r="V279" s="99"/>
      <c r="W279" s="98" t="s">
        <v>5068</v>
      </c>
      <c r="X279" s="98" t="s">
        <v>5653</v>
      </c>
      <c r="Y279" s="99"/>
      <c r="Z279" s="99"/>
      <c r="AA279" s="99"/>
      <c r="AB279" s="99"/>
      <c r="AC279" s="99"/>
      <c r="AD279" s="99"/>
      <c r="AE279" s="99"/>
      <c r="AF279" s="99"/>
      <c r="AG279" s="95">
        <v>0</v>
      </c>
      <c r="AH279" s="94" t="s">
        <v>5074</v>
      </c>
      <c r="AI279" s="94" t="s">
        <v>5133</v>
      </c>
      <c r="AJ279" s="98" t="s">
        <v>5134</v>
      </c>
      <c r="AK279" s="98" t="s">
        <v>2676</v>
      </c>
      <c r="AL279" s="101" t="s">
        <v>5104</v>
      </c>
      <c r="AM279" s="99"/>
      <c r="AN279" s="98" t="s">
        <v>5079</v>
      </c>
      <c r="AO279" s="98" t="s">
        <v>5080</v>
      </c>
      <c r="AP279" s="98" t="s">
        <v>7249</v>
      </c>
      <c r="AQ279" s="102">
        <v>2007</v>
      </c>
      <c r="AR279" s="99"/>
      <c r="AS279" s="99"/>
      <c r="AT279" s="99"/>
      <c r="AU279" s="99"/>
      <c r="AV279" s="95">
        <v>2025</v>
      </c>
      <c r="AW279" s="94" t="s">
        <v>5108</v>
      </c>
      <c r="AX279" s="95">
        <v>0</v>
      </c>
      <c r="AY279" s="98" t="s">
        <v>5152</v>
      </c>
      <c r="AZ279" s="102">
        <v>1</v>
      </c>
      <c r="BA279" s="99"/>
      <c r="BB279" s="93"/>
    </row>
    <row r="280" spans="1:54" ht="13.8">
      <c r="A280" s="94" t="s">
        <v>7250</v>
      </c>
      <c r="B280" s="95" t="s">
        <v>7251</v>
      </c>
      <c r="C280" s="100">
        <v>29731</v>
      </c>
      <c r="D280" s="94" t="s">
        <v>2665</v>
      </c>
      <c r="E280" s="94" t="s">
        <v>2361</v>
      </c>
      <c r="F280" s="97" t="s">
        <v>1417</v>
      </c>
      <c r="G280" s="95">
        <v>4808009692</v>
      </c>
      <c r="H280" s="98" t="s">
        <v>5057</v>
      </c>
      <c r="I280" s="95">
        <v>40181005806</v>
      </c>
      <c r="J280" s="98" t="s">
        <v>5088</v>
      </c>
      <c r="K280" s="95" t="s">
        <v>6103</v>
      </c>
      <c r="L280" s="98" t="s">
        <v>7252</v>
      </c>
      <c r="M280" s="98" t="s">
        <v>7253</v>
      </c>
      <c r="N280" s="98" t="s">
        <v>7254</v>
      </c>
      <c r="O280" s="98" t="s">
        <v>7255</v>
      </c>
      <c r="P280" s="95">
        <v>388236975</v>
      </c>
      <c r="Q280" s="98" t="s">
        <v>7256</v>
      </c>
      <c r="R280" s="98" t="s">
        <v>5094</v>
      </c>
      <c r="S280" s="99"/>
      <c r="T280" s="100">
        <v>45153</v>
      </c>
      <c r="U280" s="100">
        <v>45197</v>
      </c>
      <c r="V280" s="99"/>
      <c r="W280" s="98" t="s">
        <v>5068</v>
      </c>
      <c r="X280" s="98" t="s">
        <v>5187</v>
      </c>
      <c r="Y280" s="99"/>
      <c r="Z280" s="99"/>
      <c r="AA280" s="99"/>
      <c r="AB280" s="99"/>
      <c r="AC280" s="99"/>
      <c r="AD280" s="99"/>
      <c r="AE280" s="95" t="s">
        <v>7257</v>
      </c>
      <c r="AF280" s="99"/>
      <c r="AG280" s="95">
        <v>0</v>
      </c>
      <c r="AH280" s="94" t="s">
        <v>5074</v>
      </c>
      <c r="AI280" s="94" t="s">
        <v>5133</v>
      </c>
      <c r="AJ280" s="98" t="s">
        <v>5134</v>
      </c>
      <c r="AK280" s="98" t="s">
        <v>7258</v>
      </c>
      <c r="AL280" s="101" t="s">
        <v>5149</v>
      </c>
      <c r="AM280" s="99"/>
      <c r="AN280" s="98" t="s">
        <v>5079</v>
      </c>
      <c r="AO280" s="98" t="s">
        <v>5080</v>
      </c>
      <c r="AP280" s="98" t="s">
        <v>5425</v>
      </c>
      <c r="AQ280" s="102">
        <v>2017</v>
      </c>
      <c r="AR280" s="98" t="s">
        <v>5200</v>
      </c>
      <c r="AS280" s="99"/>
      <c r="AT280" s="99"/>
      <c r="AU280" s="98" t="s">
        <v>5220</v>
      </c>
      <c r="AV280" s="99"/>
      <c r="AW280" s="94" t="s">
        <v>5074</v>
      </c>
      <c r="AX280" s="95">
        <v>0</v>
      </c>
      <c r="AY280" s="98" t="s">
        <v>5152</v>
      </c>
      <c r="AZ280" s="102">
        <v>7</v>
      </c>
      <c r="BA280" s="102" t="s">
        <v>5286</v>
      </c>
      <c r="BB280" s="93"/>
    </row>
    <row r="281" spans="1:54" ht="13.8">
      <c r="A281" s="94" t="s">
        <v>7259</v>
      </c>
      <c r="B281" s="95" t="s">
        <v>7260</v>
      </c>
      <c r="C281" s="100">
        <v>30955</v>
      </c>
      <c r="D281" s="94" t="s">
        <v>2665</v>
      </c>
      <c r="E281" s="94" t="s">
        <v>2361</v>
      </c>
      <c r="F281" s="97" t="s">
        <v>1417</v>
      </c>
      <c r="G281" s="95">
        <v>6208004048</v>
      </c>
      <c r="H281" s="99"/>
      <c r="I281" s="95">
        <v>62184002869</v>
      </c>
      <c r="J281" s="98" t="s">
        <v>5182</v>
      </c>
      <c r="K281" s="104">
        <v>45515</v>
      </c>
      <c r="L281" s="98" t="s">
        <v>7261</v>
      </c>
      <c r="M281" s="98" t="s">
        <v>7262</v>
      </c>
      <c r="N281" s="98" t="s">
        <v>7263</v>
      </c>
      <c r="O281" s="98" t="s">
        <v>7263</v>
      </c>
      <c r="P281" s="95">
        <v>976309777</v>
      </c>
      <c r="Q281" s="99"/>
      <c r="R281" s="98" t="s">
        <v>5094</v>
      </c>
      <c r="S281" s="99"/>
      <c r="T281" s="100">
        <v>46023</v>
      </c>
      <c r="U281" s="109"/>
      <c r="V281" s="99"/>
      <c r="W281" s="99"/>
      <c r="X281" s="98" t="s">
        <v>5653</v>
      </c>
      <c r="Y281" s="99"/>
      <c r="Z281" s="99"/>
      <c r="AA281" s="99"/>
      <c r="AB281" s="99"/>
      <c r="AC281" s="99"/>
      <c r="AD281" s="99"/>
      <c r="AE281" s="99"/>
      <c r="AF281" s="99"/>
      <c r="AG281" s="95">
        <v>0</v>
      </c>
      <c r="AH281" s="94" t="s">
        <v>5074</v>
      </c>
      <c r="AI281" s="94" t="s">
        <v>5122</v>
      </c>
      <c r="AJ281" s="98" t="s">
        <v>6157</v>
      </c>
      <c r="AK281" s="98" t="s">
        <v>2676</v>
      </c>
      <c r="AL281" s="101" t="s">
        <v>5149</v>
      </c>
      <c r="AM281" s="99"/>
      <c r="AN281" s="98" t="s">
        <v>5079</v>
      </c>
      <c r="AO281" s="98" t="s">
        <v>5080</v>
      </c>
      <c r="AP281" s="98" t="s">
        <v>5188</v>
      </c>
      <c r="AQ281" s="102">
        <v>2024</v>
      </c>
      <c r="AR281" s="99"/>
      <c r="AS281" s="99"/>
      <c r="AT281" s="99"/>
      <c r="AU281" s="98" t="s">
        <v>5228</v>
      </c>
      <c r="AV281" s="99"/>
      <c r="AW281" s="94" t="s">
        <v>5074</v>
      </c>
      <c r="AX281" s="95">
        <v>1</v>
      </c>
      <c r="AY281" s="98" t="s">
        <v>5152</v>
      </c>
      <c r="AZ281" s="102">
        <v>6</v>
      </c>
      <c r="BA281" s="102" t="s">
        <v>5260</v>
      </c>
      <c r="BB281" s="93"/>
    </row>
    <row r="282" spans="1:54" ht="13.8">
      <c r="A282" s="94" t="s">
        <v>7264</v>
      </c>
      <c r="B282" s="95" t="s">
        <v>7265</v>
      </c>
      <c r="C282" s="96">
        <v>31343</v>
      </c>
      <c r="D282" s="94" t="s">
        <v>2665</v>
      </c>
      <c r="E282" s="94" t="s">
        <v>2361</v>
      </c>
      <c r="F282" s="97" t="s">
        <v>1417</v>
      </c>
      <c r="G282" s="95">
        <v>4811019659</v>
      </c>
      <c r="H282" s="98" t="s">
        <v>5057</v>
      </c>
      <c r="I282" s="95">
        <v>64185013004</v>
      </c>
      <c r="J282" s="98" t="s">
        <v>5088</v>
      </c>
      <c r="K282" s="95" t="s">
        <v>5270</v>
      </c>
      <c r="L282" s="98" t="s">
        <v>7266</v>
      </c>
      <c r="M282" s="98" t="s">
        <v>7267</v>
      </c>
      <c r="N282" s="98" t="s">
        <v>7268</v>
      </c>
      <c r="O282" s="98" t="s">
        <v>7268</v>
      </c>
      <c r="P282" s="95">
        <v>905289023</v>
      </c>
      <c r="Q282" s="98" t="s">
        <v>7269</v>
      </c>
      <c r="R282" s="98" t="s">
        <v>5094</v>
      </c>
      <c r="S282" s="99"/>
      <c r="T282" s="100">
        <v>40547</v>
      </c>
      <c r="U282" s="100">
        <v>40912</v>
      </c>
      <c r="V282" s="98" t="s">
        <v>5095</v>
      </c>
      <c r="W282" s="98" t="s">
        <v>5068</v>
      </c>
      <c r="X282" s="98" t="s">
        <v>5096</v>
      </c>
      <c r="Y282" s="98" t="s">
        <v>5068</v>
      </c>
      <c r="Z282" s="99"/>
      <c r="AA282" s="98" t="s">
        <v>5587</v>
      </c>
      <c r="AB282" s="114">
        <v>45741</v>
      </c>
      <c r="AC282" s="98" t="s">
        <v>7270</v>
      </c>
      <c r="AD282" s="98" t="s">
        <v>7271</v>
      </c>
      <c r="AE282" s="95" t="s">
        <v>5161</v>
      </c>
      <c r="AF282" s="99"/>
      <c r="AG282" s="95">
        <v>1</v>
      </c>
      <c r="AH282" s="94" t="s">
        <v>5074</v>
      </c>
      <c r="AI282" s="94" t="s">
        <v>5133</v>
      </c>
      <c r="AJ282" s="98" t="s">
        <v>5134</v>
      </c>
      <c r="AK282" s="98" t="s">
        <v>7272</v>
      </c>
      <c r="AL282" s="101" t="s">
        <v>5078</v>
      </c>
      <c r="AM282" s="98" t="s">
        <v>5926</v>
      </c>
      <c r="AN282" s="98" t="s">
        <v>5079</v>
      </c>
      <c r="AO282" s="98" t="s">
        <v>5080</v>
      </c>
      <c r="AP282" s="102">
        <v>1</v>
      </c>
      <c r="AQ282" s="99"/>
      <c r="AR282" s="98" t="s">
        <v>5200</v>
      </c>
      <c r="AS282" s="99"/>
      <c r="AT282" s="98" t="s">
        <v>5083</v>
      </c>
      <c r="AU282" s="98" t="s">
        <v>5125</v>
      </c>
      <c r="AV282" s="95">
        <v>0</v>
      </c>
      <c r="AW282" s="94" t="s">
        <v>5074</v>
      </c>
      <c r="AX282" s="95">
        <v>0</v>
      </c>
      <c r="AY282" s="98" t="s">
        <v>5085</v>
      </c>
      <c r="AZ282" s="102">
        <v>1</v>
      </c>
      <c r="BA282" s="110">
        <v>46116</v>
      </c>
      <c r="BB282" s="93"/>
    </row>
    <row r="283" spans="1:54" ht="13.8">
      <c r="A283" s="94" t="s">
        <v>7273</v>
      </c>
      <c r="B283" s="95" t="s">
        <v>7274</v>
      </c>
      <c r="C283" s="100">
        <v>29441</v>
      </c>
      <c r="D283" s="94" t="s">
        <v>2665</v>
      </c>
      <c r="E283" s="94" t="s">
        <v>2361</v>
      </c>
      <c r="F283" s="97" t="s">
        <v>1417</v>
      </c>
      <c r="G283" s="95">
        <v>3305003812</v>
      </c>
      <c r="H283" s="98" t="s">
        <v>5057</v>
      </c>
      <c r="I283" s="99"/>
      <c r="J283" s="99"/>
      <c r="K283" s="95" t="s">
        <v>5161</v>
      </c>
      <c r="L283" s="98" t="s">
        <v>7275</v>
      </c>
      <c r="M283" s="99"/>
      <c r="N283" s="98" t="s">
        <v>7276</v>
      </c>
      <c r="O283" s="98" t="s">
        <v>7276</v>
      </c>
      <c r="P283" s="99"/>
      <c r="Q283" s="99"/>
      <c r="R283" s="98" t="s">
        <v>5094</v>
      </c>
      <c r="S283" s="99"/>
      <c r="T283" s="100">
        <v>40199</v>
      </c>
      <c r="U283" s="100">
        <v>38721</v>
      </c>
      <c r="V283" s="98" t="s">
        <v>5095</v>
      </c>
      <c r="W283" s="98" t="s">
        <v>5068</v>
      </c>
      <c r="X283" s="98" t="s">
        <v>5096</v>
      </c>
      <c r="Y283" s="98" t="s">
        <v>5068</v>
      </c>
      <c r="Z283" s="99"/>
      <c r="AA283" s="99"/>
      <c r="AB283" s="95" t="s">
        <v>5161</v>
      </c>
      <c r="AC283" s="99"/>
      <c r="AD283" s="99"/>
      <c r="AE283" s="95" t="s">
        <v>5161</v>
      </c>
      <c r="AF283" s="99"/>
      <c r="AG283" s="95">
        <v>1</v>
      </c>
      <c r="AH283" s="94" t="s">
        <v>5074</v>
      </c>
      <c r="AI283" s="94" t="s">
        <v>5451</v>
      </c>
      <c r="AJ283" s="99"/>
      <c r="AK283" s="98" t="s">
        <v>2676</v>
      </c>
      <c r="AL283" s="101" t="s">
        <v>5149</v>
      </c>
      <c r="AM283" s="99"/>
      <c r="AN283" s="98" t="s">
        <v>5079</v>
      </c>
      <c r="AO283" s="98" t="s">
        <v>3216</v>
      </c>
      <c r="AP283" s="98" t="s">
        <v>7277</v>
      </c>
      <c r="AQ283" s="102">
        <v>2020</v>
      </c>
      <c r="AR283" s="98" t="s">
        <v>5200</v>
      </c>
      <c r="AS283" s="99"/>
      <c r="AT283" s="99"/>
      <c r="AU283" s="99"/>
      <c r="AV283" s="95">
        <v>0</v>
      </c>
      <c r="AW283" s="94" t="s">
        <v>5074</v>
      </c>
      <c r="AX283" s="95">
        <v>0</v>
      </c>
      <c r="AY283" s="98" t="s">
        <v>5152</v>
      </c>
      <c r="AZ283" s="102">
        <v>5</v>
      </c>
      <c r="BA283" s="102" t="s">
        <v>5153</v>
      </c>
      <c r="BB283" s="93"/>
    </row>
    <row r="284" spans="1:54" ht="13.8">
      <c r="A284" s="94" t="s">
        <v>7278</v>
      </c>
      <c r="B284" s="95" t="s">
        <v>7279</v>
      </c>
      <c r="C284" s="100">
        <v>32181</v>
      </c>
      <c r="D284" s="94" t="s">
        <v>2665</v>
      </c>
      <c r="E284" s="94" t="s">
        <v>2361</v>
      </c>
      <c r="F284" s="97" t="s">
        <v>1417</v>
      </c>
      <c r="G284" s="95">
        <v>4810031401</v>
      </c>
      <c r="H284" s="98" t="s">
        <v>5057</v>
      </c>
      <c r="I284" s="95">
        <v>48188005065</v>
      </c>
      <c r="J284" s="98" t="s">
        <v>5088</v>
      </c>
      <c r="K284" s="104">
        <v>44323</v>
      </c>
      <c r="L284" s="98" t="s">
        <v>7280</v>
      </c>
      <c r="M284" s="98" t="s">
        <v>7281</v>
      </c>
      <c r="N284" s="98" t="s">
        <v>7282</v>
      </c>
      <c r="O284" s="98" t="s">
        <v>7282</v>
      </c>
      <c r="P284" s="95">
        <v>935350785</v>
      </c>
      <c r="Q284" s="98" t="s">
        <v>7283</v>
      </c>
      <c r="R284" s="98" t="s">
        <v>5094</v>
      </c>
      <c r="S284" s="99"/>
      <c r="T284" s="100">
        <v>40189</v>
      </c>
      <c r="U284" s="100">
        <v>40554</v>
      </c>
      <c r="V284" s="98" t="s">
        <v>5095</v>
      </c>
      <c r="W284" s="98" t="s">
        <v>5068</v>
      </c>
      <c r="X284" s="98" t="s">
        <v>5096</v>
      </c>
      <c r="Y284" s="98" t="s">
        <v>5068</v>
      </c>
      <c r="Z284" s="99"/>
      <c r="AA284" s="99"/>
      <c r="AB284" s="95" t="s">
        <v>5161</v>
      </c>
      <c r="AC284" s="99"/>
      <c r="AD284" s="99"/>
      <c r="AE284" s="95" t="s">
        <v>5161</v>
      </c>
      <c r="AF284" s="99"/>
      <c r="AG284" s="95">
        <v>1</v>
      </c>
      <c r="AH284" s="94" t="s">
        <v>5074</v>
      </c>
      <c r="AI284" s="94" t="s">
        <v>5122</v>
      </c>
      <c r="AJ284" s="98" t="s">
        <v>6157</v>
      </c>
      <c r="AK284" s="98" t="s">
        <v>7284</v>
      </c>
      <c r="AL284" s="101" t="s">
        <v>5078</v>
      </c>
      <c r="AM284" s="99"/>
      <c r="AN284" s="98" t="s">
        <v>5079</v>
      </c>
      <c r="AO284" s="98" t="s">
        <v>5080</v>
      </c>
      <c r="AP284" s="98" t="s">
        <v>7285</v>
      </c>
      <c r="AQ284" s="102">
        <v>2012</v>
      </c>
      <c r="AR284" s="98" t="s">
        <v>5200</v>
      </c>
      <c r="AS284" s="99"/>
      <c r="AT284" s="98" t="s">
        <v>5083</v>
      </c>
      <c r="AU284" s="98" t="s">
        <v>5228</v>
      </c>
      <c r="AV284" s="95">
        <v>0</v>
      </c>
      <c r="AW284" s="94" t="s">
        <v>5074</v>
      </c>
      <c r="AX284" s="95">
        <v>0</v>
      </c>
      <c r="AY284" s="98" t="s">
        <v>5085</v>
      </c>
      <c r="AZ284" s="102">
        <v>1</v>
      </c>
      <c r="BA284" s="110">
        <v>46116</v>
      </c>
      <c r="BB284" s="93"/>
    </row>
    <row r="285" spans="1:54" ht="13.8">
      <c r="A285" s="94" t="s">
        <v>7286</v>
      </c>
      <c r="B285" s="95" t="s">
        <v>7287</v>
      </c>
      <c r="C285" s="100">
        <v>28040</v>
      </c>
      <c r="D285" s="94" t="s">
        <v>2656</v>
      </c>
      <c r="E285" s="94" t="s">
        <v>2361</v>
      </c>
      <c r="F285" s="97" t="s">
        <v>1417</v>
      </c>
      <c r="G285" s="95">
        <v>3306003271</v>
      </c>
      <c r="H285" s="98" t="s">
        <v>5057</v>
      </c>
      <c r="I285" s="95">
        <v>42076004816</v>
      </c>
      <c r="J285" s="98" t="s">
        <v>5088</v>
      </c>
      <c r="K285" s="95" t="s">
        <v>7288</v>
      </c>
      <c r="L285" s="98" t="s">
        <v>7289</v>
      </c>
      <c r="M285" s="98" t="s">
        <v>7290</v>
      </c>
      <c r="N285" s="98" t="s">
        <v>7291</v>
      </c>
      <c r="O285" s="98" t="s">
        <v>7292</v>
      </c>
      <c r="P285" s="95">
        <v>914051576</v>
      </c>
      <c r="Q285" s="98" t="s">
        <v>7293</v>
      </c>
      <c r="R285" s="98" t="s">
        <v>5094</v>
      </c>
      <c r="S285" s="99"/>
      <c r="T285" s="100">
        <v>42007</v>
      </c>
      <c r="U285" s="109"/>
      <c r="V285" s="98" t="s">
        <v>5095</v>
      </c>
      <c r="W285" s="98" t="s">
        <v>5068</v>
      </c>
      <c r="X285" s="98" t="s">
        <v>5096</v>
      </c>
      <c r="Y285" s="98" t="s">
        <v>5068</v>
      </c>
      <c r="Z285" s="99"/>
      <c r="AA285" s="98" t="s">
        <v>5569</v>
      </c>
      <c r="AB285" s="95" t="s">
        <v>7294</v>
      </c>
      <c r="AC285" s="99"/>
      <c r="AD285" s="99"/>
      <c r="AE285" s="99"/>
      <c r="AF285" s="99"/>
      <c r="AG285" s="95">
        <v>1</v>
      </c>
      <c r="AH285" s="94" t="s">
        <v>5074</v>
      </c>
      <c r="AI285" s="94" t="s">
        <v>5122</v>
      </c>
      <c r="AJ285" s="98" t="s">
        <v>6157</v>
      </c>
      <c r="AK285" s="98" t="s">
        <v>5275</v>
      </c>
      <c r="AL285" s="101" t="s">
        <v>5104</v>
      </c>
      <c r="AM285" s="99"/>
      <c r="AN285" s="98" t="s">
        <v>5079</v>
      </c>
      <c r="AO285" s="98" t="s">
        <v>5080</v>
      </c>
      <c r="AP285" s="98" t="s">
        <v>7285</v>
      </c>
      <c r="AQ285" s="102">
        <v>2012</v>
      </c>
      <c r="AR285" s="99"/>
      <c r="AS285" s="99"/>
      <c r="AT285" s="99"/>
      <c r="AU285" s="98" t="s">
        <v>5125</v>
      </c>
      <c r="AV285" s="95">
        <v>2017</v>
      </c>
      <c r="AW285" s="94" t="s">
        <v>5074</v>
      </c>
      <c r="AX285" s="95">
        <v>0</v>
      </c>
      <c r="AY285" s="98" t="s">
        <v>5109</v>
      </c>
      <c r="AZ285" s="102">
        <v>3</v>
      </c>
      <c r="BA285" s="102" t="s">
        <v>5110</v>
      </c>
      <c r="BB285" s="93"/>
    </row>
    <row r="286" spans="1:54" ht="13.8">
      <c r="A286" s="94" t="s">
        <v>7295</v>
      </c>
      <c r="B286" s="95" t="s">
        <v>7296</v>
      </c>
      <c r="C286" s="100">
        <v>29531</v>
      </c>
      <c r="D286" s="94" t="s">
        <v>2656</v>
      </c>
      <c r="E286" s="94" t="s">
        <v>2361</v>
      </c>
      <c r="F286" s="97" t="s">
        <v>1417</v>
      </c>
      <c r="G286" s="95">
        <v>405007838</v>
      </c>
      <c r="H286" s="98" t="s">
        <v>5057</v>
      </c>
      <c r="I286" s="95">
        <v>49080005830</v>
      </c>
      <c r="J286" s="98" t="s">
        <v>5088</v>
      </c>
      <c r="K286" s="95" t="s">
        <v>7297</v>
      </c>
      <c r="L286" s="98" t="s">
        <v>6780</v>
      </c>
      <c r="M286" s="98" t="s">
        <v>7298</v>
      </c>
      <c r="N286" s="98" t="s">
        <v>7299</v>
      </c>
      <c r="O286" s="98" t="s">
        <v>7299</v>
      </c>
      <c r="P286" s="95">
        <v>905204222</v>
      </c>
      <c r="Q286" s="98" t="s">
        <v>7300</v>
      </c>
      <c r="R286" s="98" t="s">
        <v>5094</v>
      </c>
      <c r="S286" s="99"/>
      <c r="T286" s="100">
        <v>37268</v>
      </c>
      <c r="U286" s="100">
        <v>38364</v>
      </c>
      <c r="V286" s="98" t="s">
        <v>5095</v>
      </c>
      <c r="W286" s="98" t="s">
        <v>5068</v>
      </c>
      <c r="X286" s="98" t="s">
        <v>5096</v>
      </c>
      <c r="Y286" s="98" t="s">
        <v>5068</v>
      </c>
      <c r="Z286" s="99"/>
      <c r="AA286" s="99"/>
      <c r="AB286" s="99"/>
      <c r="AC286" s="99"/>
      <c r="AD286" s="98" t="s">
        <v>7301</v>
      </c>
      <c r="AE286" s="95" t="s">
        <v>7302</v>
      </c>
      <c r="AF286" s="99"/>
      <c r="AG286" s="95">
        <v>1</v>
      </c>
      <c r="AH286" s="94" t="s">
        <v>5074</v>
      </c>
      <c r="AI286" s="94" t="s">
        <v>5122</v>
      </c>
      <c r="AJ286" s="98" t="s">
        <v>5266</v>
      </c>
      <c r="AK286" s="98" t="s">
        <v>7303</v>
      </c>
      <c r="AL286" s="101" t="s">
        <v>5078</v>
      </c>
      <c r="AM286" s="99"/>
      <c r="AN286" s="98" t="s">
        <v>5079</v>
      </c>
      <c r="AO286" s="98" t="s">
        <v>5080</v>
      </c>
      <c r="AP286" s="98" t="s">
        <v>7304</v>
      </c>
      <c r="AQ286" s="102">
        <v>2014</v>
      </c>
      <c r="AR286" s="98" t="s">
        <v>5082</v>
      </c>
      <c r="AS286" s="99"/>
      <c r="AT286" s="99"/>
      <c r="AU286" s="99"/>
      <c r="AV286" s="95">
        <v>0</v>
      </c>
      <c r="AW286" s="94" t="s">
        <v>5074</v>
      </c>
      <c r="AX286" s="95">
        <v>0</v>
      </c>
      <c r="AY286" s="98" t="s">
        <v>5085</v>
      </c>
      <c r="AZ286" s="102">
        <v>3</v>
      </c>
      <c r="BA286" s="105">
        <v>46239</v>
      </c>
      <c r="BB286" s="93"/>
    </row>
    <row r="287" spans="1:54" ht="13.8">
      <c r="A287" s="94" t="s">
        <v>7305</v>
      </c>
      <c r="B287" s="95" t="s">
        <v>7306</v>
      </c>
      <c r="C287" s="100">
        <v>34758</v>
      </c>
      <c r="D287" s="94" t="s">
        <v>2656</v>
      </c>
      <c r="E287" s="94" t="s">
        <v>2361</v>
      </c>
      <c r="F287" s="97" t="s">
        <v>1417</v>
      </c>
      <c r="G287" s="95">
        <v>4820216145</v>
      </c>
      <c r="H287" s="98" t="s">
        <v>5181</v>
      </c>
      <c r="I287" s="95">
        <v>48095007064</v>
      </c>
      <c r="J287" s="98" t="s">
        <v>5088</v>
      </c>
      <c r="K287" s="95" t="s">
        <v>5353</v>
      </c>
      <c r="L287" s="98" t="s">
        <v>7307</v>
      </c>
      <c r="M287" s="98" t="s">
        <v>7308</v>
      </c>
      <c r="N287" s="98" t="s">
        <v>7309</v>
      </c>
      <c r="O287" s="98" t="s">
        <v>7309</v>
      </c>
      <c r="P287" s="95">
        <v>783862778</v>
      </c>
      <c r="Q287" s="98" t="s">
        <v>7310</v>
      </c>
      <c r="R287" s="98" t="s">
        <v>5094</v>
      </c>
      <c r="S287" s="99"/>
      <c r="T287" s="100">
        <v>45092</v>
      </c>
      <c r="U287" s="109"/>
      <c r="V287" s="99"/>
      <c r="W287" s="98" t="s">
        <v>5068</v>
      </c>
      <c r="X287" s="98" t="s">
        <v>5187</v>
      </c>
      <c r="Y287" s="99"/>
      <c r="Z287" s="99"/>
      <c r="AA287" s="99"/>
      <c r="AB287" s="99"/>
      <c r="AC287" s="99"/>
      <c r="AD287" s="99"/>
      <c r="AE287" s="99"/>
      <c r="AF287" s="99"/>
      <c r="AG287" s="95">
        <v>0</v>
      </c>
      <c r="AH287" s="94" t="s">
        <v>5084</v>
      </c>
      <c r="AI287" s="94" t="s">
        <v>5122</v>
      </c>
      <c r="AJ287" s="98" t="s">
        <v>5407</v>
      </c>
      <c r="AK287" s="98" t="s">
        <v>7116</v>
      </c>
      <c r="AL287" s="101" t="s">
        <v>5149</v>
      </c>
      <c r="AM287" s="99"/>
      <c r="AN287" s="98" t="s">
        <v>5079</v>
      </c>
      <c r="AO287" s="98" t="s">
        <v>5080</v>
      </c>
      <c r="AP287" s="98" t="s">
        <v>6739</v>
      </c>
      <c r="AQ287" s="102">
        <v>2022</v>
      </c>
      <c r="AR287" s="99"/>
      <c r="AS287" s="99"/>
      <c r="AT287" s="99"/>
      <c r="AU287" s="98" t="s">
        <v>5220</v>
      </c>
      <c r="AV287" s="99"/>
      <c r="AW287" s="94" t="s">
        <v>5084</v>
      </c>
      <c r="AX287" s="95">
        <v>0</v>
      </c>
      <c r="AY287" s="98" t="s">
        <v>5152</v>
      </c>
      <c r="AZ287" s="102">
        <v>2</v>
      </c>
      <c r="BA287" s="102" t="s">
        <v>5237</v>
      </c>
      <c r="BB287" s="93"/>
    </row>
    <row r="288" spans="1:54" ht="13.8">
      <c r="A288" s="94" t="s">
        <v>7311</v>
      </c>
      <c r="B288" s="95" t="s">
        <v>7312</v>
      </c>
      <c r="C288" s="100">
        <v>30396</v>
      </c>
      <c r="D288" s="94" t="s">
        <v>2665</v>
      </c>
      <c r="E288" s="94" t="s">
        <v>2361</v>
      </c>
      <c r="F288" s="97" t="s">
        <v>1417</v>
      </c>
      <c r="G288" s="95">
        <v>4808038184</v>
      </c>
      <c r="H288" s="98" t="s">
        <v>5057</v>
      </c>
      <c r="I288" s="95">
        <v>51183017331</v>
      </c>
      <c r="J288" s="98" t="s">
        <v>5088</v>
      </c>
      <c r="K288" s="95" t="s">
        <v>5161</v>
      </c>
      <c r="L288" s="98" t="s">
        <v>7313</v>
      </c>
      <c r="M288" s="98" t="s">
        <v>7314</v>
      </c>
      <c r="N288" s="98" t="s">
        <v>7315</v>
      </c>
      <c r="O288" s="98" t="s">
        <v>7315</v>
      </c>
      <c r="P288" s="95">
        <v>905476905</v>
      </c>
      <c r="Q288" s="98" t="s">
        <v>7316</v>
      </c>
      <c r="R288" s="98" t="s">
        <v>5094</v>
      </c>
      <c r="S288" s="99"/>
      <c r="T288" s="100">
        <v>39455</v>
      </c>
      <c r="U288" s="100">
        <v>39824</v>
      </c>
      <c r="V288" s="98" t="s">
        <v>5095</v>
      </c>
      <c r="W288" s="98" t="s">
        <v>5068</v>
      </c>
      <c r="X288" s="98" t="s">
        <v>5096</v>
      </c>
      <c r="Y288" s="98" t="s">
        <v>5068</v>
      </c>
      <c r="Z288" s="99"/>
      <c r="AA288" s="99"/>
      <c r="AB288" s="95" t="s">
        <v>5161</v>
      </c>
      <c r="AC288" s="99"/>
      <c r="AD288" s="99"/>
      <c r="AE288" s="104">
        <v>43293</v>
      </c>
      <c r="AF288" s="99"/>
      <c r="AG288" s="95">
        <v>1</v>
      </c>
      <c r="AH288" s="94" t="s">
        <v>5084</v>
      </c>
      <c r="AI288" s="94" t="s">
        <v>5122</v>
      </c>
      <c r="AJ288" s="98" t="s">
        <v>5266</v>
      </c>
      <c r="AK288" s="98" t="s">
        <v>7317</v>
      </c>
      <c r="AL288" s="101" t="s">
        <v>5149</v>
      </c>
      <c r="AM288" s="98" t="s">
        <v>2674</v>
      </c>
      <c r="AN288" s="98" t="s">
        <v>5079</v>
      </c>
      <c r="AO288" s="98" t="s">
        <v>2674</v>
      </c>
      <c r="AP288" s="102">
        <v>934</v>
      </c>
      <c r="AQ288" s="102">
        <v>2011</v>
      </c>
      <c r="AR288" s="99"/>
      <c r="AS288" s="99"/>
      <c r="AT288" s="99"/>
      <c r="AU288" s="98" t="s">
        <v>5228</v>
      </c>
      <c r="AV288" s="95">
        <v>0</v>
      </c>
      <c r="AW288" s="94" t="s">
        <v>5084</v>
      </c>
      <c r="AX288" s="95">
        <v>0</v>
      </c>
      <c r="AY288" s="98" t="s">
        <v>5152</v>
      </c>
      <c r="AZ288" s="102">
        <v>6</v>
      </c>
      <c r="BA288" s="102" t="s">
        <v>5260</v>
      </c>
      <c r="BB288" s="93"/>
    </row>
    <row r="289" spans="1:54" ht="13.8">
      <c r="A289" s="94" t="s">
        <v>4887</v>
      </c>
      <c r="B289" s="95" t="s">
        <v>4888</v>
      </c>
      <c r="C289" s="100">
        <v>32773</v>
      </c>
      <c r="D289" s="94" t="s">
        <v>2665</v>
      </c>
      <c r="E289" s="94" t="s">
        <v>2361</v>
      </c>
      <c r="F289" s="97" t="s">
        <v>1417</v>
      </c>
      <c r="G289" s="95">
        <v>4813008499</v>
      </c>
      <c r="H289" s="98" t="s">
        <v>5057</v>
      </c>
      <c r="I289" s="95">
        <v>48189006427</v>
      </c>
      <c r="J289" s="98" t="s">
        <v>5088</v>
      </c>
      <c r="K289" s="104">
        <v>44508</v>
      </c>
      <c r="L289" s="98" t="s">
        <v>7318</v>
      </c>
      <c r="M289" s="98" t="s">
        <v>5156</v>
      </c>
      <c r="N289" s="98" t="s">
        <v>7319</v>
      </c>
      <c r="O289" s="98" t="s">
        <v>7320</v>
      </c>
      <c r="P289" s="95">
        <v>386737394</v>
      </c>
      <c r="Q289" s="98" t="s">
        <v>7321</v>
      </c>
      <c r="R289" s="98" t="s">
        <v>5094</v>
      </c>
      <c r="S289" s="99"/>
      <c r="T289" s="100">
        <v>40920</v>
      </c>
      <c r="U289" s="100">
        <v>41642</v>
      </c>
      <c r="V289" s="98" t="s">
        <v>5095</v>
      </c>
      <c r="W289" s="98" t="s">
        <v>5068</v>
      </c>
      <c r="X289" s="98" t="s">
        <v>5096</v>
      </c>
      <c r="Y289" s="98" t="s">
        <v>5068</v>
      </c>
      <c r="Z289" s="99"/>
      <c r="AA289" s="99"/>
      <c r="AB289" s="95" t="s">
        <v>5161</v>
      </c>
      <c r="AC289" s="99"/>
      <c r="AD289" s="99"/>
      <c r="AE289" s="95" t="s">
        <v>5161</v>
      </c>
      <c r="AF289" s="99"/>
      <c r="AG289" s="95">
        <v>1</v>
      </c>
      <c r="AH289" s="94" t="s">
        <v>5074</v>
      </c>
      <c r="AI289" s="94" t="s">
        <v>5133</v>
      </c>
      <c r="AJ289" s="98" t="s">
        <v>5134</v>
      </c>
      <c r="AK289" s="98" t="s">
        <v>7322</v>
      </c>
      <c r="AL289" s="101" t="s">
        <v>5149</v>
      </c>
      <c r="AM289" s="99"/>
      <c r="AN289" s="98" t="s">
        <v>5079</v>
      </c>
      <c r="AO289" s="98" t="s">
        <v>7323</v>
      </c>
      <c r="AP289" s="98" t="s">
        <v>7324</v>
      </c>
      <c r="AQ289" s="102">
        <v>2022</v>
      </c>
      <c r="AR289" s="99"/>
      <c r="AS289" s="99"/>
      <c r="AT289" s="98" t="s">
        <v>5083</v>
      </c>
      <c r="AU289" s="99"/>
      <c r="AV289" s="95">
        <v>0</v>
      </c>
      <c r="AW289" s="94" t="s">
        <v>5074</v>
      </c>
      <c r="AX289" s="95">
        <v>0</v>
      </c>
      <c r="AY289" s="98" t="s">
        <v>5152</v>
      </c>
      <c r="AZ289" s="102">
        <v>4</v>
      </c>
      <c r="BA289" s="102" t="s">
        <v>5168</v>
      </c>
      <c r="BB289" s="93"/>
    </row>
    <row r="290" spans="1:54" ht="13.8">
      <c r="A290" s="94" t="s">
        <v>7325</v>
      </c>
      <c r="B290" s="95" t="s">
        <v>7326</v>
      </c>
      <c r="C290" s="100">
        <v>32908</v>
      </c>
      <c r="D290" s="94" t="s">
        <v>2665</v>
      </c>
      <c r="E290" s="94" t="s">
        <v>2361</v>
      </c>
      <c r="F290" s="97" t="s">
        <v>1417</v>
      </c>
      <c r="G290" s="95">
        <v>4814021929</v>
      </c>
      <c r="H290" s="98" t="s">
        <v>5057</v>
      </c>
      <c r="I290" s="95">
        <v>48190007542</v>
      </c>
      <c r="J290" s="98" t="s">
        <v>5088</v>
      </c>
      <c r="K290" s="95" t="s">
        <v>7327</v>
      </c>
      <c r="L290" s="98" t="s">
        <v>7328</v>
      </c>
      <c r="M290" s="98" t="s">
        <v>7329</v>
      </c>
      <c r="N290" s="98" t="s">
        <v>7330</v>
      </c>
      <c r="O290" s="98" t="s">
        <v>7331</v>
      </c>
      <c r="P290" s="95">
        <v>943747637</v>
      </c>
      <c r="Q290" s="98" t="s">
        <v>7332</v>
      </c>
      <c r="R290" s="98" t="s">
        <v>5094</v>
      </c>
      <c r="S290" s="99"/>
      <c r="T290" s="100">
        <v>44207</v>
      </c>
      <c r="U290" s="100">
        <v>44207</v>
      </c>
      <c r="V290" s="99"/>
      <c r="W290" s="98" t="s">
        <v>5068</v>
      </c>
      <c r="X290" s="98" t="s">
        <v>5187</v>
      </c>
      <c r="Y290" s="99"/>
      <c r="Z290" s="99"/>
      <c r="AA290" s="99"/>
      <c r="AB290" s="99"/>
      <c r="AC290" s="99"/>
      <c r="AD290" s="99"/>
      <c r="AE290" s="99"/>
      <c r="AF290" s="99"/>
      <c r="AG290" s="95">
        <v>0</v>
      </c>
      <c r="AH290" s="94" t="s">
        <v>5084</v>
      </c>
      <c r="AI290" s="106"/>
      <c r="AJ290" s="99"/>
      <c r="AK290" s="98" t="s">
        <v>7116</v>
      </c>
      <c r="AL290" s="101" t="s">
        <v>5149</v>
      </c>
      <c r="AM290" s="99"/>
      <c r="AN290" s="98" t="s">
        <v>5079</v>
      </c>
      <c r="AO290" s="98" t="s">
        <v>5080</v>
      </c>
      <c r="AP290" s="98" t="s">
        <v>6739</v>
      </c>
      <c r="AQ290" s="102">
        <v>2022</v>
      </c>
      <c r="AR290" s="99"/>
      <c r="AS290" s="99"/>
      <c r="AT290" s="99"/>
      <c r="AU290" s="98" t="s">
        <v>5220</v>
      </c>
      <c r="AV290" s="99"/>
      <c r="AW290" s="94" t="s">
        <v>5084</v>
      </c>
      <c r="AX290" s="95">
        <v>0</v>
      </c>
      <c r="AY290" s="98" t="s">
        <v>5152</v>
      </c>
      <c r="AZ290" s="102">
        <v>2</v>
      </c>
      <c r="BA290" s="102" t="s">
        <v>5237</v>
      </c>
      <c r="BB290" s="93"/>
    </row>
    <row r="291" spans="1:54" ht="13.8">
      <c r="A291" s="94" t="s">
        <v>1173</v>
      </c>
      <c r="B291" s="95" t="s">
        <v>4746</v>
      </c>
      <c r="C291" s="100">
        <v>31360</v>
      </c>
      <c r="D291" s="94" t="s">
        <v>2665</v>
      </c>
      <c r="E291" s="94" t="s">
        <v>2361</v>
      </c>
      <c r="F291" s="97" t="s">
        <v>1417</v>
      </c>
      <c r="G291" s="95">
        <v>110067781</v>
      </c>
      <c r="H291" s="98" t="s">
        <v>5057</v>
      </c>
      <c r="I291" s="95">
        <v>11185003384</v>
      </c>
      <c r="J291" s="98" t="s">
        <v>5088</v>
      </c>
      <c r="K291" s="95" t="s">
        <v>7333</v>
      </c>
      <c r="L291" s="98" t="s">
        <v>7334</v>
      </c>
      <c r="M291" s="98" t="s">
        <v>7335</v>
      </c>
      <c r="N291" s="98" t="s">
        <v>7336</v>
      </c>
      <c r="O291" s="98" t="s">
        <v>7337</v>
      </c>
      <c r="P291" s="95">
        <v>936177690</v>
      </c>
      <c r="Q291" s="98" t="s">
        <v>7338</v>
      </c>
      <c r="R291" s="98" t="s">
        <v>5094</v>
      </c>
      <c r="S291" s="99"/>
      <c r="T291" s="100">
        <v>44932</v>
      </c>
      <c r="U291" s="109"/>
      <c r="V291" s="99"/>
      <c r="W291" s="98" t="s">
        <v>5068</v>
      </c>
      <c r="X291" s="98" t="s">
        <v>5187</v>
      </c>
      <c r="Y291" s="99"/>
      <c r="Z291" s="99"/>
      <c r="AA291" s="99"/>
      <c r="AB291" s="99"/>
      <c r="AC291" s="99"/>
      <c r="AD291" s="99"/>
      <c r="AE291" s="95" t="s">
        <v>7339</v>
      </c>
      <c r="AF291" s="99"/>
      <c r="AG291" s="95">
        <v>0</v>
      </c>
      <c r="AH291" s="94" t="s">
        <v>5074</v>
      </c>
      <c r="AI291" s="94" t="s">
        <v>5122</v>
      </c>
      <c r="AJ291" s="98" t="s">
        <v>6157</v>
      </c>
      <c r="AK291" s="98" t="s">
        <v>7340</v>
      </c>
      <c r="AL291" s="101" t="s">
        <v>5078</v>
      </c>
      <c r="AM291" s="99"/>
      <c r="AN291" s="98" t="s">
        <v>5079</v>
      </c>
      <c r="AO291" s="98" t="s">
        <v>5080</v>
      </c>
      <c r="AP291" s="98" t="s">
        <v>6603</v>
      </c>
      <c r="AQ291" s="102">
        <v>2020</v>
      </c>
      <c r="AR291" s="98" t="s">
        <v>5106</v>
      </c>
      <c r="AS291" s="99"/>
      <c r="AT291" s="98" t="s">
        <v>5083</v>
      </c>
      <c r="AU291" s="98" t="s">
        <v>5151</v>
      </c>
      <c r="AV291" s="99"/>
      <c r="AW291" s="94" t="s">
        <v>5074</v>
      </c>
      <c r="AX291" s="95">
        <v>0</v>
      </c>
      <c r="AY291" s="98" t="s">
        <v>5085</v>
      </c>
      <c r="AZ291" s="102">
        <v>1</v>
      </c>
      <c r="BA291" s="110">
        <v>46116</v>
      </c>
      <c r="BB291" s="93"/>
    </row>
    <row r="292" spans="1:54" ht="13.8">
      <c r="A292" s="94" t="s">
        <v>7341</v>
      </c>
      <c r="B292" s="95" t="s">
        <v>7342</v>
      </c>
      <c r="C292" s="100">
        <v>35274</v>
      </c>
      <c r="D292" s="94" t="s">
        <v>2656</v>
      </c>
      <c r="E292" s="94" t="s">
        <v>2361</v>
      </c>
      <c r="F292" s="97" t="s">
        <v>1417</v>
      </c>
      <c r="G292" s="95">
        <v>4810031394</v>
      </c>
      <c r="H292" s="98" t="s">
        <v>5057</v>
      </c>
      <c r="I292" s="95">
        <v>49188003811</v>
      </c>
      <c r="J292" s="98" t="s">
        <v>5088</v>
      </c>
      <c r="K292" s="95" t="s">
        <v>5202</v>
      </c>
      <c r="L292" s="98" t="s">
        <v>7343</v>
      </c>
      <c r="M292" s="98" t="s">
        <v>7344</v>
      </c>
      <c r="N292" s="98" t="s">
        <v>7345</v>
      </c>
      <c r="O292" s="98" t="s">
        <v>7345</v>
      </c>
      <c r="P292" s="95">
        <v>975363148</v>
      </c>
      <c r="Q292" s="98" t="s">
        <v>7346</v>
      </c>
      <c r="R292" s="98" t="s">
        <v>5094</v>
      </c>
      <c r="S292" s="99"/>
      <c r="T292" s="100">
        <v>46023</v>
      </c>
      <c r="U292" s="109"/>
      <c r="V292" s="98" t="s">
        <v>5095</v>
      </c>
      <c r="W292" s="98" t="s">
        <v>5068</v>
      </c>
      <c r="X292" s="98" t="s">
        <v>5096</v>
      </c>
      <c r="Y292" s="98" t="s">
        <v>5068</v>
      </c>
      <c r="Z292" s="99"/>
      <c r="AA292" s="99"/>
      <c r="AB292" s="95" t="s">
        <v>5161</v>
      </c>
      <c r="AC292" s="99"/>
      <c r="AD292" s="99"/>
      <c r="AE292" s="95" t="s">
        <v>5161</v>
      </c>
      <c r="AF292" s="99"/>
      <c r="AG292" s="95">
        <v>1</v>
      </c>
      <c r="AH292" s="94" t="s">
        <v>5084</v>
      </c>
      <c r="AI292" s="94" t="s">
        <v>5122</v>
      </c>
      <c r="AJ292" s="98" t="s">
        <v>6157</v>
      </c>
      <c r="AK292" s="98" t="s">
        <v>7284</v>
      </c>
      <c r="AL292" s="101" t="s">
        <v>5149</v>
      </c>
      <c r="AM292" s="98" t="s">
        <v>7347</v>
      </c>
      <c r="AN292" s="98" t="s">
        <v>5079</v>
      </c>
      <c r="AO292" s="98" t="s">
        <v>5080</v>
      </c>
      <c r="AP292" s="102">
        <v>80</v>
      </c>
      <c r="AQ292" s="102">
        <v>2014</v>
      </c>
      <c r="AR292" s="98" t="s">
        <v>5200</v>
      </c>
      <c r="AS292" s="99"/>
      <c r="AT292" s="98" t="s">
        <v>5083</v>
      </c>
      <c r="AU292" s="98" t="s">
        <v>5135</v>
      </c>
      <c r="AV292" s="95">
        <v>0</v>
      </c>
      <c r="AW292" s="94" t="s">
        <v>5084</v>
      </c>
      <c r="AX292" s="95">
        <v>0</v>
      </c>
      <c r="AY292" s="98" t="s">
        <v>5152</v>
      </c>
      <c r="AZ292" s="102">
        <v>5</v>
      </c>
      <c r="BA292" s="102" t="s">
        <v>5153</v>
      </c>
      <c r="BB292" s="93"/>
    </row>
    <row r="293" spans="1:54" ht="13.8">
      <c r="A293" s="94" t="s">
        <v>7348</v>
      </c>
      <c r="B293" s="95" t="s">
        <v>7349</v>
      </c>
      <c r="C293" s="100">
        <v>32366</v>
      </c>
      <c r="D293" s="94" t="s">
        <v>2665</v>
      </c>
      <c r="E293" s="94" t="s">
        <v>2361</v>
      </c>
      <c r="F293" s="97" t="s">
        <v>1417</v>
      </c>
      <c r="G293" s="95">
        <v>4820154016</v>
      </c>
      <c r="H293" s="98" t="s">
        <v>5181</v>
      </c>
      <c r="I293" s="95">
        <v>49096015048</v>
      </c>
      <c r="J293" s="98" t="s">
        <v>5088</v>
      </c>
      <c r="K293" s="95" t="s">
        <v>6061</v>
      </c>
      <c r="L293" s="98" t="s">
        <v>5476</v>
      </c>
      <c r="M293" s="98" t="s">
        <v>7350</v>
      </c>
      <c r="N293" s="98" t="s">
        <v>7350</v>
      </c>
      <c r="O293" s="98" t="s">
        <v>7350</v>
      </c>
      <c r="P293" s="95">
        <v>702779354</v>
      </c>
      <c r="Q293" s="98" t="s">
        <v>7351</v>
      </c>
      <c r="R293" s="98" t="s">
        <v>5094</v>
      </c>
      <c r="S293" s="99"/>
      <c r="T293" s="100">
        <v>40189</v>
      </c>
      <c r="U293" s="100">
        <v>40554</v>
      </c>
      <c r="V293" s="99"/>
      <c r="W293" s="99"/>
      <c r="X293" s="98" t="s">
        <v>5480</v>
      </c>
      <c r="Y293" s="99"/>
      <c r="Z293" s="99"/>
      <c r="AA293" s="99"/>
      <c r="AB293" s="99"/>
      <c r="AC293" s="99"/>
      <c r="AD293" s="99"/>
      <c r="AE293" s="99"/>
      <c r="AF293" s="99"/>
      <c r="AG293" s="95">
        <v>0</v>
      </c>
      <c r="AH293" s="94" t="s">
        <v>5084</v>
      </c>
      <c r="AI293" s="94" t="s">
        <v>5122</v>
      </c>
      <c r="AJ293" s="99"/>
      <c r="AK293" s="99"/>
      <c r="AL293" s="101" t="s">
        <v>5149</v>
      </c>
      <c r="AM293" s="99"/>
      <c r="AN293" s="99"/>
      <c r="AO293" s="99"/>
      <c r="AP293" s="99"/>
      <c r="AQ293" s="99"/>
      <c r="AR293" s="99"/>
      <c r="AS293" s="99"/>
      <c r="AT293" s="99"/>
      <c r="AU293" s="98" t="s">
        <v>5151</v>
      </c>
      <c r="AV293" s="99"/>
      <c r="AW293" s="94" t="s">
        <v>5084</v>
      </c>
      <c r="AX293" s="95">
        <v>1</v>
      </c>
      <c r="AY293" s="98" t="s">
        <v>5152</v>
      </c>
      <c r="AZ293" s="102">
        <v>1</v>
      </c>
      <c r="BA293" s="102" t="s">
        <v>5189</v>
      </c>
      <c r="BB293" s="93"/>
    </row>
    <row r="294" spans="1:54" ht="13.8">
      <c r="A294" s="94" t="s">
        <v>7352</v>
      </c>
      <c r="B294" s="95" t="s">
        <v>7353</v>
      </c>
      <c r="C294" s="100">
        <v>24740</v>
      </c>
      <c r="D294" s="94" t="s">
        <v>2656</v>
      </c>
      <c r="E294" s="94" t="s">
        <v>2361</v>
      </c>
      <c r="F294" s="97" t="s">
        <v>1417</v>
      </c>
      <c r="G294" s="95">
        <v>1496004353</v>
      </c>
      <c r="H294" s="98" t="s">
        <v>5057</v>
      </c>
      <c r="I294" s="95">
        <v>2067000896</v>
      </c>
      <c r="J294" s="98" t="s">
        <v>5088</v>
      </c>
      <c r="K294" s="95" t="s">
        <v>7354</v>
      </c>
      <c r="L294" s="98" t="s">
        <v>7355</v>
      </c>
      <c r="M294" s="98" t="s">
        <v>7356</v>
      </c>
      <c r="N294" s="98" t="s">
        <v>7357</v>
      </c>
      <c r="O294" s="98" t="s">
        <v>7357</v>
      </c>
      <c r="P294" s="95">
        <v>916940188</v>
      </c>
      <c r="Q294" s="98" t="s">
        <v>7358</v>
      </c>
      <c r="R294" s="98" t="s">
        <v>5094</v>
      </c>
      <c r="S294" s="99"/>
      <c r="T294" s="100">
        <v>40179</v>
      </c>
      <c r="U294" s="100">
        <v>33978</v>
      </c>
      <c r="V294" s="98" t="s">
        <v>5095</v>
      </c>
      <c r="W294" s="98" t="s">
        <v>5068</v>
      </c>
      <c r="X294" s="98" t="s">
        <v>5096</v>
      </c>
      <c r="Y294" s="98" t="s">
        <v>5068</v>
      </c>
      <c r="Z294" s="99"/>
      <c r="AA294" s="99"/>
      <c r="AB294" s="99"/>
      <c r="AC294" s="99"/>
      <c r="AD294" s="99"/>
      <c r="AE294" s="104">
        <v>35126</v>
      </c>
      <c r="AF294" s="98" t="s">
        <v>5590</v>
      </c>
      <c r="AG294" s="95">
        <v>1</v>
      </c>
      <c r="AH294" s="94" t="s">
        <v>5074</v>
      </c>
      <c r="AI294" s="94" t="s">
        <v>5122</v>
      </c>
      <c r="AJ294" s="98" t="s">
        <v>6157</v>
      </c>
      <c r="AK294" s="98" t="s">
        <v>6602</v>
      </c>
      <c r="AL294" s="101" t="s">
        <v>5149</v>
      </c>
      <c r="AM294" s="98" t="s">
        <v>5926</v>
      </c>
      <c r="AN294" s="98" t="s">
        <v>5079</v>
      </c>
      <c r="AO294" s="98" t="s">
        <v>5080</v>
      </c>
      <c r="AP294" s="102">
        <v>1</v>
      </c>
      <c r="AQ294" s="102">
        <v>2006</v>
      </c>
      <c r="AR294" s="98" t="s">
        <v>5082</v>
      </c>
      <c r="AS294" s="99"/>
      <c r="AT294" s="99"/>
      <c r="AU294" s="98" t="s">
        <v>5228</v>
      </c>
      <c r="AV294" s="95">
        <v>0</v>
      </c>
      <c r="AW294" s="94" t="s">
        <v>5074</v>
      </c>
      <c r="AX294" s="95">
        <v>0</v>
      </c>
      <c r="AY294" s="98" t="s">
        <v>5152</v>
      </c>
      <c r="AZ294" s="102">
        <v>9</v>
      </c>
      <c r="BA294" s="102" t="s">
        <v>5221</v>
      </c>
      <c r="BB294" s="93"/>
    </row>
    <row r="295" spans="1:54" ht="13.8">
      <c r="A295" s="94" t="s">
        <v>7359</v>
      </c>
      <c r="B295" s="95" t="s">
        <v>7360</v>
      </c>
      <c r="C295" s="100">
        <v>34087</v>
      </c>
      <c r="D295" s="94" t="s">
        <v>2656</v>
      </c>
      <c r="E295" s="94" t="s">
        <v>2361</v>
      </c>
      <c r="F295" s="97" t="s">
        <v>1417</v>
      </c>
      <c r="G295" s="95">
        <v>4921387660</v>
      </c>
      <c r="H295" s="98" t="s">
        <v>5181</v>
      </c>
      <c r="I295" s="95">
        <v>49093017346</v>
      </c>
      <c r="J295" s="98" t="s">
        <v>5088</v>
      </c>
      <c r="K295" s="104">
        <v>44356</v>
      </c>
      <c r="L295" s="98" t="s">
        <v>7361</v>
      </c>
      <c r="M295" s="98" t="s">
        <v>7362</v>
      </c>
      <c r="N295" s="98" t="s">
        <v>7363</v>
      </c>
      <c r="O295" s="98" t="s">
        <v>7364</v>
      </c>
      <c r="P295" s="95">
        <v>899500259</v>
      </c>
      <c r="Q295" s="98" t="s">
        <v>7365</v>
      </c>
      <c r="R295" s="98" t="s">
        <v>5094</v>
      </c>
      <c r="S295" s="99"/>
      <c r="T295" s="100">
        <v>44570</v>
      </c>
      <c r="U295" s="100">
        <v>44935</v>
      </c>
      <c r="V295" s="99"/>
      <c r="W295" s="98" t="s">
        <v>5068</v>
      </c>
      <c r="X295" s="98" t="s">
        <v>5187</v>
      </c>
      <c r="Y295" s="99"/>
      <c r="Z295" s="99"/>
      <c r="AA295" s="99"/>
      <c r="AB295" s="99"/>
      <c r="AC295" s="99"/>
      <c r="AD295" s="99"/>
      <c r="AE295" s="99"/>
      <c r="AF295" s="99"/>
      <c r="AG295" s="95">
        <v>0</v>
      </c>
      <c r="AH295" s="94" t="s">
        <v>5084</v>
      </c>
      <c r="AI295" s="94" t="s">
        <v>5122</v>
      </c>
      <c r="AJ295" s="98" t="s">
        <v>6157</v>
      </c>
      <c r="AK295" s="98" t="s">
        <v>2676</v>
      </c>
      <c r="AL295" s="101" t="s">
        <v>5149</v>
      </c>
      <c r="AM295" s="99"/>
      <c r="AN295" s="98" t="s">
        <v>5079</v>
      </c>
      <c r="AO295" s="98" t="s">
        <v>5080</v>
      </c>
      <c r="AP295" s="98" t="s">
        <v>5188</v>
      </c>
      <c r="AQ295" s="102">
        <v>2019</v>
      </c>
      <c r="AR295" s="99"/>
      <c r="AS295" s="99"/>
      <c r="AT295" s="99"/>
      <c r="AU295" s="98" t="s">
        <v>5228</v>
      </c>
      <c r="AV295" s="99"/>
      <c r="AW295" s="94" t="s">
        <v>5084</v>
      </c>
      <c r="AX295" s="95">
        <v>0</v>
      </c>
      <c r="AY295" s="98" t="s">
        <v>5152</v>
      </c>
      <c r="AZ295" s="102">
        <v>2</v>
      </c>
      <c r="BA295" s="102" t="s">
        <v>5237</v>
      </c>
      <c r="BB295" s="93"/>
    </row>
    <row r="296" spans="1:54" ht="13.8">
      <c r="A296" s="94" t="s">
        <v>4877</v>
      </c>
      <c r="B296" s="95" t="s">
        <v>4878</v>
      </c>
      <c r="C296" s="100">
        <v>30548</v>
      </c>
      <c r="D296" s="94" t="s">
        <v>2665</v>
      </c>
      <c r="E296" s="94" t="s">
        <v>2361</v>
      </c>
      <c r="F296" s="97" t="s">
        <v>1417</v>
      </c>
      <c r="G296" s="95">
        <v>207140178</v>
      </c>
      <c r="H296" s="98" t="s">
        <v>5057</v>
      </c>
      <c r="I296" s="95">
        <v>40183011035</v>
      </c>
      <c r="J296" s="98" t="s">
        <v>5088</v>
      </c>
      <c r="K296" s="104">
        <v>44806</v>
      </c>
      <c r="L296" s="98" t="s">
        <v>6591</v>
      </c>
      <c r="M296" s="98" t="s">
        <v>7366</v>
      </c>
      <c r="N296" s="98" t="s">
        <v>7367</v>
      </c>
      <c r="O296" s="98" t="s">
        <v>7368</v>
      </c>
      <c r="P296" s="95">
        <v>914208011</v>
      </c>
      <c r="Q296" s="98" t="s">
        <v>7369</v>
      </c>
      <c r="R296" s="98" t="s">
        <v>5094</v>
      </c>
      <c r="S296" s="99"/>
      <c r="T296" s="100">
        <v>43109</v>
      </c>
      <c r="U296" s="100">
        <v>43476</v>
      </c>
      <c r="V296" s="98" t="s">
        <v>7370</v>
      </c>
      <c r="W296" s="98" t="s">
        <v>5068</v>
      </c>
      <c r="X296" s="98" t="s">
        <v>5096</v>
      </c>
      <c r="Y296" s="98" t="s">
        <v>5068</v>
      </c>
      <c r="Z296" s="99"/>
      <c r="AA296" s="99"/>
      <c r="AB296" s="99"/>
      <c r="AC296" s="99"/>
      <c r="AD296" s="99"/>
      <c r="AE296" s="99"/>
      <c r="AF296" s="99"/>
      <c r="AG296" s="95">
        <v>1</v>
      </c>
      <c r="AH296" s="94" t="s">
        <v>5084</v>
      </c>
      <c r="AI296" s="94" t="s">
        <v>5122</v>
      </c>
      <c r="AJ296" s="98" t="s">
        <v>5407</v>
      </c>
      <c r="AK296" s="98" t="s">
        <v>3075</v>
      </c>
      <c r="AL296" s="101" t="s">
        <v>5149</v>
      </c>
      <c r="AM296" s="98" t="s">
        <v>6489</v>
      </c>
      <c r="AN296" s="98" t="s">
        <v>5079</v>
      </c>
      <c r="AO296" s="98" t="s">
        <v>5080</v>
      </c>
      <c r="AP296" s="102">
        <v>76</v>
      </c>
      <c r="AQ296" s="102">
        <v>2016</v>
      </c>
      <c r="AR296" s="99"/>
      <c r="AS296" s="99"/>
      <c r="AT296" s="99"/>
      <c r="AU296" s="98" t="s">
        <v>5135</v>
      </c>
      <c r="AV296" s="99"/>
      <c r="AW296" s="94" t="s">
        <v>5084</v>
      </c>
      <c r="AX296" s="95">
        <v>0</v>
      </c>
      <c r="AY296" s="98" t="s">
        <v>5152</v>
      </c>
      <c r="AZ296" s="102">
        <v>6</v>
      </c>
      <c r="BA296" s="102" t="s">
        <v>5260</v>
      </c>
      <c r="BB296" s="93"/>
    </row>
    <row r="297" spans="1:54" ht="13.8">
      <c r="A297" s="94" t="s">
        <v>7371</v>
      </c>
      <c r="B297" s="95" t="s">
        <v>7372</v>
      </c>
      <c r="C297" s="100">
        <v>29054</v>
      </c>
      <c r="D297" s="94" t="s">
        <v>2665</v>
      </c>
      <c r="E297" s="94" t="s">
        <v>2361</v>
      </c>
      <c r="F297" s="97" t="s">
        <v>1417</v>
      </c>
      <c r="G297" s="95">
        <v>4808004743</v>
      </c>
      <c r="H297" s="98" t="s">
        <v>5057</v>
      </c>
      <c r="I297" s="95">
        <v>48179005435</v>
      </c>
      <c r="J297" s="98" t="s">
        <v>5088</v>
      </c>
      <c r="K297" s="104">
        <v>44444</v>
      </c>
      <c r="L297" s="98" t="s">
        <v>5394</v>
      </c>
      <c r="M297" s="98" t="s">
        <v>6929</v>
      </c>
      <c r="N297" s="98" t="s">
        <v>7373</v>
      </c>
      <c r="O297" s="98" t="s">
        <v>7373</v>
      </c>
      <c r="P297" s="95">
        <v>985555691</v>
      </c>
      <c r="Q297" s="98" t="s">
        <v>7374</v>
      </c>
      <c r="R297" s="98" t="s">
        <v>5094</v>
      </c>
      <c r="S297" s="98" t="s">
        <v>5116</v>
      </c>
      <c r="T297" s="100">
        <v>38723</v>
      </c>
      <c r="U297" s="100">
        <v>39448</v>
      </c>
      <c r="V297" s="98" t="s">
        <v>5095</v>
      </c>
      <c r="W297" s="98" t="s">
        <v>5068</v>
      </c>
      <c r="X297" s="98" t="s">
        <v>5096</v>
      </c>
      <c r="Y297" s="98" t="s">
        <v>5068</v>
      </c>
      <c r="Z297" s="99"/>
      <c r="AA297" s="99"/>
      <c r="AB297" s="95" t="s">
        <v>5161</v>
      </c>
      <c r="AC297" s="99"/>
      <c r="AD297" s="99"/>
      <c r="AE297" s="95" t="s">
        <v>5161</v>
      </c>
      <c r="AF297" s="99"/>
      <c r="AG297" s="95">
        <v>1</v>
      </c>
      <c r="AH297" s="94" t="s">
        <v>5084</v>
      </c>
      <c r="AI297" s="94" t="s">
        <v>5122</v>
      </c>
      <c r="AJ297" s="98" t="s">
        <v>6157</v>
      </c>
      <c r="AK297" s="98" t="s">
        <v>7375</v>
      </c>
      <c r="AL297" s="101" t="s">
        <v>5149</v>
      </c>
      <c r="AM297" s="98" t="s">
        <v>5716</v>
      </c>
      <c r="AN297" s="98" t="s">
        <v>5079</v>
      </c>
      <c r="AO297" s="98" t="s">
        <v>5080</v>
      </c>
      <c r="AP297" s="102">
        <v>87</v>
      </c>
      <c r="AQ297" s="102">
        <v>2005</v>
      </c>
      <c r="AR297" s="99"/>
      <c r="AS297" s="99"/>
      <c r="AT297" s="99"/>
      <c r="AU297" s="99"/>
      <c r="AV297" s="95">
        <v>0</v>
      </c>
      <c r="AW297" s="94" t="s">
        <v>5084</v>
      </c>
      <c r="AX297" s="95">
        <v>0</v>
      </c>
      <c r="AY297" s="98" t="s">
        <v>5152</v>
      </c>
      <c r="AZ297" s="102">
        <v>7</v>
      </c>
      <c r="BA297" s="102" t="s">
        <v>5286</v>
      </c>
      <c r="BB297" s="93"/>
    </row>
    <row r="298" spans="1:54" ht="13.8">
      <c r="A298" s="94" t="s">
        <v>7376</v>
      </c>
      <c r="B298" s="95" t="s">
        <v>7377</v>
      </c>
      <c r="C298" s="100">
        <v>35248</v>
      </c>
      <c r="D298" s="94" t="s">
        <v>2656</v>
      </c>
      <c r="E298" s="94" t="s">
        <v>2361</v>
      </c>
      <c r="F298" s="97" t="s">
        <v>1417</v>
      </c>
      <c r="G298" s="95">
        <v>4520489558</v>
      </c>
      <c r="H298" s="98" t="s">
        <v>5181</v>
      </c>
      <c r="I298" s="95">
        <v>45096005372</v>
      </c>
      <c r="J298" s="98" t="s">
        <v>5088</v>
      </c>
      <c r="K298" s="95" t="s">
        <v>6567</v>
      </c>
      <c r="L298" s="98" t="s">
        <v>7378</v>
      </c>
      <c r="M298" s="98" t="s">
        <v>7379</v>
      </c>
      <c r="N298" s="98" t="s">
        <v>7379</v>
      </c>
      <c r="O298" s="98" t="s">
        <v>7380</v>
      </c>
      <c r="P298" s="95">
        <v>969788638</v>
      </c>
      <c r="Q298" s="98" t="s">
        <v>7381</v>
      </c>
      <c r="R298" s="98" t="s">
        <v>5094</v>
      </c>
      <c r="S298" s="99"/>
      <c r="T298" s="100">
        <v>44207</v>
      </c>
      <c r="U298" s="100">
        <v>44784</v>
      </c>
      <c r="V298" s="99"/>
      <c r="W298" s="98" t="s">
        <v>5142</v>
      </c>
      <c r="X298" s="98" t="s">
        <v>5187</v>
      </c>
      <c r="Y298" s="99"/>
      <c r="Z298" s="99"/>
      <c r="AA298" s="99"/>
      <c r="AB298" s="99"/>
      <c r="AC298" s="99"/>
      <c r="AD298" s="99"/>
      <c r="AE298" s="99"/>
      <c r="AF298" s="99"/>
      <c r="AG298" s="95">
        <v>0</v>
      </c>
      <c r="AH298" s="94" t="s">
        <v>5162</v>
      </c>
      <c r="AI298" s="94" t="s">
        <v>5122</v>
      </c>
      <c r="AJ298" s="98" t="s">
        <v>5407</v>
      </c>
      <c r="AK298" s="98" t="s">
        <v>3075</v>
      </c>
      <c r="AL298" s="101" t="s">
        <v>5142</v>
      </c>
      <c r="AM298" s="99"/>
      <c r="AN298" s="98" t="s">
        <v>5079</v>
      </c>
      <c r="AO298" s="98" t="s">
        <v>5080</v>
      </c>
      <c r="AP298" s="98" t="s">
        <v>5188</v>
      </c>
      <c r="AQ298" s="102">
        <v>2018</v>
      </c>
      <c r="AR298" s="99"/>
      <c r="AS298" s="99"/>
      <c r="AT298" s="99"/>
      <c r="AU298" s="98" t="s">
        <v>5151</v>
      </c>
      <c r="AV298" s="99"/>
      <c r="AW298" s="94" t="s">
        <v>5162</v>
      </c>
      <c r="AX298" s="95">
        <v>0</v>
      </c>
      <c r="AY298" s="98" t="s">
        <v>5167</v>
      </c>
      <c r="AZ298" s="102">
        <v>1</v>
      </c>
      <c r="BA298" s="102" t="s">
        <v>5189</v>
      </c>
      <c r="BB298" s="93"/>
    </row>
    <row r="299" spans="1:54" ht="13.8">
      <c r="A299" s="94" t="s">
        <v>7382</v>
      </c>
      <c r="B299" s="95" t="s">
        <v>7383</v>
      </c>
      <c r="C299" s="100">
        <v>37033</v>
      </c>
      <c r="D299" s="94" t="s">
        <v>2656</v>
      </c>
      <c r="E299" s="94" t="s">
        <v>2361</v>
      </c>
      <c r="F299" s="97" t="s">
        <v>1417</v>
      </c>
      <c r="G299" s="95">
        <v>4920572359</v>
      </c>
      <c r="H299" s="98" t="s">
        <v>5181</v>
      </c>
      <c r="I299" s="95">
        <v>49201011410</v>
      </c>
      <c r="J299" s="98" t="s">
        <v>5182</v>
      </c>
      <c r="K299" s="104">
        <v>44205</v>
      </c>
      <c r="L299" s="98" t="s">
        <v>5484</v>
      </c>
      <c r="M299" s="98" t="s">
        <v>5193</v>
      </c>
      <c r="N299" s="98" t="s">
        <v>6600</v>
      </c>
      <c r="O299" s="98" t="s">
        <v>6600</v>
      </c>
      <c r="P299" s="95">
        <v>932550120</v>
      </c>
      <c r="Q299" s="98" t="s">
        <v>7384</v>
      </c>
      <c r="R299" s="98" t="s">
        <v>5094</v>
      </c>
      <c r="S299" s="99"/>
      <c r="T299" s="100">
        <v>45658</v>
      </c>
      <c r="U299" s="100">
        <v>46023</v>
      </c>
      <c r="V299" s="99"/>
      <c r="W299" s="98" t="s">
        <v>5880</v>
      </c>
      <c r="X299" s="98" t="s">
        <v>5480</v>
      </c>
      <c r="Y299" s="99"/>
      <c r="Z299" s="99"/>
      <c r="AA299" s="99"/>
      <c r="AB299" s="99"/>
      <c r="AC299" s="99"/>
      <c r="AD299" s="99"/>
      <c r="AE299" s="99"/>
      <c r="AF299" s="99"/>
      <c r="AG299" s="95">
        <v>0</v>
      </c>
      <c r="AH299" s="94" t="s">
        <v>5162</v>
      </c>
      <c r="AI299" s="94" t="s">
        <v>5122</v>
      </c>
      <c r="AJ299" s="98" t="s">
        <v>5407</v>
      </c>
      <c r="AK299" s="98" t="s">
        <v>3075</v>
      </c>
      <c r="AL299" s="101" t="s">
        <v>5880</v>
      </c>
      <c r="AM299" s="99"/>
      <c r="AN299" s="98" t="s">
        <v>5079</v>
      </c>
      <c r="AO299" s="98" t="s">
        <v>5080</v>
      </c>
      <c r="AP299" s="98" t="s">
        <v>5188</v>
      </c>
      <c r="AQ299" s="102">
        <v>2023</v>
      </c>
      <c r="AR299" s="99"/>
      <c r="AS299" s="99"/>
      <c r="AT299" s="99"/>
      <c r="AU299" s="98" t="s">
        <v>5228</v>
      </c>
      <c r="AV299" s="99"/>
      <c r="AW299" s="94" t="s">
        <v>5162</v>
      </c>
      <c r="AX299" s="95">
        <v>0</v>
      </c>
      <c r="AY299" s="99"/>
      <c r="AZ299" s="102">
        <v>1</v>
      </c>
      <c r="BA299" s="102" t="s">
        <v>5189</v>
      </c>
      <c r="BB299" s="93"/>
    </row>
    <row r="300" spans="1:54" ht="13.8">
      <c r="A300" s="94" t="s">
        <v>7385</v>
      </c>
      <c r="B300" s="95" t="s">
        <v>7386</v>
      </c>
      <c r="C300" s="100">
        <v>30542</v>
      </c>
      <c r="D300" s="94" t="s">
        <v>2665</v>
      </c>
      <c r="E300" s="94" t="s">
        <v>4741</v>
      </c>
      <c r="F300" s="97" t="s">
        <v>4742</v>
      </c>
      <c r="G300" s="95">
        <v>4811044771</v>
      </c>
      <c r="H300" s="98" t="s">
        <v>5057</v>
      </c>
      <c r="I300" s="95">
        <v>42183010512</v>
      </c>
      <c r="J300" s="98" t="s">
        <v>5088</v>
      </c>
      <c r="K300" s="104">
        <v>44415</v>
      </c>
      <c r="L300" s="98" t="s">
        <v>7387</v>
      </c>
      <c r="M300" s="98" t="s">
        <v>7388</v>
      </c>
      <c r="N300" s="98" t="s">
        <v>5508</v>
      </c>
      <c r="O300" s="98" t="s">
        <v>5508</v>
      </c>
      <c r="P300" s="95">
        <v>905915292</v>
      </c>
      <c r="Q300" s="98" t="s">
        <v>7389</v>
      </c>
      <c r="R300" s="98" t="s">
        <v>5094</v>
      </c>
      <c r="S300" s="98" t="s">
        <v>5116</v>
      </c>
      <c r="T300" s="100">
        <v>40553</v>
      </c>
      <c r="U300" s="100">
        <v>41163</v>
      </c>
      <c r="V300" s="98" t="s">
        <v>5095</v>
      </c>
      <c r="W300" s="98" t="s">
        <v>5142</v>
      </c>
      <c r="X300" s="98" t="s">
        <v>5096</v>
      </c>
      <c r="Y300" s="99"/>
      <c r="Z300" s="99"/>
      <c r="AA300" s="99"/>
      <c r="AB300" s="95" t="s">
        <v>5161</v>
      </c>
      <c r="AC300" s="99"/>
      <c r="AD300" s="99"/>
      <c r="AE300" s="95" t="s">
        <v>5161</v>
      </c>
      <c r="AF300" s="99"/>
      <c r="AG300" s="95">
        <v>1</v>
      </c>
      <c r="AH300" s="94" t="s">
        <v>5084</v>
      </c>
      <c r="AI300" s="106"/>
      <c r="AJ300" s="99"/>
      <c r="AK300" s="98" t="s">
        <v>2659</v>
      </c>
      <c r="AL300" s="101" t="s">
        <v>5142</v>
      </c>
      <c r="AM300" s="98" t="s">
        <v>5268</v>
      </c>
      <c r="AN300" s="98" t="s">
        <v>5079</v>
      </c>
      <c r="AO300" s="98" t="s">
        <v>5080</v>
      </c>
      <c r="AP300" s="102">
        <v>83</v>
      </c>
      <c r="AQ300" s="102">
        <v>2017</v>
      </c>
      <c r="AR300" s="99"/>
      <c r="AS300" s="98" t="s">
        <v>5142</v>
      </c>
      <c r="AT300" s="99"/>
      <c r="AU300" s="98" t="s">
        <v>5084</v>
      </c>
      <c r="AV300" s="95">
        <v>0</v>
      </c>
      <c r="AW300" s="94" t="s">
        <v>5084</v>
      </c>
      <c r="AX300" s="95">
        <v>0</v>
      </c>
      <c r="AY300" s="98" t="s">
        <v>5167</v>
      </c>
      <c r="AZ300" s="102">
        <v>5</v>
      </c>
      <c r="BA300" s="102" t="s">
        <v>5153</v>
      </c>
      <c r="BB300" s="93"/>
    </row>
    <row r="301" spans="1:54" ht="13.8">
      <c r="A301" s="94" t="s">
        <v>7390</v>
      </c>
      <c r="B301" s="95" t="s">
        <v>7391</v>
      </c>
      <c r="C301" s="100">
        <v>30687</v>
      </c>
      <c r="D301" s="94" t="s">
        <v>2656</v>
      </c>
      <c r="E301" s="94" t="s">
        <v>4741</v>
      </c>
      <c r="F301" s="97" t="s">
        <v>4742</v>
      </c>
      <c r="G301" s="95">
        <v>7912144945</v>
      </c>
      <c r="H301" s="98" t="s">
        <v>5057</v>
      </c>
      <c r="I301" s="95">
        <v>36084005760</v>
      </c>
      <c r="J301" s="98" t="s">
        <v>5088</v>
      </c>
      <c r="K301" s="95" t="s">
        <v>5111</v>
      </c>
      <c r="L301" s="98" t="s">
        <v>5476</v>
      </c>
      <c r="M301" s="98" t="s">
        <v>7392</v>
      </c>
      <c r="N301" s="98" t="s">
        <v>7392</v>
      </c>
      <c r="O301" s="98" t="s">
        <v>7393</v>
      </c>
      <c r="P301" s="95">
        <v>978393788</v>
      </c>
      <c r="Q301" s="98" t="s">
        <v>7394</v>
      </c>
      <c r="R301" s="98" t="s">
        <v>5094</v>
      </c>
      <c r="S301" s="99"/>
      <c r="T301" s="100">
        <v>46023</v>
      </c>
      <c r="U301" s="109"/>
      <c r="V301" s="99"/>
      <c r="W301" s="99"/>
      <c r="X301" s="98" t="s">
        <v>5653</v>
      </c>
      <c r="Y301" s="99"/>
      <c r="Z301" s="99"/>
      <c r="AA301" s="99"/>
      <c r="AB301" s="99"/>
      <c r="AC301" s="99"/>
      <c r="AD301" s="99"/>
      <c r="AE301" s="99"/>
      <c r="AF301" s="99"/>
      <c r="AG301" s="95">
        <v>0</v>
      </c>
      <c r="AH301" s="94" t="s">
        <v>5084</v>
      </c>
      <c r="AI301" s="94" t="s">
        <v>5122</v>
      </c>
      <c r="AJ301" s="98" t="s">
        <v>6157</v>
      </c>
      <c r="AK301" s="98" t="s">
        <v>5275</v>
      </c>
      <c r="AL301" s="101" t="s">
        <v>5149</v>
      </c>
      <c r="AM301" s="99"/>
      <c r="AN301" s="98" t="s">
        <v>5079</v>
      </c>
      <c r="AO301" s="98" t="s">
        <v>5080</v>
      </c>
      <c r="AP301" s="98" t="s">
        <v>7395</v>
      </c>
      <c r="AQ301" s="102">
        <v>2011</v>
      </c>
      <c r="AR301" s="98" t="s">
        <v>5106</v>
      </c>
      <c r="AS301" s="99"/>
      <c r="AT301" s="99"/>
      <c r="AU301" s="98" t="s">
        <v>5228</v>
      </c>
      <c r="AV301" s="99"/>
      <c r="AW301" s="94" t="s">
        <v>5084</v>
      </c>
      <c r="AX301" s="95">
        <v>1</v>
      </c>
      <c r="AY301" s="98" t="s">
        <v>5152</v>
      </c>
      <c r="AZ301" s="102">
        <v>4</v>
      </c>
      <c r="BA301" s="102" t="s">
        <v>5168</v>
      </c>
      <c r="BB301" s="93"/>
    </row>
    <row r="302" spans="1:54" ht="13.8">
      <c r="A302" s="94" t="s">
        <v>4871</v>
      </c>
      <c r="B302" s="95" t="s">
        <v>4872</v>
      </c>
      <c r="C302" s="100">
        <v>31058</v>
      </c>
      <c r="D302" s="94" t="s">
        <v>2665</v>
      </c>
      <c r="E302" s="94" t="s">
        <v>4741</v>
      </c>
      <c r="F302" s="97" t="s">
        <v>4742</v>
      </c>
      <c r="G302" s="95">
        <v>7908344098</v>
      </c>
      <c r="H302" s="98" t="s">
        <v>5057</v>
      </c>
      <c r="I302" s="95">
        <v>51185014776</v>
      </c>
      <c r="J302" s="98" t="s">
        <v>5088</v>
      </c>
      <c r="K302" s="104">
        <v>44508</v>
      </c>
      <c r="L302" s="98" t="s">
        <v>7396</v>
      </c>
      <c r="M302" s="98" t="s">
        <v>7397</v>
      </c>
      <c r="N302" s="98" t="s">
        <v>7398</v>
      </c>
      <c r="O302" s="98" t="s">
        <v>7398</v>
      </c>
      <c r="P302" s="95">
        <v>911119459</v>
      </c>
      <c r="Q302" s="98" t="s">
        <v>7399</v>
      </c>
      <c r="R302" s="98" t="s">
        <v>5094</v>
      </c>
      <c r="S302" s="99"/>
      <c r="T302" s="100">
        <v>43997</v>
      </c>
      <c r="U302" s="109"/>
      <c r="V302" s="99"/>
      <c r="W302" s="98" t="s">
        <v>5068</v>
      </c>
      <c r="X302" s="98" t="s">
        <v>5096</v>
      </c>
      <c r="Y302" s="99"/>
      <c r="Z302" s="99"/>
      <c r="AA302" s="98" t="s">
        <v>5143</v>
      </c>
      <c r="AB302" s="95" t="s">
        <v>7400</v>
      </c>
      <c r="AC302" s="99"/>
      <c r="AD302" s="99"/>
      <c r="AE302" s="95" t="s">
        <v>7401</v>
      </c>
      <c r="AF302" s="99"/>
      <c r="AG302" s="95">
        <v>0</v>
      </c>
      <c r="AH302" s="94" t="s">
        <v>5074</v>
      </c>
      <c r="AI302" s="94" t="s">
        <v>5075</v>
      </c>
      <c r="AJ302" s="98" t="s">
        <v>5076</v>
      </c>
      <c r="AK302" s="98" t="s">
        <v>7402</v>
      </c>
      <c r="AL302" s="101" t="s">
        <v>5149</v>
      </c>
      <c r="AM302" s="99"/>
      <c r="AN302" s="98" t="s">
        <v>5079</v>
      </c>
      <c r="AO302" s="98" t="s">
        <v>5080</v>
      </c>
      <c r="AP302" s="98" t="s">
        <v>5179</v>
      </c>
      <c r="AQ302" s="102">
        <v>2016</v>
      </c>
      <c r="AR302" s="98" t="s">
        <v>5200</v>
      </c>
      <c r="AS302" s="98" t="s">
        <v>5561</v>
      </c>
      <c r="AT302" s="98" t="s">
        <v>5083</v>
      </c>
      <c r="AU302" s="98" t="s">
        <v>5084</v>
      </c>
      <c r="AV302" s="99"/>
      <c r="AW302" s="94" t="s">
        <v>5074</v>
      </c>
      <c r="AX302" s="95">
        <v>0</v>
      </c>
      <c r="AY302" s="98" t="s">
        <v>5152</v>
      </c>
      <c r="AZ302" s="102">
        <v>5</v>
      </c>
      <c r="BA302" s="102" t="s">
        <v>5153</v>
      </c>
      <c r="BB302" s="93"/>
    </row>
    <row r="303" spans="1:54" ht="13.8">
      <c r="A303" s="94" t="s">
        <v>7403</v>
      </c>
      <c r="B303" s="95" t="s">
        <v>7404</v>
      </c>
      <c r="C303" s="100">
        <v>36502</v>
      </c>
      <c r="D303" s="94" t="s">
        <v>2656</v>
      </c>
      <c r="E303" s="94" t="s">
        <v>4741</v>
      </c>
      <c r="F303" s="97" t="s">
        <v>4742</v>
      </c>
      <c r="G303" s="95">
        <v>4920119827</v>
      </c>
      <c r="H303" s="98" t="s">
        <v>5181</v>
      </c>
      <c r="I303" s="95">
        <v>49099009335</v>
      </c>
      <c r="J303" s="98" t="s">
        <v>5182</v>
      </c>
      <c r="K303" s="104">
        <v>44474</v>
      </c>
      <c r="L303" s="98" t="s">
        <v>5476</v>
      </c>
      <c r="M303" s="98" t="s">
        <v>7405</v>
      </c>
      <c r="N303" s="98" t="s">
        <v>7406</v>
      </c>
      <c r="O303" s="98" t="s">
        <v>7406</v>
      </c>
      <c r="P303" s="95">
        <v>922248812</v>
      </c>
      <c r="Q303" s="98" t="s">
        <v>7407</v>
      </c>
      <c r="R303" s="98" t="s">
        <v>5094</v>
      </c>
      <c r="S303" s="99"/>
      <c r="T303" s="100">
        <v>45658</v>
      </c>
      <c r="U303" s="100">
        <v>46023</v>
      </c>
      <c r="V303" s="99"/>
      <c r="W303" s="98" t="s">
        <v>5142</v>
      </c>
      <c r="X303" s="98" t="s">
        <v>5187</v>
      </c>
      <c r="Y303" s="99"/>
      <c r="Z303" s="99"/>
      <c r="AA303" s="99"/>
      <c r="AB303" s="99"/>
      <c r="AC303" s="99"/>
      <c r="AD303" s="99"/>
      <c r="AE303" s="99"/>
      <c r="AF303" s="99"/>
      <c r="AG303" s="95">
        <v>0</v>
      </c>
      <c r="AH303" s="94" t="s">
        <v>5162</v>
      </c>
      <c r="AI303" s="94" t="s">
        <v>5122</v>
      </c>
      <c r="AJ303" s="98" t="s">
        <v>6157</v>
      </c>
      <c r="AK303" s="98" t="s">
        <v>3221</v>
      </c>
      <c r="AL303" s="101" t="s">
        <v>5142</v>
      </c>
      <c r="AM303" s="99"/>
      <c r="AN303" s="98" t="s">
        <v>5079</v>
      </c>
      <c r="AO303" s="98" t="s">
        <v>5080</v>
      </c>
      <c r="AP303" s="98" t="s">
        <v>5188</v>
      </c>
      <c r="AQ303" s="102">
        <v>2021</v>
      </c>
      <c r="AR303" s="99"/>
      <c r="AS303" s="99"/>
      <c r="AT303" s="99"/>
      <c r="AU303" s="98" t="s">
        <v>5228</v>
      </c>
      <c r="AV303" s="99"/>
      <c r="AW303" s="94" t="s">
        <v>5162</v>
      </c>
      <c r="AX303" s="95">
        <v>0</v>
      </c>
      <c r="AY303" s="98" t="s">
        <v>5167</v>
      </c>
      <c r="AZ303" s="102">
        <v>1</v>
      </c>
      <c r="BA303" s="102" t="s">
        <v>5189</v>
      </c>
      <c r="BB303" s="93"/>
    </row>
    <row r="304" spans="1:54" ht="13.8">
      <c r="A304" s="94" t="s">
        <v>7408</v>
      </c>
      <c r="B304" s="95" t="s">
        <v>7409</v>
      </c>
      <c r="C304" s="100">
        <v>30932</v>
      </c>
      <c r="D304" s="94" t="s">
        <v>2656</v>
      </c>
      <c r="E304" s="94" t="s">
        <v>4741</v>
      </c>
      <c r="F304" s="97" t="s">
        <v>4742</v>
      </c>
      <c r="G304" s="95">
        <v>4808009892</v>
      </c>
      <c r="H304" s="98" t="s">
        <v>5057</v>
      </c>
      <c r="I304" s="95">
        <v>48084006955</v>
      </c>
      <c r="J304" s="98" t="s">
        <v>5088</v>
      </c>
      <c r="K304" s="95" t="s">
        <v>5089</v>
      </c>
      <c r="L304" s="98" t="s">
        <v>7410</v>
      </c>
      <c r="M304" s="98" t="s">
        <v>6584</v>
      </c>
      <c r="N304" s="98" t="s">
        <v>7411</v>
      </c>
      <c r="O304" s="98" t="s">
        <v>7411</v>
      </c>
      <c r="P304" s="95">
        <v>905014328</v>
      </c>
      <c r="Q304" s="98" t="s">
        <v>7412</v>
      </c>
      <c r="R304" s="98" t="s">
        <v>5094</v>
      </c>
      <c r="S304" s="99"/>
      <c r="T304" s="100">
        <v>44199</v>
      </c>
      <c r="U304" s="100">
        <v>44204</v>
      </c>
      <c r="V304" s="99"/>
      <c r="W304" s="98" t="s">
        <v>5142</v>
      </c>
      <c r="X304" s="98" t="s">
        <v>5187</v>
      </c>
      <c r="Y304" s="99"/>
      <c r="Z304" s="99"/>
      <c r="AA304" s="99"/>
      <c r="AB304" s="99"/>
      <c r="AC304" s="99"/>
      <c r="AD304" s="99"/>
      <c r="AE304" s="99"/>
      <c r="AF304" s="99"/>
      <c r="AG304" s="95">
        <v>0</v>
      </c>
      <c r="AH304" s="94" t="s">
        <v>5162</v>
      </c>
      <c r="AI304" s="94" t="s">
        <v>5075</v>
      </c>
      <c r="AJ304" s="98" t="s">
        <v>5076</v>
      </c>
      <c r="AK304" s="98" t="s">
        <v>3000</v>
      </c>
      <c r="AL304" s="101" t="s">
        <v>5142</v>
      </c>
      <c r="AM304" s="99"/>
      <c r="AN304" s="98" t="s">
        <v>5079</v>
      </c>
      <c r="AO304" s="98" t="s">
        <v>5080</v>
      </c>
      <c r="AP304" s="98" t="s">
        <v>5199</v>
      </c>
      <c r="AQ304" s="102">
        <v>2014</v>
      </c>
      <c r="AR304" s="99"/>
      <c r="AS304" s="98" t="s">
        <v>5142</v>
      </c>
      <c r="AT304" s="99"/>
      <c r="AU304" s="98" t="s">
        <v>5162</v>
      </c>
      <c r="AV304" s="99"/>
      <c r="AW304" s="94" t="s">
        <v>5162</v>
      </c>
      <c r="AX304" s="95">
        <v>0</v>
      </c>
      <c r="AY304" s="98" t="s">
        <v>5167</v>
      </c>
      <c r="AZ304" s="102">
        <v>4</v>
      </c>
      <c r="BA304" s="102" t="s">
        <v>5168</v>
      </c>
      <c r="BB304" s="93"/>
    </row>
    <row r="305" spans="1:54" ht="13.8">
      <c r="A305" s="94" t="s">
        <v>1473</v>
      </c>
      <c r="B305" s="95" t="s">
        <v>7413</v>
      </c>
      <c r="C305" s="100">
        <v>36190</v>
      </c>
      <c r="D305" s="94" t="s">
        <v>2665</v>
      </c>
      <c r="E305" s="94" t="s">
        <v>4741</v>
      </c>
      <c r="F305" s="97" t="s">
        <v>4742</v>
      </c>
      <c r="G305" s="95">
        <v>4820792497</v>
      </c>
      <c r="H305" s="98" t="s">
        <v>5181</v>
      </c>
      <c r="I305" s="95">
        <v>48199004660</v>
      </c>
      <c r="J305" s="98" t="s">
        <v>5088</v>
      </c>
      <c r="K305" s="95" t="s">
        <v>7414</v>
      </c>
      <c r="L305" s="98" t="s">
        <v>7415</v>
      </c>
      <c r="M305" s="98" t="s">
        <v>5477</v>
      </c>
      <c r="N305" s="98" t="s">
        <v>7416</v>
      </c>
      <c r="O305" s="98" t="s">
        <v>7416</v>
      </c>
      <c r="P305" s="95">
        <v>984547367</v>
      </c>
      <c r="Q305" s="98" t="s">
        <v>7417</v>
      </c>
      <c r="R305" s="98" t="s">
        <v>5094</v>
      </c>
      <c r="S305" s="99"/>
      <c r="T305" s="100">
        <v>46023</v>
      </c>
      <c r="U305" s="109"/>
      <c r="V305" s="99"/>
      <c r="W305" s="98" t="s">
        <v>5821</v>
      </c>
      <c r="X305" s="98" t="s">
        <v>5187</v>
      </c>
      <c r="Y305" s="99"/>
      <c r="Z305" s="99"/>
      <c r="AA305" s="99"/>
      <c r="AB305" s="99"/>
      <c r="AC305" s="99"/>
      <c r="AD305" s="99"/>
      <c r="AE305" s="99"/>
      <c r="AF305" s="99"/>
      <c r="AG305" s="95">
        <v>0</v>
      </c>
      <c r="AH305" s="94" t="s">
        <v>5084</v>
      </c>
      <c r="AI305" s="94" t="s">
        <v>5122</v>
      </c>
      <c r="AJ305" s="98" t="s">
        <v>5266</v>
      </c>
      <c r="AK305" s="98" t="s">
        <v>7418</v>
      </c>
      <c r="AL305" s="101" t="s">
        <v>5149</v>
      </c>
      <c r="AM305" s="99"/>
      <c r="AN305" s="98" t="s">
        <v>5079</v>
      </c>
      <c r="AO305" s="98" t="s">
        <v>6926</v>
      </c>
      <c r="AP305" s="98" t="s">
        <v>7419</v>
      </c>
      <c r="AQ305" s="102">
        <v>2024</v>
      </c>
      <c r="AR305" s="99"/>
      <c r="AS305" s="99"/>
      <c r="AT305" s="99"/>
      <c r="AU305" s="98" t="s">
        <v>5151</v>
      </c>
      <c r="AV305" s="99"/>
      <c r="AW305" s="94" t="s">
        <v>5084</v>
      </c>
      <c r="AX305" s="95">
        <v>0</v>
      </c>
      <c r="AY305" s="98" t="s">
        <v>5152</v>
      </c>
      <c r="AZ305" s="102">
        <v>1</v>
      </c>
      <c r="BA305" s="102" t="s">
        <v>5189</v>
      </c>
      <c r="BB305" s="93"/>
    </row>
    <row r="306" spans="1:54" ht="13.8">
      <c r="A306" s="94" t="s">
        <v>4785</v>
      </c>
      <c r="B306" s="95" t="s">
        <v>4786</v>
      </c>
      <c r="C306" s="96">
        <v>31745</v>
      </c>
      <c r="D306" s="94" t="s">
        <v>2656</v>
      </c>
      <c r="E306" s="94" t="s">
        <v>4741</v>
      </c>
      <c r="F306" s="97" t="s">
        <v>4742</v>
      </c>
      <c r="G306" s="95">
        <v>4815020049</v>
      </c>
      <c r="H306" s="98" t="s">
        <v>5057</v>
      </c>
      <c r="I306" s="95">
        <v>26086014118</v>
      </c>
      <c r="J306" s="98" t="s">
        <v>5088</v>
      </c>
      <c r="K306" s="95" t="s">
        <v>5089</v>
      </c>
      <c r="L306" s="98" t="s">
        <v>7420</v>
      </c>
      <c r="M306" s="98" t="s">
        <v>7421</v>
      </c>
      <c r="N306" s="98" t="s">
        <v>7422</v>
      </c>
      <c r="O306" s="98" t="s">
        <v>7422</v>
      </c>
      <c r="P306" s="95">
        <v>905083352</v>
      </c>
      <c r="Q306" s="98" t="s">
        <v>7423</v>
      </c>
      <c r="R306" s="98" t="s">
        <v>5094</v>
      </c>
      <c r="S306" s="98" t="s">
        <v>5116</v>
      </c>
      <c r="T306" s="100">
        <v>42011</v>
      </c>
      <c r="U306" s="100">
        <v>42376</v>
      </c>
      <c r="V306" s="98" t="s">
        <v>5095</v>
      </c>
      <c r="W306" s="98" t="s">
        <v>5068</v>
      </c>
      <c r="X306" s="98" t="s">
        <v>5096</v>
      </c>
      <c r="Y306" s="98" t="s">
        <v>5066</v>
      </c>
      <c r="Z306" s="99"/>
      <c r="AA306" s="98" t="s">
        <v>5244</v>
      </c>
      <c r="AB306" s="95" t="s">
        <v>5318</v>
      </c>
      <c r="AC306" s="99"/>
      <c r="AD306" s="98" t="s">
        <v>7424</v>
      </c>
      <c r="AE306" s="114">
        <v>40524</v>
      </c>
      <c r="AF306" s="99"/>
      <c r="AG306" s="95">
        <v>1</v>
      </c>
      <c r="AH306" s="94" t="s">
        <v>5074</v>
      </c>
      <c r="AI306" s="94" t="s">
        <v>5101</v>
      </c>
      <c r="AJ306" s="98" t="s">
        <v>5320</v>
      </c>
      <c r="AK306" s="98" t="s">
        <v>7425</v>
      </c>
      <c r="AL306" s="101" t="s">
        <v>5104</v>
      </c>
      <c r="AM306" s="98" t="s">
        <v>3209</v>
      </c>
      <c r="AN306" s="98" t="s">
        <v>5079</v>
      </c>
      <c r="AO306" s="98" t="s">
        <v>3209</v>
      </c>
      <c r="AP306" s="102">
        <v>921</v>
      </c>
      <c r="AQ306" s="102">
        <v>2015</v>
      </c>
      <c r="AR306" s="98" t="s">
        <v>5082</v>
      </c>
      <c r="AS306" s="99"/>
      <c r="AT306" s="98" t="s">
        <v>5083</v>
      </c>
      <c r="AU306" s="99"/>
      <c r="AV306" s="95">
        <v>2023</v>
      </c>
      <c r="AW306" s="94" t="s">
        <v>5108</v>
      </c>
      <c r="AX306" s="95">
        <v>0</v>
      </c>
      <c r="AY306" s="98" t="s">
        <v>5109</v>
      </c>
      <c r="AZ306" s="102">
        <v>1</v>
      </c>
      <c r="BA306" s="110">
        <v>46059</v>
      </c>
      <c r="BB306" s="93"/>
    </row>
    <row r="307" spans="1:54" ht="13.8">
      <c r="A307" s="94" t="s">
        <v>7426</v>
      </c>
      <c r="B307" s="95" t="s">
        <v>7427</v>
      </c>
      <c r="C307" s="96">
        <v>32446</v>
      </c>
      <c r="D307" s="94" t="s">
        <v>2665</v>
      </c>
      <c r="E307" s="94" t="s">
        <v>4741</v>
      </c>
      <c r="F307" s="97" t="s">
        <v>4742</v>
      </c>
      <c r="G307" s="95">
        <v>4811044779</v>
      </c>
      <c r="H307" s="98" t="s">
        <v>5057</v>
      </c>
      <c r="I307" s="95">
        <v>52188013405</v>
      </c>
      <c r="J307" s="98" t="s">
        <v>5088</v>
      </c>
      <c r="K307" s="95" t="s">
        <v>5089</v>
      </c>
      <c r="L307" s="98" t="s">
        <v>7313</v>
      </c>
      <c r="M307" s="98" t="s">
        <v>7428</v>
      </c>
      <c r="N307" s="98" t="s">
        <v>5711</v>
      </c>
      <c r="O307" s="98" t="s">
        <v>5711</v>
      </c>
      <c r="P307" s="95">
        <v>935613942</v>
      </c>
      <c r="Q307" s="98" t="s">
        <v>7429</v>
      </c>
      <c r="R307" s="98" t="s">
        <v>5094</v>
      </c>
      <c r="S307" s="99"/>
      <c r="T307" s="100">
        <v>40553</v>
      </c>
      <c r="U307" s="96">
        <v>41208</v>
      </c>
      <c r="V307" s="98" t="s">
        <v>5095</v>
      </c>
      <c r="W307" s="98" t="s">
        <v>5142</v>
      </c>
      <c r="X307" s="98" t="s">
        <v>5096</v>
      </c>
      <c r="Y307" s="98" t="s">
        <v>7430</v>
      </c>
      <c r="Z307" s="99"/>
      <c r="AA307" s="99"/>
      <c r="AB307" s="95" t="s">
        <v>5161</v>
      </c>
      <c r="AC307" s="99"/>
      <c r="AD307" s="99"/>
      <c r="AE307" s="95" t="s">
        <v>5161</v>
      </c>
      <c r="AF307" s="99"/>
      <c r="AG307" s="95">
        <v>1</v>
      </c>
      <c r="AH307" s="94" t="s">
        <v>5084</v>
      </c>
      <c r="AI307" s="94" t="s">
        <v>5122</v>
      </c>
      <c r="AJ307" s="98" t="s">
        <v>5266</v>
      </c>
      <c r="AK307" s="98" t="s">
        <v>2676</v>
      </c>
      <c r="AL307" s="101" t="s">
        <v>5142</v>
      </c>
      <c r="AM307" s="99"/>
      <c r="AN307" s="98" t="s">
        <v>5079</v>
      </c>
      <c r="AO307" s="99"/>
      <c r="AP307" s="98" t="s">
        <v>5243</v>
      </c>
      <c r="AQ307" s="102">
        <v>2020</v>
      </c>
      <c r="AR307" s="99"/>
      <c r="AS307" s="98" t="s">
        <v>5142</v>
      </c>
      <c r="AT307" s="99"/>
      <c r="AU307" s="98" t="s">
        <v>5151</v>
      </c>
      <c r="AV307" s="95">
        <v>0</v>
      </c>
      <c r="AW307" s="94" t="s">
        <v>5084</v>
      </c>
      <c r="AX307" s="95">
        <v>0</v>
      </c>
      <c r="AY307" s="98" t="s">
        <v>5167</v>
      </c>
      <c r="AZ307" s="102">
        <v>5</v>
      </c>
      <c r="BA307" s="102" t="s">
        <v>5153</v>
      </c>
      <c r="BB307" s="93"/>
    </row>
    <row r="308" spans="1:54" ht="13.8">
      <c r="A308" s="94" t="s">
        <v>7431</v>
      </c>
      <c r="B308" s="95" t="s">
        <v>7432</v>
      </c>
      <c r="C308" s="100">
        <v>29985</v>
      </c>
      <c r="D308" s="94" t="s">
        <v>2656</v>
      </c>
      <c r="E308" s="94" t="s">
        <v>4741</v>
      </c>
      <c r="F308" s="97" t="s">
        <v>4742</v>
      </c>
      <c r="G308" s="95">
        <v>4808006420</v>
      </c>
      <c r="H308" s="98" t="s">
        <v>5057</v>
      </c>
      <c r="I308" s="95">
        <v>48082003006</v>
      </c>
      <c r="J308" s="98" t="s">
        <v>5088</v>
      </c>
      <c r="K308" s="95" t="s">
        <v>5089</v>
      </c>
      <c r="L308" s="98" t="s">
        <v>7433</v>
      </c>
      <c r="M308" s="98" t="s">
        <v>7434</v>
      </c>
      <c r="N308" s="98" t="s">
        <v>7435</v>
      </c>
      <c r="O308" s="98" t="s">
        <v>7435</v>
      </c>
      <c r="P308" s="95">
        <v>935605007</v>
      </c>
      <c r="Q308" s="98" t="s">
        <v>7436</v>
      </c>
      <c r="R308" s="98" t="s">
        <v>5094</v>
      </c>
      <c r="S308" s="99"/>
      <c r="T308" s="100">
        <v>40553</v>
      </c>
      <c r="U308" s="96">
        <v>41204</v>
      </c>
      <c r="V308" s="98" t="s">
        <v>5095</v>
      </c>
      <c r="W308" s="98" t="s">
        <v>5142</v>
      </c>
      <c r="X308" s="98" t="s">
        <v>5096</v>
      </c>
      <c r="Y308" s="98" t="s">
        <v>7437</v>
      </c>
      <c r="Z308" s="99"/>
      <c r="AA308" s="99"/>
      <c r="AB308" s="95" t="s">
        <v>5161</v>
      </c>
      <c r="AC308" s="99"/>
      <c r="AD308" s="99"/>
      <c r="AE308" s="95" t="s">
        <v>5161</v>
      </c>
      <c r="AF308" s="99"/>
      <c r="AG308" s="95">
        <v>1</v>
      </c>
      <c r="AH308" s="94" t="s">
        <v>5162</v>
      </c>
      <c r="AI308" s="94" t="s">
        <v>5075</v>
      </c>
      <c r="AJ308" s="98" t="s">
        <v>5076</v>
      </c>
      <c r="AK308" s="98" t="s">
        <v>7438</v>
      </c>
      <c r="AL308" s="101" t="s">
        <v>5142</v>
      </c>
      <c r="AM308" s="99"/>
      <c r="AN308" s="98" t="s">
        <v>5079</v>
      </c>
      <c r="AO308" s="98" t="s">
        <v>5080</v>
      </c>
      <c r="AP308" s="98" t="s">
        <v>5392</v>
      </c>
      <c r="AQ308" s="102">
        <v>2005</v>
      </c>
      <c r="AR308" s="98" t="s">
        <v>5200</v>
      </c>
      <c r="AS308" s="99"/>
      <c r="AT308" s="99"/>
      <c r="AU308" s="98" t="s">
        <v>5162</v>
      </c>
      <c r="AV308" s="95">
        <v>0</v>
      </c>
      <c r="AW308" s="94" t="s">
        <v>5162</v>
      </c>
      <c r="AX308" s="95">
        <v>0</v>
      </c>
      <c r="AY308" s="98" t="s">
        <v>5167</v>
      </c>
      <c r="AZ308" s="102">
        <v>5</v>
      </c>
      <c r="BA308" s="102" t="s">
        <v>5153</v>
      </c>
      <c r="BB308" s="93"/>
    </row>
    <row r="309" spans="1:54" ht="13.8">
      <c r="A309" s="94" t="s">
        <v>7439</v>
      </c>
      <c r="B309" s="95" t="s">
        <v>7440</v>
      </c>
      <c r="C309" s="100">
        <v>29308</v>
      </c>
      <c r="D309" s="94" t="s">
        <v>2665</v>
      </c>
      <c r="E309" s="94" t="s">
        <v>4741</v>
      </c>
      <c r="F309" s="97" t="s">
        <v>4742</v>
      </c>
      <c r="G309" s="95">
        <v>9007006558</v>
      </c>
      <c r="H309" s="98" t="s">
        <v>5057</v>
      </c>
      <c r="I309" s="95">
        <v>49180008721</v>
      </c>
      <c r="J309" s="98" t="s">
        <v>5088</v>
      </c>
      <c r="K309" s="95" t="s">
        <v>5089</v>
      </c>
      <c r="L309" s="98" t="s">
        <v>6885</v>
      </c>
      <c r="M309" s="98" t="s">
        <v>7405</v>
      </c>
      <c r="N309" s="98" t="s">
        <v>7441</v>
      </c>
      <c r="O309" s="98" t="s">
        <v>7442</v>
      </c>
      <c r="P309" s="95">
        <v>905370559</v>
      </c>
      <c r="Q309" s="98" t="s">
        <v>7443</v>
      </c>
      <c r="R309" s="98" t="s">
        <v>5094</v>
      </c>
      <c r="S309" s="99"/>
      <c r="T309" s="100">
        <v>40920</v>
      </c>
      <c r="U309" s="96">
        <v>41204</v>
      </c>
      <c r="V309" s="98" t="s">
        <v>5095</v>
      </c>
      <c r="W309" s="98" t="s">
        <v>5142</v>
      </c>
      <c r="X309" s="98" t="s">
        <v>5096</v>
      </c>
      <c r="Y309" s="98" t="s">
        <v>7430</v>
      </c>
      <c r="Z309" s="99"/>
      <c r="AA309" s="99"/>
      <c r="AB309" s="95" t="s">
        <v>5161</v>
      </c>
      <c r="AC309" s="99"/>
      <c r="AD309" s="99"/>
      <c r="AE309" s="95" t="s">
        <v>5161</v>
      </c>
      <c r="AF309" s="99"/>
      <c r="AG309" s="95">
        <v>1</v>
      </c>
      <c r="AH309" s="94" t="s">
        <v>5162</v>
      </c>
      <c r="AI309" s="94" t="s">
        <v>5122</v>
      </c>
      <c r="AJ309" s="98" t="s">
        <v>5266</v>
      </c>
      <c r="AK309" s="98" t="s">
        <v>7418</v>
      </c>
      <c r="AL309" s="101" t="s">
        <v>5142</v>
      </c>
      <c r="AM309" s="98" t="s">
        <v>5268</v>
      </c>
      <c r="AN309" s="98" t="s">
        <v>5079</v>
      </c>
      <c r="AO309" s="98" t="s">
        <v>5080</v>
      </c>
      <c r="AP309" s="102">
        <v>83</v>
      </c>
      <c r="AQ309" s="102">
        <v>2011</v>
      </c>
      <c r="AR309" s="99"/>
      <c r="AS309" s="98" t="s">
        <v>5142</v>
      </c>
      <c r="AT309" s="99"/>
      <c r="AU309" s="98" t="s">
        <v>5220</v>
      </c>
      <c r="AV309" s="95">
        <v>0</v>
      </c>
      <c r="AW309" s="94" t="s">
        <v>5162</v>
      </c>
      <c r="AX309" s="95">
        <v>0</v>
      </c>
      <c r="AY309" s="98" t="s">
        <v>5167</v>
      </c>
      <c r="AZ309" s="102">
        <v>5</v>
      </c>
      <c r="BA309" s="102" t="s">
        <v>5153</v>
      </c>
      <c r="BB309" s="93"/>
    </row>
    <row r="310" spans="1:54" ht="13.8">
      <c r="A310" s="94" t="s">
        <v>7444</v>
      </c>
      <c r="B310" s="95" t="s">
        <v>7445</v>
      </c>
      <c r="C310" s="100">
        <v>35334</v>
      </c>
      <c r="D310" s="94" t="s">
        <v>2665</v>
      </c>
      <c r="E310" s="94" t="s">
        <v>4741</v>
      </c>
      <c r="F310" s="97" t="s">
        <v>4742</v>
      </c>
      <c r="G310" s="95">
        <v>4421091279</v>
      </c>
      <c r="H310" s="98" t="s">
        <v>5057</v>
      </c>
      <c r="I310" s="95">
        <v>44196006362</v>
      </c>
      <c r="J310" s="98" t="s">
        <v>5929</v>
      </c>
      <c r="K310" s="95" t="s">
        <v>7446</v>
      </c>
      <c r="L310" s="98" t="s">
        <v>7447</v>
      </c>
      <c r="M310" s="98" t="s">
        <v>7448</v>
      </c>
      <c r="N310" s="98" t="s">
        <v>7449</v>
      </c>
      <c r="O310" s="98" t="s">
        <v>7449</v>
      </c>
      <c r="P310" s="95">
        <v>818187979</v>
      </c>
      <c r="Q310" s="98" t="s">
        <v>7450</v>
      </c>
      <c r="R310" s="98" t="s">
        <v>5094</v>
      </c>
      <c r="S310" s="99"/>
      <c r="T310" s="100">
        <v>46023</v>
      </c>
      <c r="U310" s="109"/>
      <c r="V310" s="99"/>
      <c r="W310" s="99"/>
      <c r="X310" s="98" t="s">
        <v>5187</v>
      </c>
      <c r="Y310" s="99"/>
      <c r="Z310" s="99"/>
      <c r="AA310" s="99"/>
      <c r="AB310" s="99"/>
      <c r="AC310" s="99"/>
      <c r="AD310" s="99"/>
      <c r="AE310" s="99"/>
      <c r="AF310" s="99"/>
      <c r="AG310" s="95">
        <v>0</v>
      </c>
      <c r="AH310" s="94" t="s">
        <v>5084</v>
      </c>
      <c r="AI310" s="94" t="s">
        <v>5122</v>
      </c>
      <c r="AJ310" s="98" t="s">
        <v>5266</v>
      </c>
      <c r="AK310" s="98" t="s">
        <v>7418</v>
      </c>
      <c r="AL310" s="101" t="s">
        <v>5149</v>
      </c>
      <c r="AM310" s="99"/>
      <c r="AN310" s="98" t="s">
        <v>5079</v>
      </c>
      <c r="AO310" s="98" t="s">
        <v>6926</v>
      </c>
      <c r="AP310" s="98" t="s">
        <v>7451</v>
      </c>
      <c r="AQ310" s="102">
        <v>2023</v>
      </c>
      <c r="AR310" s="99"/>
      <c r="AS310" s="99"/>
      <c r="AT310" s="99"/>
      <c r="AU310" s="98" t="s">
        <v>5151</v>
      </c>
      <c r="AV310" s="99"/>
      <c r="AW310" s="94" t="s">
        <v>5084</v>
      </c>
      <c r="AX310" s="95">
        <v>1</v>
      </c>
      <c r="AY310" s="98" t="s">
        <v>5152</v>
      </c>
      <c r="AZ310" s="102">
        <v>1</v>
      </c>
      <c r="BA310" s="102" t="s">
        <v>5189</v>
      </c>
      <c r="BB310" s="93"/>
    </row>
    <row r="311" spans="1:54" ht="13.8">
      <c r="A311" s="94" t="s">
        <v>7452</v>
      </c>
      <c r="B311" s="95" t="s">
        <v>7453</v>
      </c>
      <c r="C311" s="100">
        <v>35891</v>
      </c>
      <c r="D311" s="94" t="s">
        <v>2665</v>
      </c>
      <c r="E311" s="94" t="s">
        <v>4741</v>
      </c>
      <c r="F311" s="97" t="s">
        <v>4742</v>
      </c>
      <c r="G311" s="95">
        <v>7932276015</v>
      </c>
      <c r="H311" s="99"/>
      <c r="I311" s="95">
        <v>67198001876</v>
      </c>
      <c r="J311" s="98" t="s">
        <v>5088</v>
      </c>
      <c r="K311" s="104">
        <v>44538</v>
      </c>
      <c r="L311" s="98" t="s">
        <v>7454</v>
      </c>
      <c r="M311" s="98" t="s">
        <v>7455</v>
      </c>
      <c r="N311" s="98" t="s">
        <v>7456</v>
      </c>
      <c r="O311" s="98" t="s">
        <v>7456</v>
      </c>
      <c r="P311" s="95">
        <v>349012040</v>
      </c>
      <c r="Q311" s="98" t="s">
        <v>7457</v>
      </c>
      <c r="R311" s="98" t="s">
        <v>5094</v>
      </c>
      <c r="S311" s="99"/>
      <c r="T311" s="100">
        <v>46023</v>
      </c>
      <c r="U311" s="109"/>
      <c r="V311" s="99"/>
      <c r="W311" s="98" t="s">
        <v>5821</v>
      </c>
      <c r="X311" s="98" t="s">
        <v>5480</v>
      </c>
      <c r="Y311" s="99"/>
      <c r="Z311" s="99"/>
      <c r="AA311" s="99"/>
      <c r="AB311" s="99"/>
      <c r="AC311" s="99"/>
      <c r="AD311" s="99"/>
      <c r="AE311" s="99"/>
      <c r="AF311" s="99"/>
      <c r="AG311" s="95">
        <v>0</v>
      </c>
      <c r="AH311" s="94" t="s">
        <v>5084</v>
      </c>
      <c r="AI311" s="94" t="s">
        <v>5122</v>
      </c>
      <c r="AJ311" s="98" t="s">
        <v>5266</v>
      </c>
      <c r="AK311" s="98" t="s">
        <v>7418</v>
      </c>
      <c r="AL311" s="101" t="s">
        <v>5149</v>
      </c>
      <c r="AM311" s="99"/>
      <c r="AN311" s="98" t="s">
        <v>5079</v>
      </c>
      <c r="AO311" s="98" t="s">
        <v>6926</v>
      </c>
      <c r="AP311" s="98" t="s">
        <v>7451</v>
      </c>
      <c r="AQ311" s="102">
        <v>2023</v>
      </c>
      <c r="AR311" s="99"/>
      <c r="AS311" s="99"/>
      <c r="AT311" s="99"/>
      <c r="AU311" s="99"/>
      <c r="AV311" s="99"/>
      <c r="AW311" s="94" t="s">
        <v>5084</v>
      </c>
      <c r="AX311" s="95">
        <v>1</v>
      </c>
      <c r="AY311" s="98" t="s">
        <v>5152</v>
      </c>
      <c r="AZ311" s="102">
        <v>1</v>
      </c>
      <c r="BA311" s="102" t="s">
        <v>5189</v>
      </c>
      <c r="BB311" s="93"/>
    </row>
    <row r="312" spans="1:54" ht="13.8">
      <c r="A312" s="94" t="s">
        <v>7458</v>
      </c>
      <c r="B312" s="95" t="s">
        <v>7459</v>
      </c>
      <c r="C312" s="100">
        <v>33092</v>
      </c>
      <c r="D312" s="94" t="s">
        <v>2656</v>
      </c>
      <c r="E312" s="94" t="s">
        <v>4741</v>
      </c>
      <c r="F312" s="97" t="s">
        <v>4742</v>
      </c>
      <c r="G312" s="95">
        <v>4813008509</v>
      </c>
      <c r="H312" s="98" t="s">
        <v>5181</v>
      </c>
      <c r="I312" s="95">
        <v>48090003107</v>
      </c>
      <c r="J312" s="98" t="s">
        <v>5088</v>
      </c>
      <c r="K312" s="104">
        <v>44477</v>
      </c>
      <c r="L312" s="98" t="s">
        <v>5795</v>
      </c>
      <c r="M312" s="98" t="s">
        <v>7460</v>
      </c>
      <c r="N312" s="98" t="s">
        <v>7461</v>
      </c>
      <c r="O312" s="98" t="s">
        <v>7461</v>
      </c>
      <c r="P312" s="95">
        <v>935883938</v>
      </c>
      <c r="Q312" s="98" t="s">
        <v>7462</v>
      </c>
      <c r="R312" s="98" t="s">
        <v>5094</v>
      </c>
      <c r="S312" s="98" t="s">
        <v>5116</v>
      </c>
      <c r="T312" s="100">
        <v>40920</v>
      </c>
      <c r="U312" s="100">
        <v>41286</v>
      </c>
      <c r="V312" s="98" t="s">
        <v>5095</v>
      </c>
      <c r="W312" s="98" t="s">
        <v>5142</v>
      </c>
      <c r="X312" s="98" t="s">
        <v>5096</v>
      </c>
      <c r="Y312" s="98" t="s">
        <v>5799</v>
      </c>
      <c r="Z312" s="99"/>
      <c r="AA312" s="99"/>
      <c r="AB312" s="95" t="s">
        <v>5161</v>
      </c>
      <c r="AC312" s="99"/>
      <c r="AD312" s="99"/>
      <c r="AE312" s="95" t="s">
        <v>5161</v>
      </c>
      <c r="AF312" s="99"/>
      <c r="AG312" s="95">
        <v>1</v>
      </c>
      <c r="AH312" s="94" t="s">
        <v>5084</v>
      </c>
      <c r="AI312" s="94" t="s">
        <v>5075</v>
      </c>
      <c r="AJ312" s="98" t="s">
        <v>5076</v>
      </c>
      <c r="AK312" s="98" t="s">
        <v>2659</v>
      </c>
      <c r="AL312" s="101" t="s">
        <v>5142</v>
      </c>
      <c r="AM312" s="98" t="s">
        <v>5268</v>
      </c>
      <c r="AN312" s="98" t="s">
        <v>5079</v>
      </c>
      <c r="AO312" s="98" t="s">
        <v>5080</v>
      </c>
      <c r="AP312" s="102">
        <v>83</v>
      </c>
      <c r="AQ312" s="102">
        <v>2017</v>
      </c>
      <c r="AR312" s="99"/>
      <c r="AS312" s="99"/>
      <c r="AT312" s="99"/>
      <c r="AU312" s="98" t="s">
        <v>5084</v>
      </c>
      <c r="AV312" s="95">
        <v>0</v>
      </c>
      <c r="AW312" s="94" t="s">
        <v>5084</v>
      </c>
      <c r="AX312" s="95">
        <v>0</v>
      </c>
      <c r="AY312" s="98" t="s">
        <v>5167</v>
      </c>
      <c r="AZ312" s="102">
        <v>5</v>
      </c>
      <c r="BA312" s="102" t="s">
        <v>5153</v>
      </c>
      <c r="BB312" s="93"/>
    </row>
    <row r="313" spans="1:54" ht="13.8">
      <c r="A313" s="94" t="s">
        <v>7463</v>
      </c>
      <c r="B313" s="95" t="s">
        <v>7464</v>
      </c>
      <c r="C313" s="100">
        <v>32509</v>
      </c>
      <c r="D313" s="94" t="s">
        <v>2665</v>
      </c>
      <c r="E313" s="94" t="s">
        <v>4741</v>
      </c>
      <c r="F313" s="97" t="s">
        <v>4742</v>
      </c>
      <c r="G313" s="95">
        <v>6611038155</v>
      </c>
      <c r="H313" s="98" t="s">
        <v>5625</v>
      </c>
      <c r="I313" s="95">
        <v>66189007419</v>
      </c>
      <c r="J313" s="98" t="s">
        <v>5088</v>
      </c>
      <c r="K313" s="104">
        <v>44903</v>
      </c>
      <c r="L313" s="98" t="s">
        <v>7465</v>
      </c>
      <c r="M313" s="98" t="s">
        <v>7466</v>
      </c>
      <c r="N313" s="98" t="s">
        <v>7467</v>
      </c>
      <c r="O313" s="98" t="s">
        <v>7467</v>
      </c>
      <c r="P313" s="95">
        <v>935983345</v>
      </c>
      <c r="Q313" s="98" t="s">
        <v>7468</v>
      </c>
      <c r="R313" s="98" t="s">
        <v>5094</v>
      </c>
      <c r="S313" s="99"/>
      <c r="T313" s="100">
        <v>44932</v>
      </c>
      <c r="U313" s="100">
        <v>44932</v>
      </c>
      <c r="V313" s="99"/>
      <c r="W313" s="98" t="s">
        <v>5142</v>
      </c>
      <c r="X313" s="98" t="s">
        <v>5187</v>
      </c>
      <c r="Y313" s="99"/>
      <c r="Z313" s="99"/>
      <c r="AA313" s="99"/>
      <c r="AB313" s="99"/>
      <c r="AC313" s="99"/>
      <c r="AD313" s="99"/>
      <c r="AE313" s="95" t="s">
        <v>7469</v>
      </c>
      <c r="AF313" s="99"/>
      <c r="AG313" s="95">
        <v>0</v>
      </c>
      <c r="AH313" s="94" t="s">
        <v>5084</v>
      </c>
      <c r="AI313" s="94" t="s">
        <v>5122</v>
      </c>
      <c r="AJ313" s="98" t="s">
        <v>6157</v>
      </c>
      <c r="AK313" s="98" t="s">
        <v>7470</v>
      </c>
      <c r="AL313" s="101" t="s">
        <v>5142</v>
      </c>
      <c r="AM313" s="99"/>
      <c r="AN313" s="98" t="s">
        <v>5079</v>
      </c>
      <c r="AO313" s="98" t="s">
        <v>5080</v>
      </c>
      <c r="AP313" s="98" t="s">
        <v>7471</v>
      </c>
      <c r="AQ313" s="102">
        <v>2013</v>
      </c>
      <c r="AR313" s="98" t="s">
        <v>5082</v>
      </c>
      <c r="AS313" s="99"/>
      <c r="AT313" s="99"/>
      <c r="AU313" s="98" t="s">
        <v>5228</v>
      </c>
      <c r="AV313" s="99"/>
      <c r="AW313" s="94" t="s">
        <v>5084</v>
      </c>
      <c r="AX313" s="95">
        <v>0</v>
      </c>
      <c r="AY313" s="98" t="s">
        <v>5167</v>
      </c>
      <c r="AZ313" s="102">
        <v>5</v>
      </c>
      <c r="BA313" s="102" t="s">
        <v>5153</v>
      </c>
      <c r="BB313" s="93"/>
    </row>
    <row r="314" spans="1:54" ht="13.8">
      <c r="A314" s="94" t="s">
        <v>4739</v>
      </c>
      <c r="B314" s="95" t="s">
        <v>4740</v>
      </c>
      <c r="C314" s="100">
        <v>32371</v>
      </c>
      <c r="D314" s="94" t="s">
        <v>2656</v>
      </c>
      <c r="E314" s="94" t="s">
        <v>4741</v>
      </c>
      <c r="F314" s="97" t="s">
        <v>4742</v>
      </c>
      <c r="G314" s="95">
        <v>4810031403</v>
      </c>
      <c r="H314" s="98" t="s">
        <v>5057</v>
      </c>
      <c r="I314" s="95">
        <v>44088010319</v>
      </c>
      <c r="J314" s="98" t="s">
        <v>5088</v>
      </c>
      <c r="K314" s="95" t="s">
        <v>7472</v>
      </c>
      <c r="L314" s="98" t="s">
        <v>7473</v>
      </c>
      <c r="M314" s="98" t="s">
        <v>7474</v>
      </c>
      <c r="N314" s="98" t="s">
        <v>7475</v>
      </c>
      <c r="O314" s="98" t="s">
        <v>7475</v>
      </c>
      <c r="P314" s="95">
        <v>905656048</v>
      </c>
      <c r="Q314" s="98" t="s">
        <v>7476</v>
      </c>
      <c r="R314" s="98" t="s">
        <v>5094</v>
      </c>
      <c r="S314" s="99"/>
      <c r="T314" s="100">
        <v>40189</v>
      </c>
      <c r="U314" s="100">
        <v>40554</v>
      </c>
      <c r="V314" s="98" t="s">
        <v>5095</v>
      </c>
      <c r="W314" s="98" t="s">
        <v>5068</v>
      </c>
      <c r="X314" s="98" t="s">
        <v>5096</v>
      </c>
      <c r="Y314" s="98" t="s">
        <v>5068</v>
      </c>
      <c r="Z314" s="99"/>
      <c r="AA314" s="98" t="s">
        <v>5143</v>
      </c>
      <c r="AB314" s="95" t="s">
        <v>5318</v>
      </c>
      <c r="AC314" s="99"/>
      <c r="AD314" s="99"/>
      <c r="AE314" s="95" t="s">
        <v>5161</v>
      </c>
      <c r="AF314" s="99"/>
      <c r="AG314" s="95">
        <v>1</v>
      </c>
      <c r="AH314" s="94" t="s">
        <v>5074</v>
      </c>
      <c r="AI314" s="94" t="s">
        <v>5122</v>
      </c>
      <c r="AJ314" s="98" t="s">
        <v>6157</v>
      </c>
      <c r="AK314" s="98" t="s">
        <v>3221</v>
      </c>
      <c r="AL314" s="101" t="s">
        <v>5104</v>
      </c>
      <c r="AM314" s="99"/>
      <c r="AN314" s="98" t="s">
        <v>5079</v>
      </c>
      <c r="AO314" s="98" t="s">
        <v>6817</v>
      </c>
      <c r="AP314" s="98" t="s">
        <v>7477</v>
      </c>
      <c r="AQ314" s="102">
        <v>2019</v>
      </c>
      <c r="AR314" s="98" t="s">
        <v>5082</v>
      </c>
      <c r="AS314" s="99"/>
      <c r="AT314" s="98" t="s">
        <v>5083</v>
      </c>
      <c r="AU314" s="99"/>
      <c r="AV314" s="95">
        <v>2024</v>
      </c>
      <c r="AW314" s="94" t="s">
        <v>5108</v>
      </c>
      <c r="AX314" s="95">
        <v>0</v>
      </c>
      <c r="AY314" s="98" t="s">
        <v>5109</v>
      </c>
      <c r="AZ314" s="102">
        <v>1</v>
      </c>
      <c r="BA314" s="110">
        <v>46059</v>
      </c>
      <c r="BB314" s="93"/>
    </row>
    <row r="315" spans="1:54" ht="13.8">
      <c r="A315" s="94" t="s">
        <v>7478</v>
      </c>
      <c r="B315" s="95" t="s">
        <v>7479</v>
      </c>
      <c r="C315" s="100">
        <v>35127</v>
      </c>
      <c r="D315" s="94" t="s">
        <v>2665</v>
      </c>
      <c r="E315" s="94" t="s">
        <v>4741</v>
      </c>
      <c r="F315" s="97" t="s">
        <v>4742</v>
      </c>
      <c r="G315" s="99"/>
      <c r="H315" s="98" t="s">
        <v>5181</v>
      </c>
      <c r="I315" s="95">
        <v>49196009277</v>
      </c>
      <c r="J315" s="98" t="s">
        <v>5182</v>
      </c>
      <c r="K315" s="95" t="s">
        <v>5277</v>
      </c>
      <c r="L315" s="98" t="s">
        <v>5476</v>
      </c>
      <c r="M315" s="98" t="s">
        <v>7480</v>
      </c>
      <c r="N315" s="98" t="s">
        <v>7481</v>
      </c>
      <c r="O315" s="98" t="s">
        <v>7482</v>
      </c>
      <c r="P315" s="95">
        <v>702442566</v>
      </c>
      <c r="Q315" s="98" t="s">
        <v>7483</v>
      </c>
      <c r="R315" s="98" t="s">
        <v>5094</v>
      </c>
      <c r="S315" s="99"/>
      <c r="T315" s="100">
        <v>45658</v>
      </c>
      <c r="U315" s="100">
        <v>46023</v>
      </c>
      <c r="V315" s="99"/>
      <c r="W315" s="98" t="s">
        <v>5142</v>
      </c>
      <c r="X315" s="98" t="s">
        <v>5187</v>
      </c>
      <c r="Y315" s="99"/>
      <c r="Z315" s="99"/>
      <c r="AA315" s="99"/>
      <c r="AB315" s="99"/>
      <c r="AC315" s="99"/>
      <c r="AD315" s="99"/>
      <c r="AE315" s="99"/>
      <c r="AF315" s="99"/>
      <c r="AG315" s="95">
        <v>0</v>
      </c>
      <c r="AH315" s="94" t="s">
        <v>5162</v>
      </c>
      <c r="AI315" s="94" t="s">
        <v>5122</v>
      </c>
      <c r="AJ315" s="98" t="s">
        <v>6857</v>
      </c>
      <c r="AK315" s="98" t="s">
        <v>2916</v>
      </c>
      <c r="AL315" s="101" t="s">
        <v>5142</v>
      </c>
      <c r="AM315" s="99"/>
      <c r="AN315" s="98" t="s">
        <v>5079</v>
      </c>
      <c r="AO315" s="98" t="s">
        <v>5080</v>
      </c>
      <c r="AP315" s="98" t="s">
        <v>7484</v>
      </c>
      <c r="AQ315" s="102">
        <v>2018</v>
      </c>
      <c r="AR315" s="99"/>
      <c r="AS315" s="99"/>
      <c r="AT315" s="99"/>
      <c r="AU315" s="98" t="s">
        <v>5228</v>
      </c>
      <c r="AV315" s="99"/>
      <c r="AW315" s="94" t="s">
        <v>5162</v>
      </c>
      <c r="AX315" s="95">
        <v>0</v>
      </c>
      <c r="AY315" s="98" t="s">
        <v>5167</v>
      </c>
      <c r="AZ315" s="102">
        <v>1</v>
      </c>
      <c r="BA315" s="99"/>
      <c r="BB315" s="93"/>
    </row>
    <row r="316" spans="1:54" ht="13.8">
      <c r="A316" s="94" t="s">
        <v>7485</v>
      </c>
      <c r="B316" s="95" t="s">
        <v>7486</v>
      </c>
      <c r="C316" s="100">
        <v>29368</v>
      </c>
      <c r="D316" s="94" t="s">
        <v>2656</v>
      </c>
      <c r="E316" s="94" t="s">
        <v>7487</v>
      </c>
      <c r="F316" s="97" t="s">
        <v>7488</v>
      </c>
      <c r="G316" s="95">
        <v>4816047927</v>
      </c>
      <c r="H316" s="98" t="s">
        <v>5057</v>
      </c>
      <c r="I316" s="95">
        <v>44080005072</v>
      </c>
      <c r="J316" s="98" t="s">
        <v>5088</v>
      </c>
      <c r="K316" s="95" t="s">
        <v>5089</v>
      </c>
      <c r="L316" s="98" t="s">
        <v>7489</v>
      </c>
      <c r="M316" s="98" t="s">
        <v>7490</v>
      </c>
      <c r="N316" s="98" t="s">
        <v>5324</v>
      </c>
      <c r="O316" s="98" t="s">
        <v>5324</v>
      </c>
      <c r="P316" s="95">
        <v>936083217</v>
      </c>
      <c r="Q316" s="98" t="s">
        <v>7491</v>
      </c>
      <c r="R316" s="98" t="s">
        <v>5094</v>
      </c>
      <c r="S316" s="99"/>
      <c r="T316" s="100">
        <v>42738</v>
      </c>
      <c r="U316" s="100">
        <v>43103</v>
      </c>
      <c r="V316" s="98" t="s">
        <v>5095</v>
      </c>
      <c r="W316" s="98" t="s">
        <v>5142</v>
      </c>
      <c r="X316" s="98" t="s">
        <v>5096</v>
      </c>
      <c r="Y316" s="98" t="s">
        <v>7492</v>
      </c>
      <c r="Z316" s="99"/>
      <c r="AA316" s="99"/>
      <c r="AB316" s="99"/>
      <c r="AC316" s="99"/>
      <c r="AD316" s="99"/>
      <c r="AE316" s="99"/>
      <c r="AF316" s="99"/>
      <c r="AG316" s="95">
        <v>1</v>
      </c>
      <c r="AH316" s="94" t="s">
        <v>5162</v>
      </c>
      <c r="AI316" s="94" t="s">
        <v>5075</v>
      </c>
      <c r="AJ316" s="98" t="s">
        <v>6217</v>
      </c>
      <c r="AK316" s="98" t="s">
        <v>7493</v>
      </c>
      <c r="AL316" s="101" t="s">
        <v>5142</v>
      </c>
      <c r="AM316" s="98" t="s">
        <v>5199</v>
      </c>
      <c r="AN316" s="98" t="s">
        <v>5079</v>
      </c>
      <c r="AO316" s="98" t="s">
        <v>5080</v>
      </c>
      <c r="AP316" s="102">
        <v>805</v>
      </c>
      <c r="AQ316" s="102">
        <v>2007</v>
      </c>
      <c r="AR316" s="99"/>
      <c r="AS316" s="98" t="s">
        <v>5142</v>
      </c>
      <c r="AT316" s="99"/>
      <c r="AU316" s="98" t="s">
        <v>5228</v>
      </c>
      <c r="AV316" s="99"/>
      <c r="AW316" s="94" t="s">
        <v>5162</v>
      </c>
      <c r="AX316" s="95">
        <v>0</v>
      </c>
      <c r="AY316" s="98" t="s">
        <v>5167</v>
      </c>
      <c r="AZ316" s="102">
        <v>3</v>
      </c>
      <c r="BA316" s="102">
        <v>3</v>
      </c>
      <c r="BB316" s="93"/>
    </row>
    <row r="317" spans="1:54" ht="13.8">
      <c r="A317" s="94" t="s">
        <v>7494</v>
      </c>
      <c r="B317" s="95" t="s">
        <v>7495</v>
      </c>
      <c r="C317" s="100">
        <v>30591</v>
      </c>
      <c r="D317" s="94" t="s">
        <v>2656</v>
      </c>
      <c r="E317" s="94" t="s">
        <v>7487</v>
      </c>
      <c r="F317" s="97" t="s">
        <v>7488</v>
      </c>
      <c r="G317" s="95">
        <v>4810005092</v>
      </c>
      <c r="H317" s="98" t="s">
        <v>5057</v>
      </c>
      <c r="I317" s="95">
        <v>38083039106</v>
      </c>
      <c r="J317" s="98" t="s">
        <v>5088</v>
      </c>
      <c r="K317" s="104">
        <v>45236</v>
      </c>
      <c r="L317" s="98" t="s">
        <v>7496</v>
      </c>
      <c r="M317" s="98" t="s">
        <v>7497</v>
      </c>
      <c r="N317" s="98" t="s">
        <v>7497</v>
      </c>
      <c r="O317" s="98" t="s">
        <v>7498</v>
      </c>
      <c r="P317" s="95">
        <v>935878898</v>
      </c>
      <c r="Q317" s="98" t="s">
        <v>7499</v>
      </c>
      <c r="R317" s="98" t="s">
        <v>5094</v>
      </c>
      <c r="S317" s="99"/>
      <c r="T317" s="100">
        <v>40179</v>
      </c>
      <c r="U317" s="100">
        <v>40818</v>
      </c>
      <c r="V317" s="98" t="s">
        <v>5095</v>
      </c>
      <c r="W317" s="98" t="s">
        <v>5142</v>
      </c>
      <c r="X317" s="98" t="s">
        <v>5096</v>
      </c>
      <c r="Y317" s="99"/>
      <c r="Z317" s="99"/>
      <c r="AA317" s="99"/>
      <c r="AB317" s="95" t="s">
        <v>5161</v>
      </c>
      <c r="AC317" s="99"/>
      <c r="AD317" s="99"/>
      <c r="AE317" s="95" t="s">
        <v>5161</v>
      </c>
      <c r="AF317" s="99"/>
      <c r="AG317" s="95">
        <v>1</v>
      </c>
      <c r="AH317" s="94" t="s">
        <v>5162</v>
      </c>
      <c r="AI317" s="94" t="s">
        <v>5075</v>
      </c>
      <c r="AJ317" s="98" t="s">
        <v>5076</v>
      </c>
      <c r="AK317" s="98" t="s">
        <v>2941</v>
      </c>
      <c r="AL317" s="101" t="s">
        <v>5142</v>
      </c>
      <c r="AM317" s="98" t="s">
        <v>5188</v>
      </c>
      <c r="AN317" s="98" t="s">
        <v>5079</v>
      </c>
      <c r="AO317" s="98" t="s">
        <v>5080</v>
      </c>
      <c r="AP317" s="102">
        <v>807</v>
      </c>
      <c r="AQ317" s="102">
        <v>2008</v>
      </c>
      <c r="AR317" s="99"/>
      <c r="AS317" s="99"/>
      <c r="AT317" s="99"/>
      <c r="AU317" s="98" t="s">
        <v>5162</v>
      </c>
      <c r="AV317" s="95">
        <v>0</v>
      </c>
      <c r="AW317" s="94" t="s">
        <v>5162</v>
      </c>
      <c r="AX317" s="95">
        <v>0</v>
      </c>
      <c r="AY317" s="98" t="s">
        <v>5167</v>
      </c>
      <c r="AZ317" s="102">
        <v>5</v>
      </c>
      <c r="BA317" s="102" t="s">
        <v>5153</v>
      </c>
      <c r="BB317" s="93"/>
    </row>
    <row r="318" spans="1:54" ht="13.8">
      <c r="A318" s="94" t="s">
        <v>1573</v>
      </c>
      <c r="B318" s="95" t="s">
        <v>7500</v>
      </c>
      <c r="C318" s="100">
        <v>33046</v>
      </c>
      <c r="D318" s="94" t="s">
        <v>2665</v>
      </c>
      <c r="E318" s="94" t="s">
        <v>7487</v>
      </c>
      <c r="F318" s="97" t="s">
        <v>7488</v>
      </c>
      <c r="G318" s="95">
        <v>6613033156</v>
      </c>
      <c r="H318" s="98" t="s">
        <v>5057</v>
      </c>
      <c r="I318" s="95">
        <v>42190018254</v>
      </c>
      <c r="J318" s="98" t="s">
        <v>5088</v>
      </c>
      <c r="K318" s="95" t="s">
        <v>6363</v>
      </c>
      <c r="L318" s="98" t="s">
        <v>7501</v>
      </c>
      <c r="M318" s="98" t="s">
        <v>7502</v>
      </c>
      <c r="N318" s="98" t="s">
        <v>7503</v>
      </c>
      <c r="O318" s="98" t="s">
        <v>5550</v>
      </c>
      <c r="P318" s="95">
        <v>855968234</v>
      </c>
      <c r="Q318" s="98" t="s">
        <v>7504</v>
      </c>
      <c r="R318" s="98" t="s">
        <v>5094</v>
      </c>
      <c r="S318" s="99"/>
      <c r="T318" s="100">
        <v>44199</v>
      </c>
      <c r="U318" s="100">
        <v>44357</v>
      </c>
      <c r="V318" s="99"/>
      <c r="W318" s="98" t="s">
        <v>5142</v>
      </c>
      <c r="X318" s="98" t="s">
        <v>5187</v>
      </c>
      <c r="Y318" s="99"/>
      <c r="Z318" s="99"/>
      <c r="AA318" s="99"/>
      <c r="AB318" s="99"/>
      <c r="AC318" s="99"/>
      <c r="AD318" s="99"/>
      <c r="AE318" s="99"/>
      <c r="AF318" s="99"/>
      <c r="AG318" s="95">
        <v>0</v>
      </c>
      <c r="AH318" s="94" t="s">
        <v>5084</v>
      </c>
      <c r="AI318" s="94" t="s">
        <v>5163</v>
      </c>
      <c r="AJ318" s="98" t="s">
        <v>5164</v>
      </c>
      <c r="AK318" s="98" t="s">
        <v>7505</v>
      </c>
      <c r="AL318" s="101" t="s">
        <v>5142</v>
      </c>
      <c r="AM318" s="99"/>
      <c r="AN318" s="98" t="s">
        <v>5079</v>
      </c>
      <c r="AO318" s="98" t="s">
        <v>5080</v>
      </c>
      <c r="AP318" s="98" t="s">
        <v>5179</v>
      </c>
      <c r="AQ318" s="102">
        <v>2015</v>
      </c>
      <c r="AR318" s="99"/>
      <c r="AS318" s="99"/>
      <c r="AT318" s="99"/>
      <c r="AU318" s="98" t="s">
        <v>5151</v>
      </c>
      <c r="AV318" s="99"/>
      <c r="AW318" s="94" t="s">
        <v>5084</v>
      </c>
      <c r="AX318" s="95">
        <v>0</v>
      </c>
      <c r="AY318" s="98" t="s">
        <v>5167</v>
      </c>
      <c r="AZ318" s="102">
        <v>4</v>
      </c>
      <c r="BA318" s="102" t="s">
        <v>5168</v>
      </c>
      <c r="BB318" s="93"/>
    </row>
    <row r="319" spans="1:54" ht="13.8">
      <c r="A319" s="94" t="s">
        <v>7506</v>
      </c>
      <c r="B319" s="95" t="s">
        <v>7507</v>
      </c>
      <c r="C319" s="100">
        <v>26905</v>
      </c>
      <c r="D319" s="94" t="s">
        <v>2665</v>
      </c>
      <c r="E319" s="94" t="s">
        <v>7487</v>
      </c>
      <c r="F319" s="97" t="s">
        <v>7488</v>
      </c>
      <c r="G319" s="95">
        <v>201046767</v>
      </c>
      <c r="H319" s="98" t="s">
        <v>5057</v>
      </c>
      <c r="I319" s="95">
        <v>48173001495</v>
      </c>
      <c r="J319" s="98" t="s">
        <v>5088</v>
      </c>
      <c r="K319" s="104">
        <v>44748</v>
      </c>
      <c r="L319" s="98" t="s">
        <v>7508</v>
      </c>
      <c r="M319" s="98" t="s">
        <v>7509</v>
      </c>
      <c r="N319" s="98" t="s">
        <v>7510</v>
      </c>
      <c r="O319" s="98" t="s">
        <v>7511</v>
      </c>
      <c r="P319" s="95">
        <v>945349393</v>
      </c>
      <c r="Q319" s="98" t="s">
        <v>7512</v>
      </c>
      <c r="R319" s="98" t="s">
        <v>5094</v>
      </c>
      <c r="S319" s="98" t="s">
        <v>5116</v>
      </c>
      <c r="T319" s="100">
        <v>37887</v>
      </c>
      <c r="U319" s="100">
        <v>42798</v>
      </c>
      <c r="V319" s="98" t="s">
        <v>5179</v>
      </c>
      <c r="W319" s="98" t="s">
        <v>5068</v>
      </c>
      <c r="X319" s="98" t="s">
        <v>5096</v>
      </c>
      <c r="Y319" s="98" t="s">
        <v>5068</v>
      </c>
      <c r="Z319" s="99"/>
      <c r="AA319" s="98" t="s">
        <v>5143</v>
      </c>
      <c r="AB319" s="95" t="s">
        <v>5144</v>
      </c>
      <c r="AC319" s="99"/>
      <c r="AD319" s="98" t="s">
        <v>7513</v>
      </c>
      <c r="AE319" s="95" t="s">
        <v>5161</v>
      </c>
      <c r="AF319" s="99"/>
      <c r="AG319" s="95">
        <v>1</v>
      </c>
      <c r="AH319" s="94" t="s">
        <v>5074</v>
      </c>
      <c r="AI319" s="94" t="s">
        <v>5101</v>
      </c>
      <c r="AJ319" s="98" t="s">
        <v>5320</v>
      </c>
      <c r="AK319" s="98" t="s">
        <v>7514</v>
      </c>
      <c r="AL319" s="101" t="s">
        <v>5149</v>
      </c>
      <c r="AM319" s="98" t="s">
        <v>5926</v>
      </c>
      <c r="AN319" s="98" t="s">
        <v>5079</v>
      </c>
      <c r="AO319" s="98" t="s">
        <v>5080</v>
      </c>
      <c r="AP319" s="102">
        <v>1</v>
      </c>
      <c r="AQ319" s="102">
        <v>2015</v>
      </c>
      <c r="AR319" s="98" t="s">
        <v>5082</v>
      </c>
      <c r="AS319" s="98" t="s">
        <v>5142</v>
      </c>
      <c r="AT319" s="98" t="s">
        <v>5083</v>
      </c>
      <c r="AU319" s="98" t="s">
        <v>5220</v>
      </c>
      <c r="AV319" s="95">
        <v>0</v>
      </c>
      <c r="AW319" s="94" t="s">
        <v>5074</v>
      </c>
      <c r="AX319" s="95">
        <v>0</v>
      </c>
      <c r="AY319" s="98" t="s">
        <v>5152</v>
      </c>
      <c r="AZ319" s="102">
        <v>7</v>
      </c>
      <c r="BA319" s="102" t="s">
        <v>5286</v>
      </c>
      <c r="BB319" s="93"/>
    </row>
    <row r="320" spans="1:54" ht="13.8">
      <c r="A320" s="94" t="s">
        <v>7515</v>
      </c>
      <c r="B320" s="95" t="s">
        <v>7516</v>
      </c>
      <c r="C320" s="100">
        <v>27973</v>
      </c>
      <c r="D320" s="94" t="s">
        <v>2665</v>
      </c>
      <c r="E320" s="94" t="s">
        <v>7487</v>
      </c>
      <c r="F320" s="97" t="s">
        <v>7488</v>
      </c>
      <c r="G320" s="95">
        <v>402001254</v>
      </c>
      <c r="H320" s="98" t="s">
        <v>5057</v>
      </c>
      <c r="I320" s="95">
        <v>48176006846</v>
      </c>
      <c r="J320" s="98" t="s">
        <v>5088</v>
      </c>
      <c r="K320" s="95" t="s">
        <v>5089</v>
      </c>
      <c r="L320" s="98" t="s">
        <v>7517</v>
      </c>
      <c r="M320" s="98" t="s">
        <v>6523</v>
      </c>
      <c r="N320" s="98" t="s">
        <v>7518</v>
      </c>
      <c r="O320" s="98" t="s">
        <v>7519</v>
      </c>
      <c r="P320" s="95">
        <v>905133494</v>
      </c>
      <c r="Q320" s="98" t="s">
        <v>7520</v>
      </c>
      <c r="R320" s="98" t="s">
        <v>5094</v>
      </c>
      <c r="S320" s="99"/>
      <c r="T320" s="96">
        <v>36448</v>
      </c>
      <c r="U320" s="100">
        <v>39271</v>
      </c>
      <c r="V320" s="98" t="s">
        <v>5095</v>
      </c>
      <c r="W320" s="98" t="s">
        <v>5142</v>
      </c>
      <c r="X320" s="98" t="s">
        <v>5096</v>
      </c>
      <c r="Y320" s="99"/>
      <c r="Z320" s="99"/>
      <c r="AA320" s="112"/>
      <c r="AB320" s="111"/>
      <c r="AC320" s="98" t="s">
        <v>7521</v>
      </c>
      <c r="AD320" s="99"/>
      <c r="AE320" s="104">
        <v>41496</v>
      </c>
      <c r="AF320" s="99"/>
      <c r="AG320" s="95">
        <v>1</v>
      </c>
      <c r="AH320" s="94" t="s">
        <v>5084</v>
      </c>
      <c r="AI320" s="94" t="s">
        <v>5133</v>
      </c>
      <c r="AJ320" s="98" t="s">
        <v>5134</v>
      </c>
      <c r="AK320" s="98" t="s">
        <v>2684</v>
      </c>
      <c r="AL320" s="101" t="s">
        <v>5142</v>
      </c>
      <c r="AM320" s="98" t="s">
        <v>5268</v>
      </c>
      <c r="AN320" s="98" t="s">
        <v>5079</v>
      </c>
      <c r="AO320" s="98" t="s">
        <v>5080</v>
      </c>
      <c r="AP320" s="102">
        <v>83</v>
      </c>
      <c r="AQ320" s="102">
        <v>2007</v>
      </c>
      <c r="AR320" s="98" t="s">
        <v>5082</v>
      </c>
      <c r="AS320" s="98" t="s">
        <v>5142</v>
      </c>
      <c r="AT320" s="99"/>
      <c r="AU320" s="98" t="s">
        <v>5228</v>
      </c>
      <c r="AV320" s="95">
        <v>0</v>
      </c>
      <c r="AW320" s="94" t="s">
        <v>5084</v>
      </c>
      <c r="AX320" s="95">
        <v>0</v>
      </c>
      <c r="AY320" s="98" t="s">
        <v>5167</v>
      </c>
      <c r="AZ320" s="102">
        <v>9</v>
      </c>
      <c r="BA320" s="102" t="s">
        <v>5221</v>
      </c>
      <c r="BB320" s="93"/>
    </row>
    <row r="321" spans="1:54" ht="13.8">
      <c r="A321" s="94" t="s">
        <v>7522</v>
      </c>
      <c r="B321" s="95" t="s">
        <v>7523</v>
      </c>
      <c r="C321" s="100">
        <v>31686</v>
      </c>
      <c r="D321" s="94" t="s">
        <v>2656</v>
      </c>
      <c r="E321" s="94" t="s">
        <v>7487</v>
      </c>
      <c r="F321" s="97" t="s">
        <v>7488</v>
      </c>
      <c r="G321" s="95">
        <v>4810031397</v>
      </c>
      <c r="H321" s="98" t="s">
        <v>5057</v>
      </c>
      <c r="I321" s="95">
        <v>67086002237</v>
      </c>
      <c r="J321" s="98" t="s">
        <v>5088</v>
      </c>
      <c r="K321" s="104">
        <v>44447</v>
      </c>
      <c r="L321" s="98" t="s">
        <v>7524</v>
      </c>
      <c r="M321" s="98" t="s">
        <v>7525</v>
      </c>
      <c r="N321" s="98" t="s">
        <v>6610</v>
      </c>
      <c r="O321" s="98" t="s">
        <v>6610</v>
      </c>
      <c r="P321" s="95">
        <v>935739180</v>
      </c>
      <c r="Q321" s="98" t="s">
        <v>7526</v>
      </c>
      <c r="R321" s="98" t="s">
        <v>5094</v>
      </c>
      <c r="S321" s="99"/>
      <c r="T321" s="100">
        <v>40189</v>
      </c>
      <c r="U321" s="96">
        <v>40862</v>
      </c>
      <c r="V321" s="98" t="s">
        <v>5095</v>
      </c>
      <c r="W321" s="98" t="s">
        <v>5142</v>
      </c>
      <c r="X321" s="98" t="s">
        <v>5096</v>
      </c>
      <c r="Y321" s="99"/>
      <c r="Z321" s="99"/>
      <c r="AA321" s="98" t="s">
        <v>7527</v>
      </c>
      <c r="AB321" s="95" t="s">
        <v>5318</v>
      </c>
      <c r="AC321" s="99"/>
      <c r="AD321" s="99"/>
      <c r="AE321" s="104">
        <v>42777</v>
      </c>
      <c r="AF321" s="99"/>
      <c r="AG321" s="95">
        <v>1</v>
      </c>
      <c r="AH321" s="94" t="s">
        <v>5084</v>
      </c>
      <c r="AI321" s="94" t="s">
        <v>5133</v>
      </c>
      <c r="AJ321" s="98" t="s">
        <v>5134</v>
      </c>
      <c r="AK321" s="98" t="s">
        <v>5148</v>
      </c>
      <c r="AL321" s="101" t="s">
        <v>5142</v>
      </c>
      <c r="AM321" s="98" t="s">
        <v>6645</v>
      </c>
      <c r="AN321" s="98" t="s">
        <v>5079</v>
      </c>
      <c r="AO321" s="98" t="s">
        <v>5080</v>
      </c>
      <c r="AP321" s="102">
        <v>801</v>
      </c>
      <c r="AQ321" s="102">
        <v>2013</v>
      </c>
      <c r="AR321" s="98" t="s">
        <v>5200</v>
      </c>
      <c r="AS321" s="99"/>
      <c r="AT321" s="99"/>
      <c r="AU321" s="98" t="s">
        <v>5220</v>
      </c>
      <c r="AV321" s="95">
        <v>0</v>
      </c>
      <c r="AW321" s="94" t="s">
        <v>5084</v>
      </c>
      <c r="AX321" s="95">
        <v>0</v>
      </c>
      <c r="AY321" s="98" t="s">
        <v>5167</v>
      </c>
      <c r="AZ321" s="102">
        <v>5</v>
      </c>
      <c r="BA321" s="102" t="s">
        <v>5153</v>
      </c>
      <c r="BB321" s="93"/>
    </row>
    <row r="322" spans="1:54" ht="13.8">
      <c r="A322" s="94" t="s">
        <v>7528</v>
      </c>
      <c r="B322" s="95" t="s">
        <v>7529</v>
      </c>
      <c r="C322" s="96">
        <v>30251</v>
      </c>
      <c r="D322" s="94" t="s">
        <v>2656</v>
      </c>
      <c r="E322" s="94" t="s">
        <v>7487</v>
      </c>
      <c r="F322" s="97" t="s">
        <v>7488</v>
      </c>
      <c r="G322" s="95">
        <v>4810005107</v>
      </c>
      <c r="H322" s="98" t="s">
        <v>5057</v>
      </c>
      <c r="I322" s="95">
        <v>49082012294</v>
      </c>
      <c r="J322" s="98" t="s">
        <v>5088</v>
      </c>
      <c r="K322" s="95" t="s">
        <v>5089</v>
      </c>
      <c r="L322" s="98" t="s">
        <v>7530</v>
      </c>
      <c r="M322" s="98" t="s">
        <v>7531</v>
      </c>
      <c r="N322" s="98" t="s">
        <v>7532</v>
      </c>
      <c r="O322" s="98" t="s">
        <v>7533</v>
      </c>
      <c r="P322" s="95">
        <v>905800804</v>
      </c>
      <c r="Q322" s="98" t="s">
        <v>7534</v>
      </c>
      <c r="R322" s="98" t="s">
        <v>5094</v>
      </c>
      <c r="S322" s="99"/>
      <c r="T322" s="100">
        <v>40179</v>
      </c>
      <c r="U322" s="100">
        <v>40544</v>
      </c>
      <c r="V322" s="98" t="s">
        <v>5095</v>
      </c>
      <c r="W322" s="98" t="s">
        <v>5142</v>
      </c>
      <c r="X322" s="98" t="s">
        <v>5096</v>
      </c>
      <c r="Y322" s="99"/>
      <c r="Z322" s="99"/>
      <c r="AA322" s="99"/>
      <c r="AB322" s="95" t="s">
        <v>5161</v>
      </c>
      <c r="AC322" s="98" t="s">
        <v>6375</v>
      </c>
      <c r="AD322" s="99"/>
      <c r="AE322" s="95" t="s">
        <v>7535</v>
      </c>
      <c r="AF322" s="99"/>
      <c r="AG322" s="95">
        <v>1</v>
      </c>
      <c r="AH322" s="94" t="s">
        <v>5162</v>
      </c>
      <c r="AI322" s="94" t="s">
        <v>5075</v>
      </c>
      <c r="AJ322" s="98" t="s">
        <v>7536</v>
      </c>
      <c r="AK322" s="98" t="s">
        <v>7537</v>
      </c>
      <c r="AL322" s="101" t="s">
        <v>5142</v>
      </c>
      <c r="AM322" s="98" t="s">
        <v>7538</v>
      </c>
      <c r="AN322" s="98" t="s">
        <v>5079</v>
      </c>
      <c r="AO322" s="98" t="s">
        <v>5080</v>
      </c>
      <c r="AP322" s="102">
        <v>85</v>
      </c>
      <c r="AQ322" s="102">
        <v>2008</v>
      </c>
      <c r="AR322" s="98" t="s">
        <v>5200</v>
      </c>
      <c r="AS322" s="98" t="s">
        <v>5142</v>
      </c>
      <c r="AT322" s="99"/>
      <c r="AU322" s="98" t="s">
        <v>5135</v>
      </c>
      <c r="AV322" s="95">
        <v>0</v>
      </c>
      <c r="AW322" s="94" t="s">
        <v>5162</v>
      </c>
      <c r="AX322" s="95">
        <v>0</v>
      </c>
      <c r="AY322" s="98" t="s">
        <v>5167</v>
      </c>
      <c r="AZ322" s="102">
        <v>5</v>
      </c>
      <c r="BA322" s="102" t="s">
        <v>5153</v>
      </c>
      <c r="BB322" s="93"/>
    </row>
    <row r="323" spans="1:54" ht="13.8">
      <c r="A323" s="94" t="s">
        <v>7539</v>
      </c>
      <c r="B323" s="95" t="s">
        <v>7540</v>
      </c>
      <c r="C323" s="100">
        <v>30925</v>
      </c>
      <c r="D323" s="94" t="s">
        <v>2656</v>
      </c>
      <c r="E323" s="94" t="s">
        <v>7541</v>
      </c>
      <c r="F323" s="97" t="s">
        <v>7542</v>
      </c>
      <c r="G323" s="95">
        <v>4809008385</v>
      </c>
      <c r="H323" s="98" t="s">
        <v>5057</v>
      </c>
      <c r="I323" s="95">
        <v>42084002324</v>
      </c>
      <c r="J323" s="98" t="s">
        <v>5182</v>
      </c>
      <c r="K323" s="104">
        <v>45421</v>
      </c>
      <c r="L323" s="98" t="s">
        <v>5476</v>
      </c>
      <c r="M323" s="98" t="s">
        <v>6879</v>
      </c>
      <c r="N323" s="98" t="s">
        <v>7543</v>
      </c>
      <c r="O323" s="98" t="s">
        <v>7543</v>
      </c>
      <c r="P323" s="95">
        <v>917780777</v>
      </c>
      <c r="Q323" s="98" t="s">
        <v>7544</v>
      </c>
      <c r="R323" s="98" t="s">
        <v>5094</v>
      </c>
      <c r="S323" s="99"/>
      <c r="T323" s="100">
        <v>45658</v>
      </c>
      <c r="U323" s="100">
        <v>46023</v>
      </c>
      <c r="V323" s="99"/>
      <c r="W323" s="99"/>
      <c r="X323" s="98" t="s">
        <v>5480</v>
      </c>
      <c r="Y323" s="99"/>
      <c r="Z323" s="99"/>
      <c r="AA323" s="99"/>
      <c r="AB323" s="99"/>
      <c r="AC323" s="99"/>
      <c r="AD323" s="99"/>
      <c r="AE323" s="99"/>
      <c r="AF323" s="99"/>
      <c r="AG323" s="95">
        <v>0</v>
      </c>
      <c r="AH323" s="94" t="s">
        <v>5084</v>
      </c>
      <c r="AI323" s="94" t="s">
        <v>5101</v>
      </c>
      <c r="AJ323" s="98" t="s">
        <v>5102</v>
      </c>
      <c r="AK323" s="98" t="s">
        <v>7545</v>
      </c>
      <c r="AL323" s="101" t="s">
        <v>5142</v>
      </c>
      <c r="AM323" s="99"/>
      <c r="AN323" s="98" t="s">
        <v>5079</v>
      </c>
      <c r="AO323" s="98" t="s">
        <v>5080</v>
      </c>
      <c r="AP323" s="98" t="s">
        <v>5333</v>
      </c>
      <c r="AQ323" s="102">
        <v>2014</v>
      </c>
      <c r="AR323" s="99"/>
      <c r="AS323" s="99"/>
      <c r="AT323" s="99"/>
      <c r="AU323" s="99"/>
      <c r="AV323" s="99"/>
      <c r="AW323" s="94" t="s">
        <v>5084</v>
      </c>
      <c r="AX323" s="95">
        <v>1</v>
      </c>
      <c r="AY323" s="98" t="s">
        <v>5167</v>
      </c>
      <c r="AZ323" s="102">
        <v>4</v>
      </c>
      <c r="BA323" s="102" t="s">
        <v>5168</v>
      </c>
      <c r="BB323" s="93"/>
    </row>
    <row r="324" spans="1:54" ht="13.8">
      <c r="A324" s="94" t="s">
        <v>7546</v>
      </c>
      <c r="B324" s="95" t="s">
        <v>7547</v>
      </c>
      <c r="C324" s="96">
        <v>34655</v>
      </c>
      <c r="D324" s="94" t="s">
        <v>2656</v>
      </c>
      <c r="E324" s="94" t="s">
        <v>7541</v>
      </c>
      <c r="F324" s="97" t="s">
        <v>7542</v>
      </c>
      <c r="G324" s="95">
        <v>4820513761</v>
      </c>
      <c r="H324" s="98" t="s">
        <v>5181</v>
      </c>
      <c r="I324" s="95">
        <v>48094007897</v>
      </c>
      <c r="J324" s="98" t="s">
        <v>5088</v>
      </c>
      <c r="K324" s="95" t="s">
        <v>5089</v>
      </c>
      <c r="L324" s="98" t="s">
        <v>7548</v>
      </c>
      <c r="M324" s="98" t="s">
        <v>7549</v>
      </c>
      <c r="N324" s="98" t="s">
        <v>7550</v>
      </c>
      <c r="O324" s="98" t="s">
        <v>7550</v>
      </c>
      <c r="P324" s="95">
        <v>943798276</v>
      </c>
      <c r="Q324" s="98" t="s">
        <v>7551</v>
      </c>
      <c r="R324" s="98" t="s">
        <v>5094</v>
      </c>
      <c r="S324" s="99"/>
      <c r="T324" s="100">
        <v>44932</v>
      </c>
      <c r="U324" s="100">
        <v>44932</v>
      </c>
      <c r="V324" s="99"/>
      <c r="W324" s="98" t="s">
        <v>5142</v>
      </c>
      <c r="X324" s="98" t="s">
        <v>5187</v>
      </c>
      <c r="Y324" s="99"/>
      <c r="Z324" s="99"/>
      <c r="AA324" s="99"/>
      <c r="AB324" s="99"/>
      <c r="AC324" s="99"/>
      <c r="AD324" s="99"/>
      <c r="AE324" s="99"/>
      <c r="AF324" s="99"/>
      <c r="AG324" s="95">
        <v>0</v>
      </c>
      <c r="AH324" s="94" t="s">
        <v>5162</v>
      </c>
      <c r="AI324" s="94" t="s">
        <v>5101</v>
      </c>
      <c r="AJ324" s="98" t="s">
        <v>5102</v>
      </c>
      <c r="AK324" s="98" t="s">
        <v>3000</v>
      </c>
      <c r="AL324" s="101" t="s">
        <v>5142</v>
      </c>
      <c r="AM324" s="99"/>
      <c r="AN324" s="98" t="s">
        <v>5079</v>
      </c>
      <c r="AO324" s="98" t="s">
        <v>5080</v>
      </c>
      <c r="AP324" s="98" t="s">
        <v>7484</v>
      </c>
      <c r="AQ324" s="102">
        <v>2022</v>
      </c>
      <c r="AR324" s="99"/>
      <c r="AS324" s="98" t="s">
        <v>5142</v>
      </c>
      <c r="AT324" s="99"/>
      <c r="AU324" s="98" t="s">
        <v>5228</v>
      </c>
      <c r="AV324" s="99"/>
      <c r="AW324" s="94" t="s">
        <v>5162</v>
      </c>
      <c r="AX324" s="95">
        <v>0</v>
      </c>
      <c r="AY324" s="98" t="s">
        <v>5167</v>
      </c>
      <c r="AZ324" s="102">
        <v>1</v>
      </c>
      <c r="BA324" s="102" t="s">
        <v>5189</v>
      </c>
      <c r="BB324" s="93"/>
    </row>
    <row r="325" spans="1:54" ht="13.8">
      <c r="A325" s="94" t="s">
        <v>7552</v>
      </c>
      <c r="B325" s="95" t="s">
        <v>7553</v>
      </c>
      <c r="C325" s="100">
        <v>30855</v>
      </c>
      <c r="D325" s="94" t="s">
        <v>2665</v>
      </c>
      <c r="E325" s="94" t="s">
        <v>7541</v>
      </c>
      <c r="F325" s="97" t="s">
        <v>7542</v>
      </c>
      <c r="G325" s="95">
        <v>4812023822</v>
      </c>
      <c r="H325" s="98" t="s">
        <v>5057</v>
      </c>
      <c r="I325" s="95">
        <v>48184003743</v>
      </c>
      <c r="J325" s="98" t="s">
        <v>5088</v>
      </c>
      <c r="K325" s="95" t="s">
        <v>5089</v>
      </c>
      <c r="L325" s="98" t="s">
        <v>6928</v>
      </c>
      <c r="M325" s="98" t="s">
        <v>6929</v>
      </c>
      <c r="N325" s="98" t="s">
        <v>7554</v>
      </c>
      <c r="O325" s="98" t="s">
        <v>7554</v>
      </c>
      <c r="P325" s="95">
        <v>969645777</v>
      </c>
      <c r="Q325" s="98" t="s">
        <v>7555</v>
      </c>
      <c r="R325" s="98" t="s">
        <v>5094</v>
      </c>
      <c r="S325" s="99"/>
      <c r="T325" s="100">
        <v>43477</v>
      </c>
      <c r="U325" s="100">
        <v>43477</v>
      </c>
      <c r="V325" s="98" t="s">
        <v>5095</v>
      </c>
      <c r="W325" s="98" t="s">
        <v>5142</v>
      </c>
      <c r="X325" s="98" t="s">
        <v>5096</v>
      </c>
      <c r="Y325" s="98" t="s">
        <v>7556</v>
      </c>
      <c r="Z325" s="99"/>
      <c r="AA325" s="99"/>
      <c r="AB325" s="99"/>
      <c r="AC325" s="99"/>
      <c r="AD325" s="99"/>
      <c r="AE325" s="99"/>
      <c r="AF325" s="99"/>
      <c r="AG325" s="95">
        <v>1</v>
      </c>
      <c r="AH325" s="94" t="s">
        <v>5162</v>
      </c>
      <c r="AI325" s="94" t="s">
        <v>5075</v>
      </c>
      <c r="AJ325" s="98" t="s">
        <v>5489</v>
      </c>
      <c r="AK325" s="98" t="s">
        <v>7557</v>
      </c>
      <c r="AL325" s="101" t="s">
        <v>5142</v>
      </c>
      <c r="AM325" s="99"/>
      <c r="AN325" s="98" t="s">
        <v>5079</v>
      </c>
      <c r="AO325" s="98" t="s">
        <v>5080</v>
      </c>
      <c r="AP325" s="98" t="s">
        <v>5188</v>
      </c>
      <c r="AQ325" s="102">
        <v>2006</v>
      </c>
      <c r="AR325" s="99"/>
      <c r="AS325" s="98" t="s">
        <v>5142</v>
      </c>
      <c r="AT325" s="99"/>
      <c r="AU325" s="98" t="s">
        <v>5162</v>
      </c>
      <c r="AV325" s="99"/>
      <c r="AW325" s="94" t="s">
        <v>5162</v>
      </c>
      <c r="AX325" s="95">
        <v>0</v>
      </c>
      <c r="AY325" s="98" t="s">
        <v>5167</v>
      </c>
      <c r="AZ325" s="102">
        <v>3</v>
      </c>
      <c r="BA325" s="102">
        <v>3</v>
      </c>
      <c r="BB325" s="93"/>
    </row>
    <row r="326" spans="1:54" ht="13.8">
      <c r="A326" s="94" t="s">
        <v>7558</v>
      </c>
      <c r="B326" s="95" t="s">
        <v>7559</v>
      </c>
      <c r="C326" s="96">
        <v>31346</v>
      </c>
      <c r="D326" s="94" t="s">
        <v>2656</v>
      </c>
      <c r="E326" s="94" t="s">
        <v>7541</v>
      </c>
      <c r="F326" s="97" t="s">
        <v>7542</v>
      </c>
      <c r="G326" s="95">
        <v>4810005098</v>
      </c>
      <c r="H326" s="98" t="s">
        <v>5057</v>
      </c>
      <c r="I326" s="95">
        <v>44085007501</v>
      </c>
      <c r="J326" s="98" t="s">
        <v>5088</v>
      </c>
      <c r="K326" s="104">
        <v>44234</v>
      </c>
      <c r="L326" s="98" t="s">
        <v>7560</v>
      </c>
      <c r="M326" s="98" t="s">
        <v>7561</v>
      </c>
      <c r="N326" s="98" t="s">
        <v>7562</v>
      </c>
      <c r="O326" s="98" t="s">
        <v>7562</v>
      </c>
      <c r="P326" s="95">
        <v>979134194</v>
      </c>
      <c r="Q326" s="98" t="s">
        <v>7563</v>
      </c>
      <c r="R326" s="98" t="s">
        <v>5094</v>
      </c>
      <c r="S326" s="99"/>
      <c r="T326" s="100">
        <v>40179</v>
      </c>
      <c r="U326" s="100">
        <v>40553</v>
      </c>
      <c r="V326" s="98" t="s">
        <v>5095</v>
      </c>
      <c r="W326" s="98" t="s">
        <v>5142</v>
      </c>
      <c r="X326" s="98" t="s">
        <v>5096</v>
      </c>
      <c r="Y326" s="99"/>
      <c r="Z326" s="99"/>
      <c r="AA326" s="98" t="s">
        <v>5143</v>
      </c>
      <c r="AB326" s="95" t="s">
        <v>5144</v>
      </c>
      <c r="AC326" s="99"/>
      <c r="AD326" s="99"/>
      <c r="AE326" s="95" t="s">
        <v>7564</v>
      </c>
      <c r="AF326" s="99"/>
      <c r="AG326" s="95">
        <v>1</v>
      </c>
      <c r="AH326" s="94" t="s">
        <v>5084</v>
      </c>
      <c r="AI326" s="94" t="s">
        <v>5101</v>
      </c>
      <c r="AJ326" s="98" t="s">
        <v>5102</v>
      </c>
      <c r="AK326" s="98" t="s">
        <v>2659</v>
      </c>
      <c r="AL326" s="101" t="s">
        <v>7565</v>
      </c>
      <c r="AM326" s="98" t="s">
        <v>5268</v>
      </c>
      <c r="AN326" s="98" t="s">
        <v>5079</v>
      </c>
      <c r="AO326" s="98" t="s">
        <v>5080</v>
      </c>
      <c r="AP326" s="102">
        <v>83</v>
      </c>
      <c r="AQ326" s="102">
        <v>2016</v>
      </c>
      <c r="AR326" s="98" t="s">
        <v>5200</v>
      </c>
      <c r="AS326" s="99"/>
      <c r="AT326" s="99"/>
      <c r="AU326" s="98" t="s">
        <v>5084</v>
      </c>
      <c r="AV326" s="95">
        <v>0</v>
      </c>
      <c r="AW326" s="94" t="s">
        <v>5084</v>
      </c>
      <c r="AX326" s="95">
        <v>0</v>
      </c>
      <c r="AY326" s="98" t="s">
        <v>5152</v>
      </c>
      <c r="AZ326" s="102">
        <v>5</v>
      </c>
      <c r="BA326" s="102" t="s">
        <v>5153</v>
      </c>
      <c r="BB326" s="93"/>
    </row>
    <row r="327" spans="1:54" ht="13.8">
      <c r="A327" s="94" t="s">
        <v>7566</v>
      </c>
      <c r="B327" s="95" t="s">
        <v>7567</v>
      </c>
      <c r="C327" s="100">
        <v>29847</v>
      </c>
      <c r="D327" s="94" t="s">
        <v>2656</v>
      </c>
      <c r="E327" s="94" t="s">
        <v>7541</v>
      </c>
      <c r="F327" s="97" t="s">
        <v>7542</v>
      </c>
      <c r="G327" s="95">
        <v>4814009048</v>
      </c>
      <c r="H327" s="98" t="s">
        <v>5057</v>
      </c>
      <c r="I327" s="95">
        <v>46081004537</v>
      </c>
      <c r="J327" s="98" t="s">
        <v>5088</v>
      </c>
      <c r="K327" s="95" t="s">
        <v>6877</v>
      </c>
      <c r="L327" s="98" t="s">
        <v>7568</v>
      </c>
      <c r="M327" s="98" t="s">
        <v>7569</v>
      </c>
      <c r="N327" s="98" t="s">
        <v>7570</v>
      </c>
      <c r="O327" s="98" t="s">
        <v>7571</v>
      </c>
      <c r="P327" s="95">
        <v>934850479</v>
      </c>
      <c r="Q327" s="98" t="s">
        <v>7572</v>
      </c>
      <c r="R327" s="98" t="s">
        <v>5094</v>
      </c>
      <c r="S327" s="99"/>
      <c r="T327" s="100">
        <v>41640</v>
      </c>
      <c r="U327" s="100">
        <v>42005</v>
      </c>
      <c r="V327" s="98" t="s">
        <v>5095</v>
      </c>
      <c r="W327" s="98" t="s">
        <v>5142</v>
      </c>
      <c r="X327" s="98" t="s">
        <v>5096</v>
      </c>
      <c r="Y327" s="99"/>
      <c r="Z327" s="99"/>
      <c r="AA327" s="99"/>
      <c r="AB327" s="95" t="s">
        <v>5161</v>
      </c>
      <c r="AC327" s="99"/>
      <c r="AD327" s="99"/>
      <c r="AE327" s="104">
        <v>42832</v>
      </c>
      <c r="AF327" s="99"/>
      <c r="AG327" s="95">
        <v>1</v>
      </c>
      <c r="AH327" s="94" t="s">
        <v>5162</v>
      </c>
      <c r="AI327" s="94" t="s">
        <v>5075</v>
      </c>
      <c r="AJ327" s="98" t="s">
        <v>7573</v>
      </c>
      <c r="AK327" s="98" t="s">
        <v>7574</v>
      </c>
      <c r="AL327" s="101" t="s">
        <v>5142</v>
      </c>
      <c r="AM327" s="98" t="s">
        <v>7575</v>
      </c>
      <c r="AN327" s="98" t="s">
        <v>5079</v>
      </c>
      <c r="AO327" s="98" t="s">
        <v>5080</v>
      </c>
      <c r="AP327" s="102">
        <v>107</v>
      </c>
      <c r="AQ327" s="102">
        <v>2010</v>
      </c>
      <c r="AR327" s="98" t="s">
        <v>5200</v>
      </c>
      <c r="AS327" s="98" t="s">
        <v>5142</v>
      </c>
      <c r="AT327" s="99"/>
      <c r="AU327" s="98" t="s">
        <v>5107</v>
      </c>
      <c r="AV327" s="95">
        <v>0</v>
      </c>
      <c r="AW327" s="94" t="s">
        <v>5162</v>
      </c>
      <c r="AX327" s="95">
        <v>0</v>
      </c>
      <c r="AY327" s="98" t="s">
        <v>5167</v>
      </c>
      <c r="AZ327" s="102">
        <v>4</v>
      </c>
      <c r="BA327" s="102" t="s">
        <v>5168</v>
      </c>
      <c r="BB327" s="93"/>
    </row>
    <row r="328" spans="1:54" ht="13.8">
      <c r="A328" s="94" t="s">
        <v>7576</v>
      </c>
      <c r="B328" s="95" t="s">
        <v>7577</v>
      </c>
      <c r="C328" s="100">
        <v>34822</v>
      </c>
      <c r="D328" s="94" t="s">
        <v>2656</v>
      </c>
      <c r="E328" s="94" t="s">
        <v>7541</v>
      </c>
      <c r="F328" s="97" t="s">
        <v>7542</v>
      </c>
      <c r="G328" s="95">
        <v>4820017586</v>
      </c>
      <c r="H328" s="98" t="s">
        <v>5181</v>
      </c>
      <c r="I328" s="95">
        <v>46095014289</v>
      </c>
      <c r="J328" s="98" t="s">
        <v>5088</v>
      </c>
      <c r="K328" s="95" t="s">
        <v>7030</v>
      </c>
      <c r="L328" s="98" t="s">
        <v>7578</v>
      </c>
      <c r="M328" s="98" t="s">
        <v>7579</v>
      </c>
      <c r="N328" s="98" t="s">
        <v>7580</v>
      </c>
      <c r="O328" s="98" t="s">
        <v>7581</v>
      </c>
      <c r="P328" s="95">
        <v>706239754</v>
      </c>
      <c r="Q328" s="98" t="s">
        <v>7582</v>
      </c>
      <c r="R328" s="98" t="s">
        <v>5094</v>
      </c>
      <c r="S328" s="99"/>
      <c r="T328" s="100">
        <v>44199</v>
      </c>
      <c r="U328" s="100">
        <v>44204</v>
      </c>
      <c r="V328" s="99"/>
      <c r="W328" s="98" t="s">
        <v>5142</v>
      </c>
      <c r="X328" s="98" t="s">
        <v>5187</v>
      </c>
      <c r="Y328" s="99"/>
      <c r="Z328" s="99"/>
      <c r="AA328" s="99"/>
      <c r="AB328" s="99"/>
      <c r="AC328" s="99"/>
      <c r="AD328" s="99"/>
      <c r="AE328" s="99"/>
      <c r="AF328" s="99"/>
      <c r="AG328" s="95">
        <v>0</v>
      </c>
      <c r="AH328" s="94" t="s">
        <v>5162</v>
      </c>
      <c r="AI328" s="94" t="s">
        <v>5101</v>
      </c>
      <c r="AJ328" s="98" t="s">
        <v>5102</v>
      </c>
      <c r="AK328" s="98" t="s">
        <v>7583</v>
      </c>
      <c r="AL328" s="101" t="s">
        <v>5142</v>
      </c>
      <c r="AM328" s="99"/>
      <c r="AN328" s="98" t="s">
        <v>5079</v>
      </c>
      <c r="AO328" s="98" t="s">
        <v>5080</v>
      </c>
      <c r="AP328" s="98" t="s">
        <v>5199</v>
      </c>
      <c r="AQ328" s="102">
        <v>2018</v>
      </c>
      <c r="AR328" s="99"/>
      <c r="AS328" s="99"/>
      <c r="AT328" s="99"/>
      <c r="AU328" s="98" t="s">
        <v>5220</v>
      </c>
      <c r="AV328" s="99"/>
      <c r="AW328" s="94" t="s">
        <v>5162</v>
      </c>
      <c r="AX328" s="95">
        <v>0</v>
      </c>
      <c r="AY328" s="98" t="s">
        <v>5167</v>
      </c>
      <c r="AZ328" s="102">
        <v>2</v>
      </c>
      <c r="BA328" s="102" t="s">
        <v>5237</v>
      </c>
      <c r="BB328" s="93"/>
    </row>
    <row r="329" spans="1:54" ht="13.8">
      <c r="A329" s="94" t="s">
        <v>7584</v>
      </c>
      <c r="B329" s="95" t="s">
        <v>7585</v>
      </c>
      <c r="C329" s="96">
        <v>30275</v>
      </c>
      <c r="D329" s="94" t="s">
        <v>2665</v>
      </c>
      <c r="E329" s="94" t="s">
        <v>7541</v>
      </c>
      <c r="F329" s="97" t="s">
        <v>7542</v>
      </c>
      <c r="G329" s="95">
        <v>4808000556</v>
      </c>
      <c r="H329" s="98" t="s">
        <v>5057</v>
      </c>
      <c r="I329" s="95">
        <v>48182004782</v>
      </c>
      <c r="J329" s="98" t="s">
        <v>5088</v>
      </c>
      <c r="K329" s="95" t="s">
        <v>5089</v>
      </c>
      <c r="L329" s="98" t="s">
        <v>7586</v>
      </c>
      <c r="M329" s="98" t="s">
        <v>5156</v>
      </c>
      <c r="N329" s="98" t="s">
        <v>7587</v>
      </c>
      <c r="O329" s="98" t="s">
        <v>7587</v>
      </c>
      <c r="P329" s="95">
        <v>905715165</v>
      </c>
      <c r="Q329" s="98" t="s">
        <v>7588</v>
      </c>
      <c r="R329" s="98" t="s">
        <v>5094</v>
      </c>
      <c r="S329" s="99"/>
      <c r="T329" s="100">
        <v>38362</v>
      </c>
      <c r="U329" s="100">
        <v>38727</v>
      </c>
      <c r="V329" s="98" t="s">
        <v>5095</v>
      </c>
      <c r="W329" s="98" t="s">
        <v>5311</v>
      </c>
      <c r="X329" s="98" t="s">
        <v>5096</v>
      </c>
      <c r="Y329" s="99"/>
      <c r="Z329" s="99"/>
      <c r="AA329" s="112"/>
      <c r="AB329" s="111"/>
      <c r="AC329" s="99"/>
      <c r="AD329" s="98" t="s">
        <v>7589</v>
      </c>
      <c r="AE329" s="95" t="s">
        <v>7590</v>
      </c>
      <c r="AF329" s="99"/>
      <c r="AG329" s="95">
        <v>1</v>
      </c>
      <c r="AH329" s="94" t="s">
        <v>5162</v>
      </c>
      <c r="AI329" s="94" t="s">
        <v>5163</v>
      </c>
      <c r="AJ329" s="98" t="s">
        <v>5164</v>
      </c>
      <c r="AK329" s="98" t="s">
        <v>7591</v>
      </c>
      <c r="AL329" s="101" t="s">
        <v>5311</v>
      </c>
      <c r="AM329" s="98" t="s">
        <v>5166</v>
      </c>
      <c r="AN329" s="98" t="s">
        <v>5079</v>
      </c>
      <c r="AO329" s="98" t="s">
        <v>5080</v>
      </c>
      <c r="AP329" s="102">
        <v>806</v>
      </c>
      <c r="AQ329" s="102">
        <v>2005</v>
      </c>
      <c r="AR329" s="98" t="s">
        <v>5082</v>
      </c>
      <c r="AS329" s="98" t="s">
        <v>6986</v>
      </c>
      <c r="AT329" s="99"/>
      <c r="AU329" s="98" t="s">
        <v>5135</v>
      </c>
      <c r="AV329" s="95">
        <v>0</v>
      </c>
      <c r="AW329" s="94" t="s">
        <v>5162</v>
      </c>
      <c r="AX329" s="95">
        <v>0</v>
      </c>
      <c r="AY329" s="98" t="s">
        <v>5167</v>
      </c>
      <c r="AZ329" s="102">
        <v>7</v>
      </c>
      <c r="BA329" s="102" t="s">
        <v>5286</v>
      </c>
      <c r="BB329" s="93"/>
    </row>
    <row r="330" spans="1:54" ht="13.8">
      <c r="A330" s="94" t="s">
        <v>7592</v>
      </c>
      <c r="B330" s="95" t="s">
        <v>7593</v>
      </c>
      <c r="C330" s="100">
        <v>30322</v>
      </c>
      <c r="D330" s="94" t="s">
        <v>2656</v>
      </c>
      <c r="E330" s="94" t="s">
        <v>7541</v>
      </c>
      <c r="F330" s="97" t="s">
        <v>7542</v>
      </c>
      <c r="G330" s="95">
        <v>4809012882</v>
      </c>
      <c r="H330" s="98" t="s">
        <v>5057</v>
      </c>
      <c r="I330" s="95">
        <v>49083010725</v>
      </c>
      <c r="J330" s="98" t="s">
        <v>5088</v>
      </c>
      <c r="K330" s="95" t="s">
        <v>5089</v>
      </c>
      <c r="L330" s="98" t="s">
        <v>7594</v>
      </c>
      <c r="M330" s="98" t="s">
        <v>7595</v>
      </c>
      <c r="N330" s="98" t="s">
        <v>7596</v>
      </c>
      <c r="O330" s="98" t="s">
        <v>7596</v>
      </c>
      <c r="P330" s="95">
        <v>905578768</v>
      </c>
      <c r="Q330" s="98" t="s">
        <v>7597</v>
      </c>
      <c r="R330" s="98" t="s">
        <v>5094</v>
      </c>
      <c r="S330" s="99"/>
      <c r="T330" s="100">
        <v>39845</v>
      </c>
      <c r="U330" s="100">
        <v>40198</v>
      </c>
      <c r="V330" s="98" t="s">
        <v>5179</v>
      </c>
      <c r="W330" s="98" t="s">
        <v>5142</v>
      </c>
      <c r="X330" s="98" t="s">
        <v>5096</v>
      </c>
      <c r="Y330" s="99"/>
      <c r="Z330" s="99"/>
      <c r="AA330" s="98" t="s">
        <v>5244</v>
      </c>
      <c r="AB330" s="95" t="s">
        <v>5318</v>
      </c>
      <c r="AC330" s="99"/>
      <c r="AD330" s="98" t="s">
        <v>7598</v>
      </c>
      <c r="AE330" s="95" t="s">
        <v>5161</v>
      </c>
      <c r="AF330" s="99"/>
      <c r="AG330" s="95">
        <v>1</v>
      </c>
      <c r="AH330" s="94" t="s">
        <v>5084</v>
      </c>
      <c r="AI330" s="94" t="s">
        <v>5101</v>
      </c>
      <c r="AJ330" s="98" t="s">
        <v>5102</v>
      </c>
      <c r="AK330" s="98" t="s">
        <v>7574</v>
      </c>
      <c r="AL330" s="101" t="s">
        <v>5142</v>
      </c>
      <c r="AM330" s="98" t="s">
        <v>5199</v>
      </c>
      <c r="AN330" s="98" t="s">
        <v>5079</v>
      </c>
      <c r="AO330" s="98" t="s">
        <v>5080</v>
      </c>
      <c r="AP330" s="102">
        <v>805</v>
      </c>
      <c r="AQ330" s="102">
        <v>2013</v>
      </c>
      <c r="AR330" s="98" t="s">
        <v>5082</v>
      </c>
      <c r="AS330" s="99"/>
      <c r="AT330" s="99"/>
      <c r="AU330" s="98" t="s">
        <v>5220</v>
      </c>
      <c r="AV330" s="95">
        <v>0</v>
      </c>
      <c r="AW330" s="94" t="s">
        <v>5084</v>
      </c>
      <c r="AX330" s="95">
        <v>0</v>
      </c>
      <c r="AY330" s="98" t="s">
        <v>5167</v>
      </c>
      <c r="AZ330" s="102">
        <v>6</v>
      </c>
      <c r="BA330" s="102" t="s">
        <v>5260</v>
      </c>
      <c r="BB330" s="93"/>
    </row>
    <row r="331" spans="1:54" ht="13.8">
      <c r="A331" s="94" t="s">
        <v>4855</v>
      </c>
      <c r="B331" s="95" t="s">
        <v>4856</v>
      </c>
      <c r="C331" s="100">
        <v>29424</v>
      </c>
      <c r="D331" s="94" t="s">
        <v>2665</v>
      </c>
      <c r="E331" s="94" t="s">
        <v>7599</v>
      </c>
      <c r="F331" s="97" t="s">
        <v>1593</v>
      </c>
      <c r="G331" s="95">
        <v>4810023193</v>
      </c>
      <c r="H331" s="98" t="s">
        <v>5057</v>
      </c>
      <c r="I331" s="95">
        <v>38180039686</v>
      </c>
      <c r="J331" s="98" t="s">
        <v>5088</v>
      </c>
      <c r="K331" s="95" t="s">
        <v>5277</v>
      </c>
      <c r="L331" s="98" t="s">
        <v>7600</v>
      </c>
      <c r="M331" s="98" t="s">
        <v>7601</v>
      </c>
      <c r="N331" s="98" t="s">
        <v>7602</v>
      </c>
      <c r="O331" s="98" t="s">
        <v>7602</v>
      </c>
      <c r="P331" s="95">
        <v>916040319</v>
      </c>
      <c r="Q331" s="98" t="s">
        <v>7603</v>
      </c>
      <c r="R331" s="98" t="s">
        <v>5094</v>
      </c>
      <c r="S331" s="99"/>
      <c r="T331" s="100">
        <v>40185</v>
      </c>
      <c r="U331" s="100">
        <v>40550</v>
      </c>
      <c r="V331" s="98" t="s">
        <v>5095</v>
      </c>
      <c r="W331" s="98" t="s">
        <v>5068</v>
      </c>
      <c r="X331" s="98" t="s">
        <v>5096</v>
      </c>
      <c r="Y331" s="98" t="s">
        <v>5068</v>
      </c>
      <c r="Z331" s="99"/>
      <c r="AA331" s="98" t="s">
        <v>7604</v>
      </c>
      <c r="AB331" s="95" t="s">
        <v>7605</v>
      </c>
      <c r="AC331" s="99"/>
      <c r="AD331" s="98" t="s">
        <v>7606</v>
      </c>
      <c r="AE331" s="104">
        <v>38210</v>
      </c>
      <c r="AF331" s="99"/>
      <c r="AG331" s="95">
        <v>1</v>
      </c>
      <c r="AH331" s="94" t="s">
        <v>5074</v>
      </c>
      <c r="AI331" s="94" t="s">
        <v>5122</v>
      </c>
      <c r="AJ331" s="98" t="s">
        <v>6157</v>
      </c>
      <c r="AK331" s="98" t="s">
        <v>7607</v>
      </c>
      <c r="AL331" s="101" t="s">
        <v>5104</v>
      </c>
      <c r="AM331" s="98" t="s">
        <v>3209</v>
      </c>
      <c r="AN331" s="98" t="s">
        <v>5079</v>
      </c>
      <c r="AO331" s="98" t="s">
        <v>3209</v>
      </c>
      <c r="AP331" s="102">
        <v>921</v>
      </c>
      <c r="AQ331" s="102">
        <v>2009</v>
      </c>
      <c r="AR331" s="98" t="s">
        <v>5106</v>
      </c>
      <c r="AS331" s="99"/>
      <c r="AT331" s="99"/>
      <c r="AU331" s="98" t="s">
        <v>5228</v>
      </c>
      <c r="AV331" s="95">
        <v>2023</v>
      </c>
      <c r="AW331" s="94" t="s">
        <v>5108</v>
      </c>
      <c r="AX331" s="95">
        <v>0</v>
      </c>
      <c r="AY331" s="98" t="s">
        <v>5109</v>
      </c>
      <c r="AZ331" s="102">
        <v>1</v>
      </c>
      <c r="BA331" s="110">
        <v>46059</v>
      </c>
      <c r="BB331" s="93"/>
    </row>
    <row r="332" spans="1:54" ht="13.8">
      <c r="A332" s="94" t="s">
        <v>7608</v>
      </c>
      <c r="B332" s="95" t="s">
        <v>7609</v>
      </c>
      <c r="C332" s="96">
        <v>29886</v>
      </c>
      <c r="D332" s="94" t="s">
        <v>2665</v>
      </c>
      <c r="E332" s="94" t="s">
        <v>2606</v>
      </c>
      <c r="F332" s="97" t="s">
        <v>1370</v>
      </c>
      <c r="G332" s="95">
        <v>3305004652</v>
      </c>
      <c r="H332" s="98" t="s">
        <v>5057</v>
      </c>
      <c r="I332" s="95">
        <v>46181008583</v>
      </c>
      <c r="J332" s="98" t="s">
        <v>5088</v>
      </c>
      <c r="K332" s="95" t="s">
        <v>7610</v>
      </c>
      <c r="L332" s="98" t="s">
        <v>7611</v>
      </c>
      <c r="M332" s="98" t="s">
        <v>7612</v>
      </c>
      <c r="N332" s="98" t="s">
        <v>7613</v>
      </c>
      <c r="O332" s="98" t="s">
        <v>7614</v>
      </c>
      <c r="P332" s="95">
        <v>905477545</v>
      </c>
      <c r="Q332" s="98" t="s">
        <v>7615</v>
      </c>
      <c r="R332" s="98" t="s">
        <v>5094</v>
      </c>
      <c r="S332" s="99"/>
      <c r="T332" s="100">
        <v>44929</v>
      </c>
      <c r="U332" s="100">
        <v>44929</v>
      </c>
      <c r="V332" s="99"/>
      <c r="W332" s="98" t="s">
        <v>5068</v>
      </c>
      <c r="X332" s="98" t="s">
        <v>5187</v>
      </c>
      <c r="Y332" s="99"/>
      <c r="Z332" s="99"/>
      <c r="AA332" s="99"/>
      <c r="AB332" s="99"/>
      <c r="AC332" s="99"/>
      <c r="AD332" s="99"/>
      <c r="AE332" s="104">
        <v>40186</v>
      </c>
      <c r="AF332" s="99"/>
      <c r="AG332" s="95">
        <v>0</v>
      </c>
      <c r="AH332" s="94" t="s">
        <v>5074</v>
      </c>
      <c r="AI332" s="94" t="s">
        <v>5133</v>
      </c>
      <c r="AJ332" s="98" t="s">
        <v>5134</v>
      </c>
      <c r="AK332" s="98" t="s">
        <v>7616</v>
      </c>
      <c r="AL332" s="101" t="s">
        <v>5078</v>
      </c>
      <c r="AM332" s="99"/>
      <c r="AN332" s="98" t="s">
        <v>5079</v>
      </c>
      <c r="AO332" s="98" t="s">
        <v>5080</v>
      </c>
      <c r="AP332" s="98" t="s">
        <v>7617</v>
      </c>
      <c r="AQ332" s="102">
        <v>2019</v>
      </c>
      <c r="AR332" s="98" t="s">
        <v>5106</v>
      </c>
      <c r="AS332" s="98" t="s">
        <v>6500</v>
      </c>
      <c r="AT332" s="99"/>
      <c r="AU332" s="98" t="s">
        <v>5151</v>
      </c>
      <c r="AV332" s="99"/>
      <c r="AW332" s="94" t="s">
        <v>5074</v>
      </c>
      <c r="AX332" s="95">
        <v>0</v>
      </c>
      <c r="AY332" s="98" t="s">
        <v>5085</v>
      </c>
      <c r="AZ332" s="102">
        <v>2</v>
      </c>
      <c r="BA332" s="102" t="s">
        <v>5086</v>
      </c>
      <c r="BB332" s="93"/>
    </row>
    <row r="333" spans="1:54" ht="13.8">
      <c r="A333" s="94" t="s">
        <v>7618</v>
      </c>
      <c r="B333" s="95" t="s">
        <v>7619</v>
      </c>
      <c r="C333" s="100">
        <v>24302</v>
      </c>
      <c r="D333" s="94" t="s">
        <v>2656</v>
      </c>
      <c r="E333" s="94" t="s">
        <v>2606</v>
      </c>
      <c r="F333" s="97" t="s">
        <v>1370</v>
      </c>
      <c r="G333" s="95">
        <v>3496042316</v>
      </c>
      <c r="H333" s="98" t="s">
        <v>5057</v>
      </c>
      <c r="I333" s="95">
        <v>48066006771</v>
      </c>
      <c r="J333" s="98" t="s">
        <v>5088</v>
      </c>
      <c r="K333" s="95" t="s">
        <v>5089</v>
      </c>
      <c r="L333" s="98" t="s">
        <v>7620</v>
      </c>
      <c r="M333" s="98" t="s">
        <v>7621</v>
      </c>
      <c r="N333" s="98" t="s">
        <v>5370</v>
      </c>
      <c r="O333" s="98" t="s">
        <v>5370</v>
      </c>
      <c r="P333" s="95">
        <v>913473168</v>
      </c>
      <c r="Q333" s="98" t="s">
        <v>7622</v>
      </c>
      <c r="R333" s="98" t="s">
        <v>5094</v>
      </c>
      <c r="S333" s="99"/>
      <c r="T333" s="100">
        <v>32516</v>
      </c>
      <c r="U333" s="108" t="s">
        <v>5161</v>
      </c>
      <c r="V333" s="98" t="s">
        <v>7623</v>
      </c>
      <c r="W333" s="98" t="s">
        <v>6155</v>
      </c>
      <c r="X333" s="98" t="s">
        <v>5067</v>
      </c>
      <c r="Y333" s="98" t="s">
        <v>5068</v>
      </c>
      <c r="Z333" s="99"/>
      <c r="AA333" s="112"/>
      <c r="AB333" s="95" t="s">
        <v>7624</v>
      </c>
      <c r="AC333" s="112"/>
      <c r="AD333" s="112"/>
      <c r="AE333" s="104">
        <v>34520</v>
      </c>
      <c r="AF333" s="99"/>
      <c r="AG333" s="95">
        <v>1</v>
      </c>
      <c r="AH333" s="94" t="s">
        <v>5084</v>
      </c>
      <c r="AI333" s="94" t="s">
        <v>5133</v>
      </c>
      <c r="AJ333" s="98" t="s">
        <v>5134</v>
      </c>
      <c r="AK333" s="98" t="s">
        <v>5210</v>
      </c>
      <c r="AL333" s="101" t="s">
        <v>7625</v>
      </c>
      <c r="AM333" s="98" t="s">
        <v>5179</v>
      </c>
      <c r="AN333" s="98" t="s">
        <v>5079</v>
      </c>
      <c r="AO333" s="98" t="s">
        <v>5080</v>
      </c>
      <c r="AP333" s="102">
        <v>800</v>
      </c>
      <c r="AQ333" s="102">
        <v>2012</v>
      </c>
      <c r="AR333" s="98" t="s">
        <v>5106</v>
      </c>
      <c r="AS333" s="99"/>
      <c r="AT333" s="99"/>
      <c r="AU333" s="98" t="s">
        <v>5135</v>
      </c>
      <c r="AV333" s="95">
        <v>0</v>
      </c>
      <c r="AW333" s="94" t="s">
        <v>5084</v>
      </c>
      <c r="AX333" s="95">
        <v>0</v>
      </c>
      <c r="AY333" s="98" t="s">
        <v>5152</v>
      </c>
      <c r="AZ333" s="102">
        <v>9</v>
      </c>
      <c r="BA333" s="102" t="s">
        <v>5221</v>
      </c>
      <c r="BB333" s="93"/>
    </row>
    <row r="334" spans="1:54" ht="13.8">
      <c r="A334" s="94" t="s">
        <v>4861</v>
      </c>
      <c r="B334" s="95" t="s">
        <v>4862</v>
      </c>
      <c r="C334" s="100">
        <v>31488</v>
      </c>
      <c r="D334" s="94" t="s">
        <v>2656</v>
      </c>
      <c r="E334" s="94" t="s">
        <v>2606</v>
      </c>
      <c r="F334" s="97" t="s">
        <v>1370</v>
      </c>
      <c r="G334" s="95">
        <v>4811044780</v>
      </c>
      <c r="H334" s="98" t="s">
        <v>5057</v>
      </c>
      <c r="I334" s="95">
        <v>40086038472</v>
      </c>
      <c r="J334" s="98" t="s">
        <v>5088</v>
      </c>
      <c r="K334" s="95" t="s">
        <v>5089</v>
      </c>
      <c r="L334" s="98" t="s">
        <v>7626</v>
      </c>
      <c r="M334" s="98" t="s">
        <v>7627</v>
      </c>
      <c r="N334" s="98" t="s">
        <v>7628</v>
      </c>
      <c r="O334" s="98" t="s">
        <v>7628</v>
      </c>
      <c r="P334" s="95">
        <v>935784899</v>
      </c>
      <c r="Q334" s="98" t="s">
        <v>7629</v>
      </c>
      <c r="R334" s="98" t="s">
        <v>5094</v>
      </c>
      <c r="S334" s="99"/>
      <c r="T334" s="100">
        <v>40553</v>
      </c>
      <c r="U334" s="100">
        <v>40918</v>
      </c>
      <c r="V334" s="98" t="s">
        <v>5095</v>
      </c>
      <c r="W334" s="98" t="s">
        <v>5068</v>
      </c>
      <c r="X334" s="98" t="s">
        <v>5096</v>
      </c>
      <c r="Y334" s="98" t="s">
        <v>5068</v>
      </c>
      <c r="Z334" s="99"/>
      <c r="AA334" s="98" t="s">
        <v>5587</v>
      </c>
      <c r="AB334" s="104">
        <v>45266</v>
      </c>
      <c r="AC334" s="98" t="s">
        <v>5510</v>
      </c>
      <c r="AD334" s="98" t="s">
        <v>7630</v>
      </c>
      <c r="AE334" s="95" t="s">
        <v>5161</v>
      </c>
      <c r="AF334" s="99"/>
      <c r="AG334" s="95">
        <v>1</v>
      </c>
      <c r="AH334" s="94" t="s">
        <v>5074</v>
      </c>
      <c r="AI334" s="94" t="s">
        <v>5133</v>
      </c>
      <c r="AJ334" s="98" t="s">
        <v>5134</v>
      </c>
      <c r="AK334" s="98" t="s">
        <v>7631</v>
      </c>
      <c r="AL334" s="101" t="s">
        <v>5149</v>
      </c>
      <c r="AM334" s="99"/>
      <c r="AN334" s="98" t="s">
        <v>5079</v>
      </c>
      <c r="AO334" s="98" t="s">
        <v>5080</v>
      </c>
      <c r="AP334" s="98" t="s">
        <v>7632</v>
      </c>
      <c r="AQ334" s="102">
        <v>2023</v>
      </c>
      <c r="AR334" s="98" t="s">
        <v>5082</v>
      </c>
      <c r="AS334" s="99"/>
      <c r="AT334" s="98" t="s">
        <v>5083</v>
      </c>
      <c r="AU334" s="99"/>
      <c r="AV334" s="95">
        <v>0</v>
      </c>
      <c r="AW334" s="94" t="s">
        <v>5074</v>
      </c>
      <c r="AX334" s="95">
        <v>0</v>
      </c>
      <c r="AY334" s="98" t="s">
        <v>5152</v>
      </c>
      <c r="AZ334" s="102">
        <v>5</v>
      </c>
      <c r="BA334" s="102" t="s">
        <v>5153</v>
      </c>
      <c r="BB334" s="93"/>
    </row>
    <row r="335" spans="1:54" ht="13.8">
      <c r="A335" s="94" t="s">
        <v>2611</v>
      </c>
      <c r="B335" s="95" t="s">
        <v>7633</v>
      </c>
      <c r="C335" s="100">
        <v>34366</v>
      </c>
      <c r="D335" s="94" t="s">
        <v>2665</v>
      </c>
      <c r="E335" s="94" t="s">
        <v>2606</v>
      </c>
      <c r="F335" s="97" t="s">
        <v>1370</v>
      </c>
      <c r="G335" s="95">
        <v>4816036198</v>
      </c>
      <c r="H335" s="98" t="s">
        <v>5057</v>
      </c>
      <c r="I335" s="95">
        <v>48194005299</v>
      </c>
      <c r="J335" s="98" t="s">
        <v>5088</v>
      </c>
      <c r="K335" s="95" t="s">
        <v>5277</v>
      </c>
      <c r="L335" s="98" t="s">
        <v>6034</v>
      </c>
      <c r="M335" s="98" t="s">
        <v>7634</v>
      </c>
      <c r="N335" s="98" t="s">
        <v>7635</v>
      </c>
      <c r="O335" s="98" t="s">
        <v>7636</v>
      </c>
      <c r="P335" s="95">
        <v>349775977</v>
      </c>
      <c r="Q335" s="98" t="s">
        <v>7637</v>
      </c>
      <c r="R335" s="98" t="s">
        <v>5094</v>
      </c>
      <c r="S335" s="99"/>
      <c r="T335" s="100">
        <v>44199</v>
      </c>
      <c r="U335" s="109"/>
      <c r="V335" s="99"/>
      <c r="W335" s="98" t="s">
        <v>5142</v>
      </c>
      <c r="X335" s="98" t="s">
        <v>5187</v>
      </c>
      <c r="Y335" s="99"/>
      <c r="Z335" s="99"/>
      <c r="AA335" s="99"/>
      <c r="AB335" s="99"/>
      <c r="AC335" s="99"/>
      <c r="AD335" s="99"/>
      <c r="AE335" s="99"/>
      <c r="AF335" s="99"/>
      <c r="AG335" s="95">
        <v>0</v>
      </c>
      <c r="AH335" s="94" t="s">
        <v>5162</v>
      </c>
      <c r="AI335" s="106"/>
      <c r="AJ335" s="99"/>
      <c r="AK335" s="98" t="s">
        <v>2966</v>
      </c>
      <c r="AL335" s="101" t="s">
        <v>5142</v>
      </c>
      <c r="AM335" s="99"/>
      <c r="AN335" s="98" t="s">
        <v>5079</v>
      </c>
      <c r="AO335" s="98" t="s">
        <v>5080</v>
      </c>
      <c r="AP335" s="98" t="s">
        <v>5188</v>
      </c>
      <c r="AQ335" s="102">
        <v>2016</v>
      </c>
      <c r="AR335" s="99"/>
      <c r="AS335" s="99"/>
      <c r="AT335" s="99"/>
      <c r="AU335" s="98" t="s">
        <v>5228</v>
      </c>
      <c r="AV335" s="99"/>
      <c r="AW335" s="94" t="s">
        <v>5162</v>
      </c>
      <c r="AX335" s="95">
        <v>0</v>
      </c>
      <c r="AY335" s="98" t="s">
        <v>5167</v>
      </c>
      <c r="AZ335" s="102">
        <v>2</v>
      </c>
      <c r="BA335" s="102" t="s">
        <v>5237</v>
      </c>
      <c r="BB335" s="93"/>
    </row>
    <row r="336" spans="1:54" ht="13.8">
      <c r="A336" s="94" t="s">
        <v>7638</v>
      </c>
      <c r="B336" s="95" t="s">
        <v>7639</v>
      </c>
      <c r="C336" s="100">
        <v>32168</v>
      </c>
      <c r="D336" s="94" t="s">
        <v>2656</v>
      </c>
      <c r="E336" s="94" t="s">
        <v>2606</v>
      </c>
      <c r="F336" s="97" t="s">
        <v>1370</v>
      </c>
      <c r="G336" s="95">
        <v>4620012881</v>
      </c>
      <c r="H336" s="98" t="s">
        <v>5057</v>
      </c>
      <c r="I336" s="95">
        <v>46088003298</v>
      </c>
      <c r="J336" s="98" t="s">
        <v>5088</v>
      </c>
      <c r="K336" s="104">
        <v>44447</v>
      </c>
      <c r="L336" s="98" t="s">
        <v>7640</v>
      </c>
      <c r="M336" s="98" t="s">
        <v>7641</v>
      </c>
      <c r="N336" s="98" t="s">
        <v>7642</v>
      </c>
      <c r="O336" s="98" t="s">
        <v>7642</v>
      </c>
      <c r="P336" s="95">
        <v>764296395</v>
      </c>
      <c r="Q336" s="98" t="s">
        <v>7643</v>
      </c>
      <c r="R336" s="98" t="s">
        <v>5094</v>
      </c>
      <c r="S336" s="99"/>
      <c r="T336" s="100">
        <v>43477</v>
      </c>
      <c r="U336" s="100">
        <v>43842</v>
      </c>
      <c r="V336" s="99"/>
      <c r="W336" s="98" t="s">
        <v>5068</v>
      </c>
      <c r="X336" s="98" t="s">
        <v>5096</v>
      </c>
      <c r="Y336" s="99"/>
      <c r="Z336" s="99"/>
      <c r="AA336" s="99"/>
      <c r="AB336" s="99"/>
      <c r="AC336" s="99"/>
      <c r="AD336" s="99"/>
      <c r="AE336" s="99"/>
      <c r="AF336" s="99"/>
      <c r="AG336" s="95">
        <v>0</v>
      </c>
      <c r="AH336" s="94" t="s">
        <v>5084</v>
      </c>
      <c r="AI336" s="94" t="s">
        <v>7644</v>
      </c>
      <c r="AJ336" s="98" t="s">
        <v>7645</v>
      </c>
      <c r="AK336" s="98" t="s">
        <v>7646</v>
      </c>
      <c r="AL336" s="101" t="s">
        <v>5149</v>
      </c>
      <c r="AM336" s="99"/>
      <c r="AN336" s="98" t="s">
        <v>5079</v>
      </c>
      <c r="AO336" s="98" t="s">
        <v>2699</v>
      </c>
      <c r="AP336" s="98" t="s">
        <v>7647</v>
      </c>
      <c r="AQ336" s="102">
        <v>2016</v>
      </c>
      <c r="AR336" s="99"/>
      <c r="AS336" s="99"/>
      <c r="AT336" s="99"/>
      <c r="AU336" s="98" t="s">
        <v>5228</v>
      </c>
      <c r="AV336" s="99"/>
      <c r="AW336" s="94" t="s">
        <v>5084</v>
      </c>
      <c r="AX336" s="95">
        <v>0</v>
      </c>
      <c r="AY336" s="98" t="s">
        <v>5152</v>
      </c>
      <c r="AZ336" s="102">
        <v>3</v>
      </c>
      <c r="BA336" s="102">
        <v>3</v>
      </c>
      <c r="BB336" s="93"/>
    </row>
    <row r="337" spans="1:54" ht="13.8">
      <c r="A337" s="94" t="s">
        <v>7648</v>
      </c>
      <c r="B337" s="95" t="s">
        <v>7649</v>
      </c>
      <c r="C337" s="96">
        <v>31365</v>
      </c>
      <c r="D337" s="94" t="s">
        <v>2665</v>
      </c>
      <c r="E337" s="94" t="s">
        <v>2606</v>
      </c>
      <c r="F337" s="97" t="s">
        <v>1370</v>
      </c>
      <c r="G337" s="95">
        <v>4811023327</v>
      </c>
      <c r="H337" s="98" t="s">
        <v>5057</v>
      </c>
      <c r="I337" s="95">
        <v>48185002805</v>
      </c>
      <c r="J337" s="98" t="s">
        <v>5088</v>
      </c>
      <c r="K337" s="95" t="s">
        <v>5089</v>
      </c>
      <c r="L337" s="98" t="s">
        <v>7650</v>
      </c>
      <c r="M337" s="98" t="s">
        <v>7651</v>
      </c>
      <c r="N337" s="98" t="s">
        <v>7652</v>
      </c>
      <c r="O337" s="98" t="s">
        <v>7652</v>
      </c>
      <c r="P337" s="95">
        <v>1695369556</v>
      </c>
      <c r="Q337" s="98" t="s">
        <v>7653</v>
      </c>
      <c r="R337" s="98" t="s">
        <v>5094</v>
      </c>
      <c r="S337" s="99"/>
      <c r="T337" s="100">
        <v>40547</v>
      </c>
      <c r="U337" s="100">
        <v>41276</v>
      </c>
      <c r="V337" s="98" t="s">
        <v>5095</v>
      </c>
      <c r="W337" s="98" t="s">
        <v>5068</v>
      </c>
      <c r="X337" s="98" t="s">
        <v>5096</v>
      </c>
      <c r="Y337" s="98" t="s">
        <v>5068</v>
      </c>
      <c r="Z337" s="99"/>
      <c r="AA337" s="99"/>
      <c r="AB337" s="95" t="s">
        <v>5161</v>
      </c>
      <c r="AC337" s="99"/>
      <c r="AD337" s="99"/>
      <c r="AE337" s="95" t="s">
        <v>5161</v>
      </c>
      <c r="AF337" s="99"/>
      <c r="AG337" s="95">
        <v>1</v>
      </c>
      <c r="AH337" s="94" t="s">
        <v>5084</v>
      </c>
      <c r="AI337" s="94" t="s">
        <v>5133</v>
      </c>
      <c r="AJ337" s="98" t="s">
        <v>5134</v>
      </c>
      <c r="AK337" s="98" t="s">
        <v>7654</v>
      </c>
      <c r="AL337" s="101" t="s">
        <v>5149</v>
      </c>
      <c r="AM337" s="99"/>
      <c r="AN337" s="98" t="s">
        <v>5079</v>
      </c>
      <c r="AO337" s="98" t="s">
        <v>5080</v>
      </c>
      <c r="AP337" s="98" t="s">
        <v>7655</v>
      </c>
      <c r="AQ337" s="102">
        <v>2013</v>
      </c>
      <c r="AR337" s="98" t="s">
        <v>5200</v>
      </c>
      <c r="AS337" s="99"/>
      <c r="AT337" s="99"/>
      <c r="AU337" s="98" t="s">
        <v>5228</v>
      </c>
      <c r="AV337" s="95">
        <v>0</v>
      </c>
      <c r="AW337" s="94" t="s">
        <v>5084</v>
      </c>
      <c r="AX337" s="95">
        <v>0</v>
      </c>
      <c r="AY337" s="98" t="s">
        <v>5152</v>
      </c>
      <c r="AZ337" s="102">
        <v>5</v>
      </c>
      <c r="BA337" s="102" t="s">
        <v>5153</v>
      </c>
      <c r="BB337" s="93"/>
    </row>
    <row r="338" spans="1:54" ht="13.8">
      <c r="A338" s="94" t="s">
        <v>7656</v>
      </c>
      <c r="B338" s="95" t="s">
        <v>7657</v>
      </c>
      <c r="C338" s="100">
        <v>33676</v>
      </c>
      <c r="D338" s="94" t="s">
        <v>2665</v>
      </c>
      <c r="E338" s="94" t="s">
        <v>2606</v>
      </c>
      <c r="F338" s="97" t="s">
        <v>1370</v>
      </c>
      <c r="G338" s="95">
        <v>4616010264</v>
      </c>
      <c r="H338" s="98" t="s">
        <v>5057</v>
      </c>
      <c r="I338" s="95">
        <v>49192007127</v>
      </c>
      <c r="J338" s="98" t="s">
        <v>5088</v>
      </c>
      <c r="K338" s="95" t="s">
        <v>5270</v>
      </c>
      <c r="L338" s="98" t="s">
        <v>7658</v>
      </c>
      <c r="M338" s="98" t="s">
        <v>7659</v>
      </c>
      <c r="N338" s="98" t="s">
        <v>7660</v>
      </c>
      <c r="O338" s="98" t="s">
        <v>7661</v>
      </c>
      <c r="P338" s="95">
        <v>979114121</v>
      </c>
      <c r="Q338" s="98" t="s">
        <v>7662</v>
      </c>
      <c r="R338" s="98" t="s">
        <v>5094</v>
      </c>
      <c r="S338" s="99"/>
      <c r="T338" s="100">
        <v>43477</v>
      </c>
      <c r="U338" s="100">
        <v>43477</v>
      </c>
      <c r="V338" s="99"/>
      <c r="W338" s="98" t="s">
        <v>5068</v>
      </c>
      <c r="X338" s="98" t="s">
        <v>5096</v>
      </c>
      <c r="Y338" s="99"/>
      <c r="Z338" s="99"/>
      <c r="AA338" s="99"/>
      <c r="AB338" s="99"/>
      <c r="AC338" s="99"/>
      <c r="AD338" s="99"/>
      <c r="AE338" s="99"/>
      <c r="AF338" s="99"/>
      <c r="AG338" s="95">
        <v>0</v>
      </c>
      <c r="AH338" s="94" t="s">
        <v>5084</v>
      </c>
      <c r="AI338" s="94" t="s">
        <v>7644</v>
      </c>
      <c r="AJ338" s="98" t="s">
        <v>7645</v>
      </c>
      <c r="AK338" s="98" t="s">
        <v>7646</v>
      </c>
      <c r="AL338" s="101" t="s">
        <v>5149</v>
      </c>
      <c r="AM338" s="99"/>
      <c r="AN338" s="98" t="s">
        <v>5079</v>
      </c>
      <c r="AO338" s="98" t="s">
        <v>5080</v>
      </c>
      <c r="AP338" s="98" t="s">
        <v>7663</v>
      </c>
      <c r="AQ338" s="102">
        <v>2018</v>
      </c>
      <c r="AR338" s="99"/>
      <c r="AS338" s="98" t="s">
        <v>5561</v>
      </c>
      <c r="AT338" s="99"/>
      <c r="AU338" s="98" t="s">
        <v>5228</v>
      </c>
      <c r="AV338" s="99"/>
      <c r="AW338" s="94" t="s">
        <v>5084</v>
      </c>
      <c r="AX338" s="95">
        <v>0</v>
      </c>
      <c r="AY338" s="98" t="s">
        <v>5152</v>
      </c>
      <c r="AZ338" s="102">
        <v>4</v>
      </c>
      <c r="BA338" s="102" t="s">
        <v>5168</v>
      </c>
      <c r="BB338" s="93"/>
    </row>
    <row r="339" spans="1:54" ht="13.8">
      <c r="A339" s="94" t="s">
        <v>7664</v>
      </c>
      <c r="B339" s="95" t="s">
        <v>7665</v>
      </c>
      <c r="C339" s="100">
        <v>28763</v>
      </c>
      <c r="D339" s="94" t="s">
        <v>2656</v>
      </c>
      <c r="E339" s="94" t="s">
        <v>2606</v>
      </c>
      <c r="F339" s="97" t="s">
        <v>1370</v>
      </c>
      <c r="G339" s="95">
        <v>4814009049</v>
      </c>
      <c r="H339" s="98" t="s">
        <v>5057</v>
      </c>
      <c r="I339" s="95">
        <v>44180000929</v>
      </c>
      <c r="J339" s="98" t="s">
        <v>5088</v>
      </c>
      <c r="K339" s="95" t="s">
        <v>7666</v>
      </c>
      <c r="L339" s="98" t="s">
        <v>7667</v>
      </c>
      <c r="M339" s="98" t="s">
        <v>7668</v>
      </c>
      <c r="N339" s="98" t="s">
        <v>7668</v>
      </c>
      <c r="O339" s="98" t="s">
        <v>7669</v>
      </c>
      <c r="P339" s="95">
        <v>834979376</v>
      </c>
      <c r="Q339" s="98" t="s">
        <v>7670</v>
      </c>
      <c r="R339" s="98" t="s">
        <v>5094</v>
      </c>
      <c r="S339" s="99"/>
      <c r="T339" s="100">
        <v>41640</v>
      </c>
      <c r="U339" s="100">
        <v>42005</v>
      </c>
      <c r="V339" s="98" t="s">
        <v>5095</v>
      </c>
      <c r="W339" s="98" t="s">
        <v>5068</v>
      </c>
      <c r="X339" s="98" t="s">
        <v>5096</v>
      </c>
      <c r="Y339" s="98" t="s">
        <v>5068</v>
      </c>
      <c r="Z339" s="99"/>
      <c r="AA339" s="99"/>
      <c r="AB339" s="95" t="s">
        <v>5161</v>
      </c>
      <c r="AC339" s="99"/>
      <c r="AD339" s="99"/>
      <c r="AE339" s="95" t="s">
        <v>5161</v>
      </c>
      <c r="AF339" s="99"/>
      <c r="AG339" s="95">
        <v>1</v>
      </c>
      <c r="AH339" s="94" t="s">
        <v>5084</v>
      </c>
      <c r="AI339" s="94" t="s">
        <v>5133</v>
      </c>
      <c r="AJ339" s="98" t="s">
        <v>5134</v>
      </c>
      <c r="AK339" s="98" t="s">
        <v>7671</v>
      </c>
      <c r="AL339" s="101" t="s">
        <v>5149</v>
      </c>
      <c r="AM339" s="99"/>
      <c r="AN339" s="98" t="s">
        <v>5079</v>
      </c>
      <c r="AO339" s="98" t="s">
        <v>5080</v>
      </c>
      <c r="AP339" s="98" t="s">
        <v>7655</v>
      </c>
      <c r="AQ339" s="102">
        <v>2012</v>
      </c>
      <c r="AR339" s="99"/>
      <c r="AS339" s="99"/>
      <c r="AT339" s="98" t="s">
        <v>5083</v>
      </c>
      <c r="AU339" s="98" t="s">
        <v>5228</v>
      </c>
      <c r="AV339" s="95">
        <v>0</v>
      </c>
      <c r="AW339" s="94" t="s">
        <v>5084</v>
      </c>
      <c r="AX339" s="95">
        <v>0</v>
      </c>
      <c r="AY339" s="98" t="s">
        <v>5152</v>
      </c>
      <c r="AZ339" s="102">
        <v>5</v>
      </c>
      <c r="BA339" s="102" t="s">
        <v>5153</v>
      </c>
      <c r="BB339" s="93"/>
    </row>
    <row r="340" spans="1:54" ht="13.8">
      <c r="A340" s="94" t="s">
        <v>7672</v>
      </c>
      <c r="B340" s="95" t="s">
        <v>7673</v>
      </c>
      <c r="C340" s="100">
        <v>29434</v>
      </c>
      <c r="D340" s="94" t="s">
        <v>2665</v>
      </c>
      <c r="E340" s="94" t="s">
        <v>2606</v>
      </c>
      <c r="F340" s="97" t="s">
        <v>1370</v>
      </c>
      <c r="G340" s="95">
        <v>4609011376</v>
      </c>
      <c r="H340" s="98" t="s">
        <v>5057</v>
      </c>
      <c r="I340" s="95">
        <v>49078016537</v>
      </c>
      <c r="J340" s="98" t="s">
        <v>5088</v>
      </c>
      <c r="K340" s="95" t="s">
        <v>6088</v>
      </c>
      <c r="L340" s="98" t="s">
        <v>7674</v>
      </c>
      <c r="M340" s="98" t="s">
        <v>7675</v>
      </c>
      <c r="N340" s="98" t="s">
        <v>7675</v>
      </c>
      <c r="O340" s="98" t="s">
        <v>7676</v>
      </c>
      <c r="P340" s="95">
        <v>934974540</v>
      </c>
      <c r="Q340" s="98" t="s">
        <v>7677</v>
      </c>
      <c r="R340" s="98" t="s">
        <v>5094</v>
      </c>
      <c r="S340" s="98" t="s">
        <v>5116</v>
      </c>
      <c r="T340" s="100">
        <v>41640</v>
      </c>
      <c r="U340" s="100">
        <v>42005</v>
      </c>
      <c r="V340" s="98" t="s">
        <v>5095</v>
      </c>
      <c r="W340" s="98" t="s">
        <v>5068</v>
      </c>
      <c r="X340" s="98" t="s">
        <v>5096</v>
      </c>
      <c r="Y340" s="98" t="s">
        <v>5068</v>
      </c>
      <c r="Z340" s="99"/>
      <c r="AA340" s="99"/>
      <c r="AB340" s="95" t="s">
        <v>5161</v>
      </c>
      <c r="AC340" s="99"/>
      <c r="AD340" s="99"/>
      <c r="AE340" s="95" t="s">
        <v>5161</v>
      </c>
      <c r="AF340" s="99"/>
      <c r="AG340" s="95">
        <v>1</v>
      </c>
      <c r="AH340" s="94" t="s">
        <v>5084</v>
      </c>
      <c r="AI340" s="94" t="s">
        <v>5133</v>
      </c>
      <c r="AJ340" s="98" t="s">
        <v>5134</v>
      </c>
      <c r="AK340" s="98" t="s">
        <v>7678</v>
      </c>
      <c r="AL340" s="101" t="s">
        <v>5149</v>
      </c>
      <c r="AM340" s="99"/>
      <c r="AN340" s="98" t="s">
        <v>5079</v>
      </c>
      <c r="AO340" s="98" t="s">
        <v>5080</v>
      </c>
      <c r="AP340" s="98" t="s">
        <v>7655</v>
      </c>
      <c r="AQ340" s="102">
        <v>2015</v>
      </c>
      <c r="AR340" s="99"/>
      <c r="AS340" s="99"/>
      <c r="AT340" s="98" t="s">
        <v>5083</v>
      </c>
      <c r="AU340" s="98" t="s">
        <v>5135</v>
      </c>
      <c r="AV340" s="95">
        <v>0</v>
      </c>
      <c r="AW340" s="94" t="s">
        <v>5084</v>
      </c>
      <c r="AX340" s="95">
        <v>0</v>
      </c>
      <c r="AY340" s="98" t="s">
        <v>5152</v>
      </c>
      <c r="AZ340" s="102">
        <v>4</v>
      </c>
      <c r="BA340" s="102" t="s">
        <v>5168</v>
      </c>
      <c r="BB340" s="93"/>
    </row>
    <row r="341" spans="1:54" ht="13.8">
      <c r="A341" s="94" t="s">
        <v>7679</v>
      </c>
      <c r="B341" s="95" t="s">
        <v>7680</v>
      </c>
      <c r="C341" s="100">
        <v>31218</v>
      </c>
      <c r="D341" s="94" t="s">
        <v>2665</v>
      </c>
      <c r="E341" s="94" t="s">
        <v>2606</v>
      </c>
      <c r="F341" s="97" t="s">
        <v>1370</v>
      </c>
      <c r="G341" s="95">
        <v>4813008500</v>
      </c>
      <c r="H341" s="98" t="s">
        <v>5057</v>
      </c>
      <c r="I341" s="95">
        <v>67185002615</v>
      </c>
      <c r="J341" s="98" t="s">
        <v>5088</v>
      </c>
      <c r="K341" s="95" t="s">
        <v>6363</v>
      </c>
      <c r="L341" s="98" t="s">
        <v>7681</v>
      </c>
      <c r="M341" s="98" t="s">
        <v>7682</v>
      </c>
      <c r="N341" s="98" t="s">
        <v>7682</v>
      </c>
      <c r="O341" s="98" t="s">
        <v>7682</v>
      </c>
      <c r="P341" s="95">
        <v>909838575</v>
      </c>
      <c r="Q341" s="98" t="s">
        <v>7683</v>
      </c>
      <c r="R341" s="98" t="s">
        <v>5094</v>
      </c>
      <c r="S341" s="99"/>
      <c r="T341" s="100">
        <v>40920</v>
      </c>
      <c r="U341" s="100">
        <v>41286</v>
      </c>
      <c r="V341" s="98" t="s">
        <v>5095</v>
      </c>
      <c r="W341" s="98" t="s">
        <v>5068</v>
      </c>
      <c r="X341" s="98" t="s">
        <v>5096</v>
      </c>
      <c r="Y341" s="98" t="s">
        <v>5068</v>
      </c>
      <c r="Z341" s="99"/>
      <c r="AA341" s="98" t="s">
        <v>5569</v>
      </c>
      <c r="AB341" s="95" t="s">
        <v>7684</v>
      </c>
      <c r="AC341" s="99"/>
      <c r="AD341" s="99"/>
      <c r="AE341" s="95" t="s">
        <v>5161</v>
      </c>
      <c r="AF341" s="99"/>
      <c r="AG341" s="95">
        <v>0</v>
      </c>
      <c r="AH341" s="94" t="s">
        <v>5084</v>
      </c>
      <c r="AI341" s="94" t="s">
        <v>5133</v>
      </c>
      <c r="AJ341" s="98" t="s">
        <v>5134</v>
      </c>
      <c r="AK341" s="98" t="s">
        <v>7685</v>
      </c>
      <c r="AL341" s="101" t="s">
        <v>5149</v>
      </c>
      <c r="AM341" s="99"/>
      <c r="AN341" s="98" t="s">
        <v>5079</v>
      </c>
      <c r="AO341" s="98" t="s">
        <v>5080</v>
      </c>
      <c r="AP341" s="99"/>
      <c r="AQ341" s="102">
        <v>2013</v>
      </c>
      <c r="AR341" s="99"/>
      <c r="AS341" s="99"/>
      <c r="AT341" s="98" t="s">
        <v>5083</v>
      </c>
      <c r="AU341" s="99"/>
      <c r="AV341" s="95">
        <v>0</v>
      </c>
      <c r="AW341" s="94" t="s">
        <v>5084</v>
      </c>
      <c r="AX341" s="95">
        <v>0</v>
      </c>
      <c r="AY341" s="98" t="s">
        <v>5152</v>
      </c>
      <c r="AZ341" s="102">
        <v>5</v>
      </c>
      <c r="BA341" s="102" t="s">
        <v>5153</v>
      </c>
      <c r="BB341" s="93"/>
    </row>
    <row r="342" spans="1:54" ht="13.8">
      <c r="A342" s="94" t="s">
        <v>7686</v>
      </c>
      <c r="B342" s="95" t="s">
        <v>7687</v>
      </c>
      <c r="C342" s="100">
        <v>25696</v>
      </c>
      <c r="D342" s="94" t="s">
        <v>2656</v>
      </c>
      <c r="E342" s="94" t="s">
        <v>2606</v>
      </c>
      <c r="F342" s="97" t="s">
        <v>1370</v>
      </c>
      <c r="G342" s="95">
        <v>405007843</v>
      </c>
      <c r="H342" s="98" t="s">
        <v>5057</v>
      </c>
      <c r="I342" s="95">
        <v>48070001222</v>
      </c>
      <c r="J342" s="98" t="s">
        <v>5088</v>
      </c>
      <c r="K342" s="104">
        <v>44201</v>
      </c>
      <c r="L342" s="98" t="s">
        <v>7688</v>
      </c>
      <c r="M342" s="98" t="s">
        <v>5301</v>
      </c>
      <c r="N342" s="98" t="s">
        <v>7689</v>
      </c>
      <c r="O342" s="98" t="s">
        <v>7689</v>
      </c>
      <c r="P342" s="95">
        <v>905529789</v>
      </c>
      <c r="Q342" s="98" t="s">
        <v>7690</v>
      </c>
      <c r="R342" s="98" t="s">
        <v>5094</v>
      </c>
      <c r="S342" s="99"/>
      <c r="T342" s="100">
        <v>36937</v>
      </c>
      <c r="U342" s="100">
        <v>39271</v>
      </c>
      <c r="V342" s="98" t="s">
        <v>5095</v>
      </c>
      <c r="W342" s="98" t="s">
        <v>5068</v>
      </c>
      <c r="X342" s="98" t="s">
        <v>5096</v>
      </c>
      <c r="Y342" s="98" t="s">
        <v>5068</v>
      </c>
      <c r="Z342" s="99"/>
      <c r="AA342" s="99"/>
      <c r="AB342" s="95" t="s">
        <v>5161</v>
      </c>
      <c r="AC342" s="99"/>
      <c r="AD342" s="99"/>
      <c r="AE342" s="95" t="s">
        <v>5161</v>
      </c>
      <c r="AF342" s="99"/>
      <c r="AG342" s="95">
        <v>1</v>
      </c>
      <c r="AH342" s="94" t="s">
        <v>5084</v>
      </c>
      <c r="AI342" s="94" t="s">
        <v>5133</v>
      </c>
      <c r="AJ342" s="98" t="s">
        <v>5134</v>
      </c>
      <c r="AK342" s="98" t="s">
        <v>7691</v>
      </c>
      <c r="AL342" s="101" t="s">
        <v>5149</v>
      </c>
      <c r="AM342" s="98" t="s">
        <v>2699</v>
      </c>
      <c r="AN342" s="98" t="s">
        <v>5079</v>
      </c>
      <c r="AO342" s="98" t="s">
        <v>2699</v>
      </c>
      <c r="AP342" s="102">
        <v>930</v>
      </c>
      <c r="AQ342" s="102">
        <v>2016</v>
      </c>
      <c r="AR342" s="99"/>
      <c r="AS342" s="99"/>
      <c r="AT342" s="98" t="s">
        <v>5083</v>
      </c>
      <c r="AU342" s="98" t="s">
        <v>5135</v>
      </c>
      <c r="AV342" s="95">
        <v>0</v>
      </c>
      <c r="AW342" s="94" t="s">
        <v>5084</v>
      </c>
      <c r="AX342" s="95">
        <v>0</v>
      </c>
      <c r="AY342" s="98" t="s">
        <v>5152</v>
      </c>
      <c r="AZ342" s="102">
        <v>8</v>
      </c>
      <c r="BA342" s="102" t="s">
        <v>5211</v>
      </c>
      <c r="BB342" s="93"/>
    </row>
    <row r="343" spans="1:54" ht="13.8">
      <c r="A343" s="94" t="s">
        <v>7692</v>
      </c>
      <c r="B343" s="95" t="s">
        <v>7693</v>
      </c>
      <c r="C343" s="96">
        <v>32835</v>
      </c>
      <c r="D343" s="94" t="s">
        <v>2665</v>
      </c>
      <c r="E343" s="94" t="s">
        <v>2606</v>
      </c>
      <c r="F343" s="97" t="s">
        <v>1370</v>
      </c>
      <c r="G343" s="95">
        <v>4814009053</v>
      </c>
      <c r="H343" s="98" t="s">
        <v>5057</v>
      </c>
      <c r="I343" s="95">
        <v>45189005467</v>
      </c>
      <c r="J343" s="98" t="s">
        <v>5088</v>
      </c>
      <c r="K343" s="95" t="s">
        <v>7694</v>
      </c>
      <c r="L343" s="98" t="s">
        <v>7695</v>
      </c>
      <c r="M343" s="98" t="s">
        <v>7696</v>
      </c>
      <c r="N343" s="98" t="s">
        <v>7697</v>
      </c>
      <c r="O343" s="98" t="s">
        <v>7698</v>
      </c>
      <c r="P343" s="95">
        <v>944231189</v>
      </c>
      <c r="Q343" s="98" t="s">
        <v>7699</v>
      </c>
      <c r="R343" s="98" t="s">
        <v>5094</v>
      </c>
      <c r="S343" s="99"/>
      <c r="T343" s="100">
        <v>41640</v>
      </c>
      <c r="U343" s="100">
        <v>42008</v>
      </c>
      <c r="V343" s="98" t="s">
        <v>5095</v>
      </c>
      <c r="W343" s="98" t="s">
        <v>5068</v>
      </c>
      <c r="X343" s="98" t="s">
        <v>5096</v>
      </c>
      <c r="Y343" s="98" t="s">
        <v>5068</v>
      </c>
      <c r="Z343" s="99"/>
      <c r="AA343" s="99"/>
      <c r="AB343" s="95" t="s">
        <v>5161</v>
      </c>
      <c r="AC343" s="99"/>
      <c r="AD343" s="99"/>
      <c r="AE343" s="104">
        <v>40675</v>
      </c>
      <c r="AF343" s="99"/>
      <c r="AG343" s="95">
        <v>1</v>
      </c>
      <c r="AH343" s="94" t="s">
        <v>5074</v>
      </c>
      <c r="AI343" s="94" t="s">
        <v>5133</v>
      </c>
      <c r="AJ343" s="98" t="s">
        <v>5134</v>
      </c>
      <c r="AK343" s="98" t="s">
        <v>7646</v>
      </c>
      <c r="AL343" s="101" t="s">
        <v>5149</v>
      </c>
      <c r="AM343" s="98" t="s">
        <v>2699</v>
      </c>
      <c r="AN343" s="98" t="s">
        <v>5079</v>
      </c>
      <c r="AO343" s="98" t="s">
        <v>2699</v>
      </c>
      <c r="AP343" s="102">
        <v>930</v>
      </c>
      <c r="AQ343" s="102">
        <v>2015</v>
      </c>
      <c r="AR343" s="98" t="s">
        <v>5200</v>
      </c>
      <c r="AS343" s="99"/>
      <c r="AT343" s="98" t="s">
        <v>5083</v>
      </c>
      <c r="AU343" s="98" t="s">
        <v>5135</v>
      </c>
      <c r="AV343" s="95">
        <v>0</v>
      </c>
      <c r="AW343" s="94" t="s">
        <v>5074</v>
      </c>
      <c r="AX343" s="95">
        <v>0</v>
      </c>
      <c r="AY343" s="98" t="s">
        <v>5152</v>
      </c>
      <c r="AZ343" s="102">
        <v>4</v>
      </c>
      <c r="BA343" s="102" t="s">
        <v>5168</v>
      </c>
      <c r="BB343" s="93"/>
    </row>
    <row r="344" spans="1:54" ht="13.8">
      <c r="A344" s="94" t="s">
        <v>7700</v>
      </c>
      <c r="B344" s="95" t="s">
        <v>7701</v>
      </c>
      <c r="C344" s="100">
        <v>29737</v>
      </c>
      <c r="D344" s="94" t="s">
        <v>2656</v>
      </c>
      <c r="E344" s="94" t="s">
        <v>2606</v>
      </c>
      <c r="F344" s="97" t="s">
        <v>1370</v>
      </c>
      <c r="G344" s="95">
        <v>4407003161</v>
      </c>
      <c r="H344" s="98" t="s">
        <v>5057</v>
      </c>
      <c r="I344" s="95">
        <v>58081004600</v>
      </c>
      <c r="J344" s="98" t="s">
        <v>5088</v>
      </c>
      <c r="K344" s="95" t="s">
        <v>6567</v>
      </c>
      <c r="L344" s="98" t="s">
        <v>7702</v>
      </c>
      <c r="M344" s="98" t="s">
        <v>7703</v>
      </c>
      <c r="N344" s="98" t="s">
        <v>7704</v>
      </c>
      <c r="O344" s="98" t="s">
        <v>7705</v>
      </c>
      <c r="P344" s="95">
        <v>982567156</v>
      </c>
      <c r="Q344" s="98" t="s">
        <v>7706</v>
      </c>
      <c r="R344" s="98" t="s">
        <v>5094</v>
      </c>
      <c r="S344" s="99"/>
      <c r="T344" s="100">
        <v>44274</v>
      </c>
      <c r="U344" s="100">
        <v>44587</v>
      </c>
      <c r="V344" s="99"/>
      <c r="W344" s="98" t="s">
        <v>5068</v>
      </c>
      <c r="X344" s="98" t="s">
        <v>5187</v>
      </c>
      <c r="Y344" s="99"/>
      <c r="Z344" s="99"/>
      <c r="AA344" s="99"/>
      <c r="AB344" s="99"/>
      <c r="AC344" s="99"/>
      <c r="AD344" s="99"/>
      <c r="AE344" s="95" t="s">
        <v>7707</v>
      </c>
      <c r="AF344" s="99"/>
      <c r="AG344" s="95">
        <v>0</v>
      </c>
      <c r="AH344" s="94" t="s">
        <v>5084</v>
      </c>
      <c r="AI344" s="94" t="s">
        <v>5133</v>
      </c>
      <c r="AJ344" s="98" t="s">
        <v>5134</v>
      </c>
      <c r="AK344" s="98" t="s">
        <v>7708</v>
      </c>
      <c r="AL344" s="101" t="s">
        <v>5149</v>
      </c>
      <c r="AM344" s="99"/>
      <c r="AN344" s="98" t="s">
        <v>5079</v>
      </c>
      <c r="AO344" s="98" t="s">
        <v>5080</v>
      </c>
      <c r="AP344" s="98" t="s">
        <v>7655</v>
      </c>
      <c r="AQ344" s="102">
        <v>2013</v>
      </c>
      <c r="AR344" s="99"/>
      <c r="AS344" s="99"/>
      <c r="AT344" s="98" t="s">
        <v>5083</v>
      </c>
      <c r="AU344" s="99"/>
      <c r="AV344" s="99"/>
      <c r="AW344" s="94" t="s">
        <v>5084</v>
      </c>
      <c r="AX344" s="95">
        <v>0</v>
      </c>
      <c r="AY344" s="98" t="s">
        <v>5152</v>
      </c>
      <c r="AZ344" s="102">
        <v>7</v>
      </c>
      <c r="BA344" s="102" t="s">
        <v>5286</v>
      </c>
      <c r="BB344" s="93"/>
    </row>
    <row r="345" spans="1:54" ht="13.8">
      <c r="A345" s="94" t="s">
        <v>7709</v>
      </c>
      <c r="B345" s="95" t="s">
        <v>7710</v>
      </c>
      <c r="C345" s="96">
        <v>30971</v>
      </c>
      <c r="D345" s="94" t="s">
        <v>2665</v>
      </c>
      <c r="E345" s="94" t="s">
        <v>2606</v>
      </c>
      <c r="F345" s="97" t="s">
        <v>1370</v>
      </c>
      <c r="G345" s="95">
        <v>4608003344</v>
      </c>
      <c r="H345" s="98" t="s">
        <v>5625</v>
      </c>
      <c r="I345" s="95">
        <v>46184006377</v>
      </c>
      <c r="J345" s="98" t="s">
        <v>5088</v>
      </c>
      <c r="K345" s="95" t="s">
        <v>5089</v>
      </c>
      <c r="L345" s="98" t="s">
        <v>7711</v>
      </c>
      <c r="M345" s="98" t="s">
        <v>7712</v>
      </c>
      <c r="N345" s="98" t="s">
        <v>7713</v>
      </c>
      <c r="O345" s="98" t="s">
        <v>7714</v>
      </c>
      <c r="P345" s="95">
        <v>935032112</v>
      </c>
      <c r="Q345" s="98" t="s">
        <v>7715</v>
      </c>
      <c r="R345" s="98" t="s">
        <v>5094</v>
      </c>
      <c r="S345" s="99"/>
      <c r="T345" s="100">
        <v>44568</v>
      </c>
      <c r="U345" s="100">
        <v>45237</v>
      </c>
      <c r="V345" s="99"/>
      <c r="W345" s="98" t="s">
        <v>5068</v>
      </c>
      <c r="X345" s="98" t="s">
        <v>5187</v>
      </c>
      <c r="Y345" s="99"/>
      <c r="Z345" s="99"/>
      <c r="AA345" s="99"/>
      <c r="AB345" s="99"/>
      <c r="AC345" s="99"/>
      <c r="AD345" s="99"/>
      <c r="AE345" s="95" t="s">
        <v>7716</v>
      </c>
      <c r="AF345" s="99"/>
      <c r="AG345" s="95">
        <v>0</v>
      </c>
      <c r="AH345" s="94" t="s">
        <v>5084</v>
      </c>
      <c r="AI345" s="94" t="s">
        <v>5133</v>
      </c>
      <c r="AJ345" s="98" t="s">
        <v>5134</v>
      </c>
      <c r="AK345" s="98" t="s">
        <v>7717</v>
      </c>
      <c r="AL345" s="101" t="s">
        <v>5149</v>
      </c>
      <c r="AM345" s="99"/>
      <c r="AN345" s="98" t="s">
        <v>5079</v>
      </c>
      <c r="AO345" s="98" t="s">
        <v>5080</v>
      </c>
      <c r="AP345" s="98" t="s">
        <v>7632</v>
      </c>
      <c r="AQ345" s="102">
        <v>2019</v>
      </c>
      <c r="AR345" s="98" t="s">
        <v>5200</v>
      </c>
      <c r="AS345" s="99"/>
      <c r="AT345" s="99"/>
      <c r="AU345" s="98" t="s">
        <v>5228</v>
      </c>
      <c r="AV345" s="99"/>
      <c r="AW345" s="94" t="s">
        <v>5084</v>
      </c>
      <c r="AX345" s="95">
        <v>0</v>
      </c>
      <c r="AY345" s="98" t="s">
        <v>5152</v>
      </c>
      <c r="AZ345" s="102">
        <v>7</v>
      </c>
      <c r="BA345" s="102" t="s">
        <v>5286</v>
      </c>
      <c r="BB345" s="93"/>
    </row>
    <row r="346" spans="1:54" ht="13.8">
      <c r="A346" s="94" t="s">
        <v>7718</v>
      </c>
      <c r="B346" s="95" t="s">
        <v>7719</v>
      </c>
      <c r="C346" s="96">
        <v>33219</v>
      </c>
      <c r="D346" s="94" t="s">
        <v>2665</v>
      </c>
      <c r="E346" s="94" t="s">
        <v>2606</v>
      </c>
      <c r="F346" s="97" t="s">
        <v>1370</v>
      </c>
      <c r="G346" s="95">
        <v>4613002014</v>
      </c>
      <c r="H346" s="98" t="s">
        <v>5057</v>
      </c>
      <c r="I346" s="95">
        <v>46190012837</v>
      </c>
      <c r="J346" s="98" t="s">
        <v>5088</v>
      </c>
      <c r="K346" s="95" t="s">
        <v>7327</v>
      </c>
      <c r="L346" s="98" t="s">
        <v>7720</v>
      </c>
      <c r="M346" s="98" t="s">
        <v>7721</v>
      </c>
      <c r="N346" s="98" t="s">
        <v>7722</v>
      </c>
      <c r="O346" s="98" t="s">
        <v>7722</v>
      </c>
      <c r="P346" s="95">
        <v>968666661</v>
      </c>
      <c r="Q346" s="98" t="s">
        <v>7723</v>
      </c>
      <c r="R346" s="98" t="s">
        <v>5094</v>
      </c>
      <c r="S346" s="99"/>
      <c r="T346" s="100">
        <v>42738</v>
      </c>
      <c r="U346" s="100">
        <v>43837</v>
      </c>
      <c r="V346" s="98" t="s">
        <v>5243</v>
      </c>
      <c r="W346" s="98" t="s">
        <v>5068</v>
      </c>
      <c r="X346" s="98" t="s">
        <v>5096</v>
      </c>
      <c r="Y346" s="98" t="s">
        <v>5068</v>
      </c>
      <c r="Z346" s="99"/>
      <c r="AA346" s="99"/>
      <c r="AB346" s="99"/>
      <c r="AC346" s="99"/>
      <c r="AD346" s="99"/>
      <c r="AE346" s="99"/>
      <c r="AF346" s="99"/>
      <c r="AG346" s="95">
        <v>1</v>
      </c>
      <c r="AH346" s="94" t="s">
        <v>5074</v>
      </c>
      <c r="AI346" s="94" t="s">
        <v>5133</v>
      </c>
      <c r="AJ346" s="98" t="s">
        <v>5134</v>
      </c>
      <c r="AK346" s="98" t="s">
        <v>7724</v>
      </c>
      <c r="AL346" s="101" t="s">
        <v>5149</v>
      </c>
      <c r="AM346" s="99"/>
      <c r="AN346" s="98" t="s">
        <v>5079</v>
      </c>
      <c r="AO346" s="98" t="s">
        <v>5080</v>
      </c>
      <c r="AP346" s="98" t="s">
        <v>7632</v>
      </c>
      <c r="AQ346" s="102">
        <v>2023</v>
      </c>
      <c r="AR346" s="99"/>
      <c r="AS346" s="99"/>
      <c r="AT346" s="98" t="s">
        <v>5083</v>
      </c>
      <c r="AU346" s="98" t="s">
        <v>5228</v>
      </c>
      <c r="AV346" s="99"/>
      <c r="AW346" s="94" t="s">
        <v>5074</v>
      </c>
      <c r="AX346" s="95">
        <v>0</v>
      </c>
      <c r="AY346" s="98" t="s">
        <v>5152</v>
      </c>
      <c r="AZ346" s="102">
        <v>4</v>
      </c>
      <c r="BA346" s="102" t="s">
        <v>5168</v>
      </c>
      <c r="BB346" s="93"/>
    </row>
    <row r="347" spans="1:54" ht="13.8">
      <c r="A347" s="94" t="s">
        <v>680</v>
      </c>
      <c r="B347" s="95" t="s">
        <v>7725</v>
      </c>
      <c r="C347" s="96">
        <v>30665</v>
      </c>
      <c r="D347" s="94" t="s">
        <v>2665</v>
      </c>
      <c r="E347" s="94" t="s">
        <v>2606</v>
      </c>
      <c r="F347" s="97" t="s">
        <v>1370</v>
      </c>
      <c r="G347" s="95">
        <v>4908008136</v>
      </c>
      <c r="H347" s="98" t="s">
        <v>5057</v>
      </c>
      <c r="I347" s="95">
        <v>49183000994</v>
      </c>
      <c r="J347" s="98" t="s">
        <v>5088</v>
      </c>
      <c r="K347" s="104">
        <v>44231</v>
      </c>
      <c r="L347" s="98" t="s">
        <v>7726</v>
      </c>
      <c r="M347" s="98" t="s">
        <v>7727</v>
      </c>
      <c r="N347" s="98" t="s">
        <v>7728</v>
      </c>
      <c r="O347" s="98" t="s">
        <v>7729</v>
      </c>
      <c r="P347" s="95">
        <v>905091615</v>
      </c>
      <c r="Q347" s="98" t="s">
        <v>7730</v>
      </c>
      <c r="R347" s="98" t="s">
        <v>5094</v>
      </c>
      <c r="S347" s="99"/>
      <c r="T347" s="100">
        <v>44568</v>
      </c>
      <c r="U347" s="100">
        <v>45135</v>
      </c>
      <c r="V347" s="99"/>
      <c r="W347" s="98" t="s">
        <v>5068</v>
      </c>
      <c r="X347" s="98" t="s">
        <v>5187</v>
      </c>
      <c r="Y347" s="99"/>
      <c r="Z347" s="99"/>
      <c r="AA347" s="99"/>
      <c r="AB347" s="99"/>
      <c r="AC347" s="99"/>
      <c r="AD347" s="99"/>
      <c r="AE347" s="99"/>
      <c r="AF347" s="99"/>
      <c r="AG347" s="95">
        <v>0</v>
      </c>
      <c r="AH347" s="94" t="s">
        <v>5084</v>
      </c>
      <c r="AI347" s="94" t="s">
        <v>7644</v>
      </c>
      <c r="AJ347" s="98" t="s">
        <v>7645</v>
      </c>
      <c r="AK347" s="98" t="s">
        <v>7731</v>
      </c>
      <c r="AL347" s="101" t="s">
        <v>5149</v>
      </c>
      <c r="AM347" s="99"/>
      <c r="AN347" s="98" t="s">
        <v>5079</v>
      </c>
      <c r="AO347" s="98" t="s">
        <v>2699</v>
      </c>
      <c r="AP347" s="98" t="s">
        <v>7732</v>
      </c>
      <c r="AQ347" s="102">
        <v>2016</v>
      </c>
      <c r="AR347" s="99"/>
      <c r="AS347" s="99"/>
      <c r="AT347" s="99"/>
      <c r="AU347" s="98" t="s">
        <v>5151</v>
      </c>
      <c r="AV347" s="99"/>
      <c r="AW347" s="94" t="s">
        <v>5084</v>
      </c>
      <c r="AX347" s="95">
        <v>0</v>
      </c>
      <c r="AY347" s="98" t="s">
        <v>5152</v>
      </c>
      <c r="AZ347" s="102">
        <v>6</v>
      </c>
      <c r="BA347" s="102" t="s">
        <v>5260</v>
      </c>
      <c r="BB347" s="93"/>
    </row>
    <row r="348" spans="1:54" ht="13.8">
      <c r="A348" s="94" t="s">
        <v>7733</v>
      </c>
      <c r="B348" s="95" t="s">
        <v>7734</v>
      </c>
      <c r="C348" s="100">
        <v>25287</v>
      </c>
      <c r="D348" s="94" t="s">
        <v>2656</v>
      </c>
      <c r="E348" s="94" t="s">
        <v>7735</v>
      </c>
      <c r="F348" s="97" t="s">
        <v>7736</v>
      </c>
      <c r="G348" s="95">
        <v>402009894</v>
      </c>
      <c r="H348" s="98" t="s">
        <v>5057</v>
      </c>
      <c r="I348" s="95">
        <v>49069017614</v>
      </c>
      <c r="J348" s="98" t="s">
        <v>5088</v>
      </c>
      <c r="K348" s="95" t="s">
        <v>5089</v>
      </c>
      <c r="L348" s="98" t="s">
        <v>7737</v>
      </c>
      <c r="M348" s="98" t="s">
        <v>7738</v>
      </c>
      <c r="N348" s="98" t="s">
        <v>7739</v>
      </c>
      <c r="O348" s="98" t="s">
        <v>7739</v>
      </c>
      <c r="P348" s="95">
        <v>983191579</v>
      </c>
      <c r="Q348" s="98" t="s">
        <v>7740</v>
      </c>
      <c r="R348" s="98" t="s">
        <v>5094</v>
      </c>
      <c r="S348" s="99"/>
      <c r="T348" s="100">
        <v>35806</v>
      </c>
      <c r="U348" s="100">
        <v>40301</v>
      </c>
      <c r="V348" s="98" t="s">
        <v>5095</v>
      </c>
      <c r="W348" s="98" t="s">
        <v>5142</v>
      </c>
      <c r="X348" s="98" t="s">
        <v>5096</v>
      </c>
      <c r="Y348" s="98" t="s">
        <v>7741</v>
      </c>
      <c r="Z348" s="99"/>
      <c r="AA348" s="99"/>
      <c r="AB348" s="95" t="s">
        <v>5161</v>
      </c>
      <c r="AC348" s="99"/>
      <c r="AD348" s="99"/>
      <c r="AE348" s="95" t="s">
        <v>5161</v>
      </c>
      <c r="AF348" s="99"/>
      <c r="AG348" s="95">
        <v>1</v>
      </c>
      <c r="AH348" s="94" t="s">
        <v>5162</v>
      </c>
      <c r="AI348" s="94" t="s">
        <v>5122</v>
      </c>
      <c r="AJ348" s="98" t="s">
        <v>6157</v>
      </c>
      <c r="AK348" s="98" t="s">
        <v>3092</v>
      </c>
      <c r="AL348" s="101" t="s">
        <v>5142</v>
      </c>
      <c r="AM348" s="98" t="s">
        <v>5926</v>
      </c>
      <c r="AN348" s="98" t="s">
        <v>5259</v>
      </c>
      <c r="AO348" s="98" t="s">
        <v>5080</v>
      </c>
      <c r="AP348" s="102">
        <v>1</v>
      </c>
      <c r="AQ348" s="102">
        <v>2005</v>
      </c>
      <c r="AR348" s="99"/>
      <c r="AS348" s="98" t="s">
        <v>5142</v>
      </c>
      <c r="AT348" s="99"/>
      <c r="AU348" s="98" t="s">
        <v>5135</v>
      </c>
      <c r="AV348" s="95">
        <v>0</v>
      </c>
      <c r="AW348" s="94" t="s">
        <v>5162</v>
      </c>
      <c r="AX348" s="95">
        <v>0</v>
      </c>
      <c r="AY348" s="98" t="s">
        <v>5167</v>
      </c>
      <c r="AZ348" s="102">
        <v>7</v>
      </c>
      <c r="BA348" s="102" t="s">
        <v>5286</v>
      </c>
      <c r="BB348" s="93"/>
    </row>
    <row r="349" spans="1:54" ht="13.8">
      <c r="A349" s="94" t="s">
        <v>7742</v>
      </c>
      <c r="B349" s="95" t="s">
        <v>7743</v>
      </c>
      <c r="C349" s="100">
        <v>28331</v>
      </c>
      <c r="D349" s="94" t="s">
        <v>2656</v>
      </c>
      <c r="E349" s="94" t="s">
        <v>7735</v>
      </c>
      <c r="F349" s="97" t="s">
        <v>7736</v>
      </c>
      <c r="G349" s="95">
        <v>4808019610</v>
      </c>
      <c r="H349" s="98" t="s">
        <v>5057</v>
      </c>
      <c r="I349" s="95">
        <v>48077004755</v>
      </c>
      <c r="J349" s="98" t="s">
        <v>5088</v>
      </c>
      <c r="K349" s="104">
        <v>44444</v>
      </c>
      <c r="L349" s="98" t="s">
        <v>7211</v>
      </c>
      <c r="M349" s="98" t="s">
        <v>7621</v>
      </c>
      <c r="N349" s="98" t="s">
        <v>7744</v>
      </c>
      <c r="O349" s="98" t="s">
        <v>7744</v>
      </c>
      <c r="P349" s="95">
        <v>905704779</v>
      </c>
      <c r="Q349" s="98" t="s">
        <v>7745</v>
      </c>
      <c r="R349" s="98" t="s">
        <v>5094</v>
      </c>
      <c r="S349" s="99"/>
      <c r="T349" s="100">
        <v>43476</v>
      </c>
      <c r="U349" s="100">
        <v>43476</v>
      </c>
      <c r="V349" s="99"/>
      <c r="W349" s="98" t="s">
        <v>7746</v>
      </c>
      <c r="X349" s="98" t="s">
        <v>5096</v>
      </c>
      <c r="Y349" s="99"/>
      <c r="Z349" s="99"/>
      <c r="AA349" s="99"/>
      <c r="AB349" s="99"/>
      <c r="AC349" s="99"/>
      <c r="AD349" s="99"/>
      <c r="AE349" s="95" t="s">
        <v>7747</v>
      </c>
      <c r="AF349" s="99"/>
      <c r="AG349" s="95">
        <v>0</v>
      </c>
      <c r="AH349" s="94" t="s">
        <v>5082</v>
      </c>
      <c r="AI349" s="106"/>
      <c r="AJ349" s="99"/>
      <c r="AK349" s="98" t="s">
        <v>7748</v>
      </c>
      <c r="AL349" s="101" t="s">
        <v>7749</v>
      </c>
      <c r="AM349" s="99"/>
      <c r="AN349" s="98" t="s">
        <v>5259</v>
      </c>
      <c r="AO349" s="98" t="s">
        <v>5080</v>
      </c>
      <c r="AP349" s="98" t="s">
        <v>7750</v>
      </c>
      <c r="AQ349" s="102">
        <v>2008</v>
      </c>
      <c r="AR349" s="98" t="s">
        <v>5082</v>
      </c>
      <c r="AS349" s="99"/>
      <c r="AT349" s="99"/>
      <c r="AU349" s="99"/>
      <c r="AV349" s="99"/>
      <c r="AW349" s="94" t="s">
        <v>5082</v>
      </c>
      <c r="AX349" s="95">
        <v>0</v>
      </c>
      <c r="AY349" s="98" t="s">
        <v>7749</v>
      </c>
      <c r="AZ349" s="102">
        <v>3</v>
      </c>
      <c r="BA349" s="102" t="s">
        <v>7751</v>
      </c>
      <c r="BB349" s="93"/>
    </row>
    <row r="350" spans="1:54" ht="13.8">
      <c r="A350" s="94" t="s">
        <v>7752</v>
      </c>
      <c r="B350" s="95" t="s">
        <v>7753</v>
      </c>
      <c r="C350" s="100">
        <v>28127</v>
      </c>
      <c r="D350" s="94" t="s">
        <v>2656</v>
      </c>
      <c r="E350" s="94" t="s">
        <v>7735</v>
      </c>
      <c r="F350" s="97" t="s">
        <v>7736</v>
      </c>
      <c r="G350" s="95">
        <v>402005356</v>
      </c>
      <c r="H350" s="98" t="s">
        <v>5057</v>
      </c>
      <c r="I350" s="95">
        <v>49077009978</v>
      </c>
      <c r="J350" s="98" t="s">
        <v>5088</v>
      </c>
      <c r="K350" s="95" t="s">
        <v>5089</v>
      </c>
      <c r="L350" s="98" t="s">
        <v>7754</v>
      </c>
      <c r="M350" s="98" t="s">
        <v>7044</v>
      </c>
      <c r="N350" s="98" t="s">
        <v>5253</v>
      </c>
      <c r="O350" s="98" t="s">
        <v>5253</v>
      </c>
      <c r="P350" s="95">
        <v>982134579</v>
      </c>
      <c r="Q350" s="98" t="s">
        <v>7755</v>
      </c>
      <c r="R350" s="98" t="s">
        <v>5094</v>
      </c>
      <c r="S350" s="99"/>
      <c r="T350" s="100">
        <v>36902</v>
      </c>
      <c r="U350" s="100">
        <v>36902</v>
      </c>
      <c r="V350" s="98" t="s">
        <v>7756</v>
      </c>
      <c r="W350" s="98" t="s">
        <v>5068</v>
      </c>
      <c r="X350" s="98" t="s">
        <v>5096</v>
      </c>
      <c r="Y350" s="98" t="s">
        <v>5068</v>
      </c>
      <c r="Z350" s="99"/>
      <c r="AA350" s="98" t="s">
        <v>5244</v>
      </c>
      <c r="AB350" s="95" t="s">
        <v>7757</v>
      </c>
      <c r="AC350" s="98" t="s">
        <v>7758</v>
      </c>
      <c r="AD350" s="98" t="s">
        <v>7759</v>
      </c>
      <c r="AE350" s="114">
        <v>37904</v>
      </c>
      <c r="AF350" s="99"/>
      <c r="AG350" s="95">
        <v>1</v>
      </c>
      <c r="AH350" s="94" t="s">
        <v>5074</v>
      </c>
      <c r="AI350" s="94" t="s">
        <v>5133</v>
      </c>
      <c r="AJ350" s="98" t="s">
        <v>5134</v>
      </c>
      <c r="AK350" s="98" t="s">
        <v>7065</v>
      </c>
      <c r="AL350" s="101" t="s">
        <v>5078</v>
      </c>
      <c r="AM350" s="99"/>
      <c r="AN350" s="98" t="s">
        <v>5079</v>
      </c>
      <c r="AO350" s="98" t="s">
        <v>5080</v>
      </c>
      <c r="AP350" s="98" t="s">
        <v>7066</v>
      </c>
      <c r="AQ350" s="102">
        <v>2021</v>
      </c>
      <c r="AR350" s="98" t="s">
        <v>5106</v>
      </c>
      <c r="AS350" s="99"/>
      <c r="AT350" s="98" t="s">
        <v>5083</v>
      </c>
      <c r="AU350" s="99"/>
      <c r="AV350" s="99"/>
      <c r="AW350" s="94" t="s">
        <v>5074</v>
      </c>
      <c r="AX350" s="95">
        <v>0</v>
      </c>
      <c r="AY350" s="98" t="s">
        <v>5085</v>
      </c>
      <c r="AZ350" s="102">
        <v>3</v>
      </c>
      <c r="BA350" s="105">
        <v>46239</v>
      </c>
      <c r="BB350" s="93"/>
    </row>
    <row r="351" spans="1:54" ht="13.8">
      <c r="A351" s="94" t="s">
        <v>7760</v>
      </c>
      <c r="B351" s="95" t="s">
        <v>7761</v>
      </c>
      <c r="C351" s="100">
        <v>31755</v>
      </c>
      <c r="D351" s="94" t="s">
        <v>2665</v>
      </c>
      <c r="E351" s="94" t="s">
        <v>7735</v>
      </c>
      <c r="F351" s="97" t="s">
        <v>7736</v>
      </c>
      <c r="G351" s="95">
        <v>4821483088</v>
      </c>
      <c r="H351" s="98" t="s">
        <v>5057</v>
      </c>
      <c r="I351" s="95">
        <v>70186006359</v>
      </c>
      <c r="J351" s="98" t="s">
        <v>5088</v>
      </c>
      <c r="K351" s="95" t="s">
        <v>5089</v>
      </c>
      <c r="L351" s="98" t="s">
        <v>7762</v>
      </c>
      <c r="M351" s="98" t="s">
        <v>7763</v>
      </c>
      <c r="N351" s="98" t="s">
        <v>7764</v>
      </c>
      <c r="O351" s="98" t="s">
        <v>7764</v>
      </c>
      <c r="P351" s="95">
        <v>932909152</v>
      </c>
      <c r="Q351" s="98" t="s">
        <v>7765</v>
      </c>
      <c r="R351" s="98" t="s">
        <v>5094</v>
      </c>
      <c r="S351" s="99"/>
      <c r="T351" s="100">
        <v>44568</v>
      </c>
      <c r="U351" s="100">
        <v>44933</v>
      </c>
      <c r="V351" s="99"/>
      <c r="W351" s="98" t="s">
        <v>5142</v>
      </c>
      <c r="X351" s="98" t="s">
        <v>5187</v>
      </c>
      <c r="Y351" s="99"/>
      <c r="Z351" s="99"/>
      <c r="AA351" s="99"/>
      <c r="AB351" s="99"/>
      <c r="AC351" s="99"/>
      <c r="AD351" s="99"/>
      <c r="AE351" s="95" t="s">
        <v>7766</v>
      </c>
      <c r="AF351" s="99"/>
      <c r="AG351" s="95">
        <v>0</v>
      </c>
      <c r="AH351" s="94" t="s">
        <v>5084</v>
      </c>
      <c r="AI351" s="94" t="s">
        <v>5163</v>
      </c>
      <c r="AJ351" s="98" t="s">
        <v>5365</v>
      </c>
      <c r="AK351" s="98" t="s">
        <v>7073</v>
      </c>
      <c r="AL351" s="101" t="s">
        <v>5142</v>
      </c>
      <c r="AM351" s="99"/>
      <c r="AN351" s="98" t="s">
        <v>5079</v>
      </c>
      <c r="AO351" s="98" t="s">
        <v>5080</v>
      </c>
      <c r="AP351" s="98" t="s">
        <v>6603</v>
      </c>
      <c r="AQ351" s="102">
        <v>2015</v>
      </c>
      <c r="AR351" s="98" t="s">
        <v>5200</v>
      </c>
      <c r="AS351" s="99"/>
      <c r="AT351" s="99"/>
      <c r="AU351" s="98" t="s">
        <v>5151</v>
      </c>
      <c r="AV351" s="99"/>
      <c r="AW351" s="94" t="s">
        <v>5084</v>
      </c>
      <c r="AX351" s="95">
        <v>0</v>
      </c>
      <c r="AY351" s="98" t="s">
        <v>5167</v>
      </c>
      <c r="AZ351" s="102">
        <v>2</v>
      </c>
      <c r="BA351" s="102" t="s">
        <v>5237</v>
      </c>
      <c r="BB351" s="93"/>
    </row>
    <row r="352" spans="1:54" ht="13.8">
      <c r="A352" s="94" t="s">
        <v>7767</v>
      </c>
      <c r="B352" s="95" t="s">
        <v>7768</v>
      </c>
      <c r="C352" s="100">
        <v>37230</v>
      </c>
      <c r="D352" s="94" t="s">
        <v>2665</v>
      </c>
      <c r="E352" s="94" t="s">
        <v>7735</v>
      </c>
      <c r="F352" s="97" t="s">
        <v>7736</v>
      </c>
      <c r="G352" s="99"/>
      <c r="H352" s="98" t="s">
        <v>5181</v>
      </c>
      <c r="I352" s="95">
        <v>48301005106</v>
      </c>
      <c r="J352" s="98" t="s">
        <v>5182</v>
      </c>
      <c r="K352" s="95" t="s">
        <v>5202</v>
      </c>
      <c r="L352" s="98" t="s">
        <v>7769</v>
      </c>
      <c r="M352" s="98" t="s">
        <v>7770</v>
      </c>
      <c r="N352" s="98" t="s">
        <v>7771</v>
      </c>
      <c r="O352" s="98" t="s">
        <v>7771</v>
      </c>
      <c r="P352" s="95">
        <v>762533094</v>
      </c>
      <c r="Q352" s="98" t="s">
        <v>7772</v>
      </c>
      <c r="R352" s="98" t="s">
        <v>5094</v>
      </c>
      <c r="S352" s="99"/>
      <c r="T352" s="100">
        <v>45658</v>
      </c>
      <c r="U352" s="100">
        <v>46023</v>
      </c>
      <c r="V352" s="99"/>
      <c r="W352" s="98" t="s">
        <v>5142</v>
      </c>
      <c r="X352" s="98" t="s">
        <v>5187</v>
      </c>
      <c r="Y352" s="99"/>
      <c r="Z352" s="99"/>
      <c r="AA352" s="99"/>
      <c r="AB352" s="99"/>
      <c r="AC352" s="99"/>
      <c r="AD352" s="99"/>
      <c r="AE352" s="104">
        <v>44986</v>
      </c>
      <c r="AF352" s="99"/>
      <c r="AG352" s="95">
        <v>0</v>
      </c>
      <c r="AH352" s="94" t="s">
        <v>5162</v>
      </c>
      <c r="AI352" s="94" t="s">
        <v>5122</v>
      </c>
      <c r="AJ352" s="98" t="s">
        <v>6157</v>
      </c>
      <c r="AK352" s="98" t="s">
        <v>3221</v>
      </c>
      <c r="AL352" s="101" t="s">
        <v>5142</v>
      </c>
      <c r="AM352" s="99"/>
      <c r="AN352" s="98" t="s">
        <v>5079</v>
      </c>
      <c r="AO352" s="98" t="s">
        <v>5080</v>
      </c>
      <c r="AP352" s="98" t="s">
        <v>5095</v>
      </c>
      <c r="AQ352" s="99"/>
      <c r="AR352" s="99"/>
      <c r="AS352" s="99"/>
      <c r="AT352" s="99"/>
      <c r="AU352" s="98" t="s">
        <v>5228</v>
      </c>
      <c r="AV352" s="99"/>
      <c r="AW352" s="94" t="s">
        <v>5162</v>
      </c>
      <c r="AX352" s="95">
        <v>0</v>
      </c>
      <c r="AY352" s="98" t="s">
        <v>5167</v>
      </c>
      <c r="AZ352" s="102">
        <v>1</v>
      </c>
      <c r="BA352" s="102" t="s">
        <v>5189</v>
      </c>
      <c r="BB352" s="93"/>
    </row>
    <row r="353" spans="1:54" ht="13.8">
      <c r="A353" s="94" t="s">
        <v>7773</v>
      </c>
      <c r="B353" s="95" t="s">
        <v>7774</v>
      </c>
      <c r="C353" s="96">
        <v>24396</v>
      </c>
      <c r="D353" s="94" t="s">
        <v>2656</v>
      </c>
      <c r="E353" s="94" t="s">
        <v>7735</v>
      </c>
      <c r="F353" s="97" t="s">
        <v>7736</v>
      </c>
      <c r="G353" s="95">
        <v>4808000492</v>
      </c>
      <c r="H353" s="98" t="s">
        <v>5057</v>
      </c>
      <c r="I353" s="95">
        <v>49066011521</v>
      </c>
      <c r="J353" s="98" t="s">
        <v>5088</v>
      </c>
      <c r="K353" s="95" t="s">
        <v>5089</v>
      </c>
      <c r="L353" s="98" t="s">
        <v>7775</v>
      </c>
      <c r="M353" s="98" t="s">
        <v>7776</v>
      </c>
      <c r="N353" s="98" t="s">
        <v>7777</v>
      </c>
      <c r="O353" s="98" t="s">
        <v>7778</v>
      </c>
      <c r="P353" s="95">
        <v>934910684</v>
      </c>
      <c r="Q353" s="98" t="s">
        <v>7779</v>
      </c>
      <c r="R353" s="98" t="s">
        <v>5094</v>
      </c>
      <c r="S353" s="99"/>
      <c r="T353" s="100">
        <v>37630</v>
      </c>
      <c r="U353" s="108" t="s">
        <v>5161</v>
      </c>
      <c r="V353" s="98" t="s">
        <v>5095</v>
      </c>
      <c r="W353" s="98" t="s">
        <v>7746</v>
      </c>
      <c r="X353" s="98" t="s">
        <v>7780</v>
      </c>
      <c r="Y353" s="98" t="s">
        <v>7781</v>
      </c>
      <c r="Z353" s="99"/>
      <c r="AA353" s="99"/>
      <c r="AB353" s="95" t="s">
        <v>5161</v>
      </c>
      <c r="AC353" s="99"/>
      <c r="AD353" s="99"/>
      <c r="AE353" s="95" t="s">
        <v>5161</v>
      </c>
      <c r="AF353" s="99"/>
      <c r="AG353" s="95">
        <v>1</v>
      </c>
      <c r="AH353" s="94" t="s">
        <v>7782</v>
      </c>
      <c r="AI353" s="106"/>
      <c r="AJ353" s="99"/>
      <c r="AK353" s="99"/>
      <c r="AL353" s="101" t="s">
        <v>7749</v>
      </c>
      <c r="AM353" s="99"/>
      <c r="AN353" s="99"/>
      <c r="AO353" s="99"/>
      <c r="AP353" s="99"/>
      <c r="AQ353" s="99"/>
      <c r="AR353" s="99"/>
      <c r="AS353" s="99"/>
      <c r="AT353" s="99"/>
      <c r="AU353" s="99"/>
      <c r="AV353" s="95">
        <v>0</v>
      </c>
      <c r="AW353" s="94" t="s">
        <v>7782</v>
      </c>
      <c r="AX353" s="95">
        <v>0</v>
      </c>
      <c r="AY353" s="98" t="s">
        <v>7749</v>
      </c>
      <c r="AZ353" s="102">
        <v>11</v>
      </c>
      <c r="BA353" s="110">
        <v>46084</v>
      </c>
      <c r="BB353" s="93"/>
    </row>
    <row r="354" spans="1:54" ht="13.8">
      <c r="A354" s="94" t="s">
        <v>7783</v>
      </c>
      <c r="B354" s="95" t="s">
        <v>7784</v>
      </c>
      <c r="C354" s="100">
        <v>31269</v>
      </c>
      <c r="D354" s="94" t="s">
        <v>2656</v>
      </c>
      <c r="E354" s="94" t="s">
        <v>7735</v>
      </c>
      <c r="F354" s="97" t="s">
        <v>7736</v>
      </c>
      <c r="G354" s="95">
        <v>4811044769</v>
      </c>
      <c r="H354" s="98" t="s">
        <v>5057</v>
      </c>
      <c r="I354" s="95">
        <v>46085007093</v>
      </c>
      <c r="J354" s="98" t="s">
        <v>5929</v>
      </c>
      <c r="K354" s="95" t="s">
        <v>7785</v>
      </c>
      <c r="L354" s="98" t="s">
        <v>7786</v>
      </c>
      <c r="M354" s="98" t="s">
        <v>5627</v>
      </c>
      <c r="N354" s="98" t="s">
        <v>7787</v>
      </c>
      <c r="O354" s="98" t="s">
        <v>7788</v>
      </c>
      <c r="P354" s="95">
        <v>905404506</v>
      </c>
      <c r="Q354" s="98" t="s">
        <v>7789</v>
      </c>
      <c r="R354" s="98" t="s">
        <v>5094</v>
      </c>
      <c r="S354" s="99"/>
      <c r="T354" s="100">
        <v>40553</v>
      </c>
      <c r="U354" s="96">
        <v>41204</v>
      </c>
      <c r="V354" s="98" t="s">
        <v>5243</v>
      </c>
      <c r="W354" s="98" t="s">
        <v>5068</v>
      </c>
      <c r="X354" s="98" t="s">
        <v>5096</v>
      </c>
      <c r="Y354" s="98" t="s">
        <v>5822</v>
      </c>
      <c r="Z354" s="99"/>
      <c r="AA354" s="98" t="s">
        <v>5143</v>
      </c>
      <c r="AB354" s="104">
        <v>45481</v>
      </c>
      <c r="AC354" s="99"/>
      <c r="AD354" s="99"/>
      <c r="AE354" s="104">
        <v>41946</v>
      </c>
      <c r="AF354" s="98" t="s">
        <v>7790</v>
      </c>
      <c r="AG354" s="95">
        <v>1</v>
      </c>
      <c r="AH354" s="94" t="s">
        <v>5084</v>
      </c>
      <c r="AI354" s="94" t="s">
        <v>5101</v>
      </c>
      <c r="AJ354" s="98" t="s">
        <v>5102</v>
      </c>
      <c r="AK354" s="98" t="s">
        <v>5925</v>
      </c>
      <c r="AL354" s="101" t="s">
        <v>5149</v>
      </c>
      <c r="AM354" s="98" t="s">
        <v>5188</v>
      </c>
      <c r="AN354" s="98" t="s">
        <v>5079</v>
      </c>
      <c r="AO354" s="98" t="s">
        <v>5080</v>
      </c>
      <c r="AP354" s="102">
        <v>807</v>
      </c>
      <c r="AQ354" s="102">
        <v>2018</v>
      </c>
      <c r="AR354" s="99"/>
      <c r="AS354" s="99"/>
      <c r="AT354" s="99"/>
      <c r="AU354" s="98" t="s">
        <v>5151</v>
      </c>
      <c r="AV354" s="95">
        <v>0</v>
      </c>
      <c r="AW354" s="94" t="s">
        <v>5084</v>
      </c>
      <c r="AX354" s="95">
        <v>0</v>
      </c>
      <c r="AY354" s="98" t="s">
        <v>5152</v>
      </c>
      <c r="AZ354" s="102">
        <v>5</v>
      </c>
      <c r="BA354" s="102" t="s">
        <v>5153</v>
      </c>
      <c r="BB354" s="93"/>
    </row>
    <row r="355" spans="1:54" ht="13.8">
      <c r="A355" s="94" t="s">
        <v>7791</v>
      </c>
      <c r="B355" s="95" t="s">
        <v>7792</v>
      </c>
      <c r="C355" s="100">
        <v>26665</v>
      </c>
      <c r="D355" s="94" t="s">
        <v>2665</v>
      </c>
      <c r="E355" s="94" t="s">
        <v>7735</v>
      </c>
      <c r="F355" s="97" t="s">
        <v>7736</v>
      </c>
      <c r="G355" s="95">
        <v>3497065678</v>
      </c>
      <c r="H355" s="98" t="s">
        <v>5057</v>
      </c>
      <c r="I355" s="95">
        <v>49173013352</v>
      </c>
      <c r="J355" s="98" t="s">
        <v>5088</v>
      </c>
      <c r="K355" s="95" t="s">
        <v>5089</v>
      </c>
      <c r="L355" s="98" t="s">
        <v>7793</v>
      </c>
      <c r="M355" s="98" t="s">
        <v>7794</v>
      </c>
      <c r="N355" s="98" t="s">
        <v>6634</v>
      </c>
      <c r="O355" s="98" t="s">
        <v>7795</v>
      </c>
      <c r="P355" s="95">
        <v>935425191</v>
      </c>
      <c r="Q355" s="98" t="s">
        <v>7796</v>
      </c>
      <c r="R355" s="98" t="s">
        <v>5094</v>
      </c>
      <c r="S355" s="99"/>
      <c r="T355" s="100">
        <v>35073</v>
      </c>
      <c r="U355" s="100">
        <v>39456</v>
      </c>
      <c r="V355" s="98" t="s">
        <v>5283</v>
      </c>
      <c r="W355" s="98" t="s">
        <v>5142</v>
      </c>
      <c r="X355" s="98" t="s">
        <v>5096</v>
      </c>
      <c r="Y355" s="98" t="s">
        <v>5208</v>
      </c>
      <c r="Z355" s="99"/>
      <c r="AA355" s="99"/>
      <c r="AB355" s="95" t="s">
        <v>5161</v>
      </c>
      <c r="AC355" s="98" t="s">
        <v>7797</v>
      </c>
      <c r="AD355" s="99"/>
      <c r="AE355" s="114">
        <v>41589</v>
      </c>
      <c r="AF355" s="99"/>
      <c r="AG355" s="95">
        <v>1</v>
      </c>
      <c r="AH355" s="94" t="s">
        <v>5162</v>
      </c>
      <c r="AI355" s="94" t="s">
        <v>5122</v>
      </c>
      <c r="AJ355" s="98" t="s">
        <v>5266</v>
      </c>
      <c r="AK355" s="98" t="s">
        <v>3153</v>
      </c>
      <c r="AL355" s="101" t="s">
        <v>5142</v>
      </c>
      <c r="AM355" s="98" t="s">
        <v>5218</v>
      </c>
      <c r="AN355" s="98" t="s">
        <v>5219</v>
      </c>
      <c r="AO355" s="98" t="s">
        <v>5080</v>
      </c>
      <c r="AP355" s="102">
        <v>803</v>
      </c>
      <c r="AQ355" s="102">
        <v>2000</v>
      </c>
      <c r="AR355" s="98" t="s">
        <v>5200</v>
      </c>
      <c r="AS355" s="99"/>
      <c r="AT355" s="99"/>
      <c r="AU355" s="98" t="s">
        <v>5135</v>
      </c>
      <c r="AV355" s="95">
        <v>0</v>
      </c>
      <c r="AW355" s="94" t="s">
        <v>5162</v>
      </c>
      <c r="AX355" s="95">
        <v>0</v>
      </c>
      <c r="AY355" s="98" t="s">
        <v>5167</v>
      </c>
      <c r="AZ355" s="102">
        <v>9</v>
      </c>
      <c r="BA355" s="102" t="s">
        <v>5221</v>
      </c>
      <c r="BB355" s="93"/>
    </row>
    <row r="356" spans="1:54" ht="13.8">
      <c r="A356" s="94" t="s">
        <v>7798</v>
      </c>
      <c r="B356" s="95" t="s">
        <v>7799</v>
      </c>
      <c r="C356" s="100">
        <v>27460</v>
      </c>
      <c r="D356" s="94" t="s">
        <v>2656</v>
      </c>
      <c r="E356" s="94" t="s">
        <v>7735</v>
      </c>
      <c r="F356" s="97" t="s">
        <v>7736</v>
      </c>
      <c r="G356" s="95">
        <v>4820031796</v>
      </c>
      <c r="H356" s="98" t="s">
        <v>5057</v>
      </c>
      <c r="I356" s="95">
        <v>48075000748</v>
      </c>
      <c r="J356" s="98" t="s">
        <v>5088</v>
      </c>
      <c r="K356" s="95" t="s">
        <v>6103</v>
      </c>
      <c r="L356" s="98" t="s">
        <v>7800</v>
      </c>
      <c r="M356" s="98" t="s">
        <v>5224</v>
      </c>
      <c r="N356" s="98" t="s">
        <v>7801</v>
      </c>
      <c r="O356" s="98" t="s">
        <v>7801</v>
      </c>
      <c r="P356" s="95">
        <v>914039095</v>
      </c>
      <c r="Q356" s="98" t="s">
        <v>7802</v>
      </c>
      <c r="R356" s="98" t="s">
        <v>5094</v>
      </c>
      <c r="S356" s="99"/>
      <c r="T356" s="100">
        <v>43476</v>
      </c>
      <c r="U356" s="100">
        <v>43476</v>
      </c>
      <c r="V356" s="99"/>
      <c r="W356" s="98" t="s">
        <v>7803</v>
      </c>
      <c r="X356" s="98" t="s">
        <v>5096</v>
      </c>
      <c r="Y356" s="99"/>
      <c r="Z356" s="99"/>
      <c r="AA356" s="99"/>
      <c r="AB356" s="99"/>
      <c r="AC356" s="99"/>
      <c r="AD356" s="99"/>
      <c r="AE356" s="99"/>
      <c r="AF356" s="99"/>
      <c r="AG356" s="95">
        <v>0</v>
      </c>
      <c r="AH356" s="94" t="s">
        <v>7782</v>
      </c>
      <c r="AI356" s="106"/>
      <c r="AJ356" s="99"/>
      <c r="AK356" s="99"/>
      <c r="AL356" s="101" t="s">
        <v>7804</v>
      </c>
      <c r="AM356" s="99"/>
      <c r="AN356" s="99"/>
      <c r="AO356" s="99"/>
      <c r="AP356" s="99"/>
      <c r="AQ356" s="99"/>
      <c r="AR356" s="99"/>
      <c r="AS356" s="99"/>
      <c r="AT356" s="99"/>
      <c r="AU356" s="99"/>
      <c r="AV356" s="99"/>
      <c r="AW356" s="94" t="s">
        <v>7782</v>
      </c>
      <c r="AX356" s="95">
        <v>0</v>
      </c>
      <c r="AY356" s="98" t="s">
        <v>7804</v>
      </c>
      <c r="AZ356" s="102">
        <v>3</v>
      </c>
      <c r="BA356" s="102" t="s">
        <v>7805</v>
      </c>
      <c r="BB356" s="93"/>
    </row>
    <row r="357" spans="1:54" ht="13.8">
      <c r="A357" s="94" t="s">
        <v>7806</v>
      </c>
      <c r="B357" s="95" t="s">
        <v>7807</v>
      </c>
      <c r="C357" s="100">
        <v>36319</v>
      </c>
      <c r="D357" s="94" t="s">
        <v>2656</v>
      </c>
      <c r="E357" s="94" t="s">
        <v>7735</v>
      </c>
      <c r="F357" s="97" t="s">
        <v>7736</v>
      </c>
      <c r="G357" s="95">
        <v>6422434434</v>
      </c>
      <c r="H357" s="98" t="s">
        <v>5181</v>
      </c>
      <c r="I357" s="95">
        <v>64099012671</v>
      </c>
      <c r="J357" s="98" t="s">
        <v>5929</v>
      </c>
      <c r="K357" s="95" t="s">
        <v>7808</v>
      </c>
      <c r="L357" s="98" t="s">
        <v>7809</v>
      </c>
      <c r="M357" s="98" t="s">
        <v>7810</v>
      </c>
      <c r="N357" s="98" t="s">
        <v>7811</v>
      </c>
      <c r="O357" s="98" t="s">
        <v>7812</v>
      </c>
      <c r="P357" s="95">
        <v>868818281</v>
      </c>
      <c r="Q357" s="98" t="s">
        <v>7813</v>
      </c>
      <c r="R357" s="98" t="s">
        <v>5094</v>
      </c>
      <c r="S357" s="99"/>
      <c r="T357" s="100">
        <v>45658</v>
      </c>
      <c r="U357" s="109"/>
      <c r="V357" s="99"/>
      <c r="W357" s="98" t="s">
        <v>5142</v>
      </c>
      <c r="X357" s="98" t="s">
        <v>5187</v>
      </c>
      <c r="Y357" s="99"/>
      <c r="Z357" s="99"/>
      <c r="AA357" s="99"/>
      <c r="AB357" s="99"/>
      <c r="AC357" s="99"/>
      <c r="AD357" s="99"/>
      <c r="AE357" s="95" t="s">
        <v>7814</v>
      </c>
      <c r="AF357" s="99"/>
      <c r="AG357" s="95">
        <v>0</v>
      </c>
      <c r="AH357" s="94" t="s">
        <v>5084</v>
      </c>
      <c r="AI357" s="94" t="s">
        <v>5133</v>
      </c>
      <c r="AJ357" s="98" t="s">
        <v>5134</v>
      </c>
      <c r="AK357" s="98" t="s">
        <v>6118</v>
      </c>
      <c r="AL357" s="101" t="s">
        <v>5142</v>
      </c>
      <c r="AM357" s="99"/>
      <c r="AN357" s="98" t="s">
        <v>5079</v>
      </c>
      <c r="AO357" s="98" t="s">
        <v>5080</v>
      </c>
      <c r="AP357" s="98" t="s">
        <v>5188</v>
      </c>
      <c r="AQ357" s="102">
        <v>2025</v>
      </c>
      <c r="AR357" s="99"/>
      <c r="AS357" s="99"/>
      <c r="AT357" s="99"/>
      <c r="AU357" s="98" t="s">
        <v>5228</v>
      </c>
      <c r="AV357" s="99"/>
      <c r="AW357" s="94" t="s">
        <v>5084</v>
      </c>
      <c r="AX357" s="95">
        <v>0</v>
      </c>
      <c r="AY357" s="98" t="s">
        <v>5167</v>
      </c>
      <c r="AZ357" s="102">
        <v>1</v>
      </c>
      <c r="BA357" s="102" t="s">
        <v>5189</v>
      </c>
      <c r="BB357" s="93"/>
    </row>
    <row r="358" spans="1:54" ht="13.8">
      <c r="A358" s="94" t="s">
        <v>7815</v>
      </c>
      <c r="B358" s="95" t="s">
        <v>7816</v>
      </c>
      <c r="C358" s="96">
        <v>30672</v>
      </c>
      <c r="D358" s="94" t="s">
        <v>2665</v>
      </c>
      <c r="E358" s="94" t="s">
        <v>7735</v>
      </c>
      <c r="F358" s="97" t="s">
        <v>7736</v>
      </c>
      <c r="G358" s="95">
        <v>4808000531</v>
      </c>
      <c r="H358" s="98" t="s">
        <v>5057</v>
      </c>
      <c r="I358" s="95">
        <v>38183029715</v>
      </c>
      <c r="J358" s="98" t="s">
        <v>5088</v>
      </c>
      <c r="K358" s="95" t="s">
        <v>5089</v>
      </c>
      <c r="L358" s="98" t="s">
        <v>7817</v>
      </c>
      <c r="M358" s="98" t="s">
        <v>7818</v>
      </c>
      <c r="N358" s="98" t="s">
        <v>5273</v>
      </c>
      <c r="O358" s="98" t="s">
        <v>5273</v>
      </c>
      <c r="P358" s="95">
        <v>905222325</v>
      </c>
      <c r="Q358" s="98" t="s">
        <v>7819</v>
      </c>
      <c r="R358" s="98" t="s">
        <v>5094</v>
      </c>
      <c r="S358" s="99"/>
      <c r="T358" s="100">
        <v>39814</v>
      </c>
      <c r="U358" s="100">
        <v>40179</v>
      </c>
      <c r="V358" s="98" t="s">
        <v>7820</v>
      </c>
      <c r="W358" s="98" t="s">
        <v>5142</v>
      </c>
      <c r="X358" s="98" t="s">
        <v>5096</v>
      </c>
      <c r="Y358" s="99"/>
      <c r="Z358" s="99"/>
      <c r="AA358" s="98" t="s">
        <v>5143</v>
      </c>
      <c r="AB358" s="95" t="s">
        <v>5144</v>
      </c>
      <c r="AC358" s="99"/>
      <c r="AD358" s="99"/>
      <c r="AE358" s="104">
        <v>39672</v>
      </c>
      <c r="AF358" s="99"/>
      <c r="AG358" s="95">
        <v>1</v>
      </c>
      <c r="AH358" s="94" t="s">
        <v>5084</v>
      </c>
      <c r="AI358" s="94" t="s">
        <v>5133</v>
      </c>
      <c r="AJ358" s="98" t="s">
        <v>5134</v>
      </c>
      <c r="AK358" s="98" t="s">
        <v>2755</v>
      </c>
      <c r="AL358" s="101" t="s">
        <v>5142</v>
      </c>
      <c r="AM358" s="98" t="s">
        <v>5268</v>
      </c>
      <c r="AN358" s="98" t="s">
        <v>5079</v>
      </c>
      <c r="AO358" s="98" t="s">
        <v>5080</v>
      </c>
      <c r="AP358" s="102">
        <v>83</v>
      </c>
      <c r="AQ358" s="102">
        <v>2013</v>
      </c>
      <c r="AR358" s="98" t="s">
        <v>5200</v>
      </c>
      <c r="AS358" s="98" t="s">
        <v>5142</v>
      </c>
      <c r="AT358" s="99"/>
      <c r="AU358" s="98" t="s">
        <v>5125</v>
      </c>
      <c r="AV358" s="95">
        <v>0</v>
      </c>
      <c r="AW358" s="94" t="s">
        <v>5084</v>
      </c>
      <c r="AX358" s="95">
        <v>0</v>
      </c>
      <c r="AY358" s="98" t="s">
        <v>5167</v>
      </c>
      <c r="AZ358" s="102">
        <v>6</v>
      </c>
      <c r="BA358" s="102" t="s">
        <v>5260</v>
      </c>
      <c r="BB358" s="93"/>
    </row>
    <row r="359" spans="1:54" ht="13.8">
      <c r="A359" s="94" t="s">
        <v>7821</v>
      </c>
      <c r="B359" s="95" t="s">
        <v>7822</v>
      </c>
      <c r="C359" s="100">
        <v>33986</v>
      </c>
      <c r="D359" s="94" t="s">
        <v>2656</v>
      </c>
      <c r="E359" s="94" t="s">
        <v>7735</v>
      </c>
      <c r="F359" s="97" t="s">
        <v>7736</v>
      </c>
      <c r="G359" s="95">
        <v>4920818399</v>
      </c>
      <c r="H359" s="98" t="s">
        <v>5057</v>
      </c>
      <c r="I359" s="95">
        <v>49093017505</v>
      </c>
      <c r="J359" s="98" t="s">
        <v>5088</v>
      </c>
      <c r="K359" s="95" t="s">
        <v>5170</v>
      </c>
      <c r="L359" s="98" t="s">
        <v>7823</v>
      </c>
      <c r="M359" s="98" t="s">
        <v>7824</v>
      </c>
      <c r="N359" s="98" t="s">
        <v>7825</v>
      </c>
      <c r="O359" s="98" t="s">
        <v>7826</v>
      </c>
      <c r="P359" s="95">
        <v>362138476</v>
      </c>
      <c r="Q359" s="98" t="s">
        <v>7827</v>
      </c>
      <c r="R359" s="98" t="s">
        <v>5094</v>
      </c>
      <c r="S359" s="99"/>
      <c r="T359" s="100">
        <v>44207</v>
      </c>
      <c r="U359" s="100">
        <v>44572</v>
      </c>
      <c r="V359" s="99"/>
      <c r="W359" s="98" t="s">
        <v>5142</v>
      </c>
      <c r="X359" s="98" t="s">
        <v>5187</v>
      </c>
      <c r="Y359" s="99"/>
      <c r="Z359" s="99"/>
      <c r="AA359" s="99"/>
      <c r="AB359" s="99"/>
      <c r="AC359" s="99"/>
      <c r="AD359" s="99"/>
      <c r="AE359" s="99"/>
      <c r="AF359" s="99"/>
      <c r="AG359" s="95">
        <v>0</v>
      </c>
      <c r="AH359" s="94" t="s">
        <v>5084</v>
      </c>
      <c r="AI359" s="94" t="s">
        <v>5122</v>
      </c>
      <c r="AJ359" s="98" t="s">
        <v>6157</v>
      </c>
      <c r="AK359" s="98" t="s">
        <v>2668</v>
      </c>
      <c r="AL359" s="101" t="s">
        <v>5142</v>
      </c>
      <c r="AM359" s="99"/>
      <c r="AN359" s="98" t="s">
        <v>5079</v>
      </c>
      <c r="AO359" s="98" t="s">
        <v>5080</v>
      </c>
      <c r="AP359" s="98" t="s">
        <v>5188</v>
      </c>
      <c r="AQ359" s="102">
        <v>2024</v>
      </c>
      <c r="AR359" s="99"/>
      <c r="AS359" s="99"/>
      <c r="AT359" s="99"/>
      <c r="AU359" s="98" t="s">
        <v>5228</v>
      </c>
      <c r="AV359" s="99"/>
      <c r="AW359" s="94" t="s">
        <v>5084</v>
      </c>
      <c r="AX359" s="95">
        <v>0</v>
      </c>
      <c r="AY359" s="98" t="s">
        <v>5167</v>
      </c>
      <c r="AZ359" s="102">
        <v>2</v>
      </c>
      <c r="BA359" s="102" t="s">
        <v>5237</v>
      </c>
      <c r="BB359" s="93"/>
    </row>
    <row r="360" spans="1:54" ht="13.8">
      <c r="A360" s="94" t="s">
        <v>7828</v>
      </c>
      <c r="B360" s="95" t="s">
        <v>7829</v>
      </c>
      <c r="C360" s="100">
        <v>28187</v>
      </c>
      <c r="D360" s="94" t="s">
        <v>2656</v>
      </c>
      <c r="E360" s="94" t="s">
        <v>7735</v>
      </c>
      <c r="F360" s="97" t="s">
        <v>7736</v>
      </c>
      <c r="G360" s="95">
        <v>4809014984</v>
      </c>
      <c r="H360" s="98" t="s">
        <v>5057</v>
      </c>
      <c r="I360" s="95">
        <v>48077004487</v>
      </c>
      <c r="J360" s="98" t="s">
        <v>5088</v>
      </c>
      <c r="K360" s="95" t="s">
        <v>5089</v>
      </c>
      <c r="L360" s="98" t="s">
        <v>7830</v>
      </c>
      <c r="M360" s="98" t="s">
        <v>7831</v>
      </c>
      <c r="N360" s="98" t="s">
        <v>7832</v>
      </c>
      <c r="O360" s="98" t="s">
        <v>7832</v>
      </c>
      <c r="P360" s="95">
        <v>905522687</v>
      </c>
      <c r="Q360" s="98" t="s">
        <v>7833</v>
      </c>
      <c r="R360" s="98" t="s">
        <v>5094</v>
      </c>
      <c r="S360" s="99"/>
      <c r="T360" s="100">
        <v>44934</v>
      </c>
      <c r="U360" s="100">
        <v>44934</v>
      </c>
      <c r="V360" s="99"/>
      <c r="W360" s="98" t="s">
        <v>7746</v>
      </c>
      <c r="X360" s="98" t="s">
        <v>5187</v>
      </c>
      <c r="Y360" s="99"/>
      <c r="Z360" s="99"/>
      <c r="AA360" s="99"/>
      <c r="AB360" s="99"/>
      <c r="AC360" s="99"/>
      <c r="AD360" s="99"/>
      <c r="AE360" s="99"/>
      <c r="AF360" s="99"/>
      <c r="AG360" s="95">
        <v>0</v>
      </c>
      <c r="AH360" s="94" t="s">
        <v>7782</v>
      </c>
      <c r="AI360" s="106"/>
      <c r="AJ360" s="99"/>
      <c r="AK360" s="99"/>
      <c r="AL360" s="101" t="s">
        <v>7749</v>
      </c>
      <c r="AM360" s="99"/>
      <c r="AN360" s="99"/>
      <c r="AO360" s="99"/>
      <c r="AP360" s="99"/>
      <c r="AQ360" s="99"/>
      <c r="AR360" s="99"/>
      <c r="AS360" s="99"/>
      <c r="AT360" s="99"/>
      <c r="AU360" s="99"/>
      <c r="AV360" s="99"/>
      <c r="AW360" s="94" t="s">
        <v>7782</v>
      </c>
      <c r="AX360" s="95">
        <v>0</v>
      </c>
      <c r="AY360" s="98" t="s">
        <v>7749</v>
      </c>
      <c r="AZ360" s="102">
        <v>1</v>
      </c>
      <c r="BA360" s="99"/>
      <c r="BB360" s="93"/>
    </row>
    <row r="361" spans="1:54" ht="13.8">
      <c r="A361" s="94" t="s">
        <v>7834</v>
      </c>
      <c r="B361" s="95" t="s">
        <v>7835</v>
      </c>
      <c r="C361" s="96">
        <v>30285</v>
      </c>
      <c r="D361" s="94" t="s">
        <v>2665</v>
      </c>
      <c r="E361" s="94" t="s">
        <v>7836</v>
      </c>
      <c r="F361" s="97" t="s">
        <v>7837</v>
      </c>
      <c r="G361" s="95">
        <v>4815010568</v>
      </c>
      <c r="H361" s="98" t="s">
        <v>5057</v>
      </c>
      <c r="I361" s="95">
        <v>48182003164</v>
      </c>
      <c r="J361" s="98" t="s">
        <v>5088</v>
      </c>
      <c r="K361" s="95" t="s">
        <v>5089</v>
      </c>
      <c r="L361" s="98" t="s">
        <v>5192</v>
      </c>
      <c r="M361" s="98" t="s">
        <v>5193</v>
      </c>
      <c r="N361" s="98" t="s">
        <v>7838</v>
      </c>
      <c r="O361" s="98" t="s">
        <v>7838</v>
      </c>
      <c r="P361" s="95">
        <v>935717810</v>
      </c>
      <c r="Q361" s="98" t="s">
        <v>7839</v>
      </c>
      <c r="R361" s="98" t="s">
        <v>5094</v>
      </c>
      <c r="S361" s="99"/>
      <c r="T361" s="100">
        <v>42007</v>
      </c>
      <c r="U361" s="109"/>
      <c r="V361" s="98" t="s">
        <v>5095</v>
      </c>
      <c r="W361" s="98" t="s">
        <v>7840</v>
      </c>
      <c r="X361" s="98" t="s">
        <v>5096</v>
      </c>
      <c r="Y361" s="98" t="s">
        <v>7840</v>
      </c>
      <c r="Z361" s="99"/>
      <c r="AA361" s="99"/>
      <c r="AB361" s="99"/>
      <c r="AC361" s="99"/>
      <c r="AD361" s="99"/>
      <c r="AE361" s="99"/>
      <c r="AF361" s="99"/>
      <c r="AG361" s="95">
        <v>1</v>
      </c>
      <c r="AH361" s="94" t="s">
        <v>7782</v>
      </c>
      <c r="AI361" s="106"/>
      <c r="AJ361" s="99"/>
      <c r="AK361" s="99"/>
      <c r="AL361" s="101" t="s">
        <v>7840</v>
      </c>
      <c r="AM361" s="99"/>
      <c r="AN361" s="99"/>
      <c r="AO361" s="99"/>
      <c r="AP361" s="99"/>
      <c r="AQ361" s="99"/>
      <c r="AR361" s="99"/>
      <c r="AS361" s="99"/>
      <c r="AT361" s="99"/>
      <c r="AU361" s="99"/>
      <c r="AV361" s="99"/>
      <c r="AW361" s="94" t="s">
        <v>7782</v>
      </c>
      <c r="AX361" s="95">
        <v>0</v>
      </c>
      <c r="AY361" s="98" t="s">
        <v>7840</v>
      </c>
      <c r="AZ361" s="102">
        <v>6</v>
      </c>
      <c r="BA361" s="110">
        <v>46266</v>
      </c>
      <c r="BB361" s="93"/>
    </row>
    <row r="362" spans="1:54" ht="13.8">
      <c r="A362" s="94" t="s">
        <v>7841</v>
      </c>
      <c r="B362" s="95" t="s">
        <v>7842</v>
      </c>
      <c r="C362" s="100">
        <v>32629</v>
      </c>
      <c r="D362" s="94" t="s">
        <v>2665</v>
      </c>
      <c r="E362" s="94" t="s">
        <v>7836</v>
      </c>
      <c r="F362" s="97" t="s">
        <v>7837</v>
      </c>
      <c r="G362" s="95">
        <v>4814009043</v>
      </c>
      <c r="H362" s="98" t="s">
        <v>5057</v>
      </c>
      <c r="I362" s="95">
        <v>48189006070</v>
      </c>
      <c r="J362" s="98" t="s">
        <v>5088</v>
      </c>
      <c r="K362" s="95" t="s">
        <v>5089</v>
      </c>
      <c r="L362" s="98" t="s">
        <v>7843</v>
      </c>
      <c r="M362" s="98" t="s">
        <v>5272</v>
      </c>
      <c r="N362" s="98" t="s">
        <v>7844</v>
      </c>
      <c r="O362" s="98" t="s">
        <v>7844</v>
      </c>
      <c r="P362" s="95">
        <v>905516381</v>
      </c>
      <c r="Q362" s="98" t="s">
        <v>7845</v>
      </c>
      <c r="R362" s="98" t="s">
        <v>5094</v>
      </c>
      <c r="S362" s="99"/>
      <c r="T362" s="100">
        <v>41640</v>
      </c>
      <c r="U362" s="100">
        <v>42005</v>
      </c>
      <c r="V362" s="98" t="s">
        <v>5095</v>
      </c>
      <c r="W362" s="98" t="s">
        <v>5142</v>
      </c>
      <c r="X362" s="98" t="s">
        <v>5096</v>
      </c>
      <c r="Y362" s="98" t="s">
        <v>7741</v>
      </c>
      <c r="Z362" s="99"/>
      <c r="AA362" s="99"/>
      <c r="AB362" s="95" t="s">
        <v>5161</v>
      </c>
      <c r="AC362" s="99"/>
      <c r="AD362" s="99"/>
      <c r="AE362" s="95" t="s">
        <v>5161</v>
      </c>
      <c r="AF362" s="99"/>
      <c r="AG362" s="95">
        <v>1</v>
      </c>
      <c r="AH362" s="94" t="s">
        <v>5084</v>
      </c>
      <c r="AI362" s="94" t="s">
        <v>5075</v>
      </c>
      <c r="AJ362" s="98" t="s">
        <v>5076</v>
      </c>
      <c r="AK362" s="98" t="s">
        <v>2659</v>
      </c>
      <c r="AL362" s="101" t="s">
        <v>5142</v>
      </c>
      <c r="AM362" s="98" t="s">
        <v>5188</v>
      </c>
      <c r="AN362" s="98" t="s">
        <v>5079</v>
      </c>
      <c r="AO362" s="98" t="s">
        <v>5080</v>
      </c>
      <c r="AP362" s="102">
        <v>807</v>
      </c>
      <c r="AQ362" s="102">
        <v>2017</v>
      </c>
      <c r="AR362" s="99"/>
      <c r="AS362" s="98" t="s">
        <v>5142</v>
      </c>
      <c r="AT362" s="99"/>
      <c r="AU362" s="98" t="s">
        <v>5084</v>
      </c>
      <c r="AV362" s="95">
        <v>0</v>
      </c>
      <c r="AW362" s="94" t="s">
        <v>5084</v>
      </c>
      <c r="AX362" s="95">
        <v>0</v>
      </c>
      <c r="AY362" s="98" t="s">
        <v>5167</v>
      </c>
      <c r="AZ362" s="102">
        <v>4</v>
      </c>
      <c r="BA362" s="102" t="s">
        <v>5168</v>
      </c>
      <c r="BB362" s="93"/>
    </row>
    <row r="363" spans="1:54" ht="13.8">
      <c r="A363" s="94" t="s">
        <v>326</v>
      </c>
      <c r="B363" s="95" t="s">
        <v>7846</v>
      </c>
      <c r="C363" s="100">
        <v>30473</v>
      </c>
      <c r="D363" s="94" t="s">
        <v>2665</v>
      </c>
      <c r="E363" s="94" t="s">
        <v>7836</v>
      </c>
      <c r="F363" s="97" t="s">
        <v>7837</v>
      </c>
      <c r="G363" s="95">
        <v>4812039459</v>
      </c>
      <c r="H363" s="98" t="s">
        <v>5057</v>
      </c>
      <c r="I363" s="95">
        <v>49183019762</v>
      </c>
      <c r="J363" s="98" t="s">
        <v>5088</v>
      </c>
      <c r="K363" s="104">
        <v>44805</v>
      </c>
      <c r="L363" s="98" t="s">
        <v>6583</v>
      </c>
      <c r="M363" s="98" t="s">
        <v>7847</v>
      </c>
      <c r="N363" s="98" t="s">
        <v>5224</v>
      </c>
      <c r="O363" s="98" t="s">
        <v>7848</v>
      </c>
      <c r="P363" s="95">
        <v>905414966</v>
      </c>
      <c r="Q363" s="98" t="s">
        <v>7849</v>
      </c>
      <c r="R363" s="98" t="s">
        <v>5094</v>
      </c>
      <c r="S363" s="99"/>
      <c r="T363" s="100">
        <v>39814</v>
      </c>
      <c r="U363" s="100">
        <v>40179</v>
      </c>
      <c r="V363" s="98" t="s">
        <v>7850</v>
      </c>
      <c r="W363" s="98" t="s">
        <v>5142</v>
      </c>
      <c r="X363" s="98" t="s">
        <v>5096</v>
      </c>
      <c r="Y363" s="99"/>
      <c r="Z363" s="99"/>
      <c r="AA363" s="98" t="s">
        <v>5143</v>
      </c>
      <c r="AB363" s="95" t="s">
        <v>7851</v>
      </c>
      <c r="AC363" s="99"/>
      <c r="AD363" s="99"/>
      <c r="AE363" s="95" t="s">
        <v>5161</v>
      </c>
      <c r="AF363" s="99"/>
      <c r="AG363" s="95">
        <v>0</v>
      </c>
      <c r="AH363" s="94" t="s">
        <v>5084</v>
      </c>
      <c r="AI363" s="94" t="s">
        <v>5122</v>
      </c>
      <c r="AJ363" s="98" t="s">
        <v>6157</v>
      </c>
      <c r="AK363" s="98" t="s">
        <v>5275</v>
      </c>
      <c r="AL363" s="101" t="s">
        <v>5142</v>
      </c>
      <c r="AM363" s="98" t="s">
        <v>5179</v>
      </c>
      <c r="AN363" s="98" t="s">
        <v>5079</v>
      </c>
      <c r="AO363" s="98" t="s">
        <v>5080</v>
      </c>
      <c r="AP363" s="102">
        <v>800</v>
      </c>
      <c r="AQ363" s="102">
        <v>2011</v>
      </c>
      <c r="AR363" s="98" t="s">
        <v>5200</v>
      </c>
      <c r="AS363" s="98" t="s">
        <v>5142</v>
      </c>
      <c r="AT363" s="99"/>
      <c r="AU363" s="98" t="s">
        <v>5228</v>
      </c>
      <c r="AV363" s="95">
        <v>0</v>
      </c>
      <c r="AW363" s="94" t="s">
        <v>5084</v>
      </c>
      <c r="AX363" s="95">
        <v>0</v>
      </c>
      <c r="AY363" s="98" t="s">
        <v>5167</v>
      </c>
      <c r="AZ363" s="102">
        <v>6</v>
      </c>
      <c r="BA363" s="102" t="s">
        <v>5260</v>
      </c>
      <c r="BB363" s="93"/>
    </row>
    <row r="364" spans="1:54" ht="13.8">
      <c r="A364" s="94" t="s">
        <v>7852</v>
      </c>
      <c r="B364" s="95" t="s">
        <v>7853</v>
      </c>
      <c r="C364" s="100">
        <v>26943</v>
      </c>
      <c r="D364" s="94" t="s">
        <v>2665</v>
      </c>
      <c r="E364" s="94" t="s">
        <v>7836</v>
      </c>
      <c r="F364" s="97" t="s">
        <v>7837</v>
      </c>
      <c r="G364" s="95">
        <v>4811044783</v>
      </c>
      <c r="H364" s="98" t="s">
        <v>5057</v>
      </c>
      <c r="I364" s="95">
        <v>48185007684</v>
      </c>
      <c r="J364" s="98" t="s">
        <v>5088</v>
      </c>
      <c r="K364" s="95" t="s">
        <v>5089</v>
      </c>
      <c r="L364" s="98" t="s">
        <v>5155</v>
      </c>
      <c r="M364" s="98" t="s">
        <v>5156</v>
      </c>
      <c r="N364" s="98" t="s">
        <v>5140</v>
      </c>
      <c r="O364" s="98" t="s">
        <v>5140</v>
      </c>
      <c r="P364" s="95">
        <v>905635562</v>
      </c>
      <c r="Q364" s="98" t="s">
        <v>7854</v>
      </c>
      <c r="R364" s="98" t="s">
        <v>5094</v>
      </c>
      <c r="S364" s="99"/>
      <c r="T364" s="100">
        <v>40553</v>
      </c>
      <c r="U364" s="100">
        <v>40918</v>
      </c>
      <c r="V364" s="98" t="s">
        <v>5095</v>
      </c>
      <c r="W364" s="98" t="s">
        <v>5142</v>
      </c>
      <c r="X364" s="98" t="s">
        <v>5096</v>
      </c>
      <c r="Y364" s="99"/>
      <c r="Z364" s="99"/>
      <c r="AA364" s="99"/>
      <c r="AB364" s="95" t="s">
        <v>5161</v>
      </c>
      <c r="AC364" s="99"/>
      <c r="AD364" s="99"/>
      <c r="AE364" s="95" t="s">
        <v>5161</v>
      </c>
      <c r="AF364" s="99"/>
      <c r="AG364" s="95">
        <v>1</v>
      </c>
      <c r="AH364" s="94" t="s">
        <v>7782</v>
      </c>
      <c r="AI364" s="106"/>
      <c r="AJ364" s="98" t="s">
        <v>5266</v>
      </c>
      <c r="AK364" s="98" t="s">
        <v>7855</v>
      </c>
      <c r="AL364" s="101" t="s">
        <v>7840</v>
      </c>
      <c r="AM364" s="98" t="s">
        <v>5188</v>
      </c>
      <c r="AN364" s="98" t="s">
        <v>5079</v>
      </c>
      <c r="AO364" s="98" t="s">
        <v>5080</v>
      </c>
      <c r="AP364" s="102">
        <v>807</v>
      </c>
      <c r="AQ364" s="102">
        <v>2009</v>
      </c>
      <c r="AR364" s="98" t="s">
        <v>5200</v>
      </c>
      <c r="AS364" s="98" t="s">
        <v>5142</v>
      </c>
      <c r="AT364" s="99"/>
      <c r="AU364" s="98" t="s">
        <v>5228</v>
      </c>
      <c r="AV364" s="95">
        <v>0</v>
      </c>
      <c r="AW364" s="94" t="s">
        <v>7782</v>
      </c>
      <c r="AX364" s="95">
        <v>0</v>
      </c>
      <c r="AY364" s="98" t="s">
        <v>5167</v>
      </c>
      <c r="AZ364" s="102">
        <v>5</v>
      </c>
      <c r="BA364" s="102" t="s">
        <v>5153</v>
      </c>
      <c r="BB364" s="93"/>
    </row>
    <row r="365" spans="1:54" ht="13.8">
      <c r="A365" s="94" t="s">
        <v>7856</v>
      </c>
      <c r="B365" s="95" t="s">
        <v>7857</v>
      </c>
      <c r="C365" s="100">
        <v>31253</v>
      </c>
      <c r="D365" s="94" t="s">
        <v>2665</v>
      </c>
      <c r="E365" s="94" t="s">
        <v>7836</v>
      </c>
      <c r="F365" s="97" t="s">
        <v>7837</v>
      </c>
      <c r="G365" s="95">
        <v>4813001877</v>
      </c>
      <c r="H365" s="98" t="s">
        <v>5057</v>
      </c>
      <c r="I365" s="95">
        <v>40173028466</v>
      </c>
      <c r="J365" s="98" t="s">
        <v>5088</v>
      </c>
      <c r="K365" s="95" t="s">
        <v>7858</v>
      </c>
      <c r="L365" s="98" t="s">
        <v>5251</v>
      </c>
      <c r="M365" s="98" t="s">
        <v>5252</v>
      </c>
      <c r="N365" s="98" t="s">
        <v>7859</v>
      </c>
      <c r="O365" s="98" t="s">
        <v>7860</v>
      </c>
      <c r="P365" s="95">
        <v>988771943</v>
      </c>
      <c r="Q365" s="98" t="s">
        <v>7861</v>
      </c>
      <c r="R365" s="98" t="s">
        <v>5094</v>
      </c>
      <c r="S365" s="99"/>
      <c r="T365" s="100">
        <v>41642</v>
      </c>
      <c r="U365" s="108" t="s">
        <v>5161</v>
      </c>
      <c r="V365" s="98" t="s">
        <v>5095</v>
      </c>
      <c r="W365" s="98" t="s">
        <v>7840</v>
      </c>
      <c r="X365" s="98" t="s">
        <v>7780</v>
      </c>
      <c r="Y365" s="98" t="s">
        <v>7840</v>
      </c>
      <c r="Z365" s="99"/>
      <c r="AA365" s="99"/>
      <c r="AB365" s="95" t="s">
        <v>5161</v>
      </c>
      <c r="AC365" s="99"/>
      <c r="AD365" s="99"/>
      <c r="AE365" s="95" t="s">
        <v>5161</v>
      </c>
      <c r="AF365" s="99"/>
      <c r="AG365" s="95">
        <v>1</v>
      </c>
      <c r="AH365" s="94" t="s">
        <v>5162</v>
      </c>
      <c r="AI365" s="94" t="s">
        <v>5122</v>
      </c>
      <c r="AJ365" s="99"/>
      <c r="AK365" s="99"/>
      <c r="AL365" s="101" t="s">
        <v>5142</v>
      </c>
      <c r="AM365" s="99"/>
      <c r="AN365" s="98" t="s">
        <v>5079</v>
      </c>
      <c r="AO365" s="99"/>
      <c r="AP365" s="99"/>
      <c r="AQ365" s="99"/>
      <c r="AR365" s="99"/>
      <c r="AS365" s="99"/>
      <c r="AT365" s="99"/>
      <c r="AU365" s="99"/>
      <c r="AV365" s="95">
        <v>0</v>
      </c>
      <c r="AW365" s="94" t="s">
        <v>5162</v>
      </c>
      <c r="AX365" s="95">
        <v>0</v>
      </c>
      <c r="AY365" s="98" t="s">
        <v>7840</v>
      </c>
      <c r="AZ365" s="102">
        <v>8</v>
      </c>
      <c r="BA365" s="102" t="s">
        <v>7862</v>
      </c>
      <c r="BB365" s="93"/>
    </row>
    <row r="366" spans="1:54" ht="13.8">
      <c r="A366" s="94" t="s">
        <v>7863</v>
      </c>
      <c r="B366" s="95" t="s">
        <v>7864</v>
      </c>
      <c r="C366" s="100">
        <v>23979</v>
      </c>
      <c r="D366" s="94" t="s">
        <v>2656</v>
      </c>
      <c r="E366" s="94" t="s">
        <v>7836</v>
      </c>
      <c r="F366" s="97" t="s">
        <v>7837</v>
      </c>
      <c r="G366" s="95">
        <v>4815010566</v>
      </c>
      <c r="H366" s="98" t="s">
        <v>5057</v>
      </c>
      <c r="I366" s="95">
        <v>49065014431</v>
      </c>
      <c r="J366" s="98" t="s">
        <v>5088</v>
      </c>
      <c r="K366" s="95" t="s">
        <v>6461</v>
      </c>
      <c r="L366" s="98" t="s">
        <v>7865</v>
      </c>
      <c r="M366" s="98" t="s">
        <v>7866</v>
      </c>
      <c r="N366" s="98" t="s">
        <v>7867</v>
      </c>
      <c r="O366" s="98" t="s">
        <v>7867</v>
      </c>
      <c r="P366" s="95">
        <v>905261154</v>
      </c>
      <c r="Q366" s="98" t="s">
        <v>7868</v>
      </c>
      <c r="R366" s="98" t="s">
        <v>5094</v>
      </c>
      <c r="S366" s="99"/>
      <c r="T366" s="100">
        <v>42007</v>
      </c>
      <c r="U366" s="109"/>
      <c r="V366" s="98" t="s">
        <v>5095</v>
      </c>
      <c r="W366" s="98" t="s">
        <v>5469</v>
      </c>
      <c r="X366" s="98" t="s">
        <v>7780</v>
      </c>
      <c r="Y366" s="98" t="s">
        <v>5469</v>
      </c>
      <c r="Z366" s="99"/>
      <c r="AA366" s="99"/>
      <c r="AB366" s="99"/>
      <c r="AC366" s="99"/>
      <c r="AD366" s="99"/>
      <c r="AE366" s="99"/>
      <c r="AF366" s="99"/>
      <c r="AG366" s="95">
        <v>1</v>
      </c>
      <c r="AH366" s="94" t="s">
        <v>7782</v>
      </c>
      <c r="AI366" s="106"/>
      <c r="AJ366" s="99"/>
      <c r="AK366" s="99"/>
      <c r="AL366" s="101" t="s">
        <v>7869</v>
      </c>
      <c r="AM366" s="99"/>
      <c r="AN366" s="99"/>
      <c r="AO366" s="99"/>
      <c r="AP366" s="99"/>
      <c r="AQ366" s="99"/>
      <c r="AR366" s="99"/>
      <c r="AS366" s="99"/>
      <c r="AT366" s="99"/>
      <c r="AU366" s="99"/>
      <c r="AV366" s="99"/>
      <c r="AW366" s="94" t="s">
        <v>7782</v>
      </c>
      <c r="AX366" s="95">
        <v>0</v>
      </c>
      <c r="AY366" s="98" t="s">
        <v>7869</v>
      </c>
      <c r="AZ366" s="102">
        <v>6</v>
      </c>
      <c r="BA366" s="102" t="s">
        <v>7870</v>
      </c>
      <c r="BB366" s="93"/>
    </row>
    <row r="367" spans="1:54" ht="13.8">
      <c r="A367" s="94" t="s">
        <v>7871</v>
      </c>
      <c r="B367" s="95" t="s">
        <v>7872</v>
      </c>
      <c r="C367" s="100">
        <v>30122</v>
      </c>
      <c r="D367" s="94" t="s">
        <v>2665</v>
      </c>
      <c r="E367" s="94" t="s">
        <v>7836</v>
      </c>
      <c r="F367" s="97" t="s">
        <v>7837</v>
      </c>
      <c r="G367" s="95">
        <v>4814009955</v>
      </c>
      <c r="H367" s="98" t="s">
        <v>5057</v>
      </c>
      <c r="I367" s="95">
        <v>45182007961</v>
      </c>
      <c r="J367" s="98" t="s">
        <v>5088</v>
      </c>
      <c r="K367" s="95" t="s">
        <v>5089</v>
      </c>
      <c r="L367" s="98" t="s">
        <v>7873</v>
      </c>
      <c r="M367" s="98" t="s">
        <v>7874</v>
      </c>
      <c r="N367" s="98" t="s">
        <v>7875</v>
      </c>
      <c r="O367" s="98" t="s">
        <v>7875</v>
      </c>
      <c r="P367" s="95">
        <v>935729117</v>
      </c>
      <c r="Q367" s="98" t="s">
        <v>7876</v>
      </c>
      <c r="R367" s="98" t="s">
        <v>5094</v>
      </c>
      <c r="S367" s="99"/>
      <c r="T367" s="100">
        <v>41642</v>
      </c>
      <c r="U367" s="108" t="s">
        <v>5161</v>
      </c>
      <c r="V367" s="98" t="s">
        <v>5095</v>
      </c>
      <c r="W367" s="98" t="s">
        <v>7840</v>
      </c>
      <c r="X367" s="98" t="s">
        <v>7780</v>
      </c>
      <c r="Y367" s="98" t="s">
        <v>7840</v>
      </c>
      <c r="Z367" s="99"/>
      <c r="AA367" s="99"/>
      <c r="AB367" s="95" t="s">
        <v>5161</v>
      </c>
      <c r="AC367" s="99"/>
      <c r="AD367" s="99"/>
      <c r="AE367" s="95" t="s">
        <v>5161</v>
      </c>
      <c r="AF367" s="99"/>
      <c r="AG367" s="95">
        <v>1</v>
      </c>
      <c r="AH367" s="94" t="s">
        <v>7782</v>
      </c>
      <c r="AI367" s="106"/>
      <c r="AJ367" s="99"/>
      <c r="AK367" s="99"/>
      <c r="AL367" s="101" t="s">
        <v>7840</v>
      </c>
      <c r="AM367" s="99"/>
      <c r="AN367" s="98" t="s">
        <v>5079</v>
      </c>
      <c r="AO367" s="99"/>
      <c r="AP367" s="99"/>
      <c r="AQ367" s="99"/>
      <c r="AR367" s="99"/>
      <c r="AS367" s="99"/>
      <c r="AT367" s="99"/>
      <c r="AU367" s="99"/>
      <c r="AV367" s="95">
        <v>0</v>
      </c>
      <c r="AW367" s="94" t="s">
        <v>7782</v>
      </c>
      <c r="AX367" s="95">
        <v>0</v>
      </c>
      <c r="AY367" s="98" t="s">
        <v>7840</v>
      </c>
      <c r="AZ367" s="102">
        <v>6</v>
      </c>
      <c r="BA367" s="110">
        <v>46266</v>
      </c>
      <c r="BB367" s="93"/>
    </row>
    <row r="368" spans="1:54" ht="13.8">
      <c r="A368" s="94" t="s">
        <v>7877</v>
      </c>
      <c r="B368" s="95" t="s">
        <v>7878</v>
      </c>
      <c r="C368" s="100">
        <v>35439</v>
      </c>
      <c r="D368" s="94" t="s">
        <v>2656</v>
      </c>
      <c r="E368" s="94" t="s">
        <v>7836</v>
      </c>
      <c r="F368" s="97" t="s">
        <v>7837</v>
      </c>
      <c r="G368" s="95">
        <v>5120723449</v>
      </c>
      <c r="H368" s="98" t="s">
        <v>5181</v>
      </c>
      <c r="I368" s="95">
        <v>51097013444</v>
      </c>
      <c r="J368" s="98" t="s">
        <v>5088</v>
      </c>
      <c r="K368" s="104">
        <v>44474</v>
      </c>
      <c r="L368" s="98" t="s">
        <v>7879</v>
      </c>
      <c r="M368" s="98" t="s">
        <v>7880</v>
      </c>
      <c r="N368" s="98" t="s">
        <v>7881</v>
      </c>
      <c r="O368" s="98" t="s">
        <v>7882</v>
      </c>
      <c r="P368" s="95">
        <v>972234739</v>
      </c>
      <c r="Q368" s="98" t="s">
        <v>7883</v>
      </c>
      <c r="R368" s="98" t="s">
        <v>5094</v>
      </c>
      <c r="S368" s="99"/>
      <c r="T368" s="100">
        <v>44568</v>
      </c>
      <c r="U368" s="100">
        <v>44568</v>
      </c>
      <c r="V368" s="99"/>
      <c r="W368" s="98" t="s">
        <v>5142</v>
      </c>
      <c r="X368" s="98" t="s">
        <v>5187</v>
      </c>
      <c r="Y368" s="99"/>
      <c r="Z368" s="99"/>
      <c r="AA368" s="99"/>
      <c r="AB368" s="99"/>
      <c r="AC368" s="99"/>
      <c r="AD368" s="99"/>
      <c r="AE368" s="95" t="s">
        <v>7884</v>
      </c>
      <c r="AF368" s="99"/>
      <c r="AG368" s="95">
        <v>0</v>
      </c>
      <c r="AH368" s="94" t="s">
        <v>5162</v>
      </c>
      <c r="AI368" s="94" t="s">
        <v>5122</v>
      </c>
      <c r="AJ368" s="98" t="s">
        <v>6157</v>
      </c>
      <c r="AK368" s="98" t="s">
        <v>3221</v>
      </c>
      <c r="AL368" s="101" t="s">
        <v>5142</v>
      </c>
      <c r="AM368" s="99"/>
      <c r="AN368" s="98" t="s">
        <v>5079</v>
      </c>
      <c r="AO368" s="98" t="s">
        <v>5080</v>
      </c>
      <c r="AP368" s="98" t="s">
        <v>5188</v>
      </c>
      <c r="AQ368" s="102">
        <v>2019</v>
      </c>
      <c r="AR368" s="98" t="s">
        <v>5200</v>
      </c>
      <c r="AS368" s="98" t="s">
        <v>5142</v>
      </c>
      <c r="AT368" s="99"/>
      <c r="AU368" s="98" t="s">
        <v>5151</v>
      </c>
      <c r="AV368" s="99"/>
      <c r="AW368" s="94" t="s">
        <v>5162</v>
      </c>
      <c r="AX368" s="95">
        <v>0</v>
      </c>
      <c r="AY368" s="98" t="s">
        <v>5167</v>
      </c>
      <c r="AZ368" s="102">
        <v>2</v>
      </c>
      <c r="BA368" s="102" t="s">
        <v>5237</v>
      </c>
      <c r="BB368" s="93"/>
    </row>
    <row r="369" spans="1:54" ht="13.8">
      <c r="A369" s="94" t="s">
        <v>7885</v>
      </c>
      <c r="B369" s="95" t="s">
        <v>7886</v>
      </c>
      <c r="C369" s="100">
        <v>23804</v>
      </c>
      <c r="D369" s="94" t="s">
        <v>2656</v>
      </c>
      <c r="E369" s="94" t="s">
        <v>7836</v>
      </c>
      <c r="F369" s="97" t="s">
        <v>7837</v>
      </c>
      <c r="G369" s="95">
        <v>4814009954</v>
      </c>
      <c r="H369" s="98" t="s">
        <v>5057</v>
      </c>
      <c r="I369" s="95">
        <v>49065008579</v>
      </c>
      <c r="J369" s="98" t="s">
        <v>5088</v>
      </c>
      <c r="K369" s="95" t="s">
        <v>7887</v>
      </c>
      <c r="L369" s="98" t="s">
        <v>6583</v>
      </c>
      <c r="M369" s="98" t="s">
        <v>7847</v>
      </c>
      <c r="N369" s="98" t="s">
        <v>7847</v>
      </c>
      <c r="O369" s="98" t="s">
        <v>7888</v>
      </c>
      <c r="P369" s="95">
        <v>905118160</v>
      </c>
      <c r="Q369" s="98" t="s">
        <v>7889</v>
      </c>
      <c r="R369" s="98" t="s">
        <v>5094</v>
      </c>
      <c r="S369" s="99"/>
      <c r="T369" s="100">
        <v>41642</v>
      </c>
      <c r="U369" s="108" t="s">
        <v>5161</v>
      </c>
      <c r="V369" s="98" t="s">
        <v>5095</v>
      </c>
      <c r="W369" s="98" t="s">
        <v>5469</v>
      </c>
      <c r="X369" s="98" t="s">
        <v>7780</v>
      </c>
      <c r="Y369" s="98" t="s">
        <v>5469</v>
      </c>
      <c r="Z369" s="99"/>
      <c r="AA369" s="99"/>
      <c r="AB369" s="95" t="s">
        <v>5161</v>
      </c>
      <c r="AC369" s="99"/>
      <c r="AD369" s="99"/>
      <c r="AE369" s="95" t="s">
        <v>5161</v>
      </c>
      <c r="AF369" s="99"/>
      <c r="AG369" s="95">
        <v>1</v>
      </c>
      <c r="AH369" s="94" t="s">
        <v>7782</v>
      </c>
      <c r="AI369" s="106"/>
      <c r="AJ369" s="99"/>
      <c r="AK369" s="99"/>
      <c r="AL369" s="101" t="s">
        <v>7869</v>
      </c>
      <c r="AM369" s="99"/>
      <c r="AN369" s="98" t="s">
        <v>5079</v>
      </c>
      <c r="AO369" s="99"/>
      <c r="AP369" s="99"/>
      <c r="AQ369" s="99"/>
      <c r="AR369" s="99"/>
      <c r="AS369" s="99"/>
      <c r="AT369" s="99"/>
      <c r="AU369" s="99"/>
      <c r="AV369" s="95">
        <v>0</v>
      </c>
      <c r="AW369" s="94" t="s">
        <v>7782</v>
      </c>
      <c r="AX369" s="95">
        <v>0</v>
      </c>
      <c r="AY369" s="98" t="s">
        <v>7869</v>
      </c>
      <c r="AZ369" s="102">
        <v>6</v>
      </c>
      <c r="BA369" s="102" t="s">
        <v>7870</v>
      </c>
      <c r="BB369" s="93"/>
    </row>
    <row r="370" spans="1:54" ht="13.8">
      <c r="A370" s="94" t="s">
        <v>7890</v>
      </c>
      <c r="B370" s="95" t="s">
        <v>7891</v>
      </c>
      <c r="C370" s="100">
        <v>26475</v>
      </c>
      <c r="D370" s="94" t="s">
        <v>2665</v>
      </c>
      <c r="E370" s="94" t="s">
        <v>7836</v>
      </c>
      <c r="F370" s="97" t="s">
        <v>7837</v>
      </c>
      <c r="G370" s="95">
        <v>4811023326</v>
      </c>
      <c r="H370" s="98" t="s">
        <v>5057</v>
      </c>
      <c r="I370" s="95">
        <v>30172018409</v>
      </c>
      <c r="J370" s="98" t="s">
        <v>5088</v>
      </c>
      <c r="K370" s="95" t="s">
        <v>5202</v>
      </c>
      <c r="L370" s="98" t="s">
        <v>7892</v>
      </c>
      <c r="M370" s="98" t="s">
        <v>7893</v>
      </c>
      <c r="N370" s="98" t="s">
        <v>7894</v>
      </c>
      <c r="O370" s="98" t="s">
        <v>7895</v>
      </c>
      <c r="P370" s="95">
        <v>843210872</v>
      </c>
      <c r="Q370" s="98" t="s">
        <v>7896</v>
      </c>
      <c r="R370" s="98" t="s">
        <v>5094</v>
      </c>
      <c r="S370" s="99"/>
      <c r="T370" s="100">
        <v>41900</v>
      </c>
      <c r="U370" s="108" t="s">
        <v>5161</v>
      </c>
      <c r="V370" s="98" t="s">
        <v>5095</v>
      </c>
      <c r="W370" s="98" t="s">
        <v>7840</v>
      </c>
      <c r="X370" s="98" t="s">
        <v>5096</v>
      </c>
      <c r="Y370" s="98" t="s">
        <v>7840</v>
      </c>
      <c r="Z370" s="99"/>
      <c r="AA370" s="99"/>
      <c r="AB370" s="95" t="s">
        <v>5161</v>
      </c>
      <c r="AC370" s="99"/>
      <c r="AD370" s="99"/>
      <c r="AE370" s="95" t="s">
        <v>5161</v>
      </c>
      <c r="AF370" s="99"/>
      <c r="AG370" s="95">
        <v>1</v>
      </c>
      <c r="AH370" s="94" t="s">
        <v>7782</v>
      </c>
      <c r="AI370" s="106"/>
      <c r="AJ370" s="99"/>
      <c r="AK370" s="99"/>
      <c r="AL370" s="101" t="s">
        <v>7840</v>
      </c>
      <c r="AM370" s="99"/>
      <c r="AN370" s="99"/>
      <c r="AO370" s="99"/>
      <c r="AP370" s="99"/>
      <c r="AQ370" s="99"/>
      <c r="AR370" s="99"/>
      <c r="AS370" s="99"/>
      <c r="AT370" s="99"/>
      <c r="AU370" s="99"/>
      <c r="AV370" s="95">
        <v>0</v>
      </c>
      <c r="AW370" s="94" t="s">
        <v>7782</v>
      </c>
      <c r="AX370" s="95">
        <v>0</v>
      </c>
      <c r="AY370" s="98" t="s">
        <v>7840</v>
      </c>
      <c r="AZ370" s="102">
        <v>8</v>
      </c>
      <c r="BA370" s="102" t="s">
        <v>7862</v>
      </c>
      <c r="BB370" s="93"/>
    </row>
    <row r="371" spans="1:54" ht="13.8">
      <c r="A371" s="94" t="s">
        <v>7897</v>
      </c>
      <c r="B371" s="95" t="s">
        <v>7898</v>
      </c>
      <c r="C371" s="100">
        <v>30951</v>
      </c>
      <c r="D371" s="94" t="s">
        <v>2656</v>
      </c>
      <c r="E371" s="94" t="s">
        <v>7836</v>
      </c>
      <c r="F371" s="97" t="s">
        <v>7837</v>
      </c>
      <c r="G371" s="95">
        <v>407003986</v>
      </c>
      <c r="H371" s="98" t="s">
        <v>5057</v>
      </c>
      <c r="I371" s="95">
        <v>48084007079</v>
      </c>
      <c r="J371" s="98" t="s">
        <v>5088</v>
      </c>
      <c r="K371" s="95" t="s">
        <v>5089</v>
      </c>
      <c r="L371" s="98" t="s">
        <v>5294</v>
      </c>
      <c r="M371" s="98" t="s">
        <v>7120</v>
      </c>
      <c r="N371" s="98" t="s">
        <v>7899</v>
      </c>
      <c r="O371" s="98" t="s">
        <v>7899</v>
      </c>
      <c r="P371" s="95">
        <v>978690096</v>
      </c>
      <c r="Q371" s="98" t="s">
        <v>7900</v>
      </c>
      <c r="R371" s="98" t="s">
        <v>5094</v>
      </c>
      <c r="S371" s="99"/>
      <c r="T371" s="100">
        <v>43477</v>
      </c>
      <c r="U371" s="100">
        <v>43477</v>
      </c>
      <c r="V371" s="98" t="s">
        <v>5095</v>
      </c>
      <c r="W371" s="98" t="s">
        <v>5142</v>
      </c>
      <c r="X371" s="98" t="s">
        <v>5096</v>
      </c>
      <c r="Y371" s="98" t="s">
        <v>5799</v>
      </c>
      <c r="Z371" s="99"/>
      <c r="AA371" s="99"/>
      <c r="AB371" s="99"/>
      <c r="AC371" s="99"/>
      <c r="AD371" s="99"/>
      <c r="AE371" s="99"/>
      <c r="AF371" s="99"/>
      <c r="AG371" s="95">
        <v>1</v>
      </c>
      <c r="AH371" s="94" t="s">
        <v>5162</v>
      </c>
      <c r="AI371" s="94" t="s">
        <v>5075</v>
      </c>
      <c r="AJ371" s="98" t="s">
        <v>5076</v>
      </c>
      <c r="AK371" s="98" t="s">
        <v>3000</v>
      </c>
      <c r="AL371" s="101" t="s">
        <v>5142</v>
      </c>
      <c r="AM371" s="99"/>
      <c r="AN371" s="98" t="s">
        <v>5079</v>
      </c>
      <c r="AO371" s="98" t="s">
        <v>5080</v>
      </c>
      <c r="AP371" s="98" t="s">
        <v>7901</v>
      </c>
      <c r="AQ371" s="102">
        <v>2013</v>
      </c>
      <c r="AR371" s="99"/>
      <c r="AS371" s="98" t="s">
        <v>5142</v>
      </c>
      <c r="AT371" s="99"/>
      <c r="AU371" s="98" t="s">
        <v>5162</v>
      </c>
      <c r="AV371" s="99"/>
      <c r="AW371" s="94" t="s">
        <v>5162</v>
      </c>
      <c r="AX371" s="95">
        <v>0</v>
      </c>
      <c r="AY371" s="98" t="s">
        <v>5167</v>
      </c>
      <c r="AZ371" s="102">
        <v>3</v>
      </c>
      <c r="BA371" s="102">
        <v>3</v>
      </c>
      <c r="BB371" s="93"/>
    </row>
    <row r="372" spans="1:54" ht="13.8">
      <c r="A372" s="94" t="s">
        <v>7902</v>
      </c>
      <c r="B372" s="95" t="s">
        <v>7903</v>
      </c>
      <c r="C372" s="100">
        <v>33939</v>
      </c>
      <c r="D372" s="94" t="s">
        <v>2665</v>
      </c>
      <c r="E372" s="94" t="s">
        <v>7836</v>
      </c>
      <c r="F372" s="97" t="s">
        <v>7837</v>
      </c>
      <c r="G372" s="95">
        <v>4813008043</v>
      </c>
      <c r="H372" s="98" t="s">
        <v>5057</v>
      </c>
      <c r="I372" s="95">
        <v>48192008769</v>
      </c>
      <c r="J372" s="98" t="s">
        <v>5088</v>
      </c>
      <c r="K372" s="95" t="s">
        <v>5089</v>
      </c>
      <c r="L372" s="98" t="s">
        <v>7904</v>
      </c>
      <c r="M372" s="98" t="s">
        <v>7634</v>
      </c>
      <c r="N372" s="98" t="s">
        <v>7905</v>
      </c>
      <c r="O372" s="98" t="s">
        <v>7554</v>
      </c>
      <c r="P372" s="95">
        <v>935690041</v>
      </c>
      <c r="Q372" s="98" t="s">
        <v>7906</v>
      </c>
      <c r="R372" s="98" t="s">
        <v>5094</v>
      </c>
      <c r="S372" s="99"/>
      <c r="T372" s="100">
        <v>42738</v>
      </c>
      <c r="U372" s="100">
        <v>43103</v>
      </c>
      <c r="V372" s="98" t="s">
        <v>5095</v>
      </c>
      <c r="W372" s="98" t="s">
        <v>5142</v>
      </c>
      <c r="X372" s="98" t="s">
        <v>5096</v>
      </c>
      <c r="Y372" s="99"/>
      <c r="Z372" s="99"/>
      <c r="AA372" s="99"/>
      <c r="AB372" s="99"/>
      <c r="AC372" s="99"/>
      <c r="AD372" s="99"/>
      <c r="AE372" s="99"/>
      <c r="AF372" s="99"/>
      <c r="AG372" s="95">
        <v>1</v>
      </c>
      <c r="AH372" s="94" t="s">
        <v>5084</v>
      </c>
      <c r="AI372" s="94" t="s">
        <v>5163</v>
      </c>
      <c r="AJ372" s="98" t="s">
        <v>5365</v>
      </c>
      <c r="AK372" s="98" t="s">
        <v>7065</v>
      </c>
      <c r="AL372" s="101" t="s">
        <v>5142</v>
      </c>
      <c r="AM372" s="99"/>
      <c r="AN372" s="98" t="s">
        <v>5079</v>
      </c>
      <c r="AO372" s="98" t="s">
        <v>5080</v>
      </c>
      <c r="AP372" s="98" t="s">
        <v>7907</v>
      </c>
      <c r="AQ372" s="102">
        <v>2018</v>
      </c>
      <c r="AR372" s="99"/>
      <c r="AS372" s="98" t="s">
        <v>5142</v>
      </c>
      <c r="AT372" s="99"/>
      <c r="AU372" s="98" t="s">
        <v>5220</v>
      </c>
      <c r="AV372" s="99"/>
      <c r="AW372" s="94" t="s">
        <v>5084</v>
      </c>
      <c r="AX372" s="95">
        <v>0</v>
      </c>
      <c r="AY372" s="98" t="s">
        <v>5167</v>
      </c>
      <c r="AZ372" s="102">
        <v>3</v>
      </c>
      <c r="BA372" s="102">
        <v>3</v>
      </c>
      <c r="BB372" s="93"/>
    </row>
    <row r="373" spans="1:54" ht="13.8">
      <c r="A373" s="94" t="s">
        <v>7908</v>
      </c>
      <c r="B373" s="95" t="s">
        <v>7909</v>
      </c>
      <c r="C373" s="100">
        <v>30834</v>
      </c>
      <c r="D373" s="94" t="s">
        <v>2665</v>
      </c>
      <c r="E373" s="94" t="s">
        <v>7836</v>
      </c>
      <c r="F373" s="97" t="s">
        <v>7837</v>
      </c>
      <c r="G373" s="95">
        <v>406010482</v>
      </c>
      <c r="H373" s="98" t="s">
        <v>5057</v>
      </c>
      <c r="I373" s="95">
        <v>40184031906</v>
      </c>
      <c r="J373" s="98" t="s">
        <v>5088</v>
      </c>
      <c r="K373" s="104">
        <v>45023</v>
      </c>
      <c r="L373" s="98" t="s">
        <v>5251</v>
      </c>
      <c r="M373" s="98" t="s">
        <v>5252</v>
      </c>
      <c r="N373" s="98" t="s">
        <v>7910</v>
      </c>
      <c r="O373" s="98" t="s">
        <v>7911</v>
      </c>
      <c r="P373" s="95">
        <v>989293713</v>
      </c>
      <c r="Q373" s="98" t="s">
        <v>7912</v>
      </c>
      <c r="R373" s="98" t="s">
        <v>5094</v>
      </c>
      <c r="S373" s="98" t="s">
        <v>5116</v>
      </c>
      <c r="T373" s="108" t="s">
        <v>5161</v>
      </c>
      <c r="U373" s="108" t="s">
        <v>5161</v>
      </c>
      <c r="V373" s="98" t="s">
        <v>5095</v>
      </c>
      <c r="W373" s="98" t="s">
        <v>7840</v>
      </c>
      <c r="X373" s="98" t="s">
        <v>7780</v>
      </c>
      <c r="Y373" s="98" t="s">
        <v>7840</v>
      </c>
      <c r="Z373" s="99"/>
      <c r="AA373" s="99"/>
      <c r="AB373" s="95" t="s">
        <v>5161</v>
      </c>
      <c r="AC373" s="99"/>
      <c r="AD373" s="99"/>
      <c r="AE373" s="95" t="s">
        <v>5161</v>
      </c>
      <c r="AF373" s="99"/>
      <c r="AG373" s="95">
        <v>1</v>
      </c>
      <c r="AH373" s="94" t="s">
        <v>5082</v>
      </c>
      <c r="AI373" s="106"/>
      <c r="AJ373" s="99"/>
      <c r="AK373" s="98" t="s">
        <v>7913</v>
      </c>
      <c r="AL373" s="101" t="s">
        <v>7840</v>
      </c>
      <c r="AM373" s="99"/>
      <c r="AN373" s="98" t="s">
        <v>5079</v>
      </c>
      <c r="AO373" s="99"/>
      <c r="AP373" s="99"/>
      <c r="AQ373" s="102">
        <v>2009</v>
      </c>
      <c r="AR373" s="99"/>
      <c r="AS373" s="99"/>
      <c r="AT373" s="99"/>
      <c r="AU373" s="99"/>
      <c r="AV373" s="95">
        <v>0</v>
      </c>
      <c r="AW373" s="94" t="s">
        <v>5082</v>
      </c>
      <c r="AX373" s="95">
        <v>0</v>
      </c>
      <c r="AY373" s="98" t="s">
        <v>7840</v>
      </c>
      <c r="AZ373" s="102">
        <v>9</v>
      </c>
      <c r="BA373" s="102" t="s">
        <v>7914</v>
      </c>
      <c r="BB373" s="93"/>
    </row>
    <row r="374" spans="1:54" ht="13.8">
      <c r="A374" s="94" t="s">
        <v>7915</v>
      </c>
      <c r="B374" s="95" t="s">
        <v>7916</v>
      </c>
      <c r="C374" s="100">
        <v>27704</v>
      </c>
      <c r="D374" s="94" t="s">
        <v>2665</v>
      </c>
      <c r="E374" s="94" t="s">
        <v>7836</v>
      </c>
      <c r="F374" s="97" t="s">
        <v>7837</v>
      </c>
      <c r="G374" s="95">
        <v>4811023325</v>
      </c>
      <c r="H374" s="98" t="s">
        <v>5057</v>
      </c>
      <c r="I374" s="95">
        <v>40175019896</v>
      </c>
      <c r="J374" s="98" t="s">
        <v>5088</v>
      </c>
      <c r="K374" s="95" t="s">
        <v>5089</v>
      </c>
      <c r="L374" s="98" t="s">
        <v>7917</v>
      </c>
      <c r="M374" s="98" t="s">
        <v>7918</v>
      </c>
      <c r="N374" s="98" t="s">
        <v>7919</v>
      </c>
      <c r="O374" s="98" t="s">
        <v>7919</v>
      </c>
      <c r="P374" s="95">
        <v>985026656</v>
      </c>
      <c r="Q374" s="98" t="s">
        <v>7920</v>
      </c>
      <c r="R374" s="98" t="s">
        <v>5094</v>
      </c>
      <c r="S374" s="99"/>
      <c r="T374" s="108" t="s">
        <v>5161</v>
      </c>
      <c r="U374" s="108" t="s">
        <v>5161</v>
      </c>
      <c r="V374" s="98" t="s">
        <v>5095</v>
      </c>
      <c r="W374" s="98" t="s">
        <v>7840</v>
      </c>
      <c r="X374" s="98" t="s">
        <v>7780</v>
      </c>
      <c r="Y374" s="98" t="s">
        <v>7840</v>
      </c>
      <c r="Z374" s="99"/>
      <c r="AA374" s="99"/>
      <c r="AB374" s="95" t="s">
        <v>5161</v>
      </c>
      <c r="AC374" s="99"/>
      <c r="AD374" s="99"/>
      <c r="AE374" s="95" t="s">
        <v>5161</v>
      </c>
      <c r="AF374" s="99"/>
      <c r="AG374" s="95">
        <v>1</v>
      </c>
      <c r="AH374" s="94" t="s">
        <v>7782</v>
      </c>
      <c r="AI374" s="106"/>
      <c r="AJ374" s="99"/>
      <c r="AK374" s="99"/>
      <c r="AL374" s="101" t="s">
        <v>7840</v>
      </c>
      <c r="AM374" s="99"/>
      <c r="AN374" s="98" t="s">
        <v>5079</v>
      </c>
      <c r="AO374" s="99"/>
      <c r="AP374" s="99"/>
      <c r="AQ374" s="99"/>
      <c r="AR374" s="99"/>
      <c r="AS374" s="99"/>
      <c r="AT374" s="99"/>
      <c r="AU374" s="99"/>
      <c r="AV374" s="95">
        <v>0</v>
      </c>
      <c r="AW374" s="94" t="s">
        <v>7782</v>
      </c>
      <c r="AX374" s="95">
        <v>0</v>
      </c>
      <c r="AY374" s="98" t="s">
        <v>7840</v>
      </c>
      <c r="AZ374" s="102">
        <v>8</v>
      </c>
      <c r="BA374" s="102" t="s">
        <v>7862</v>
      </c>
      <c r="BB374" s="93"/>
    </row>
    <row r="375" spans="1:54" ht="13.8">
      <c r="A375" s="94" t="s">
        <v>7921</v>
      </c>
      <c r="B375" s="95" t="s">
        <v>7922</v>
      </c>
      <c r="C375" s="100">
        <v>30656</v>
      </c>
      <c r="D375" s="94" t="s">
        <v>2656</v>
      </c>
      <c r="E375" s="94" t="s">
        <v>7836</v>
      </c>
      <c r="F375" s="97" t="s">
        <v>7837</v>
      </c>
      <c r="G375" s="95">
        <v>4808000526</v>
      </c>
      <c r="H375" s="98" t="s">
        <v>5057</v>
      </c>
      <c r="I375" s="95">
        <v>48083002306</v>
      </c>
      <c r="J375" s="98" t="s">
        <v>5088</v>
      </c>
      <c r="K375" s="95" t="s">
        <v>5089</v>
      </c>
      <c r="L375" s="98" t="s">
        <v>7923</v>
      </c>
      <c r="M375" s="98" t="s">
        <v>5156</v>
      </c>
      <c r="N375" s="98" t="s">
        <v>7924</v>
      </c>
      <c r="O375" s="98" t="s">
        <v>7924</v>
      </c>
      <c r="P375" s="95">
        <v>987662142</v>
      </c>
      <c r="Q375" s="98" t="s">
        <v>7925</v>
      </c>
      <c r="R375" s="98" t="s">
        <v>5094</v>
      </c>
      <c r="S375" s="99"/>
      <c r="T375" s="100">
        <v>38362</v>
      </c>
      <c r="U375" s="100">
        <v>43174</v>
      </c>
      <c r="V375" s="98" t="s">
        <v>5095</v>
      </c>
      <c r="W375" s="98" t="s">
        <v>5142</v>
      </c>
      <c r="X375" s="98" t="s">
        <v>5096</v>
      </c>
      <c r="Y375" s="98" t="s">
        <v>5799</v>
      </c>
      <c r="Z375" s="99"/>
      <c r="AA375" s="99"/>
      <c r="AB375" s="95" t="s">
        <v>5161</v>
      </c>
      <c r="AC375" s="99"/>
      <c r="AD375" s="99"/>
      <c r="AE375" s="95" t="s">
        <v>5161</v>
      </c>
      <c r="AF375" s="99"/>
      <c r="AG375" s="95">
        <v>1</v>
      </c>
      <c r="AH375" s="94" t="s">
        <v>5162</v>
      </c>
      <c r="AI375" s="94" t="s">
        <v>5075</v>
      </c>
      <c r="AJ375" s="98" t="s">
        <v>7536</v>
      </c>
      <c r="AK375" s="98" t="s">
        <v>7926</v>
      </c>
      <c r="AL375" s="101" t="s">
        <v>5142</v>
      </c>
      <c r="AM375" s="99"/>
      <c r="AN375" s="98" t="s">
        <v>5259</v>
      </c>
      <c r="AO375" s="98" t="s">
        <v>5080</v>
      </c>
      <c r="AP375" s="98" t="s">
        <v>5392</v>
      </c>
      <c r="AQ375" s="102">
        <v>2012</v>
      </c>
      <c r="AR375" s="99"/>
      <c r="AS375" s="98" t="s">
        <v>5142</v>
      </c>
      <c r="AT375" s="99"/>
      <c r="AU375" s="98" t="s">
        <v>5135</v>
      </c>
      <c r="AV375" s="95">
        <v>0</v>
      </c>
      <c r="AW375" s="94" t="s">
        <v>5162</v>
      </c>
      <c r="AX375" s="95">
        <v>0</v>
      </c>
      <c r="AY375" s="98" t="s">
        <v>5167</v>
      </c>
      <c r="AZ375" s="102">
        <v>5</v>
      </c>
      <c r="BA375" s="102" t="s">
        <v>5153</v>
      </c>
      <c r="BB375" s="93"/>
    </row>
    <row r="376" spans="1:54" ht="13.8">
      <c r="A376" s="94" t="s">
        <v>7927</v>
      </c>
      <c r="B376" s="95" t="s">
        <v>7928</v>
      </c>
      <c r="C376" s="100">
        <v>31054</v>
      </c>
      <c r="D376" s="94" t="s">
        <v>2656</v>
      </c>
      <c r="E376" s="94" t="s">
        <v>7836</v>
      </c>
      <c r="F376" s="97" t="s">
        <v>7837</v>
      </c>
      <c r="G376" s="95">
        <v>4810005105</v>
      </c>
      <c r="H376" s="98" t="s">
        <v>5057</v>
      </c>
      <c r="I376" s="95">
        <v>38085025219</v>
      </c>
      <c r="J376" s="98" t="s">
        <v>5088</v>
      </c>
      <c r="K376" s="95" t="s">
        <v>5261</v>
      </c>
      <c r="L376" s="98" t="s">
        <v>7929</v>
      </c>
      <c r="M376" s="98" t="s">
        <v>7930</v>
      </c>
      <c r="N376" s="98" t="s">
        <v>7931</v>
      </c>
      <c r="O376" s="98" t="s">
        <v>7931</v>
      </c>
      <c r="P376" s="95">
        <v>935292264</v>
      </c>
      <c r="Q376" s="98" t="s">
        <v>7932</v>
      </c>
      <c r="R376" s="98" t="s">
        <v>5094</v>
      </c>
      <c r="S376" s="99"/>
      <c r="T376" s="100">
        <v>40179</v>
      </c>
      <c r="U376" s="100">
        <v>40544</v>
      </c>
      <c r="V376" s="98" t="s">
        <v>5095</v>
      </c>
      <c r="W376" s="98" t="s">
        <v>5142</v>
      </c>
      <c r="X376" s="98" t="s">
        <v>5096</v>
      </c>
      <c r="Y376" s="99"/>
      <c r="Z376" s="99"/>
      <c r="AA376" s="99"/>
      <c r="AB376" s="104">
        <v>45481</v>
      </c>
      <c r="AC376" s="99"/>
      <c r="AD376" s="98" t="s">
        <v>7933</v>
      </c>
      <c r="AE376" s="95" t="s">
        <v>6699</v>
      </c>
      <c r="AF376" s="99"/>
      <c r="AG376" s="95">
        <v>1</v>
      </c>
      <c r="AH376" s="94" t="s">
        <v>5084</v>
      </c>
      <c r="AI376" s="94" t="s">
        <v>5133</v>
      </c>
      <c r="AJ376" s="98" t="s">
        <v>5134</v>
      </c>
      <c r="AK376" s="98" t="s">
        <v>5148</v>
      </c>
      <c r="AL376" s="101" t="s">
        <v>5142</v>
      </c>
      <c r="AM376" s="98" t="s">
        <v>6645</v>
      </c>
      <c r="AN376" s="98" t="s">
        <v>5079</v>
      </c>
      <c r="AO376" s="99"/>
      <c r="AP376" s="102">
        <v>801</v>
      </c>
      <c r="AQ376" s="102">
        <v>2013</v>
      </c>
      <c r="AR376" s="98" t="s">
        <v>5106</v>
      </c>
      <c r="AS376" s="98" t="s">
        <v>5142</v>
      </c>
      <c r="AT376" s="99"/>
      <c r="AU376" s="98" t="s">
        <v>5228</v>
      </c>
      <c r="AV376" s="95">
        <v>0</v>
      </c>
      <c r="AW376" s="94" t="s">
        <v>5084</v>
      </c>
      <c r="AX376" s="95">
        <v>0</v>
      </c>
      <c r="AY376" s="98" t="s">
        <v>5167</v>
      </c>
      <c r="AZ376" s="102">
        <v>6</v>
      </c>
      <c r="BA376" s="102" t="s">
        <v>5260</v>
      </c>
      <c r="BB376" s="93"/>
    </row>
    <row r="377" spans="1:54" ht="13.8">
      <c r="A377" s="94" t="s">
        <v>7934</v>
      </c>
      <c r="B377" s="95" t="s">
        <v>7935</v>
      </c>
      <c r="C377" s="100">
        <v>31206</v>
      </c>
      <c r="D377" s="94" t="s">
        <v>2656</v>
      </c>
      <c r="E377" s="94" t="s">
        <v>7836</v>
      </c>
      <c r="F377" s="97" t="s">
        <v>7837</v>
      </c>
      <c r="G377" s="95">
        <v>4811019657</v>
      </c>
      <c r="H377" s="98" t="s">
        <v>5181</v>
      </c>
      <c r="I377" s="95">
        <v>48085004498</v>
      </c>
      <c r="J377" s="98" t="s">
        <v>5088</v>
      </c>
      <c r="K377" s="95" t="s">
        <v>5089</v>
      </c>
      <c r="L377" s="98" t="s">
        <v>7936</v>
      </c>
      <c r="M377" s="98" t="s">
        <v>5868</v>
      </c>
      <c r="N377" s="98" t="s">
        <v>7937</v>
      </c>
      <c r="O377" s="98" t="s">
        <v>7938</v>
      </c>
      <c r="P377" s="95">
        <v>905743591</v>
      </c>
      <c r="Q377" s="98" t="s">
        <v>7939</v>
      </c>
      <c r="R377" s="98" t="s">
        <v>5094</v>
      </c>
      <c r="S377" s="99"/>
      <c r="T377" s="100">
        <v>40188</v>
      </c>
      <c r="U377" s="108" t="s">
        <v>5161</v>
      </c>
      <c r="V377" s="98" t="s">
        <v>5243</v>
      </c>
      <c r="W377" s="98" t="s">
        <v>5469</v>
      </c>
      <c r="X377" s="98" t="s">
        <v>7780</v>
      </c>
      <c r="Y377" s="98" t="s">
        <v>5469</v>
      </c>
      <c r="Z377" s="99"/>
      <c r="AA377" s="99"/>
      <c r="AB377" s="95" t="s">
        <v>5161</v>
      </c>
      <c r="AC377" s="99"/>
      <c r="AD377" s="99"/>
      <c r="AE377" s="95" t="s">
        <v>5161</v>
      </c>
      <c r="AF377" s="99"/>
      <c r="AG377" s="95">
        <v>1</v>
      </c>
      <c r="AH377" s="94" t="s">
        <v>7782</v>
      </c>
      <c r="AI377" s="106"/>
      <c r="AJ377" s="99"/>
      <c r="AK377" s="99"/>
      <c r="AL377" s="101" t="s">
        <v>7749</v>
      </c>
      <c r="AM377" s="99"/>
      <c r="AN377" s="98" t="s">
        <v>5079</v>
      </c>
      <c r="AO377" s="99"/>
      <c r="AP377" s="99"/>
      <c r="AQ377" s="99"/>
      <c r="AR377" s="99"/>
      <c r="AS377" s="99"/>
      <c r="AT377" s="99"/>
      <c r="AU377" s="99"/>
      <c r="AV377" s="95">
        <v>0</v>
      </c>
      <c r="AW377" s="94" t="s">
        <v>7782</v>
      </c>
      <c r="AX377" s="95">
        <v>0</v>
      </c>
      <c r="AY377" s="98" t="s">
        <v>7749</v>
      </c>
      <c r="AZ377" s="102">
        <v>8</v>
      </c>
      <c r="BA377" s="102" t="s">
        <v>7940</v>
      </c>
      <c r="BB377" s="93"/>
    </row>
    <row r="378" spans="1:54" ht="13.8">
      <c r="A378" s="94" t="s">
        <v>7941</v>
      </c>
      <c r="B378" s="95" t="s">
        <v>7942</v>
      </c>
      <c r="C378" s="100">
        <v>27304</v>
      </c>
      <c r="D378" s="94" t="s">
        <v>2665</v>
      </c>
      <c r="E378" s="94" t="s">
        <v>7836</v>
      </c>
      <c r="F378" s="97" t="s">
        <v>7837</v>
      </c>
      <c r="G378" s="95">
        <v>4811023324</v>
      </c>
      <c r="H378" s="98" t="s">
        <v>5057</v>
      </c>
      <c r="I378" s="95">
        <v>48174003714</v>
      </c>
      <c r="J378" s="98" t="s">
        <v>5088</v>
      </c>
      <c r="K378" s="95" t="s">
        <v>5089</v>
      </c>
      <c r="L378" s="98" t="s">
        <v>7943</v>
      </c>
      <c r="M378" s="98" t="s">
        <v>7810</v>
      </c>
      <c r="N378" s="98" t="s">
        <v>7944</v>
      </c>
      <c r="O378" s="98" t="s">
        <v>7944</v>
      </c>
      <c r="P378" s="95">
        <v>979708004</v>
      </c>
      <c r="Q378" s="98" t="s">
        <v>7945</v>
      </c>
      <c r="R378" s="98" t="s">
        <v>5094</v>
      </c>
      <c r="S378" s="99"/>
      <c r="T378" s="108" t="s">
        <v>5161</v>
      </c>
      <c r="U378" s="108" t="s">
        <v>5161</v>
      </c>
      <c r="V378" s="98" t="s">
        <v>5095</v>
      </c>
      <c r="W378" s="98" t="s">
        <v>7840</v>
      </c>
      <c r="X378" s="98" t="s">
        <v>5096</v>
      </c>
      <c r="Y378" s="98" t="s">
        <v>7840</v>
      </c>
      <c r="Z378" s="99"/>
      <c r="AA378" s="99"/>
      <c r="AB378" s="95" t="s">
        <v>5161</v>
      </c>
      <c r="AC378" s="99"/>
      <c r="AD378" s="99"/>
      <c r="AE378" s="114">
        <v>42349</v>
      </c>
      <c r="AF378" s="99"/>
      <c r="AG378" s="95">
        <v>1</v>
      </c>
      <c r="AH378" s="94" t="s">
        <v>7782</v>
      </c>
      <c r="AI378" s="106"/>
      <c r="AJ378" s="99"/>
      <c r="AK378" s="99"/>
      <c r="AL378" s="101" t="s">
        <v>7840</v>
      </c>
      <c r="AM378" s="99"/>
      <c r="AN378" s="98" t="s">
        <v>5079</v>
      </c>
      <c r="AO378" s="99"/>
      <c r="AP378" s="99"/>
      <c r="AQ378" s="99"/>
      <c r="AR378" s="99"/>
      <c r="AS378" s="99"/>
      <c r="AT378" s="99"/>
      <c r="AU378" s="99"/>
      <c r="AV378" s="95">
        <v>0</v>
      </c>
      <c r="AW378" s="94" t="s">
        <v>7782</v>
      </c>
      <c r="AX378" s="95">
        <v>0</v>
      </c>
      <c r="AY378" s="98" t="s">
        <v>7840</v>
      </c>
      <c r="AZ378" s="102">
        <v>8</v>
      </c>
      <c r="BA378" s="102" t="s">
        <v>7862</v>
      </c>
      <c r="BB378" s="93"/>
    </row>
    <row r="379" spans="1:54" ht="13.8">
      <c r="A379" s="94" t="s">
        <v>7946</v>
      </c>
      <c r="B379" s="95" t="s">
        <v>7947</v>
      </c>
      <c r="C379" s="96">
        <v>32060</v>
      </c>
      <c r="D379" s="94" t="s">
        <v>2665</v>
      </c>
      <c r="E379" s="94" t="s">
        <v>7836</v>
      </c>
      <c r="F379" s="97" t="s">
        <v>7837</v>
      </c>
      <c r="G379" s="95">
        <v>5811002122</v>
      </c>
      <c r="H379" s="98" t="s">
        <v>5057</v>
      </c>
      <c r="I379" s="95">
        <v>44187012071</v>
      </c>
      <c r="J379" s="98" t="s">
        <v>5088</v>
      </c>
      <c r="K379" s="95" t="s">
        <v>7948</v>
      </c>
      <c r="L379" s="98" t="s">
        <v>7949</v>
      </c>
      <c r="M379" s="98" t="s">
        <v>7950</v>
      </c>
      <c r="N379" s="98" t="s">
        <v>7950</v>
      </c>
      <c r="O379" s="98" t="s">
        <v>7951</v>
      </c>
      <c r="P379" s="95">
        <v>944142350</v>
      </c>
      <c r="Q379" s="98" t="s">
        <v>7952</v>
      </c>
      <c r="R379" s="98" t="s">
        <v>5094</v>
      </c>
      <c r="S379" s="99"/>
      <c r="T379" s="100">
        <v>44932</v>
      </c>
      <c r="U379" s="100">
        <v>44993</v>
      </c>
      <c r="V379" s="99"/>
      <c r="W379" s="98" t="s">
        <v>5142</v>
      </c>
      <c r="X379" s="98" t="s">
        <v>5187</v>
      </c>
      <c r="Y379" s="99"/>
      <c r="Z379" s="99"/>
      <c r="AA379" s="99"/>
      <c r="AB379" s="99"/>
      <c r="AC379" s="99"/>
      <c r="AD379" s="99"/>
      <c r="AE379" s="104">
        <v>40978</v>
      </c>
      <c r="AF379" s="99"/>
      <c r="AG379" s="95">
        <v>0</v>
      </c>
      <c r="AH379" s="94" t="s">
        <v>5162</v>
      </c>
      <c r="AI379" s="94" t="s">
        <v>5122</v>
      </c>
      <c r="AJ379" s="98" t="s">
        <v>5407</v>
      </c>
      <c r="AK379" s="98" t="s">
        <v>7953</v>
      </c>
      <c r="AL379" s="101" t="s">
        <v>5142</v>
      </c>
      <c r="AM379" s="99"/>
      <c r="AN379" s="98" t="s">
        <v>5079</v>
      </c>
      <c r="AO379" s="98" t="s">
        <v>5080</v>
      </c>
      <c r="AP379" s="98" t="s">
        <v>7954</v>
      </c>
      <c r="AQ379" s="102">
        <v>2010</v>
      </c>
      <c r="AR379" s="98" t="s">
        <v>5082</v>
      </c>
      <c r="AS379" s="99"/>
      <c r="AT379" s="99"/>
      <c r="AU379" s="98" t="s">
        <v>5228</v>
      </c>
      <c r="AV379" s="99"/>
      <c r="AW379" s="94" t="s">
        <v>5162</v>
      </c>
      <c r="AX379" s="95">
        <v>0</v>
      </c>
      <c r="AY379" s="98" t="s">
        <v>5167</v>
      </c>
      <c r="AZ379" s="102">
        <v>4</v>
      </c>
      <c r="BA379" s="102" t="s">
        <v>5168</v>
      </c>
      <c r="BB379" s="93"/>
    </row>
    <row r="380" spans="1:54" ht="13.8">
      <c r="A380" s="94" t="s">
        <v>7955</v>
      </c>
      <c r="B380" s="95" t="s">
        <v>7956</v>
      </c>
      <c r="C380" s="100">
        <v>28900</v>
      </c>
      <c r="D380" s="94" t="s">
        <v>2665</v>
      </c>
      <c r="E380" s="94" t="s">
        <v>7836</v>
      </c>
      <c r="F380" s="97" t="s">
        <v>7837</v>
      </c>
      <c r="G380" s="95">
        <v>4808001498</v>
      </c>
      <c r="H380" s="98" t="s">
        <v>5057</v>
      </c>
      <c r="I380" s="95">
        <v>38179037066</v>
      </c>
      <c r="J380" s="98" t="s">
        <v>5088</v>
      </c>
      <c r="K380" s="95" t="s">
        <v>5089</v>
      </c>
      <c r="L380" s="98" t="s">
        <v>7957</v>
      </c>
      <c r="M380" s="98" t="s">
        <v>7958</v>
      </c>
      <c r="N380" s="98" t="s">
        <v>5224</v>
      </c>
      <c r="O380" s="98" t="s">
        <v>7959</v>
      </c>
      <c r="P380" s="95">
        <v>388822302</v>
      </c>
      <c r="Q380" s="98" t="s">
        <v>7960</v>
      </c>
      <c r="R380" s="98" t="s">
        <v>5094</v>
      </c>
      <c r="S380" s="99"/>
      <c r="T380" s="100">
        <v>37260</v>
      </c>
      <c r="U380" s="108" t="s">
        <v>5161</v>
      </c>
      <c r="V380" s="98" t="s">
        <v>5095</v>
      </c>
      <c r="W380" s="98" t="s">
        <v>7840</v>
      </c>
      <c r="X380" s="98" t="s">
        <v>7780</v>
      </c>
      <c r="Y380" s="98" t="s">
        <v>7840</v>
      </c>
      <c r="Z380" s="99"/>
      <c r="AA380" s="99"/>
      <c r="AB380" s="95" t="s">
        <v>5161</v>
      </c>
      <c r="AC380" s="99"/>
      <c r="AD380" s="99"/>
      <c r="AE380" s="95" t="s">
        <v>5161</v>
      </c>
      <c r="AF380" s="99"/>
      <c r="AG380" s="95">
        <v>1</v>
      </c>
      <c r="AH380" s="94" t="s">
        <v>7782</v>
      </c>
      <c r="AI380" s="106"/>
      <c r="AJ380" s="99"/>
      <c r="AK380" s="99"/>
      <c r="AL380" s="101" t="s">
        <v>7840</v>
      </c>
      <c r="AM380" s="99"/>
      <c r="AN380" s="99"/>
      <c r="AO380" s="99"/>
      <c r="AP380" s="99"/>
      <c r="AQ380" s="99"/>
      <c r="AR380" s="99"/>
      <c r="AS380" s="99"/>
      <c r="AT380" s="99"/>
      <c r="AU380" s="99"/>
      <c r="AV380" s="95">
        <v>0</v>
      </c>
      <c r="AW380" s="94" t="s">
        <v>7782</v>
      </c>
      <c r="AX380" s="95">
        <v>0</v>
      </c>
      <c r="AY380" s="98" t="s">
        <v>7840</v>
      </c>
      <c r="AZ380" s="102">
        <v>12</v>
      </c>
      <c r="BA380" s="102" t="s">
        <v>7961</v>
      </c>
      <c r="BB380" s="93"/>
    </row>
    <row r="381" spans="1:54" ht="13.8">
      <c r="A381" s="94" t="s">
        <v>7962</v>
      </c>
      <c r="B381" s="95" t="s">
        <v>7963</v>
      </c>
      <c r="C381" s="96">
        <v>26613</v>
      </c>
      <c r="D381" s="94" t="s">
        <v>2665</v>
      </c>
      <c r="E381" s="94" t="s">
        <v>7836</v>
      </c>
      <c r="F381" s="97" t="s">
        <v>7837</v>
      </c>
      <c r="G381" s="95">
        <v>4812042488</v>
      </c>
      <c r="H381" s="98" t="s">
        <v>5057</v>
      </c>
      <c r="I381" s="95">
        <v>44171008314</v>
      </c>
      <c r="J381" s="98" t="s">
        <v>5088</v>
      </c>
      <c r="K381" s="95" t="s">
        <v>5277</v>
      </c>
      <c r="L381" s="98" t="s">
        <v>7964</v>
      </c>
      <c r="M381" s="98" t="s">
        <v>7965</v>
      </c>
      <c r="N381" s="98" t="s">
        <v>7966</v>
      </c>
      <c r="O381" s="98" t="s">
        <v>7966</v>
      </c>
      <c r="P381" s="95">
        <v>326049249</v>
      </c>
      <c r="Q381" s="98" t="s">
        <v>7967</v>
      </c>
      <c r="R381" s="98" t="s">
        <v>5094</v>
      </c>
      <c r="S381" s="99"/>
      <c r="T381" s="108" t="s">
        <v>5161</v>
      </c>
      <c r="U381" s="108" t="s">
        <v>5161</v>
      </c>
      <c r="V381" s="98" t="s">
        <v>5095</v>
      </c>
      <c r="W381" s="98" t="s">
        <v>7840</v>
      </c>
      <c r="X381" s="98" t="s">
        <v>7780</v>
      </c>
      <c r="Y381" s="98" t="s">
        <v>7840</v>
      </c>
      <c r="Z381" s="99"/>
      <c r="AA381" s="99"/>
      <c r="AB381" s="95" t="s">
        <v>5161</v>
      </c>
      <c r="AC381" s="99"/>
      <c r="AD381" s="99"/>
      <c r="AE381" s="95" t="s">
        <v>5161</v>
      </c>
      <c r="AF381" s="99"/>
      <c r="AG381" s="95">
        <v>1</v>
      </c>
      <c r="AH381" s="94" t="s">
        <v>7782</v>
      </c>
      <c r="AI381" s="106"/>
      <c r="AJ381" s="99"/>
      <c r="AK381" s="99"/>
      <c r="AL381" s="101" t="s">
        <v>7840</v>
      </c>
      <c r="AM381" s="99"/>
      <c r="AN381" s="98" t="s">
        <v>5079</v>
      </c>
      <c r="AO381" s="99"/>
      <c r="AP381" s="99"/>
      <c r="AQ381" s="99"/>
      <c r="AR381" s="99"/>
      <c r="AS381" s="99"/>
      <c r="AT381" s="99"/>
      <c r="AU381" s="99"/>
      <c r="AV381" s="95">
        <v>0</v>
      </c>
      <c r="AW381" s="94" t="s">
        <v>7782</v>
      </c>
      <c r="AX381" s="95">
        <v>0</v>
      </c>
      <c r="AY381" s="98" t="s">
        <v>7840</v>
      </c>
      <c r="AZ381" s="102">
        <v>8</v>
      </c>
      <c r="BA381" s="102" t="s">
        <v>7862</v>
      </c>
      <c r="BB381" s="93"/>
    </row>
    <row r="382" spans="1:54" ht="13.8">
      <c r="A382" s="94" t="s">
        <v>7968</v>
      </c>
      <c r="B382" s="95" t="s">
        <v>7969</v>
      </c>
      <c r="C382" s="100">
        <v>26855</v>
      </c>
      <c r="D382" s="94" t="s">
        <v>2665</v>
      </c>
      <c r="E382" s="94" t="s">
        <v>7836</v>
      </c>
      <c r="F382" s="97" t="s">
        <v>7837</v>
      </c>
      <c r="G382" s="95">
        <v>4811025811</v>
      </c>
      <c r="H382" s="98" t="s">
        <v>5057</v>
      </c>
      <c r="I382" s="95">
        <v>48173005259</v>
      </c>
      <c r="J382" s="98" t="s">
        <v>5088</v>
      </c>
      <c r="K382" s="104">
        <v>44447</v>
      </c>
      <c r="L382" s="98" t="s">
        <v>7769</v>
      </c>
      <c r="M382" s="98" t="s">
        <v>6634</v>
      </c>
      <c r="N382" s="98" t="s">
        <v>7970</v>
      </c>
      <c r="O382" s="98" t="s">
        <v>7970</v>
      </c>
      <c r="P382" s="95">
        <v>762557486</v>
      </c>
      <c r="Q382" s="98" t="s">
        <v>7971</v>
      </c>
      <c r="R382" s="98" t="s">
        <v>5094</v>
      </c>
      <c r="S382" s="99"/>
      <c r="T382" s="100">
        <v>40188</v>
      </c>
      <c r="U382" s="100">
        <v>40188</v>
      </c>
      <c r="V382" s="99"/>
      <c r="W382" s="98" t="s">
        <v>5469</v>
      </c>
      <c r="X382" s="98" t="s">
        <v>7780</v>
      </c>
      <c r="Y382" s="98" t="s">
        <v>7972</v>
      </c>
      <c r="Z382" s="99"/>
      <c r="AA382" s="99"/>
      <c r="AB382" s="95" t="s">
        <v>5161</v>
      </c>
      <c r="AC382" s="99"/>
      <c r="AD382" s="99"/>
      <c r="AE382" s="95" t="s">
        <v>5161</v>
      </c>
      <c r="AF382" s="99"/>
      <c r="AG382" s="95">
        <v>0</v>
      </c>
      <c r="AH382" s="94" t="s">
        <v>7782</v>
      </c>
      <c r="AI382" s="106"/>
      <c r="AJ382" s="99"/>
      <c r="AK382" s="99"/>
      <c r="AL382" s="101" t="s">
        <v>7840</v>
      </c>
      <c r="AM382" s="99"/>
      <c r="AN382" s="98" t="s">
        <v>5079</v>
      </c>
      <c r="AO382" s="99"/>
      <c r="AP382" s="99"/>
      <c r="AQ382" s="99"/>
      <c r="AR382" s="99"/>
      <c r="AS382" s="99"/>
      <c r="AT382" s="99"/>
      <c r="AU382" s="99"/>
      <c r="AV382" s="95">
        <v>0</v>
      </c>
      <c r="AW382" s="94" t="s">
        <v>7782</v>
      </c>
      <c r="AX382" s="95">
        <v>0</v>
      </c>
      <c r="AY382" s="98" t="s">
        <v>7840</v>
      </c>
      <c r="AZ382" s="102">
        <v>8</v>
      </c>
      <c r="BA382" s="102" t="s">
        <v>7862</v>
      </c>
      <c r="BB382" s="93"/>
    </row>
    <row r="383" spans="1:54" ht="13.2">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115"/>
      <c r="AM383" s="93"/>
      <c r="AN383" s="93"/>
      <c r="AO383" s="93"/>
      <c r="AP383" s="93"/>
      <c r="AQ383" s="93"/>
      <c r="AR383" s="93"/>
      <c r="AS383" s="93"/>
      <c r="AT383" s="93"/>
      <c r="AU383" s="93"/>
      <c r="AV383" s="93"/>
      <c r="AW383" s="93"/>
      <c r="AX383" s="93"/>
      <c r="AY383" s="93"/>
      <c r="AZ383" s="93"/>
      <c r="BA383" s="93"/>
      <c r="BB383" s="93"/>
    </row>
    <row r="384" spans="1:54" ht="13.2">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115"/>
      <c r="AM384" s="93"/>
      <c r="AN384" s="93"/>
      <c r="AO384" s="93"/>
      <c r="AP384" s="93"/>
      <c r="AQ384" s="93"/>
      <c r="AR384" s="93"/>
      <c r="AS384" s="93"/>
      <c r="AT384" s="93"/>
      <c r="AU384" s="93"/>
      <c r="AV384" s="93"/>
      <c r="AW384" s="93"/>
      <c r="AX384" s="93"/>
      <c r="AY384" s="93"/>
      <c r="AZ384" s="93"/>
      <c r="BA384" s="93"/>
      <c r="BB384" s="93"/>
    </row>
    <row r="385" spans="1:54" ht="13.2">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115"/>
      <c r="AM385" s="93"/>
      <c r="AN385" s="93"/>
      <c r="AO385" s="93"/>
      <c r="AP385" s="93"/>
      <c r="AQ385" s="93"/>
      <c r="AR385" s="93"/>
      <c r="AS385" s="93"/>
      <c r="AT385" s="93"/>
      <c r="AU385" s="93"/>
      <c r="AV385" s="93"/>
      <c r="AW385" s="93"/>
      <c r="AX385" s="93"/>
      <c r="AY385" s="93"/>
      <c r="AZ385" s="93"/>
      <c r="BA385" s="93"/>
      <c r="BB385" s="93"/>
    </row>
    <row r="386" spans="1:54" ht="13.2">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115"/>
      <c r="AM386" s="93"/>
      <c r="AN386" s="93"/>
      <c r="AO386" s="93"/>
      <c r="AP386" s="93"/>
      <c r="AQ386" s="93"/>
      <c r="AR386" s="93"/>
      <c r="AS386" s="93"/>
      <c r="AT386" s="93"/>
      <c r="AU386" s="93"/>
      <c r="AV386" s="93"/>
      <c r="AW386" s="93"/>
      <c r="AX386" s="93"/>
      <c r="AY386" s="93"/>
      <c r="AZ386" s="93"/>
      <c r="BA386" s="93"/>
      <c r="BB386" s="93"/>
    </row>
    <row r="387" spans="1:54" ht="13.2">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115"/>
      <c r="AM387" s="93"/>
      <c r="AN387" s="93"/>
      <c r="AO387" s="93"/>
      <c r="AP387" s="93"/>
      <c r="AQ387" s="93"/>
      <c r="AR387" s="93"/>
      <c r="AS387" s="93"/>
      <c r="AT387" s="93"/>
      <c r="AU387" s="93"/>
      <c r="AV387" s="93"/>
      <c r="AW387" s="93"/>
      <c r="AX387" s="93"/>
      <c r="AY387" s="93"/>
      <c r="AZ387" s="93"/>
      <c r="BA387" s="93"/>
      <c r="BB387" s="93"/>
    </row>
    <row r="388" spans="1:54" ht="13.2">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115"/>
      <c r="AM388" s="93"/>
      <c r="AN388" s="93"/>
      <c r="AO388" s="93"/>
      <c r="AP388" s="93"/>
      <c r="AQ388" s="93"/>
      <c r="AR388" s="93"/>
      <c r="AS388" s="93"/>
      <c r="AT388" s="93"/>
      <c r="AU388" s="93"/>
      <c r="AV388" s="93"/>
      <c r="AW388" s="93"/>
      <c r="AX388" s="93"/>
      <c r="AY388" s="93"/>
      <c r="AZ388" s="93"/>
      <c r="BA388" s="93"/>
      <c r="BB388" s="93"/>
    </row>
    <row r="389" spans="1:54" ht="13.2">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115"/>
      <c r="AM389" s="93"/>
      <c r="AN389" s="93"/>
      <c r="AO389" s="93"/>
      <c r="AP389" s="93"/>
      <c r="AQ389" s="93"/>
      <c r="AR389" s="93"/>
      <c r="AS389" s="93"/>
      <c r="AT389" s="93"/>
      <c r="AU389" s="93"/>
      <c r="AV389" s="93"/>
      <c r="AW389" s="93"/>
      <c r="AX389" s="93"/>
      <c r="AY389" s="93"/>
      <c r="AZ389" s="93"/>
      <c r="BA389" s="93"/>
      <c r="BB389" s="93"/>
    </row>
    <row r="390" spans="1:54" ht="13.2">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115"/>
      <c r="AM390" s="93"/>
      <c r="AN390" s="93"/>
      <c r="AO390" s="93"/>
      <c r="AP390" s="93"/>
      <c r="AQ390" s="93"/>
      <c r="AR390" s="93"/>
      <c r="AS390" s="93"/>
      <c r="AT390" s="93"/>
      <c r="AU390" s="93"/>
      <c r="AV390" s="93"/>
      <c r="AW390" s="93"/>
      <c r="AX390" s="93"/>
      <c r="AY390" s="93"/>
      <c r="AZ390" s="93"/>
      <c r="BA390" s="93"/>
      <c r="BB390" s="93"/>
    </row>
    <row r="391" spans="1:54" ht="13.2">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115"/>
      <c r="AM391" s="93"/>
      <c r="AN391" s="93"/>
      <c r="AO391" s="93"/>
      <c r="AP391" s="93"/>
      <c r="AQ391" s="93"/>
      <c r="AR391" s="93"/>
      <c r="AS391" s="93"/>
      <c r="AT391" s="93"/>
      <c r="AU391" s="93"/>
      <c r="AV391" s="93"/>
      <c r="AW391" s="93"/>
      <c r="AX391" s="93"/>
      <c r="AY391" s="93"/>
      <c r="AZ391" s="93"/>
      <c r="BA391" s="93"/>
      <c r="BB391" s="93"/>
    </row>
    <row r="392" spans="1:54" ht="13.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115"/>
      <c r="AM392" s="93"/>
      <c r="AN392" s="93"/>
      <c r="AO392" s="93"/>
      <c r="AP392" s="93"/>
      <c r="AQ392" s="93"/>
      <c r="AR392" s="93"/>
      <c r="AS392" s="93"/>
      <c r="AT392" s="93"/>
      <c r="AU392" s="93"/>
      <c r="AV392" s="93"/>
      <c r="AW392" s="93"/>
      <c r="AX392" s="93"/>
      <c r="AY392" s="93"/>
      <c r="AZ392" s="93"/>
      <c r="BA392" s="93"/>
      <c r="BB392" s="93"/>
    </row>
    <row r="393" spans="1:54" ht="13.2">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115"/>
      <c r="AM393" s="93"/>
      <c r="AN393" s="93"/>
      <c r="AO393" s="93"/>
      <c r="AP393" s="93"/>
      <c r="AQ393" s="93"/>
      <c r="AR393" s="93"/>
      <c r="AS393" s="93"/>
      <c r="AT393" s="93"/>
      <c r="AU393" s="93"/>
      <c r="AV393" s="93"/>
      <c r="AW393" s="93"/>
      <c r="AX393" s="93"/>
      <c r="AY393" s="93"/>
      <c r="AZ393" s="93"/>
      <c r="BA393" s="93"/>
      <c r="BB393" s="93"/>
    </row>
    <row r="394" spans="1:54" ht="13.2">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115"/>
      <c r="AM394" s="93"/>
      <c r="AN394" s="93"/>
      <c r="AO394" s="93"/>
      <c r="AP394" s="93"/>
      <c r="AQ394" s="93"/>
      <c r="AR394" s="93"/>
      <c r="AS394" s="93"/>
      <c r="AT394" s="93"/>
      <c r="AU394" s="93"/>
      <c r="AV394" s="93"/>
      <c r="AW394" s="93"/>
      <c r="AX394" s="93"/>
      <c r="AY394" s="93"/>
      <c r="AZ394" s="93"/>
      <c r="BA394" s="93"/>
      <c r="BB394" s="93"/>
    </row>
    <row r="395" spans="1:54" ht="13.2">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115"/>
      <c r="AM395" s="93"/>
      <c r="AN395" s="93"/>
      <c r="AO395" s="93"/>
      <c r="AP395" s="93"/>
      <c r="AQ395" s="93"/>
      <c r="AR395" s="93"/>
      <c r="AS395" s="93"/>
      <c r="AT395" s="93"/>
      <c r="AU395" s="93"/>
      <c r="AV395" s="93"/>
      <c r="AW395" s="93"/>
      <c r="AX395" s="93"/>
      <c r="AY395" s="93"/>
      <c r="AZ395" s="93"/>
      <c r="BA395" s="93"/>
      <c r="BB395" s="93"/>
    </row>
    <row r="396" spans="1:54" ht="13.2">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115"/>
      <c r="AM396" s="93"/>
      <c r="AN396" s="93"/>
      <c r="AO396" s="93"/>
      <c r="AP396" s="93"/>
      <c r="AQ396" s="93"/>
      <c r="AR396" s="93"/>
      <c r="AS396" s="93"/>
      <c r="AT396" s="93"/>
      <c r="AU396" s="93"/>
      <c r="AV396" s="93"/>
      <c r="AW396" s="93"/>
      <c r="AX396" s="93"/>
      <c r="AY396" s="93"/>
      <c r="AZ396" s="93"/>
      <c r="BA396" s="93"/>
      <c r="BB396" s="93"/>
    </row>
    <row r="397" spans="1:54" ht="13.2">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115"/>
      <c r="AM397" s="93"/>
      <c r="AN397" s="93"/>
      <c r="AO397" s="93"/>
      <c r="AP397" s="93"/>
      <c r="AQ397" s="93"/>
      <c r="AR397" s="93"/>
      <c r="AS397" s="93"/>
      <c r="AT397" s="93"/>
      <c r="AU397" s="93"/>
      <c r="AV397" s="93"/>
      <c r="AW397" s="93"/>
      <c r="AX397" s="93"/>
      <c r="AY397" s="93"/>
      <c r="AZ397" s="93"/>
      <c r="BA397" s="93"/>
      <c r="BB397" s="93"/>
    </row>
    <row r="398" spans="1:54" ht="13.2">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115"/>
      <c r="AM398" s="93"/>
      <c r="AN398" s="93"/>
      <c r="AO398" s="93"/>
      <c r="AP398" s="93"/>
      <c r="AQ398" s="93"/>
      <c r="AR398" s="93"/>
      <c r="AS398" s="93"/>
      <c r="AT398" s="93"/>
      <c r="AU398" s="93"/>
      <c r="AV398" s="93"/>
      <c r="AW398" s="93"/>
      <c r="AX398" s="93"/>
      <c r="AY398" s="93"/>
      <c r="AZ398" s="93"/>
      <c r="BA398" s="93"/>
      <c r="BB398" s="93"/>
    </row>
    <row r="399" spans="1:54" ht="13.2">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115"/>
      <c r="AM399" s="93"/>
      <c r="AN399" s="93"/>
      <c r="AO399" s="93"/>
      <c r="AP399" s="93"/>
      <c r="AQ399" s="93"/>
      <c r="AR399" s="93"/>
      <c r="AS399" s="93"/>
      <c r="AT399" s="93"/>
      <c r="AU399" s="93"/>
      <c r="AV399" s="93"/>
      <c r="AW399" s="93"/>
      <c r="AX399" s="93"/>
      <c r="AY399" s="93"/>
      <c r="AZ399" s="93"/>
      <c r="BA399" s="93"/>
      <c r="BB399" s="93"/>
    </row>
    <row r="400" spans="1:54" ht="13.2">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115"/>
      <c r="AM400" s="93"/>
      <c r="AN400" s="93"/>
      <c r="AO400" s="93"/>
      <c r="AP400" s="93"/>
      <c r="AQ400" s="93"/>
      <c r="AR400" s="93"/>
      <c r="AS400" s="93"/>
      <c r="AT400" s="93"/>
      <c r="AU400" s="93"/>
      <c r="AV400" s="93"/>
      <c r="AW400" s="93"/>
      <c r="AX400" s="93"/>
      <c r="AY400" s="93"/>
      <c r="AZ400" s="93"/>
      <c r="BA400" s="93"/>
      <c r="BB400" s="93"/>
    </row>
    <row r="401" spans="1:54" ht="13.2">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115"/>
      <c r="AM401" s="93"/>
      <c r="AN401" s="93"/>
      <c r="AO401" s="93"/>
      <c r="AP401" s="93"/>
      <c r="AQ401" s="93"/>
      <c r="AR401" s="93"/>
      <c r="AS401" s="93"/>
      <c r="AT401" s="93"/>
      <c r="AU401" s="93"/>
      <c r="AV401" s="93"/>
      <c r="AW401" s="93"/>
      <c r="AX401" s="93"/>
      <c r="AY401" s="93"/>
      <c r="AZ401" s="93"/>
      <c r="BA401" s="93"/>
      <c r="BB401" s="93"/>
    </row>
    <row r="402" spans="1:54" ht="13.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115"/>
      <c r="AM402" s="93"/>
      <c r="AN402" s="93"/>
      <c r="AO402" s="93"/>
      <c r="AP402" s="93"/>
      <c r="AQ402" s="93"/>
      <c r="AR402" s="93"/>
      <c r="AS402" s="93"/>
      <c r="AT402" s="93"/>
      <c r="AU402" s="93"/>
      <c r="AV402" s="93"/>
      <c r="AW402" s="93"/>
      <c r="AX402" s="93"/>
      <c r="AY402" s="93"/>
      <c r="AZ402" s="93"/>
      <c r="BA402" s="93"/>
      <c r="BB402" s="93"/>
    </row>
    <row r="403" spans="1:54" ht="13.2">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115"/>
      <c r="AM403" s="93"/>
      <c r="AN403" s="93"/>
      <c r="AO403" s="93"/>
      <c r="AP403" s="93"/>
      <c r="AQ403" s="93"/>
      <c r="AR403" s="93"/>
      <c r="AS403" s="93"/>
      <c r="AT403" s="93"/>
      <c r="AU403" s="93"/>
      <c r="AV403" s="93"/>
      <c r="AW403" s="93"/>
      <c r="AX403" s="93"/>
      <c r="AY403" s="93"/>
      <c r="AZ403" s="93"/>
      <c r="BA403" s="93"/>
      <c r="BB403" s="93"/>
    </row>
    <row r="404" spans="1:54" ht="13.2">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115"/>
      <c r="AM404" s="93"/>
      <c r="AN404" s="93"/>
      <c r="AO404" s="93"/>
      <c r="AP404" s="93"/>
      <c r="AQ404" s="93"/>
      <c r="AR404" s="93"/>
      <c r="AS404" s="93"/>
      <c r="AT404" s="93"/>
      <c r="AU404" s="93"/>
      <c r="AV404" s="93"/>
      <c r="AW404" s="93"/>
      <c r="AX404" s="93"/>
      <c r="AY404" s="93"/>
      <c r="AZ404" s="93"/>
      <c r="BA404" s="93"/>
      <c r="BB404" s="93"/>
    </row>
    <row r="405" spans="1:54" ht="13.2">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115"/>
      <c r="AM405" s="93"/>
      <c r="AN405" s="93"/>
      <c r="AO405" s="93"/>
      <c r="AP405" s="93"/>
      <c r="AQ405" s="93"/>
      <c r="AR405" s="93"/>
      <c r="AS405" s="93"/>
      <c r="AT405" s="93"/>
      <c r="AU405" s="93"/>
      <c r="AV405" s="93"/>
      <c r="AW405" s="93"/>
      <c r="AX405" s="93"/>
      <c r="AY405" s="93"/>
      <c r="AZ405" s="93"/>
      <c r="BA405" s="93"/>
      <c r="BB405" s="93"/>
    </row>
    <row r="406" spans="1:54" ht="13.2">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115"/>
      <c r="AM406" s="93"/>
      <c r="AN406" s="93"/>
      <c r="AO406" s="93"/>
      <c r="AP406" s="93"/>
      <c r="AQ406" s="93"/>
      <c r="AR406" s="93"/>
      <c r="AS406" s="93"/>
      <c r="AT406" s="93"/>
      <c r="AU406" s="93"/>
      <c r="AV406" s="93"/>
      <c r="AW406" s="93"/>
      <c r="AX406" s="93"/>
      <c r="AY406" s="93"/>
      <c r="AZ406" s="93"/>
      <c r="BA406" s="93"/>
      <c r="BB406" s="93"/>
    </row>
    <row r="407" spans="1:54" ht="13.2">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115"/>
      <c r="AM407" s="93"/>
      <c r="AN407" s="93"/>
      <c r="AO407" s="93"/>
      <c r="AP407" s="93"/>
      <c r="AQ407" s="93"/>
      <c r="AR407" s="93"/>
      <c r="AS407" s="93"/>
      <c r="AT407" s="93"/>
      <c r="AU407" s="93"/>
      <c r="AV407" s="93"/>
      <c r="AW407" s="93"/>
      <c r="AX407" s="93"/>
      <c r="AY407" s="93"/>
      <c r="AZ407" s="93"/>
      <c r="BA407" s="93"/>
      <c r="BB407" s="93"/>
    </row>
    <row r="408" spans="1:54" ht="13.2">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115"/>
      <c r="AM408" s="93"/>
      <c r="AN408" s="93"/>
      <c r="AO408" s="93"/>
      <c r="AP408" s="93"/>
      <c r="AQ408" s="93"/>
      <c r="AR408" s="93"/>
      <c r="AS408" s="93"/>
      <c r="AT408" s="93"/>
      <c r="AU408" s="93"/>
      <c r="AV408" s="93"/>
      <c r="AW408" s="93"/>
      <c r="AX408" s="93"/>
      <c r="AY408" s="93"/>
      <c r="AZ408" s="93"/>
      <c r="BA408" s="93"/>
      <c r="BB408" s="93"/>
    </row>
    <row r="409" spans="1:54" ht="13.2">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115"/>
      <c r="AM409" s="93"/>
      <c r="AN409" s="93"/>
      <c r="AO409" s="93"/>
      <c r="AP409" s="93"/>
      <c r="AQ409" s="93"/>
      <c r="AR409" s="93"/>
      <c r="AS409" s="93"/>
      <c r="AT409" s="93"/>
      <c r="AU409" s="93"/>
      <c r="AV409" s="93"/>
      <c r="AW409" s="93"/>
      <c r="AX409" s="93"/>
      <c r="AY409" s="93"/>
      <c r="AZ409" s="93"/>
      <c r="BA409" s="93"/>
      <c r="BB409" s="93"/>
    </row>
    <row r="410" spans="1:54" ht="13.2">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115"/>
      <c r="AM410" s="93"/>
      <c r="AN410" s="93"/>
      <c r="AO410" s="93"/>
      <c r="AP410" s="93"/>
      <c r="AQ410" s="93"/>
      <c r="AR410" s="93"/>
      <c r="AS410" s="93"/>
      <c r="AT410" s="93"/>
      <c r="AU410" s="93"/>
      <c r="AV410" s="93"/>
      <c r="AW410" s="93"/>
      <c r="AX410" s="93"/>
      <c r="AY410" s="93"/>
      <c r="AZ410" s="93"/>
      <c r="BA410" s="93"/>
      <c r="BB410" s="93"/>
    </row>
    <row r="411" spans="1:54" ht="13.2">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115"/>
      <c r="AM411" s="93"/>
      <c r="AN411" s="93"/>
      <c r="AO411" s="93"/>
      <c r="AP411" s="93"/>
      <c r="AQ411" s="93"/>
      <c r="AR411" s="93"/>
      <c r="AS411" s="93"/>
      <c r="AT411" s="93"/>
      <c r="AU411" s="93"/>
      <c r="AV411" s="93"/>
      <c r="AW411" s="93"/>
      <c r="AX411" s="93"/>
      <c r="AY411" s="93"/>
      <c r="AZ411" s="93"/>
      <c r="BA411" s="93"/>
      <c r="BB411" s="93"/>
    </row>
    <row r="412" spans="1:54" ht="13.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115"/>
      <c r="AM412" s="93"/>
      <c r="AN412" s="93"/>
      <c r="AO412" s="93"/>
      <c r="AP412" s="93"/>
      <c r="AQ412" s="93"/>
      <c r="AR412" s="93"/>
      <c r="AS412" s="93"/>
      <c r="AT412" s="93"/>
      <c r="AU412" s="93"/>
      <c r="AV412" s="93"/>
      <c r="AW412" s="93"/>
      <c r="AX412" s="93"/>
      <c r="AY412" s="93"/>
      <c r="AZ412" s="93"/>
      <c r="BA412" s="93"/>
      <c r="BB412" s="93"/>
    </row>
    <row r="413" spans="1:54" ht="13.2">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115"/>
      <c r="AM413" s="93"/>
      <c r="AN413" s="93"/>
      <c r="AO413" s="93"/>
      <c r="AP413" s="93"/>
      <c r="AQ413" s="93"/>
      <c r="AR413" s="93"/>
      <c r="AS413" s="93"/>
      <c r="AT413" s="93"/>
      <c r="AU413" s="93"/>
      <c r="AV413" s="93"/>
      <c r="AW413" s="93"/>
      <c r="AX413" s="93"/>
      <c r="AY413" s="93"/>
      <c r="AZ413" s="93"/>
      <c r="BA413" s="93"/>
      <c r="BB413" s="93"/>
    </row>
    <row r="414" spans="1:54" ht="13.2">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115"/>
      <c r="AM414" s="93"/>
      <c r="AN414" s="93"/>
      <c r="AO414" s="93"/>
      <c r="AP414" s="93"/>
      <c r="AQ414" s="93"/>
      <c r="AR414" s="93"/>
      <c r="AS414" s="93"/>
      <c r="AT414" s="93"/>
      <c r="AU414" s="93"/>
      <c r="AV414" s="93"/>
      <c r="AW414" s="93"/>
      <c r="AX414" s="93"/>
      <c r="AY414" s="93"/>
      <c r="AZ414" s="93"/>
      <c r="BA414" s="93"/>
      <c r="BB414" s="93"/>
    </row>
    <row r="415" spans="1:54" ht="13.2">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115"/>
      <c r="AM415" s="93"/>
      <c r="AN415" s="93"/>
      <c r="AO415" s="93"/>
      <c r="AP415" s="93"/>
      <c r="AQ415" s="93"/>
      <c r="AR415" s="93"/>
      <c r="AS415" s="93"/>
      <c r="AT415" s="93"/>
      <c r="AU415" s="93"/>
      <c r="AV415" s="93"/>
      <c r="AW415" s="93"/>
      <c r="AX415" s="93"/>
      <c r="AY415" s="93"/>
      <c r="AZ415" s="93"/>
      <c r="BA415" s="93"/>
      <c r="BB415" s="93"/>
    </row>
    <row r="416" spans="1:54" ht="13.2">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115"/>
      <c r="AM416" s="93"/>
      <c r="AN416" s="93"/>
      <c r="AO416" s="93"/>
      <c r="AP416" s="93"/>
      <c r="AQ416" s="93"/>
      <c r="AR416" s="93"/>
      <c r="AS416" s="93"/>
      <c r="AT416" s="93"/>
      <c r="AU416" s="93"/>
      <c r="AV416" s="93"/>
      <c r="AW416" s="93"/>
      <c r="AX416" s="93"/>
      <c r="AY416" s="93"/>
      <c r="AZ416" s="93"/>
      <c r="BA416" s="93"/>
      <c r="BB416" s="93"/>
    </row>
    <row r="417" spans="1:54" ht="13.2">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115"/>
      <c r="AM417" s="93"/>
      <c r="AN417" s="93"/>
      <c r="AO417" s="93"/>
      <c r="AP417" s="93"/>
      <c r="AQ417" s="93"/>
      <c r="AR417" s="93"/>
      <c r="AS417" s="93"/>
      <c r="AT417" s="93"/>
      <c r="AU417" s="93"/>
      <c r="AV417" s="93"/>
      <c r="AW417" s="93"/>
      <c r="AX417" s="93"/>
      <c r="AY417" s="93"/>
      <c r="AZ417" s="93"/>
      <c r="BA417" s="93"/>
      <c r="BB417" s="93"/>
    </row>
    <row r="418" spans="1:54" ht="13.2">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115"/>
      <c r="AM418" s="93"/>
      <c r="AN418" s="93"/>
      <c r="AO418" s="93"/>
      <c r="AP418" s="93"/>
      <c r="AQ418" s="93"/>
      <c r="AR418" s="93"/>
      <c r="AS418" s="93"/>
      <c r="AT418" s="93"/>
      <c r="AU418" s="93"/>
      <c r="AV418" s="93"/>
      <c r="AW418" s="93"/>
      <c r="AX418" s="93"/>
      <c r="AY418" s="93"/>
      <c r="AZ418" s="93"/>
      <c r="BA418" s="93"/>
      <c r="BB418" s="93"/>
    </row>
    <row r="419" spans="1:54" ht="13.2">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115"/>
      <c r="AM419" s="93"/>
      <c r="AN419" s="93"/>
      <c r="AO419" s="93"/>
      <c r="AP419" s="93"/>
      <c r="AQ419" s="93"/>
      <c r="AR419" s="93"/>
      <c r="AS419" s="93"/>
      <c r="AT419" s="93"/>
      <c r="AU419" s="93"/>
      <c r="AV419" s="93"/>
      <c r="AW419" s="93"/>
      <c r="AX419" s="93"/>
      <c r="AY419" s="93"/>
      <c r="AZ419" s="93"/>
      <c r="BA419" s="93"/>
      <c r="BB419" s="93"/>
    </row>
    <row r="420" spans="1:54" ht="13.2">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115"/>
      <c r="AM420" s="93"/>
      <c r="AN420" s="93"/>
      <c r="AO420" s="93"/>
      <c r="AP420" s="93"/>
      <c r="AQ420" s="93"/>
      <c r="AR420" s="93"/>
      <c r="AS420" s="93"/>
      <c r="AT420" s="93"/>
      <c r="AU420" s="93"/>
      <c r="AV420" s="93"/>
      <c r="AW420" s="93"/>
      <c r="AX420" s="93"/>
      <c r="AY420" s="93"/>
      <c r="AZ420" s="93"/>
      <c r="BA420" s="93"/>
      <c r="BB420" s="93"/>
    </row>
    <row r="421" spans="1:54" ht="13.2">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115"/>
      <c r="AM421" s="93"/>
      <c r="AN421" s="93"/>
      <c r="AO421" s="93"/>
      <c r="AP421" s="93"/>
      <c r="AQ421" s="93"/>
      <c r="AR421" s="93"/>
      <c r="AS421" s="93"/>
      <c r="AT421" s="93"/>
      <c r="AU421" s="93"/>
      <c r="AV421" s="93"/>
      <c r="AW421" s="93"/>
      <c r="AX421" s="93"/>
      <c r="AY421" s="93"/>
      <c r="AZ421" s="93"/>
      <c r="BA421" s="93"/>
      <c r="BB421" s="93"/>
    </row>
    <row r="422" spans="1:54" ht="13.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115"/>
      <c r="AM422" s="93"/>
      <c r="AN422" s="93"/>
      <c r="AO422" s="93"/>
      <c r="AP422" s="93"/>
      <c r="AQ422" s="93"/>
      <c r="AR422" s="93"/>
      <c r="AS422" s="93"/>
      <c r="AT422" s="93"/>
      <c r="AU422" s="93"/>
      <c r="AV422" s="93"/>
      <c r="AW422" s="93"/>
      <c r="AX422" s="93"/>
      <c r="AY422" s="93"/>
      <c r="AZ422" s="93"/>
      <c r="BA422" s="93"/>
      <c r="BB422" s="93"/>
    </row>
    <row r="423" spans="1:54" ht="13.2">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115"/>
      <c r="AM423" s="93"/>
      <c r="AN423" s="93"/>
      <c r="AO423" s="93"/>
      <c r="AP423" s="93"/>
      <c r="AQ423" s="93"/>
      <c r="AR423" s="93"/>
      <c r="AS423" s="93"/>
      <c r="AT423" s="93"/>
      <c r="AU423" s="93"/>
      <c r="AV423" s="93"/>
      <c r="AW423" s="93"/>
      <c r="AX423" s="93"/>
      <c r="AY423" s="93"/>
      <c r="AZ423" s="93"/>
      <c r="BA423" s="93"/>
      <c r="BB423" s="93"/>
    </row>
    <row r="424" spans="1:54" ht="13.2">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115"/>
      <c r="AM424" s="93"/>
      <c r="AN424" s="93"/>
      <c r="AO424" s="93"/>
      <c r="AP424" s="93"/>
      <c r="AQ424" s="93"/>
      <c r="AR424" s="93"/>
      <c r="AS424" s="93"/>
      <c r="AT424" s="93"/>
      <c r="AU424" s="93"/>
      <c r="AV424" s="93"/>
      <c r="AW424" s="93"/>
      <c r="AX424" s="93"/>
      <c r="AY424" s="93"/>
      <c r="AZ424" s="93"/>
      <c r="BA424" s="93"/>
      <c r="BB424" s="93"/>
    </row>
    <row r="425" spans="1:54" ht="13.2">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115"/>
      <c r="AM425" s="93"/>
      <c r="AN425" s="93"/>
      <c r="AO425" s="93"/>
      <c r="AP425" s="93"/>
      <c r="AQ425" s="93"/>
      <c r="AR425" s="93"/>
      <c r="AS425" s="93"/>
      <c r="AT425" s="93"/>
      <c r="AU425" s="93"/>
      <c r="AV425" s="93"/>
      <c r="AW425" s="93"/>
      <c r="AX425" s="93"/>
      <c r="AY425" s="93"/>
      <c r="AZ425" s="93"/>
      <c r="BA425" s="93"/>
      <c r="BB425" s="93"/>
    </row>
    <row r="426" spans="1:54" ht="13.2">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115"/>
      <c r="AM426" s="93"/>
      <c r="AN426" s="93"/>
      <c r="AO426" s="93"/>
      <c r="AP426" s="93"/>
      <c r="AQ426" s="93"/>
      <c r="AR426" s="93"/>
      <c r="AS426" s="93"/>
      <c r="AT426" s="93"/>
      <c r="AU426" s="93"/>
      <c r="AV426" s="93"/>
      <c r="AW426" s="93"/>
      <c r="AX426" s="93"/>
      <c r="AY426" s="93"/>
      <c r="AZ426" s="93"/>
      <c r="BA426" s="93"/>
      <c r="BB426" s="93"/>
    </row>
    <row r="427" spans="1:54" ht="13.2">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115"/>
      <c r="AM427" s="93"/>
      <c r="AN427" s="93"/>
      <c r="AO427" s="93"/>
      <c r="AP427" s="93"/>
      <c r="AQ427" s="93"/>
      <c r="AR427" s="93"/>
      <c r="AS427" s="93"/>
      <c r="AT427" s="93"/>
      <c r="AU427" s="93"/>
      <c r="AV427" s="93"/>
      <c r="AW427" s="93"/>
      <c r="AX427" s="93"/>
      <c r="AY427" s="93"/>
      <c r="AZ427" s="93"/>
      <c r="BA427" s="93"/>
      <c r="BB427" s="93"/>
    </row>
    <row r="428" spans="1:54" ht="13.2">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115"/>
      <c r="AM428" s="93"/>
      <c r="AN428" s="93"/>
      <c r="AO428" s="93"/>
      <c r="AP428" s="93"/>
      <c r="AQ428" s="93"/>
      <c r="AR428" s="93"/>
      <c r="AS428" s="93"/>
      <c r="AT428" s="93"/>
      <c r="AU428" s="93"/>
      <c r="AV428" s="93"/>
      <c r="AW428" s="93"/>
      <c r="AX428" s="93"/>
      <c r="AY428" s="93"/>
      <c r="AZ428" s="93"/>
      <c r="BA428" s="93"/>
      <c r="BB428" s="93"/>
    </row>
    <row r="429" spans="1:54" ht="13.2">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115"/>
      <c r="AM429" s="93"/>
      <c r="AN429" s="93"/>
      <c r="AO429" s="93"/>
      <c r="AP429" s="93"/>
      <c r="AQ429" s="93"/>
      <c r="AR429" s="93"/>
      <c r="AS429" s="93"/>
      <c r="AT429" s="93"/>
      <c r="AU429" s="93"/>
      <c r="AV429" s="93"/>
      <c r="AW429" s="93"/>
      <c r="AX429" s="93"/>
      <c r="AY429" s="93"/>
      <c r="AZ429" s="93"/>
      <c r="BA429" s="93"/>
      <c r="BB429" s="93"/>
    </row>
    <row r="430" spans="1:54" ht="13.2">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115"/>
      <c r="AM430" s="93"/>
      <c r="AN430" s="93"/>
      <c r="AO430" s="93"/>
      <c r="AP430" s="93"/>
      <c r="AQ430" s="93"/>
      <c r="AR430" s="93"/>
      <c r="AS430" s="93"/>
      <c r="AT430" s="93"/>
      <c r="AU430" s="93"/>
      <c r="AV430" s="93"/>
      <c r="AW430" s="93"/>
      <c r="AX430" s="93"/>
      <c r="AY430" s="93"/>
      <c r="AZ430" s="93"/>
      <c r="BA430" s="93"/>
      <c r="BB430" s="93"/>
    </row>
    <row r="431" spans="1:54" ht="13.2">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115"/>
      <c r="AM431" s="93"/>
      <c r="AN431" s="93"/>
      <c r="AO431" s="93"/>
      <c r="AP431" s="93"/>
      <c r="AQ431" s="93"/>
      <c r="AR431" s="93"/>
      <c r="AS431" s="93"/>
      <c r="AT431" s="93"/>
      <c r="AU431" s="93"/>
      <c r="AV431" s="93"/>
      <c r="AW431" s="93"/>
      <c r="AX431" s="93"/>
      <c r="AY431" s="93"/>
      <c r="AZ431" s="93"/>
      <c r="BA431" s="93"/>
      <c r="BB431" s="93"/>
    </row>
    <row r="432" spans="1:54" ht="1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115"/>
      <c r="AM432" s="93"/>
      <c r="AN432" s="93"/>
      <c r="AO432" s="93"/>
      <c r="AP432" s="93"/>
      <c r="AQ432" s="93"/>
      <c r="AR432" s="93"/>
      <c r="AS432" s="93"/>
      <c r="AT432" s="93"/>
      <c r="AU432" s="93"/>
      <c r="AV432" s="93"/>
      <c r="AW432" s="93"/>
      <c r="AX432" s="93"/>
      <c r="AY432" s="93"/>
      <c r="AZ432" s="93"/>
      <c r="BA432" s="93"/>
      <c r="BB432" s="93"/>
    </row>
    <row r="433" spans="1:54" ht="13.2">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115"/>
      <c r="AM433" s="93"/>
      <c r="AN433" s="93"/>
      <c r="AO433" s="93"/>
      <c r="AP433" s="93"/>
      <c r="AQ433" s="93"/>
      <c r="AR433" s="93"/>
      <c r="AS433" s="93"/>
      <c r="AT433" s="93"/>
      <c r="AU433" s="93"/>
      <c r="AV433" s="93"/>
      <c r="AW433" s="93"/>
      <c r="AX433" s="93"/>
      <c r="AY433" s="93"/>
      <c r="AZ433" s="93"/>
      <c r="BA433" s="93"/>
      <c r="BB433" s="93"/>
    </row>
    <row r="434" spans="1:54" ht="13.2">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115"/>
      <c r="AM434" s="93"/>
      <c r="AN434" s="93"/>
      <c r="AO434" s="93"/>
      <c r="AP434" s="93"/>
      <c r="AQ434" s="93"/>
      <c r="AR434" s="93"/>
      <c r="AS434" s="93"/>
      <c r="AT434" s="93"/>
      <c r="AU434" s="93"/>
      <c r="AV434" s="93"/>
      <c r="AW434" s="93"/>
      <c r="AX434" s="93"/>
      <c r="AY434" s="93"/>
      <c r="AZ434" s="93"/>
      <c r="BA434" s="93"/>
      <c r="BB434" s="93"/>
    </row>
    <row r="435" spans="1:54" ht="13.2">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115"/>
      <c r="AM435" s="93"/>
      <c r="AN435" s="93"/>
      <c r="AO435" s="93"/>
      <c r="AP435" s="93"/>
      <c r="AQ435" s="93"/>
      <c r="AR435" s="93"/>
      <c r="AS435" s="93"/>
      <c r="AT435" s="93"/>
      <c r="AU435" s="93"/>
      <c r="AV435" s="93"/>
      <c r="AW435" s="93"/>
      <c r="AX435" s="93"/>
      <c r="AY435" s="93"/>
      <c r="AZ435" s="93"/>
      <c r="BA435" s="93"/>
      <c r="BB435" s="93"/>
    </row>
    <row r="436" spans="1:54" ht="13.2">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115"/>
      <c r="AM436" s="93"/>
      <c r="AN436" s="93"/>
      <c r="AO436" s="93"/>
      <c r="AP436" s="93"/>
      <c r="AQ436" s="93"/>
      <c r="AR436" s="93"/>
      <c r="AS436" s="93"/>
      <c r="AT436" s="93"/>
      <c r="AU436" s="93"/>
      <c r="AV436" s="93"/>
      <c r="AW436" s="93"/>
      <c r="AX436" s="93"/>
      <c r="AY436" s="93"/>
      <c r="AZ436" s="93"/>
      <c r="BA436" s="93"/>
      <c r="BB436" s="93"/>
    </row>
    <row r="437" spans="1:54" ht="13.2">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115"/>
      <c r="AM437" s="93"/>
      <c r="AN437" s="93"/>
      <c r="AO437" s="93"/>
      <c r="AP437" s="93"/>
      <c r="AQ437" s="93"/>
      <c r="AR437" s="93"/>
      <c r="AS437" s="93"/>
      <c r="AT437" s="93"/>
      <c r="AU437" s="93"/>
      <c r="AV437" s="93"/>
      <c r="AW437" s="93"/>
      <c r="AX437" s="93"/>
      <c r="AY437" s="93"/>
      <c r="AZ437" s="93"/>
      <c r="BA437" s="93"/>
      <c r="BB437" s="93"/>
    </row>
    <row r="438" spans="1:54" ht="13.2">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115"/>
      <c r="AM438" s="93"/>
      <c r="AN438" s="93"/>
      <c r="AO438" s="93"/>
      <c r="AP438" s="93"/>
      <c r="AQ438" s="93"/>
      <c r="AR438" s="93"/>
      <c r="AS438" s="93"/>
      <c r="AT438" s="93"/>
      <c r="AU438" s="93"/>
      <c r="AV438" s="93"/>
      <c r="AW438" s="93"/>
      <c r="AX438" s="93"/>
      <c r="AY438" s="93"/>
      <c r="AZ438" s="93"/>
      <c r="BA438" s="93"/>
      <c r="BB438" s="93"/>
    </row>
    <row r="439" spans="1:54" ht="13.2">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115"/>
      <c r="AM439" s="93"/>
      <c r="AN439" s="93"/>
      <c r="AO439" s="93"/>
      <c r="AP439" s="93"/>
      <c r="AQ439" s="93"/>
      <c r="AR439" s="93"/>
      <c r="AS439" s="93"/>
      <c r="AT439" s="93"/>
      <c r="AU439" s="93"/>
      <c r="AV439" s="93"/>
      <c r="AW439" s="93"/>
      <c r="AX439" s="93"/>
      <c r="AY439" s="93"/>
      <c r="AZ439" s="93"/>
      <c r="BA439" s="93"/>
      <c r="BB439" s="93"/>
    </row>
    <row r="440" spans="1:54" ht="13.2">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115"/>
      <c r="AM440" s="93"/>
      <c r="AN440" s="93"/>
      <c r="AO440" s="93"/>
      <c r="AP440" s="93"/>
      <c r="AQ440" s="93"/>
      <c r="AR440" s="93"/>
      <c r="AS440" s="93"/>
      <c r="AT440" s="93"/>
      <c r="AU440" s="93"/>
      <c r="AV440" s="93"/>
      <c r="AW440" s="93"/>
      <c r="AX440" s="93"/>
      <c r="AY440" s="93"/>
      <c r="AZ440" s="93"/>
      <c r="BA440" s="93"/>
      <c r="BB440" s="93"/>
    </row>
    <row r="441" spans="1:54" ht="13.2">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115"/>
      <c r="AM441" s="93"/>
      <c r="AN441" s="93"/>
      <c r="AO441" s="93"/>
      <c r="AP441" s="93"/>
      <c r="AQ441" s="93"/>
      <c r="AR441" s="93"/>
      <c r="AS441" s="93"/>
      <c r="AT441" s="93"/>
      <c r="AU441" s="93"/>
      <c r="AV441" s="93"/>
      <c r="AW441" s="93"/>
      <c r="AX441" s="93"/>
      <c r="AY441" s="93"/>
      <c r="AZ441" s="93"/>
      <c r="BA441" s="93"/>
      <c r="BB441" s="93"/>
    </row>
    <row r="442" spans="1:54" ht="13.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115"/>
      <c r="AM442" s="93"/>
      <c r="AN442" s="93"/>
      <c r="AO442" s="93"/>
      <c r="AP442" s="93"/>
      <c r="AQ442" s="93"/>
      <c r="AR442" s="93"/>
      <c r="AS442" s="93"/>
      <c r="AT442" s="93"/>
      <c r="AU442" s="93"/>
      <c r="AV442" s="93"/>
      <c r="AW442" s="93"/>
      <c r="AX442" s="93"/>
      <c r="AY442" s="93"/>
      <c r="AZ442" s="93"/>
      <c r="BA442" s="93"/>
      <c r="BB442" s="93"/>
    </row>
    <row r="443" spans="1:54" ht="13.2">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115"/>
      <c r="AM443" s="93"/>
      <c r="AN443" s="93"/>
      <c r="AO443" s="93"/>
      <c r="AP443" s="93"/>
      <c r="AQ443" s="93"/>
      <c r="AR443" s="93"/>
      <c r="AS443" s="93"/>
      <c r="AT443" s="93"/>
      <c r="AU443" s="93"/>
      <c r="AV443" s="93"/>
      <c r="AW443" s="93"/>
      <c r="AX443" s="93"/>
      <c r="AY443" s="93"/>
      <c r="AZ443" s="93"/>
      <c r="BA443" s="93"/>
      <c r="BB443" s="93"/>
    </row>
    <row r="444" spans="1:54" ht="13.2">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115"/>
      <c r="AM444" s="93"/>
      <c r="AN444" s="93"/>
      <c r="AO444" s="93"/>
      <c r="AP444" s="93"/>
      <c r="AQ444" s="93"/>
      <c r="AR444" s="93"/>
      <c r="AS444" s="93"/>
      <c r="AT444" s="93"/>
      <c r="AU444" s="93"/>
      <c r="AV444" s="93"/>
      <c r="AW444" s="93"/>
      <c r="AX444" s="93"/>
      <c r="AY444" s="93"/>
      <c r="AZ444" s="93"/>
      <c r="BA444" s="93"/>
      <c r="BB444" s="93"/>
    </row>
    <row r="445" spans="1:54" ht="13.2">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115"/>
      <c r="AM445" s="93"/>
      <c r="AN445" s="93"/>
      <c r="AO445" s="93"/>
      <c r="AP445" s="93"/>
      <c r="AQ445" s="93"/>
      <c r="AR445" s="93"/>
      <c r="AS445" s="93"/>
      <c r="AT445" s="93"/>
      <c r="AU445" s="93"/>
      <c r="AV445" s="93"/>
      <c r="AW445" s="93"/>
      <c r="AX445" s="93"/>
      <c r="AY445" s="93"/>
      <c r="AZ445" s="93"/>
      <c r="BA445" s="93"/>
      <c r="BB445" s="93"/>
    </row>
    <row r="446" spans="1:54" ht="13.2">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115"/>
      <c r="AM446" s="93"/>
      <c r="AN446" s="93"/>
      <c r="AO446" s="93"/>
      <c r="AP446" s="93"/>
      <c r="AQ446" s="93"/>
      <c r="AR446" s="93"/>
      <c r="AS446" s="93"/>
      <c r="AT446" s="93"/>
      <c r="AU446" s="93"/>
      <c r="AV446" s="93"/>
      <c r="AW446" s="93"/>
      <c r="AX446" s="93"/>
      <c r="AY446" s="93"/>
      <c r="AZ446" s="93"/>
      <c r="BA446" s="93"/>
      <c r="BB446" s="93"/>
    </row>
    <row r="447" spans="1:54" ht="13.2">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115"/>
      <c r="AM447" s="93"/>
      <c r="AN447" s="93"/>
      <c r="AO447" s="93"/>
      <c r="AP447" s="93"/>
      <c r="AQ447" s="93"/>
      <c r="AR447" s="93"/>
      <c r="AS447" s="93"/>
      <c r="AT447" s="93"/>
      <c r="AU447" s="93"/>
      <c r="AV447" s="93"/>
      <c r="AW447" s="93"/>
      <c r="AX447" s="93"/>
      <c r="AY447" s="93"/>
      <c r="AZ447" s="93"/>
      <c r="BA447" s="93"/>
      <c r="BB447" s="93"/>
    </row>
    <row r="448" spans="1:54" ht="13.2">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115"/>
      <c r="AM448" s="93"/>
      <c r="AN448" s="93"/>
      <c r="AO448" s="93"/>
      <c r="AP448" s="93"/>
      <c r="AQ448" s="93"/>
      <c r="AR448" s="93"/>
      <c r="AS448" s="93"/>
      <c r="AT448" s="93"/>
      <c r="AU448" s="93"/>
      <c r="AV448" s="93"/>
      <c r="AW448" s="93"/>
      <c r="AX448" s="93"/>
      <c r="AY448" s="93"/>
      <c r="AZ448" s="93"/>
      <c r="BA448" s="93"/>
      <c r="BB448" s="93"/>
    </row>
    <row r="449" spans="1:54" ht="13.2">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115"/>
      <c r="AM449" s="93"/>
      <c r="AN449" s="93"/>
      <c r="AO449" s="93"/>
      <c r="AP449" s="93"/>
      <c r="AQ449" s="93"/>
      <c r="AR449" s="93"/>
      <c r="AS449" s="93"/>
      <c r="AT449" s="93"/>
      <c r="AU449" s="93"/>
      <c r="AV449" s="93"/>
      <c r="AW449" s="93"/>
      <c r="AX449" s="93"/>
      <c r="AY449" s="93"/>
      <c r="AZ449" s="93"/>
      <c r="BA449" s="93"/>
      <c r="BB449" s="93"/>
    </row>
    <row r="450" spans="1:54" ht="13.2">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115"/>
      <c r="AM450" s="93"/>
      <c r="AN450" s="93"/>
      <c r="AO450" s="93"/>
      <c r="AP450" s="93"/>
      <c r="AQ450" s="93"/>
      <c r="AR450" s="93"/>
      <c r="AS450" s="93"/>
      <c r="AT450" s="93"/>
      <c r="AU450" s="93"/>
      <c r="AV450" s="93"/>
      <c r="AW450" s="93"/>
      <c r="AX450" s="93"/>
      <c r="AY450" s="93"/>
      <c r="AZ450" s="93"/>
      <c r="BA450" s="93"/>
      <c r="BB450" s="93"/>
    </row>
    <row r="451" spans="1:54" ht="13.2">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115"/>
      <c r="AM451" s="93"/>
      <c r="AN451" s="93"/>
      <c r="AO451" s="93"/>
      <c r="AP451" s="93"/>
      <c r="AQ451" s="93"/>
      <c r="AR451" s="93"/>
      <c r="AS451" s="93"/>
      <c r="AT451" s="93"/>
      <c r="AU451" s="93"/>
      <c r="AV451" s="93"/>
      <c r="AW451" s="93"/>
      <c r="AX451" s="93"/>
      <c r="AY451" s="93"/>
      <c r="AZ451" s="93"/>
      <c r="BA451" s="93"/>
      <c r="BB451" s="93"/>
    </row>
    <row r="452" spans="1:54" ht="13.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115"/>
      <c r="AM452" s="93"/>
      <c r="AN452" s="93"/>
      <c r="AO452" s="93"/>
      <c r="AP452" s="93"/>
      <c r="AQ452" s="93"/>
      <c r="AR452" s="93"/>
      <c r="AS452" s="93"/>
      <c r="AT452" s="93"/>
      <c r="AU452" s="93"/>
      <c r="AV452" s="93"/>
      <c r="AW452" s="93"/>
      <c r="AX452" s="93"/>
      <c r="AY452" s="93"/>
      <c r="AZ452" s="93"/>
      <c r="BA452" s="93"/>
      <c r="BB452" s="93"/>
    </row>
    <row r="453" spans="1:54" ht="13.2">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115"/>
      <c r="AM453" s="93"/>
      <c r="AN453" s="93"/>
      <c r="AO453" s="93"/>
      <c r="AP453" s="93"/>
      <c r="AQ453" s="93"/>
      <c r="AR453" s="93"/>
      <c r="AS453" s="93"/>
      <c r="AT453" s="93"/>
      <c r="AU453" s="93"/>
      <c r="AV453" s="93"/>
      <c r="AW453" s="93"/>
      <c r="AX453" s="93"/>
      <c r="AY453" s="93"/>
      <c r="AZ453" s="93"/>
      <c r="BA453" s="93"/>
      <c r="BB453" s="93"/>
    </row>
    <row r="454" spans="1:54" ht="13.2">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115"/>
      <c r="AM454" s="93"/>
      <c r="AN454" s="93"/>
      <c r="AO454" s="93"/>
      <c r="AP454" s="93"/>
      <c r="AQ454" s="93"/>
      <c r="AR454" s="93"/>
      <c r="AS454" s="93"/>
      <c r="AT454" s="93"/>
      <c r="AU454" s="93"/>
      <c r="AV454" s="93"/>
      <c r="AW454" s="93"/>
      <c r="AX454" s="93"/>
      <c r="AY454" s="93"/>
      <c r="AZ454" s="93"/>
      <c r="BA454" s="93"/>
      <c r="BB454" s="93"/>
    </row>
    <row r="455" spans="1:54" ht="13.2">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115"/>
      <c r="AM455" s="93"/>
      <c r="AN455" s="93"/>
      <c r="AO455" s="93"/>
      <c r="AP455" s="93"/>
      <c r="AQ455" s="93"/>
      <c r="AR455" s="93"/>
      <c r="AS455" s="93"/>
      <c r="AT455" s="93"/>
      <c r="AU455" s="93"/>
      <c r="AV455" s="93"/>
      <c r="AW455" s="93"/>
      <c r="AX455" s="93"/>
      <c r="AY455" s="93"/>
      <c r="AZ455" s="93"/>
      <c r="BA455" s="93"/>
      <c r="BB455" s="93"/>
    </row>
    <row r="456" spans="1:54" ht="13.2">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115"/>
      <c r="AM456" s="93"/>
      <c r="AN456" s="93"/>
      <c r="AO456" s="93"/>
      <c r="AP456" s="93"/>
      <c r="AQ456" s="93"/>
      <c r="AR456" s="93"/>
      <c r="AS456" s="93"/>
      <c r="AT456" s="93"/>
      <c r="AU456" s="93"/>
      <c r="AV456" s="93"/>
      <c r="AW456" s="93"/>
      <c r="AX456" s="93"/>
      <c r="AY456" s="93"/>
      <c r="AZ456" s="93"/>
      <c r="BA456" s="93"/>
      <c r="BB456" s="93"/>
    </row>
    <row r="457" spans="1:54" ht="13.2">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115"/>
      <c r="AM457" s="93"/>
      <c r="AN457" s="93"/>
      <c r="AO457" s="93"/>
      <c r="AP457" s="93"/>
      <c r="AQ457" s="93"/>
      <c r="AR457" s="93"/>
      <c r="AS457" s="93"/>
      <c r="AT457" s="93"/>
      <c r="AU457" s="93"/>
      <c r="AV457" s="93"/>
      <c r="AW457" s="93"/>
      <c r="AX457" s="93"/>
      <c r="AY457" s="93"/>
      <c r="AZ457" s="93"/>
      <c r="BA457" s="93"/>
      <c r="BB457" s="93"/>
    </row>
    <row r="458" spans="1:54" ht="13.2">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115"/>
      <c r="AM458" s="93"/>
      <c r="AN458" s="93"/>
      <c r="AO458" s="93"/>
      <c r="AP458" s="93"/>
      <c r="AQ458" s="93"/>
      <c r="AR458" s="93"/>
      <c r="AS458" s="93"/>
      <c r="AT458" s="93"/>
      <c r="AU458" s="93"/>
      <c r="AV458" s="93"/>
      <c r="AW458" s="93"/>
      <c r="AX458" s="93"/>
      <c r="AY458" s="93"/>
      <c r="AZ458" s="93"/>
      <c r="BA458" s="93"/>
      <c r="BB458" s="93"/>
    </row>
    <row r="459" spans="1:54" ht="13.2">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115"/>
      <c r="AM459" s="93"/>
      <c r="AN459" s="93"/>
      <c r="AO459" s="93"/>
      <c r="AP459" s="93"/>
      <c r="AQ459" s="93"/>
      <c r="AR459" s="93"/>
      <c r="AS459" s="93"/>
      <c r="AT459" s="93"/>
      <c r="AU459" s="93"/>
      <c r="AV459" s="93"/>
      <c r="AW459" s="93"/>
      <c r="AX459" s="93"/>
      <c r="AY459" s="93"/>
      <c r="AZ459" s="93"/>
      <c r="BA459" s="93"/>
      <c r="BB459" s="93"/>
    </row>
    <row r="460" spans="1:54" ht="13.2">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115"/>
      <c r="AM460" s="93"/>
      <c r="AN460" s="93"/>
      <c r="AO460" s="93"/>
      <c r="AP460" s="93"/>
      <c r="AQ460" s="93"/>
      <c r="AR460" s="93"/>
      <c r="AS460" s="93"/>
      <c r="AT460" s="93"/>
      <c r="AU460" s="93"/>
      <c r="AV460" s="93"/>
      <c r="AW460" s="93"/>
      <c r="AX460" s="93"/>
      <c r="AY460" s="93"/>
      <c r="AZ460" s="93"/>
      <c r="BA460" s="93"/>
      <c r="BB460" s="93"/>
    </row>
    <row r="461" spans="1:54" ht="13.2">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115"/>
      <c r="AM461" s="93"/>
      <c r="AN461" s="93"/>
      <c r="AO461" s="93"/>
      <c r="AP461" s="93"/>
      <c r="AQ461" s="93"/>
      <c r="AR461" s="93"/>
      <c r="AS461" s="93"/>
      <c r="AT461" s="93"/>
      <c r="AU461" s="93"/>
      <c r="AV461" s="93"/>
      <c r="AW461" s="93"/>
      <c r="AX461" s="93"/>
      <c r="AY461" s="93"/>
      <c r="AZ461" s="93"/>
      <c r="BA461" s="93"/>
      <c r="BB461" s="93"/>
    </row>
    <row r="462" spans="1:54" ht="13.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115"/>
      <c r="AM462" s="93"/>
      <c r="AN462" s="93"/>
      <c r="AO462" s="93"/>
      <c r="AP462" s="93"/>
      <c r="AQ462" s="93"/>
      <c r="AR462" s="93"/>
      <c r="AS462" s="93"/>
      <c r="AT462" s="93"/>
      <c r="AU462" s="93"/>
      <c r="AV462" s="93"/>
      <c r="AW462" s="93"/>
      <c r="AX462" s="93"/>
      <c r="AY462" s="93"/>
      <c r="AZ462" s="93"/>
      <c r="BA462" s="93"/>
      <c r="BB462" s="93"/>
    </row>
    <row r="463" spans="1:54" ht="13.2">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115"/>
      <c r="AM463" s="93"/>
      <c r="AN463" s="93"/>
      <c r="AO463" s="93"/>
      <c r="AP463" s="93"/>
      <c r="AQ463" s="93"/>
      <c r="AR463" s="93"/>
      <c r="AS463" s="93"/>
      <c r="AT463" s="93"/>
      <c r="AU463" s="93"/>
      <c r="AV463" s="93"/>
      <c r="AW463" s="93"/>
      <c r="AX463" s="93"/>
      <c r="AY463" s="93"/>
      <c r="AZ463" s="93"/>
      <c r="BA463" s="93"/>
      <c r="BB463" s="93"/>
    </row>
    <row r="464" spans="1:54" ht="13.2">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115"/>
      <c r="AM464" s="93"/>
      <c r="AN464" s="93"/>
      <c r="AO464" s="93"/>
      <c r="AP464" s="93"/>
      <c r="AQ464" s="93"/>
      <c r="AR464" s="93"/>
      <c r="AS464" s="93"/>
      <c r="AT464" s="93"/>
      <c r="AU464" s="93"/>
      <c r="AV464" s="93"/>
      <c r="AW464" s="93"/>
      <c r="AX464" s="93"/>
      <c r="AY464" s="93"/>
      <c r="AZ464" s="93"/>
      <c r="BA464" s="93"/>
      <c r="BB464" s="93"/>
    </row>
    <row r="465" spans="1:54" ht="13.2">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115"/>
      <c r="AM465" s="93"/>
      <c r="AN465" s="93"/>
      <c r="AO465" s="93"/>
      <c r="AP465" s="93"/>
      <c r="AQ465" s="93"/>
      <c r="AR465" s="93"/>
      <c r="AS465" s="93"/>
      <c r="AT465" s="93"/>
      <c r="AU465" s="93"/>
      <c r="AV465" s="93"/>
      <c r="AW465" s="93"/>
      <c r="AX465" s="93"/>
      <c r="AY465" s="93"/>
      <c r="AZ465" s="93"/>
      <c r="BA465" s="93"/>
      <c r="BB465" s="93"/>
    </row>
    <row r="466" spans="1:54" ht="13.2">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115"/>
      <c r="AM466" s="93"/>
      <c r="AN466" s="93"/>
      <c r="AO466" s="93"/>
      <c r="AP466" s="93"/>
      <c r="AQ466" s="93"/>
      <c r="AR466" s="93"/>
      <c r="AS466" s="93"/>
      <c r="AT466" s="93"/>
      <c r="AU466" s="93"/>
      <c r="AV466" s="93"/>
      <c r="AW466" s="93"/>
      <c r="AX466" s="93"/>
      <c r="AY466" s="93"/>
      <c r="AZ466" s="93"/>
      <c r="BA466" s="93"/>
      <c r="BB466" s="93"/>
    </row>
    <row r="467" spans="1:54" ht="13.2">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115"/>
      <c r="AM467" s="93"/>
      <c r="AN467" s="93"/>
      <c r="AO467" s="93"/>
      <c r="AP467" s="93"/>
      <c r="AQ467" s="93"/>
      <c r="AR467" s="93"/>
      <c r="AS467" s="93"/>
      <c r="AT467" s="93"/>
      <c r="AU467" s="93"/>
      <c r="AV467" s="93"/>
      <c r="AW467" s="93"/>
      <c r="AX467" s="93"/>
      <c r="AY467" s="93"/>
      <c r="AZ467" s="93"/>
      <c r="BA467" s="93"/>
      <c r="BB467" s="93"/>
    </row>
    <row r="468" spans="1:54" ht="13.2">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115"/>
      <c r="AM468" s="93"/>
      <c r="AN468" s="93"/>
      <c r="AO468" s="93"/>
      <c r="AP468" s="93"/>
      <c r="AQ468" s="93"/>
      <c r="AR468" s="93"/>
      <c r="AS468" s="93"/>
      <c r="AT468" s="93"/>
      <c r="AU468" s="93"/>
      <c r="AV468" s="93"/>
      <c r="AW468" s="93"/>
      <c r="AX468" s="93"/>
      <c r="AY468" s="93"/>
      <c r="AZ468" s="93"/>
      <c r="BA468" s="93"/>
      <c r="BB468" s="93"/>
    </row>
    <row r="469" spans="1:54" ht="13.2">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115"/>
      <c r="AM469" s="93"/>
      <c r="AN469" s="93"/>
      <c r="AO469" s="93"/>
      <c r="AP469" s="93"/>
      <c r="AQ469" s="93"/>
      <c r="AR469" s="93"/>
      <c r="AS469" s="93"/>
      <c r="AT469" s="93"/>
      <c r="AU469" s="93"/>
      <c r="AV469" s="93"/>
      <c r="AW469" s="93"/>
      <c r="AX469" s="93"/>
      <c r="AY469" s="93"/>
      <c r="AZ469" s="93"/>
      <c r="BA469" s="93"/>
      <c r="BB469" s="93"/>
    </row>
    <row r="470" spans="1:54" ht="13.2">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115"/>
      <c r="AM470" s="93"/>
      <c r="AN470" s="93"/>
      <c r="AO470" s="93"/>
      <c r="AP470" s="93"/>
      <c r="AQ470" s="93"/>
      <c r="AR470" s="93"/>
      <c r="AS470" s="93"/>
      <c r="AT470" s="93"/>
      <c r="AU470" s="93"/>
      <c r="AV470" s="93"/>
      <c r="AW470" s="93"/>
      <c r="AX470" s="93"/>
      <c r="AY470" s="93"/>
      <c r="AZ470" s="93"/>
      <c r="BA470" s="93"/>
      <c r="BB470" s="93"/>
    </row>
    <row r="471" spans="1:54" ht="13.2">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115"/>
      <c r="AM471" s="93"/>
      <c r="AN471" s="93"/>
      <c r="AO471" s="93"/>
      <c r="AP471" s="93"/>
      <c r="AQ471" s="93"/>
      <c r="AR471" s="93"/>
      <c r="AS471" s="93"/>
      <c r="AT471" s="93"/>
      <c r="AU471" s="93"/>
      <c r="AV471" s="93"/>
      <c r="AW471" s="93"/>
      <c r="AX471" s="93"/>
      <c r="AY471" s="93"/>
      <c r="AZ471" s="93"/>
      <c r="BA471" s="93"/>
      <c r="BB471" s="93"/>
    </row>
    <row r="472" spans="1:54" ht="13.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115"/>
      <c r="AM472" s="93"/>
      <c r="AN472" s="93"/>
      <c r="AO472" s="93"/>
      <c r="AP472" s="93"/>
      <c r="AQ472" s="93"/>
      <c r="AR472" s="93"/>
      <c r="AS472" s="93"/>
      <c r="AT472" s="93"/>
      <c r="AU472" s="93"/>
      <c r="AV472" s="93"/>
      <c r="AW472" s="93"/>
      <c r="AX472" s="93"/>
      <c r="AY472" s="93"/>
      <c r="AZ472" s="93"/>
      <c r="BA472" s="93"/>
      <c r="BB472" s="93"/>
    </row>
    <row r="473" spans="1:54" ht="13.2">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115"/>
      <c r="AM473" s="93"/>
      <c r="AN473" s="93"/>
      <c r="AO473" s="93"/>
      <c r="AP473" s="93"/>
      <c r="AQ473" s="93"/>
      <c r="AR473" s="93"/>
      <c r="AS473" s="93"/>
      <c r="AT473" s="93"/>
      <c r="AU473" s="93"/>
      <c r="AV473" s="93"/>
      <c r="AW473" s="93"/>
      <c r="AX473" s="93"/>
      <c r="AY473" s="93"/>
      <c r="AZ473" s="93"/>
      <c r="BA473" s="93"/>
      <c r="BB473" s="93"/>
    </row>
    <row r="474" spans="1:54" ht="13.2">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115"/>
      <c r="AM474" s="93"/>
      <c r="AN474" s="93"/>
      <c r="AO474" s="93"/>
      <c r="AP474" s="93"/>
      <c r="AQ474" s="93"/>
      <c r="AR474" s="93"/>
      <c r="AS474" s="93"/>
      <c r="AT474" s="93"/>
      <c r="AU474" s="93"/>
      <c r="AV474" s="93"/>
      <c r="AW474" s="93"/>
      <c r="AX474" s="93"/>
      <c r="AY474" s="93"/>
      <c r="AZ474" s="93"/>
      <c r="BA474" s="93"/>
      <c r="BB474" s="93"/>
    </row>
    <row r="475" spans="1:54" ht="13.2">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115"/>
      <c r="AM475" s="93"/>
      <c r="AN475" s="93"/>
      <c r="AO475" s="93"/>
      <c r="AP475" s="93"/>
      <c r="AQ475" s="93"/>
      <c r="AR475" s="93"/>
      <c r="AS475" s="93"/>
      <c r="AT475" s="93"/>
      <c r="AU475" s="93"/>
      <c r="AV475" s="93"/>
      <c r="AW475" s="93"/>
      <c r="AX475" s="93"/>
      <c r="AY475" s="93"/>
      <c r="AZ475" s="93"/>
      <c r="BA475" s="93"/>
      <c r="BB475" s="93"/>
    </row>
    <row r="476" spans="1:54" ht="13.2">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115"/>
      <c r="AM476" s="93"/>
      <c r="AN476" s="93"/>
      <c r="AO476" s="93"/>
      <c r="AP476" s="93"/>
      <c r="AQ476" s="93"/>
      <c r="AR476" s="93"/>
      <c r="AS476" s="93"/>
      <c r="AT476" s="93"/>
      <c r="AU476" s="93"/>
      <c r="AV476" s="93"/>
      <c r="AW476" s="93"/>
      <c r="AX476" s="93"/>
      <c r="AY476" s="93"/>
      <c r="AZ476" s="93"/>
      <c r="BA476" s="93"/>
      <c r="BB476" s="93"/>
    </row>
    <row r="477" spans="1:54" ht="13.2">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115"/>
      <c r="AM477" s="93"/>
      <c r="AN477" s="93"/>
      <c r="AO477" s="93"/>
      <c r="AP477" s="93"/>
      <c r="AQ477" s="93"/>
      <c r="AR477" s="93"/>
      <c r="AS477" s="93"/>
      <c r="AT477" s="93"/>
      <c r="AU477" s="93"/>
      <c r="AV477" s="93"/>
      <c r="AW477" s="93"/>
      <c r="AX477" s="93"/>
      <c r="AY477" s="93"/>
      <c r="AZ477" s="93"/>
      <c r="BA477" s="93"/>
      <c r="BB477" s="93"/>
    </row>
    <row r="478" spans="1:54" ht="13.2">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115"/>
      <c r="AM478" s="93"/>
      <c r="AN478" s="93"/>
      <c r="AO478" s="93"/>
      <c r="AP478" s="93"/>
      <c r="AQ478" s="93"/>
      <c r="AR478" s="93"/>
      <c r="AS478" s="93"/>
      <c r="AT478" s="93"/>
      <c r="AU478" s="93"/>
      <c r="AV478" s="93"/>
      <c r="AW478" s="93"/>
      <c r="AX478" s="93"/>
      <c r="AY478" s="93"/>
      <c r="AZ478" s="93"/>
      <c r="BA478" s="93"/>
      <c r="BB478" s="93"/>
    </row>
    <row r="479" spans="1:54" ht="13.2">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115"/>
      <c r="AM479" s="93"/>
      <c r="AN479" s="93"/>
      <c r="AO479" s="93"/>
      <c r="AP479" s="93"/>
      <c r="AQ479" s="93"/>
      <c r="AR479" s="93"/>
      <c r="AS479" s="93"/>
      <c r="AT479" s="93"/>
      <c r="AU479" s="93"/>
      <c r="AV479" s="93"/>
      <c r="AW479" s="93"/>
      <c r="AX479" s="93"/>
      <c r="AY479" s="93"/>
      <c r="AZ479" s="93"/>
      <c r="BA479" s="93"/>
      <c r="BB479" s="93"/>
    </row>
    <row r="480" spans="1:54" ht="13.2">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115"/>
      <c r="AM480" s="93"/>
      <c r="AN480" s="93"/>
      <c r="AO480" s="93"/>
      <c r="AP480" s="93"/>
      <c r="AQ480" s="93"/>
      <c r="AR480" s="93"/>
      <c r="AS480" s="93"/>
      <c r="AT480" s="93"/>
      <c r="AU480" s="93"/>
      <c r="AV480" s="93"/>
      <c r="AW480" s="93"/>
      <c r="AX480" s="93"/>
      <c r="AY480" s="93"/>
      <c r="AZ480" s="93"/>
      <c r="BA480" s="93"/>
      <c r="BB480" s="93"/>
    </row>
    <row r="481" spans="1:54" ht="13.2">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115"/>
      <c r="AM481" s="93"/>
      <c r="AN481" s="93"/>
      <c r="AO481" s="93"/>
      <c r="AP481" s="93"/>
      <c r="AQ481" s="93"/>
      <c r="AR481" s="93"/>
      <c r="AS481" s="93"/>
      <c r="AT481" s="93"/>
      <c r="AU481" s="93"/>
      <c r="AV481" s="93"/>
      <c r="AW481" s="93"/>
      <c r="AX481" s="93"/>
      <c r="AY481" s="93"/>
      <c r="AZ481" s="93"/>
      <c r="BA481" s="93"/>
      <c r="BB481" s="93"/>
    </row>
    <row r="482" spans="1:54" ht="13.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115"/>
      <c r="AM482" s="93"/>
      <c r="AN482" s="93"/>
      <c r="AO482" s="93"/>
      <c r="AP482" s="93"/>
      <c r="AQ482" s="93"/>
      <c r="AR482" s="93"/>
      <c r="AS482" s="93"/>
      <c r="AT482" s="93"/>
      <c r="AU482" s="93"/>
      <c r="AV482" s="93"/>
      <c r="AW482" s="93"/>
      <c r="AX482" s="93"/>
      <c r="AY482" s="93"/>
      <c r="AZ482" s="93"/>
      <c r="BA482" s="93"/>
      <c r="BB482" s="93"/>
    </row>
    <row r="483" spans="1:54" ht="13.2">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115"/>
      <c r="AM483" s="93"/>
      <c r="AN483" s="93"/>
      <c r="AO483" s="93"/>
      <c r="AP483" s="93"/>
      <c r="AQ483" s="93"/>
      <c r="AR483" s="93"/>
      <c r="AS483" s="93"/>
      <c r="AT483" s="93"/>
      <c r="AU483" s="93"/>
      <c r="AV483" s="93"/>
      <c r="AW483" s="93"/>
      <c r="AX483" s="93"/>
      <c r="AY483" s="93"/>
      <c r="AZ483" s="93"/>
      <c r="BA483" s="93"/>
      <c r="BB483" s="93"/>
    </row>
    <row r="484" spans="1:54" ht="13.2">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115"/>
      <c r="AM484" s="93"/>
      <c r="AN484" s="93"/>
      <c r="AO484" s="93"/>
      <c r="AP484" s="93"/>
      <c r="AQ484" s="93"/>
      <c r="AR484" s="93"/>
      <c r="AS484" s="93"/>
      <c r="AT484" s="93"/>
      <c r="AU484" s="93"/>
      <c r="AV484" s="93"/>
      <c r="AW484" s="93"/>
      <c r="AX484" s="93"/>
      <c r="AY484" s="93"/>
      <c r="AZ484" s="93"/>
      <c r="BA484" s="93"/>
      <c r="BB484" s="93"/>
    </row>
    <row r="485" spans="1:54" ht="13.2">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115"/>
      <c r="AM485" s="93"/>
      <c r="AN485" s="93"/>
      <c r="AO485" s="93"/>
      <c r="AP485" s="93"/>
      <c r="AQ485" s="93"/>
      <c r="AR485" s="93"/>
      <c r="AS485" s="93"/>
      <c r="AT485" s="93"/>
      <c r="AU485" s="93"/>
      <c r="AV485" s="93"/>
      <c r="AW485" s="93"/>
      <c r="AX485" s="93"/>
      <c r="AY485" s="93"/>
      <c r="AZ485" s="93"/>
      <c r="BA485" s="93"/>
      <c r="BB485" s="93"/>
    </row>
    <row r="486" spans="1:54" ht="13.2">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115"/>
      <c r="AM486" s="93"/>
      <c r="AN486" s="93"/>
      <c r="AO486" s="93"/>
      <c r="AP486" s="93"/>
      <c r="AQ486" s="93"/>
      <c r="AR486" s="93"/>
      <c r="AS486" s="93"/>
      <c r="AT486" s="93"/>
      <c r="AU486" s="93"/>
      <c r="AV486" s="93"/>
      <c r="AW486" s="93"/>
      <c r="AX486" s="93"/>
      <c r="AY486" s="93"/>
      <c r="AZ486" s="93"/>
      <c r="BA486" s="93"/>
      <c r="BB486" s="93"/>
    </row>
    <row r="487" spans="1:54" ht="13.2">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115"/>
      <c r="AM487" s="93"/>
      <c r="AN487" s="93"/>
      <c r="AO487" s="93"/>
      <c r="AP487" s="93"/>
      <c r="AQ487" s="93"/>
      <c r="AR487" s="93"/>
      <c r="AS487" s="93"/>
      <c r="AT487" s="93"/>
      <c r="AU487" s="93"/>
      <c r="AV487" s="93"/>
      <c r="AW487" s="93"/>
      <c r="AX487" s="93"/>
      <c r="AY487" s="93"/>
      <c r="AZ487" s="93"/>
      <c r="BA487" s="93"/>
      <c r="BB487" s="93"/>
    </row>
    <row r="488" spans="1:54" ht="13.2">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115"/>
      <c r="AM488" s="93"/>
      <c r="AN488" s="93"/>
      <c r="AO488" s="93"/>
      <c r="AP488" s="93"/>
      <c r="AQ488" s="93"/>
      <c r="AR488" s="93"/>
      <c r="AS488" s="93"/>
      <c r="AT488" s="93"/>
      <c r="AU488" s="93"/>
      <c r="AV488" s="93"/>
      <c r="AW488" s="93"/>
      <c r="AX488" s="93"/>
      <c r="AY488" s="93"/>
      <c r="AZ488" s="93"/>
      <c r="BA488" s="93"/>
      <c r="BB488" s="93"/>
    </row>
    <row r="489" spans="1:54" ht="13.2">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115"/>
      <c r="AM489" s="93"/>
      <c r="AN489" s="93"/>
      <c r="AO489" s="93"/>
      <c r="AP489" s="93"/>
      <c r="AQ489" s="93"/>
      <c r="AR489" s="93"/>
      <c r="AS489" s="93"/>
      <c r="AT489" s="93"/>
      <c r="AU489" s="93"/>
      <c r="AV489" s="93"/>
      <c r="AW489" s="93"/>
      <c r="AX489" s="93"/>
      <c r="AY489" s="93"/>
      <c r="AZ489" s="93"/>
      <c r="BA489" s="93"/>
      <c r="BB489" s="93"/>
    </row>
    <row r="490" spans="1:54" ht="13.2">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115"/>
      <c r="AM490" s="93"/>
      <c r="AN490" s="93"/>
      <c r="AO490" s="93"/>
      <c r="AP490" s="93"/>
      <c r="AQ490" s="93"/>
      <c r="AR490" s="93"/>
      <c r="AS490" s="93"/>
      <c r="AT490" s="93"/>
      <c r="AU490" s="93"/>
      <c r="AV490" s="93"/>
      <c r="AW490" s="93"/>
      <c r="AX490" s="93"/>
      <c r="AY490" s="93"/>
      <c r="AZ490" s="93"/>
      <c r="BA490" s="93"/>
      <c r="BB490" s="93"/>
    </row>
    <row r="491" spans="1:54" ht="13.2">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115"/>
      <c r="AM491" s="93"/>
      <c r="AN491" s="93"/>
      <c r="AO491" s="93"/>
      <c r="AP491" s="93"/>
      <c r="AQ491" s="93"/>
      <c r="AR491" s="93"/>
      <c r="AS491" s="93"/>
      <c r="AT491" s="93"/>
      <c r="AU491" s="93"/>
      <c r="AV491" s="93"/>
      <c r="AW491" s="93"/>
      <c r="AX491" s="93"/>
      <c r="AY491" s="93"/>
      <c r="AZ491" s="93"/>
      <c r="BA491" s="93"/>
      <c r="BB491" s="93"/>
    </row>
    <row r="492" spans="1:54" ht="13.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115"/>
      <c r="AM492" s="93"/>
      <c r="AN492" s="93"/>
      <c r="AO492" s="93"/>
      <c r="AP492" s="93"/>
      <c r="AQ492" s="93"/>
      <c r="AR492" s="93"/>
      <c r="AS492" s="93"/>
      <c r="AT492" s="93"/>
      <c r="AU492" s="93"/>
      <c r="AV492" s="93"/>
      <c r="AW492" s="93"/>
      <c r="AX492" s="93"/>
      <c r="AY492" s="93"/>
      <c r="AZ492" s="93"/>
      <c r="BA492" s="93"/>
      <c r="BB492" s="93"/>
    </row>
    <row r="493" spans="1:54" ht="13.2">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115"/>
      <c r="AM493" s="93"/>
      <c r="AN493" s="93"/>
      <c r="AO493" s="93"/>
      <c r="AP493" s="93"/>
      <c r="AQ493" s="93"/>
      <c r="AR493" s="93"/>
      <c r="AS493" s="93"/>
      <c r="AT493" s="93"/>
      <c r="AU493" s="93"/>
      <c r="AV493" s="93"/>
      <c r="AW493" s="93"/>
      <c r="AX493" s="93"/>
      <c r="AY493" s="93"/>
      <c r="AZ493" s="93"/>
      <c r="BA493" s="93"/>
      <c r="BB493" s="93"/>
    </row>
    <row r="494" spans="1:54" ht="13.2">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115"/>
      <c r="AM494" s="93"/>
      <c r="AN494" s="93"/>
      <c r="AO494" s="93"/>
      <c r="AP494" s="93"/>
      <c r="AQ494" s="93"/>
      <c r="AR494" s="93"/>
      <c r="AS494" s="93"/>
      <c r="AT494" s="93"/>
      <c r="AU494" s="93"/>
      <c r="AV494" s="93"/>
      <c r="AW494" s="93"/>
      <c r="AX494" s="93"/>
      <c r="AY494" s="93"/>
      <c r="AZ494" s="93"/>
      <c r="BA494" s="93"/>
      <c r="BB494" s="93"/>
    </row>
    <row r="495" spans="1:54" ht="13.2">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115"/>
      <c r="AM495" s="93"/>
      <c r="AN495" s="93"/>
      <c r="AO495" s="93"/>
      <c r="AP495" s="93"/>
      <c r="AQ495" s="93"/>
      <c r="AR495" s="93"/>
      <c r="AS495" s="93"/>
      <c r="AT495" s="93"/>
      <c r="AU495" s="93"/>
      <c r="AV495" s="93"/>
      <c r="AW495" s="93"/>
      <c r="AX495" s="93"/>
      <c r="AY495" s="93"/>
      <c r="AZ495" s="93"/>
      <c r="BA495" s="93"/>
      <c r="BB495" s="93"/>
    </row>
    <row r="496" spans="1:54" ht="13.2">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115"/>
      <c r="AM496" s="93"/>
      <c r="AN496" s="93"/>
      <c r="AO496" s="93"/>
      <c r="AP496" s="93"/>
      <c r="AQ496" s="93"/>
      <c r="AR496" s="93"/>
      <c r="AS496" s="93"/>
      <c r="AT496" s="93"/>
      <c r="AU496" s="93"/>
      <c r="AV496" s="93"/>
      <c r="AW496" s="93"/>
      <c r="AX496" s="93"/>
      <c r="AY496" s="93"/>
      <c r="AZ496" s="93"/>
      <c r="BA496" s="93"/>
      <c r="BB496" s="93"/>
    </row>
    <row r="497" spans="1:54" ht="13.2">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115"/>
      <c r="AM497" s="93"/>
      <c r="AN497" s="93"/>
      <c r="AO497" s="93"/>
      <c r="AP497" s="93"/>
      <c r="AQ497" s="93"/>
      <c r="AR497" s="93"/>
      <c r="AS497" s="93"/>
      <c r="AT497" s="93"/>
      <c r="AU497" s="93"/>
      <c r="AV497" s="93"/>
      <c r="AW497" s="93"/>
      <c r="AX497" s="93"/>
      <c r="AY497" s="93"/>
      <c r="AZ497" s="93"/>
      <c r="BA497" s="93"/>
      <c r="BB497" s="93"/>
    </row>
    <row r="498" spans="1:54" ht="13.2">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115"/>
      <c r="AM498" s="93"/>
      <c r="AN498" s="93"/>
      <c r="AO498" s="93"/>
      <c r="AP498" s="93"/>
      <c r="AQ498" s="93"/>
      <c r="AR498" s="93"/>
      <c r="AS498" s="93"/>
      <c r="AT498" s="93"/>
      <c r="AU498" s="93"/>
      <c r="AV498" s="93"/>
      <c r="AW498" s="93"/>
      <c r="AX498" s="93"/>
      <c r="AY498" s="93"/>
      <c r="AZ498" s="93"/>
      <c r="BA498" s="93"/>
      <c r="BB498" s="93"/>
    </row>
    <row r="499" spans="1:54" ht="13.2">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115"/>
      <c r="AM499" s="93"/>
      <c r="AN499" s="93"/>
      <c r="AO499" s="93"/>
      <c r="AP499" s="93"/>
      <c r="AQ499" s="93"/>
      <c r="AR499" s="93"/>
      <c r="AS499" s="93"/>
      <c r="AT499" s="93"/>
      <c r="AU499" s="93"/>
      <c r="AV499" s="93"/>
      <c r="AW499" s="93"/>
      <c r="AX499" s="93"/>
      <c r="AY499" s="93"/>
      <c r="AZ499" s="93"/>
      <c r="BA499" s="93"/>
      <c r="BB499" s="93"/>
    </row>
    <row r="500" spans="1:54" ht="13.2">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115"/>
      <c r="AM500" s="93"/>
      <c r="AN500" s="93"/>
      <c r="AO500" s="93"/>
      <c r="AP500" s="93"/>
      <c r="AQ500" s="93"/>
      <c r="AR500" s="93"/>
      <c r="AS500" s="93"/>
      <c r="AT500" s="93"/>
      <c r="AU500" s="93"/>
      <c r="AV500" s="93"/>
      <c r="AW500" s="93"/>
      <c r="AX500" s="93"/>
      <c r="AY500" s="93"/>
      <c r="AZ500" s="93"/>
      <c r="BA500" s="93"/>
      <c r="BB500" s="93"/>
    </row>
    <row r="501" spans="1:54" ht="13.2">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115"/>
      <c r="AM501" s="93"/>
      <c r="AN501" s="93"/>
      <c r="AO501" s="93"/>
      <c r="AP501" s="93"/>
      <c r="AQ501" s="93"/>
      <c r="AR501" s="93"/>
      <c r="AS501" s="93"/>
      <c r="AT501" s="93"/>
      <c r="AU501" s="93"/>
      <c r="AV501" s="93"/>
      <c r="AW501" s="93"/>
      <c r="AX501" s="93"/>
      <c r="AY501" s="93"/>
      <c r="AZ501" s="93"/>
      <c r="BA501" s="93"/>
      <c r="BB501" s="93"/>
    </row>
    <row r="502" spans="1:54" ht="13.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115"/>
      <c r="AM502" s="93"/>
      <c r="AN502" s="93"/>
      <c r="AO502" s="93"/>
      <c r="AP502" s="93"/>
      <c r="AQ502" s="93"/>
      <c r="AR502" s="93"/>
      <c r="AS502" s="93"/>
      <c r="AT502" s="93"/>
      <c r="AU502" s="93"/>
      <c r="AV502" s="93"/>
      <c r="AW502" s="93"/>
      <c r="AX502" s="93"/>
      <c r="AY502" s="93"/>
      <c r="AZ502" s="93"/>
      <c r="BA502" s="93"/>
      <c r="BB502" s="93"/>
    </row>
    <row r="503" spans="1:54" ht="13.2">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115"/>
      <c r="AM503" s="93"/>
      <c r="AN503" s="93"/>
      <c r="AO503" s="93"/>
      <c r="AP503" s="93"/>
      <c r="AQ503" s="93"/>
      <c r="AR503" s="93"/>
      <c r="AS503" s="93"/>
      <c r="AT503" s="93"/>
      <c r="AU503" s="93"/>
      <c r="AV503" s="93"/>
      <c r="AW503" s="93"/>
      <c r="AX503" s="93"/>
      <c r="AY503" s="93"/>
      <c r="AZ503" s="93"/>
      <c r="BA503" s="93"/>
      <c r="BB503" s="93"/>
    </row>
    <row r="504" spans="1:54" ht="13.2">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115"/>
      <c r="AM504" s="93"/>
      <c r="AN504" s="93"/>
      <c r="AO504" s="93"/>
      <c r="AP504" s="93"/>
      <c r="AQ504" s="93"/>
      <c r="AR504" s="93"/>
      <c r="AS504" s="93"/>
      <c r="AT504" s="93"/>
      <c r="AU504" s="93"/>
      <c r="AV504" s="93"/>
      <c r="AW504" s="93"/>
      <c r="AX504" s="93"/>
      <c r="AY504" s="93"/>
      <c r="AZ504" s="93"/>
      <c r="BA504" s="93"/>
      <c r="BB504" s="93"/>
    </row>
    <row r="505" spans="1:54" ht="13.2">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115"/>
      <c r="AM505" s="93"/>
      <c r="AN505" s="93"/>
      <c r="AO505" s="93"/>
      <c r="AP505" s="93"/>
      <c r="AQ505" s="93"/>
      <c r="AR505" s="93"/>
      <c r="AS505" s="93"/>
      <c r="AT505" s="93"/>
      <c r="AU505" s="93"/>
      <c r="AV505" s="93"/>
      <c r="AW505" s="93"/>
      <c r="AX505" s="93"/>
      <c r="AY505" s="93"/>
      <c r="AZ505" s="93"/>
      <c r="BA505" s="93"/>
      <c r="BB505" s="93"/>
    </row>
    <row r="506" spans="1:54" ht="13.2">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115"/>
      <c r="AM506" s="93"/>
      <c r="AN506" s="93"/>
      <c r="AO506" s="93"/>
      <c r="AP506" s="93"/>
      <c r="AQ506" s="93"/>
      <c r="AR506" s="93"/>
      <c r="AS506" s="93"/>
      <c r="AT506" s="93"/>
      <c r="AU506" s="93"/>
      <c r="AV506" s="93"/>
      <c r="AW506" s="93"/>
      <c r="AX506" s="93"/>
      <c r="AY506" s="93"/>
      <c r="AZ506" s="93"/>
      <c r="BA506" s="93"/>
      <c r="BB506" s="93"/>
    </row>
    <row r="507" spans="1:54" ht="13.2">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115"/>
      <c r="AM507" s="93"/>
      <c r="AN507" s="93"/>
      <c r="AO507" s="93"/>
      <c r="AP507" s="93"/>
      <c r="AQ507" s="93"/>
      <c r="AR507" s="93"/>
      <c r="AS507" s="93"/>
      <c r="AT507" s="93"/>
      <c r="AU507" s="93"/>
      <c r="AV507" s="93"/>
      <c r="AW507" s="93"/>
      <c r="AX507" s="93"/>
      <c r="AY507" s="93"/>
      <c r="AZ507" s="93"/>
      <c r="BA507" s="93"/>
      <c r="BB507" s="93"/>
    </row>
    <row r="508" spans="1:54" ht="13.2">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115"/>
      <c r="AM508" s="93"/>
      <c r="AN508" s="93"/>
      <c r="AO508" s="93"/>
      <c r="AP508" s="93"/>
      <c r="AQ508" s="93"/>
      <c r="AR508" s="93"/>
      <c r="AS508" s="93"/>
      <c r="AT508" s="93"/>
      <c r="AU508" s="93"/>
      <c r="AV508" s="93"/>
      <c r="AW508" s="93"/>
      <c r="AX508" s="93"/>
      <c r="AY508" s="93"/>
      <c r="AZ508" s="93"/>
      <c r="BA508" s="93"/>
      <c r="BB508" s="93"/>
    </row>
    <row r="509" spans="1:54" ht="13.2">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115"/>
      <c r="AM509" s="93"/>
      <c r="AN509" s="93"/>
      <c r="AO509" s="93"/>
      <c r="AP509" s="93"/>
      <c r="AQ509" s="93"/>
      <c r="AR509" s="93"/>
      <c r="AS509" s="93"/>
      <c r="AT509" s="93"/>
      <c r="AU509" s="93"/>
      <c r="AV509" s="93"/>
      <c r="AW509" s="93"/>
      <c r="AX509" s="93"/>
      <c r="AY509" s="93"/>
      <c r="AZ509" s="93"/>
      <c r="BA509" s="93"/>
      <c r="BB509" s="93"/>
    </row>
    <row r="510" spans="1:54" ht="13.2">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115"/>
      <c r="AM510" s="93"/>
      <c r="AN510" s="93"/>
      <c r="AO510" s="93"/>
      <c r="AP510" s="93"/>
      <c r="AQ510" s="93"/>
      <c r="AR510" s="93"/>
      <c r="AS510" s="93"/>
      <c r="AT510" s="93"/>
      <c r="AU510" s="93"/>
      <c r="AV510" s="93"/>
      <c r="AW510" s="93"/>
      <c r="AX510" s="93"/>
      <c r="AY510" s="93"/>
      <c r="AZ510" s="93"/>
      <c r="BA510" s="93"/>
      <c r="BB510" s="93"/>
    </row>
    <row r="511" spans="1:54" ht="13.2">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115"/>
      <c r="AM511" s="93"/>
      <c r="AN511" s="93"/>
      <c r="AO511" s="93"/>
      <c r="AP511" s="93"/>
      <c r="AQ511" s="93"/>
      <c r="AR511" s="93"/>
      <c r="AS511" s="93"/>
      <c r="AT511" s="93"/>
      <c r="AU511" s="93"/>
      <c r="AV511" s="93"/>
      <c r="AW511" s="93"/>
      <c r="AX511" s="93"/>
      <c r="AY511" s="93"/>
      <c r="AZ511" s="93"/>
      <c r="BA511" s="93"/>
      <c r="BB511" s="93"/>
    </row>
    <row r="512" spans="1:54" ht="13.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115"/>
      <c r="AM512" s="93"/>
      <c r="AN512" s="93"/>
      <c r="AO512" s="93"/>
      <c r="AP512" s="93"/>
      <c r="AQ512" s="93"/>
      <c r="AR512" s="93"/>
      <c r="AS512" s="93"/>
      <c r="AT512" s="93"/>
      <c r="AU512" s="93"/>
      <c r="AV512" s="93"/>
      <c r="AW512" s="93"/>
      <c r="AX512" s="93"/>
      <c r="AY512" s="93"/>
      <c r="AZ512" s="93"/>
      <c r="BA512" s="93"/>
      <c r="BB512" s="93"/>
    </row>
    <row r="513" spans="1:54" ht="13.2">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115"/>
      <c r="AM513" s="93"/>
      <c r="AN513" s="93"/>
      <c r="AO513" s="93"/>
      <c r="AP513" s="93"/>
      <c r="AQ513" s="93"/>
      <c r="AR513" s="93"/>
      <c r="AS513" s="93"/>
      <c r="AT513" s="93"/>
      <c r="AU513" s="93"/>
      <c r="AV513" s="93"/>
      <c r="AW513" s="93"/>
      <c r="AX513" s="93"/>
      <c r="AY513" s="93"/>
      <c r="AZ513" s="93"/>
      <c r="BA513" s="93"/>
      <c r="BB513" s="93"/>
    </row>
    <row r="514" spans="1:54" ht="13.2">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115"/>
      <c r="AM514" s="93"/>
      <c r="AN514" s="93"/>
      <c r="AO514" s="93"/>
      <c r="AP514" s="93"/>
      <c r="AQ514" s="93"/>
      <c r="AR514" s="93"/>
      <c r="AS514" s="93"/>
      <c r="AT514" s="93"/>
      <c r="AU514" s="93"/>
      <c r="AV514" s="93"/>
      <c r="AW514" s="93"/>
      <c r="AX514" s="93"/>
      <c r="AY514" s="93"/>
      <c r="AZ514" s="93"/>
      <c r="BA514" s="93"/>
      <c r="BB514" s="93"/>
    </row>
    <row r="515" spans="1:54" ht="13.2">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115"/>
      <c r="AM515" s="93"/>
      <c r="AN515" s="93"/>
      <c r="AO515" s="93"/>
      <c r="AP515" s="93"/>
      <c r="AQ515" s="93"/>
      <c r="AR515" s="93"/>
      <c r="AS515" s="93"/>
      <c r="AT515" s="93"/>
      <c r="AU515" s="93"/>
      <c r="AV515" s="93"/>
      <c r="AW515" s="93"/>
      <c r="AX515" s="93"/>
      <c r="AY515" s="93"/>
      <c r="AZ515" s="93"/>
      <c r="BA515" s="93"/>
      <c r="BB515" s="93"/>
    </row>
    <row r="516" spans="1:54" ht="13.2">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115"/>
      <c r="AM516" s="93"/>
      <c r="AN516" s="93"/>
      <c r="AO516" s="93"/>
      <c r="AP516" s="93"/>
      <c r="AQ516" s="93"/>
      <c r="AR516" s="93"/>
      <c r="AS516" s="93"/>
      <c r="AT516" s="93"/>
      <c r="AU516" s="93"/>
      <c r="AV516" s="93"/>
      <c r="AW516" s="93"/>
      <c r="AX516" s="93"/>
      <c r="AY516" s="93"/>
      <c r="AZ516" s="93"/>
      <c r="BA516" s="93"/>
      <c r="BB516" s="93"/>
    </row>
    <row r="517" spans="1:54" ht="13.2">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115"/>
      <c r="AM517" s="93"/>
      <c r="AN517" s="93"/>
      <c r="AO517" s="93"/>
      <c r="AP517" s="93"/>
      <c r="AQ517" s="93"/>
      <c r="AR517" s="93"/>
      <c r="AS517" s="93"/>
      <c r="AT517" s="93"/>
      <c r="AU517" s="93"/>
      <c r="AV517" s="93"/>
      <c r="AW517" s="93"/>
      <c r="AX517" s="93"/>
      <c r="AY517" s="93"/>
      <c r="AZ517" s="93"/>
      <c r="BA517" s="93"/>
      <c r="BB517" s="93"/>
    </row>
    <row r="518" spans="1:54" ht="13.2">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115"/>
      <c r="AM518" s="93"/>
      <c r="AN518" s="93"/>
      <c r="AO518" s="93"/>
      <c r="AP518" s="93"/>
      <c r="AQ518" s="93"/>
      <c r="AR518" s="93"/>
      <c r="AS518" s="93"/>
      <c r="AT518" s="93"/>
      <c r="AU518" s="93"/>
      <c r="AV518" s="93"/>
      <c r="AW518" s="93"/>
      <c r="AX518" s="93"/>
      <c r="AY518" s="93"/>
      <c r="AZ518" s="93"/>
      <c r="BA518" s="93"/>
      <c r="BB518" s="93"/>
    </row>
    <row r="519" spans="1:54" ht="13.2">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115"/>
      <c r="AM519" s="93"/>
      <c r="AN519" s="93"/>
      <c r="AO519" s="93"/>
      <c r="AP519" s="93"/>
      <c r="AQ519" s="93"/>
      <c r="AR519" s="93"/>
      <c r="AS519" s="93"/>
      <c r="AT519" s="93"/>
      <c r="AU519" s="93"/>
      <c r="AV519" s="93"/>
      <c r="AW519" s="93"/>
      <c r="AX519" s="93"/>
      <c r="AY519" s="93"/>
      <c r="AZ519" s="93"/>
      <c r="BA519" s="93"/>
      <c r="BB519" s="93"/>
    </row>
    <row r="520" spans="1:54" ht="13.2">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115"/>
      <c r="AM520" s="93"/>
      <c r="AN520" s="93"/>
      <c r="AO520" s="93"/>
      <c r="AP520" s="93"/>
      <c r="AQ520" s="93"/>
      <c r="AR520" s="93"/>
      <c r="AS520" s="93"/>
      <c r="AT520" s="93"/>
      <c r="AU520" s="93"/>
      <c r="AV520" s="93"/>
      <c r="AW520" s="93"/>
      <c r="AX520" s="93"/>
      <c r="AY520" s="93"/>
      <c r="AZ520" s="93"/>
      <c r="BA520" s="93"/>
      <c r="BB520" s="93"/>
    </row>
    <row r="521" spans="1:54" ht="13.2">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115"/>
      <c r="AM521" s="93"/>
      <c r="AN521" s="93"/>
      <c r="AO521" s="93"/>
      <c r="AP521" s="93"/>
      <c r="AQ521" s="93"/>
      <c r="AR521" s="93"/>
      <c r="AS521" s="93"/>
      <c r="AT521" s="93"/>
      <c r="AU521" s="93"/>
      <c r="AV521" s="93"/>
      <c r="AW521" s="93"/>
      <c r="AX521" s="93"/>
      <c r="AY521" s="93"/>
      <c r="AZ521" s="93"/>
      <c r="BA521" s="93"/>
      <c r="BB521" s="93"/>
    </row>
    <row r="522" spans="1:54" ht="13.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115"/>
      <c r="AM522" s="93"/>
      <c r="AN522" s="93"/>
      <c r="AO522" s="93"/>
      <c r="AP522" s="93"/>
      <c r="AQ522" s="93"/>
      <c r="AR522" s="93"/>
      <c r="AS522" s="93"/>
      <c r="AT522" s="93"/>
      <c r="AU522" s="93"/>
      <c r="AV522" s="93"/>
      <c r="AW522" s="93"/>
      <c r="AX522" s="93"/>
      <c r="AY522" s="93"/>
      <c r="AZ522" s="93"/>
      <c r="BA522" s="93"/>
      <c r="BB522" s="93"/>
    </row>
    <row r="523" spans="1:54" ht="13.2">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115"/>
      <c r="AM523" s="93"/>
      <c r="AN523" s="93"/>
      <c r="AO523" s="93"/>
      <c r="AP523" s="93"/>
      <c r="AQ523" s="93"/>
      <c r="AR523" s="93"/>
      <c r="AS523" s="93"/>
      <c r="AT523" s="93"/>
      <c r="AU523" s="93"/>
      <c r="AV523" s="93"/>
      <c r="AW523" s="93"/>
      <c r="AX523" s="93"/>
      <c r="AY523" s="93"/>
      <c r="AZ523" s="93"/>
      <c r="BA523" s="93"/>
      <c r="BB523" s="93"/>
    </row>
    <row r="524" spans="1:54" ht="13.2">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115"/>
      <c r="AM524" s="93"/>
      <c r="AN524" s="93"/>
      <c r="AO524" s="93"/>
      <c r="AP524" s="93"/>
      <c r="AQ524" s="93"/>
      <c r="AR524" s="93"/>
      <c r="AS524" s="93"/>
      <c r="AT524" s="93"/>
      <c r="AU524" s="93"/>
      <c r="AV524" s="93"/>
      <c r="AW524" s="93"/>
      <c r="AX524" s="93"/>
      <c r="AY524" s="93"/>
      <c r="AZ524" s="93"/>
      <c r="BA524" s="93"/>
      <c r="BB524" s="93"/>
    </row>
    <row r="525" spans="1:54" ht="13.2">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115"/>
      <c r="AM525" s="93"/>
      <c r="AN525" s="93"/>
      <c r="AO525" s="93"/>
      <c r="AP525" s="93"/>
      <c r="AQ525" s="93"/>
      <c r="AR525" s="93"/>
      <c r="AS525" s="93"/>
      <c r="AT525" s="93"/>
      <c r="AU525" s="93"/>
      <c r="AV525" s="93"/>
      <c r="AW525" s="93"/>
      <c r="AX525" s="93"/>
      <c r="AY525" s="93"/>
      <c r="AZ525" s="93"/>
      <c r="BA525" s="93"/>
      <c r="BB525" s="93"/>
    </row>
    <row r="526" spans="1:54" ht="13.2">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115"/>
      <c r="AM526" s="93"/>
      <c r="AN526" s="93"/>
      <c r="AO526" s="93"/>
      <c r="AP526" s="93"/>
      <c r="AQ526" s="93"/>
      <c r="AR526" s="93"/>
      <c r="AS526" s="93"/>
      <c r="AT526" s="93"/>
      <c r="AU526" s="93"/>
      <c r="AV526" s="93"/>
      <c r="AW526" s="93"/>
      <c r="AX526" s="93"/>
      <c r="AY526" s="93"/>
      <c r="AZ526" s="93"/>
      <c r="BA526" s="93"/>
      <c r="BB526" s="93"/>
    </row>
    <row r="527" spans="1:54" ht="13.2">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115"/>
      <c r="AM527" s="93"/>
      <c r="AN527" s="93"/>
      <c r="AO527" s="93"/>
      <c r="AP527" s="93"/>
      <c r="AQ527" s="93"/>
      <c r="AR527" s="93"/>
      <c r="AS527" s="93"/>
      <c r="AT527" s="93"/>
      <c r="AU527" s="93"/>
      <c r="AV527" s="93"/>
      <c r="AW527" s="93"/>
      <c r="AX527" s="93"/>
      <c r="AY527" s="93"/>
      <c r="AZ527" s="93"/>
      <c r="BA527" s="93"/>
      <c r="BB527" s="93"/>
    </row>
    <row r="528" spans="1:54" ht="13.2">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115"/>
      <c r="AM528" s="93"/>
      <c r="AN528" s="93"/>
      <c r="AO528" s="93"/>
      <c r="AP528" s="93"/>
      <c r="AQ528" s="93"/>
      <c r="AR528" s="93"/>
      <c r="AS528" s="93"/>
      <c r="AT528" s="93"/>
      <c r="AU528" s="93"/>
      <c r="AV528" s="93"/>
      <c r="AW528" s="93"/>
      <c r="AX528" s="93"/>
      <c r="AY528" s="93"/>
      <c r="AZ528" s="93"/>
      <c r="BA528" s="93"/>
      <c r="BB528" s="93"/>
    </row>
    <row r="529" spans="1:54" ht="13.2">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115"/>
      <c r="AM529" s="93"/>
      <c r="AN529" s="93"/>
      <c r="AO529" s="93"/>
      <c r="AP529" s="93"/>
      <c r="AQ529" s="93"/>
      <c r="AR529" s="93"/>
      <c r="AS529" s="93"/>
      <c r="AT529" s="93"/>
      <c r="AU529" s="93"/>
      <c r="AV529" s="93"/>
      <c r="AW529" s="93"/>
      <c r="AX529" s="93"/>
      <c r="AY529" s="93"/>
      <c r="AZ529" s="93"/>
      <c r="BA529" s="93"/>
      <c r="BB529" s="93"/>
    </row>
    <row r="530" spans="1:54" ht="13.2">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115"/>
      <c r="AM530" s="93"/>
      <c r="AN530" s="93"/>
      <c r="AO530" s="93"/>
      <c r="AP530" s="93"/>
      <c r="AQ530" s="93"/>
      <c r="AR530" s="93"/>
      <c r="AS530" s="93"/>
      <c r="AT530" s="93"/>
      <c r="AU530" s="93"/>
      <c r="AV530" s="93"/>
      <c r="AW530" s="93"/>
      <c r="AX530" s="93"/>
      <c r="AY530" s="93"/>
      <c r="AZ530" s="93"/>
      <c r="BA530" s="93"/>
      <c r="BB530" s="93"/>
    </row>
    <row r="531" spans="1:54" ht="13.2">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115"/>
      <c r="AM531" s="93"/>
      <c r="AN531" s="93"/>
      <c r="AO531" s="93"/>
      <c r="AP531" s="93"/>
      <c r="AQ531" s="93"/>
      <c r="AR531" s="93"/>
      <c r="AS531" s="93"/>
      <c r="AT531" s="93"/>
      <c r="AU531" s="93"/>
      <c r="AV531" s="93"/>
      <c r="AW531" s="93"/>
      <c r="AX531" s="93"/>
      <c r="AY531" s="93"/>
      <c r="AZ531" s="93"/>
      <c r="BA531" s="93"/>
      <c r="BB531" s="93"/>
    </row>
    <row r="532" spans="1:54" ht="1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115"/>
      <c r="AM532" s="93"/>
      <c r="AN532" s="93"/>
      <c r="AO532" s="93"/>
      <c r="AP532" s="93"/>
      <c r="AQ532" s="93"/>
      <c r="AR532" s="93"/>
      <c r="AS532" s="93"/>
      <c r="AT532" s="93"/>
      <c r="AU532" s="93"/>
      <c r="AV532" s="93"/>
      <c r="AW532" s="93"/>
      <c r="AX532" s="93"/>
      <c r="AY532" s="93"/>
      <c r="AZ532" s="93"/>
      <c r="BA532" s="93"/>
      <c r="BB532" s="93"/>
    </row>
    <row r="533" spans="1:54" ht="13.2">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115"/>
      <c r="AM533" s="93"/>
      <c r="AN533" s="93"/>
      <c r="AO533" s="93"/>
      <c r="AP533" s="93"/>
      <c r="AQ533" s="93"/>
      <c r="AR533" s="93"/>
      <c r="AS533" s="93"/>
      <c r="AT533" s="93"/>
      <c r="AU533" s="93"/>
      <c r="AV533" s="93"/>
      <c r="AW533" s="93"/>
      <c r="AX533" s="93"/>
      <c r="AY533" s="93"/>
      <c r="AZ533" s="93"/>
      <c r="BA533" s="93"/>
      <c r="BB533" s="93"/>
    </row>
    <row r="534" spans="1:54" ht="13.2">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115"/>
      <c r="AM534" s="93"/>
      <c r="AN534" s="93"/>
      <c r="AO534" s="93"/>
      <c r="AP534" s="93"/>
      <c r="AQ534" s="93"/>
      <c r="AR534" s="93"/>
      <c r="AS534" s="93"/>
      <c r="AT534" s="93"/>
      <c r="AU534" s="93"/>
      <c r="AV534" s="93"/>
      <c r="AW534" s="93"/>
      <c r="AX534" s="93"/>
      <c r="AY534" s="93"/>
      <c r="AZ534" s="93"/>
      <c r="BA534" s="93"/>
      <c r="BB534" s="93"/>
    </row>
    <row r="535" spans="1:54" ht="13.2">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115"/>
      <c r="AM535" s="93"/>
      <c r="AN535" s="93"/>
      <c r="AO535" s="93"/>
      <c r="AP535" s="93"/>
      <c r="AQ535" s="93"/>
      <c r="AR535" s="93"/>
      <c r="AS535" s="93"/>
      <c r="AT535" s="93"/>
      <c r="AU535" s="93"/>
      <c r="AV535" s="93"/>
      <c r="AW535" s="93"/>
      <c r="AX535" s="93"/>
      <c r="AY535" s="93"/>
      <c r="AZ535" s="93"/>
      <c r="BA535" s="93"/>
      <c r="BB535" s="93"/>
    </row>
    <row r="536" spans="1:54" ht="13.2">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115"/>
      <c r="AM536" s="93"/>
      <c r="AN536" s="93"/>
      <c r="AO536" s="93"/>
      <c r="AP536" s="93"/>
      <c r="AQ536" s="93"/>
      <c r="AR536" s="93"/>
      <c r="AS536" s="93"/>
      <c r="AT536" s="93"/>
      <c r="AU536" s="93"/>
      <c r="AV536" s="93"/>
      <c r="AW536" s="93"/>
      <c r="AX536" s="93"/>
      <c r="AY536" s="93"/>
      <c r="AZ536" s="93"/>
      <c r="BA536" s="93"/>
      <c r="BB536" s="93"/>
    </row>
    <row r="537" spans="1:54" ht="13.2">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115"/>
      <c r="AM537" s="93"/>
      <c r="AN537" s="93"/>
      <c r="AO537" s="93"/>
      <c r="AP537" s="93"/>
      <c r="AQ537" s="93"/>
      <c r="AR537" s="93"/>
      <c r="AS537" s="93"/>
      <c r="AT537" s="93"/>
      <c r="AU537" s="93"/>
      <c r="AV537" s="93"/>
      <c r="AW537" s="93"/>
      <c r="AX537" s="93"/>
      <c r="AY537" s="93"/>
      <c r="AZ537" s="93"/>
      <c r="BA537" s="93"/>
      <c r="BB537" s="93"/>
    </row>
    <row r="538" spans="1:54" ht="13.2">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115"/>
      <c r="AM538" s="93"/>
      <c r="AN538" s="93"/>
      <c r="AO538" s="93"/>
      <c r="AP538" s="93"/>
      <c r="AQ538" s="93"/>
      <c r="AR538" s="93"/>
      <c r="AS538" s="93"/>
      <c r="AT538" s="93"/>
      <c r="AU538" s="93"/>
      <c r="AV538" s="93"/>
      <c r="AW538" s="93"/>
      <c r="AX538" s="93"/>
      <c r="AY538" s="93"/>
      <c r="AZ538" s="93"/>
      <c r="BA538" s="93"/>
      <c r="BB538" s="93"/>
    </row>
    <row r="539" spans="1:54" ht="13.2">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115"/>
      <c r="AM539" s="93"/>
      <c r="AN539" s="93"/>
      <c r="AO539" s="93"/>
      <c r="AP539" s="93"/>
      <c r="AQ539" s="93"/>
      <c r="AR539" s="93"/>
      <c r="AS539" s="93"/>
      <c r="AT539" s="93"/>
      <c r="AU539" s="93"/>
      <c r="AV539" s="93"/>
      <c r="AW539" s="93"/>
      <c r="AX539" s="93"/>
      <c r="AY539" s="93"/>
      <c r="AZ539" s="93"/>
      <c r="BA539" s="93"/>
      <c r="BB539" s="93"/>
    </row>
    <row r="540" spans="1:54" ht="13.2">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115"/>
      <c r="AM540" s="93"/>
      <c r="AN540" s="93"/>
      <c r="AO540" s="93"/>
      <c r="AP540" s="93"/>
      <c r="AQ540" s="93"/>
      <c r="AR540" s="93"/>
      <c r="AS540" s="93"/>
      <c r="AT540" s="93"/>
      <c r="AU540" s="93"/>
      <c r="AV540" s="93"/>
      <c r="AW540" s="93"/>
      <c r="AX540" s="93"/>
      <c r="AY540" s="93"/>
      <c r="AZ540" s="93"/>
      <c r="BA540" s="93"/>
      <c r="BB540" s="93"/>
    </row>
    <row r="541" spans="1:54" ht="13.2">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115"/>
      <c r="AM541" s="93"/>
      <c r="AN541" s="93"/>
      <c r="AO541" s="93"/>
      <c r="AP541" s="93"/>
      <c r="AQ541" s="93"/>
      <c r="AR541" s="93"/>
      <c r="AS541" s="93"/>
      <c r="AT541" s="93"/>
      <c r="AU541" s="93"/>
      <c r="AV541" s="93"/>
      <c r="AW541" s="93"/>
      <c r="AX541" s="93"/>
      <c r="AY541" s="93"/>
      <c r="AZ541" s="93"/>
      <c r="BA541" s="93"/>
      <c r="BB541" s="93"/>
    </row>
    <row r="542" spans="1:54" ht="13.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115"/>
      <c r="AM542" s="93"/>
      <c r="AN542" s="93"/>
      <c r="AO542" s="93"/>
      <c r="AP542" s="93"/>
      <c r="AQ542" s="93"/>
      <c r="AR542" s="93"/>
      <c r="AS542" s="93"/>
      <c r="AT542" s="93"/>
      <c r="AU542" s="93"/>
      <c r="AV542" s="93"/>
      <c r="AW542" s="93"/>
      <c r="AX542" s="93"/>
      <c r="AY542" s="93"/>
      <c r="AZ542" s="93"/>
      <c r="BA542" s="93"/>
      <c r="BB542" s="93"/>
    </row>
    <row r="543" spans="1:54" ht="13.2">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115"/>
      <c r="AM543" s="93"/>
      <c r="AN543" s="93"/>
      <c r="AO543" s="93"/>
      <c r="AP543" s="93"/>
      <c r="AQ543" s="93"/>
      <c r="AR543" s="93"/>
      <c r="AS543" s="93"/>
      <c r="AT543" s="93"/>
      <c r="AU543" s="93"/>
      <c r="AV543" s="93"/>
      <c r="AW543" s="93"/>
      <c r="AX543" s="93"/>
      <c r="AY543" s="93"/>
      <c r="AZ543" s="93"/>
      <c r="BA543" s="93"/>
      <c r="BB543" s="93"/>
    </row>
    <row r="544" spans="1:54" ht="13.2">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115"/>
      <c r="AM544" s="93"/>
      <c r="AN544" s="93"/>
      <c r="AO544" s="93"/>
      <c r="AP544" s="93"/>
      <c r="AQ544" s="93"/>
      <c r="AR544" s="93"/>
      <c r="AS544" s="93"/>
      <c r="AT544" s="93"/>
      <c r="AU544" s="93"/>
      <c r="AV544" s="93"/>
      <c r="AW544" s="93"/>
      <c r="AX544" s="93"/>
      <c r="AY544" s="93"/>
      <c r="AZ544" s="93"/>
      <c r="BA544" s="93"/>
      <c r="BB544" s="93"/>
    </row>
    <row r="545" spans="1:54" ht="13.2">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115"/>
      <c r="AM545" s="93"/>
      <c r="AN545" s="93"/>
      <c r="AO545" s="93"/>
      <c r="AP545" s="93"/>
      <c r="AQ545" s="93"/>
      <c r="AR545" s="93"/>
      <c r="AS545" s="93"/>
      <c r="AT545" s="93"/>
      <c r="AU545" s="93"/>
      <c r="AV545" s="93"/>
      <c r="AW545" s="93"/>
      <c r="AX545" s="93"/>
      <c r="AY545" s="93"/>
      <c r="AZ545" s="93"/>
      <c r="BA545" s="93"/>
      <c r="BB545" s="93"/>
    </row>
    <row r="546" spans="1:54" ht="13.2">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115"/>
      <c r="AM546" s="93"/>
      <c r="AN546" s="93"/>
      <c r="AO546" s="93"/>
      <c r="AP546" s="93"/>
      <c r="AQ546" s="93"/>
      <c r="AR546" s="93"/>
      <c r="AS546" s="93"/>
      <c r="AT546" s="93"/>
      <c r="AU546" s="93"/>
      <c r="AV546" s="93"/>
      <c r="AW546" s="93"/>
      <c r="AX546" s="93"/>
      <c r="AY546" s="93"/>
      <c r="AZ546" s="93"/>
      <c r="BA546" s="93"/>
      <c r="BB546" s="93"/>
    </row>
    <row r="547" spans="1:54" ht="13.2">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115"/>
      <c r="AM547" s="93"/>
      <c r="AN547" s="93"/>
      <c r="AO547" s="93"/>
      <c r="AP547" s="93"/>
      <c r="AQ547" s="93"/>
      <c r="AR547" s="93"/>
      <c r="AS547" s="93"/>
      <c r="AT547" s="93"/>
      <c r="AU547" s="93"/>
      <c r="AV547" s="93"/>
      <c r="AW547" s="93"/>
      <c r="AX547" s="93"/>
      <c r="AY547" s="93"/>
      <c r="AZ547" s="93"/>
      <c r="BA547" s="93"/>
      <c r="BB547" s="93"/>
    </row>
    <row r="548" spans="1:54" ht="13.2">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115"/>
      <c r="AM548" s="93"/>
      <c r="AN548" s="93"/>
      <c r="AO548" s="93"/>
      <c r="AP548" s="93"/>
      <c r="AQ548" s="93"/>
      <c r="AR548" s="93"/>
      <c r="AS548" s="93"/>
      <c r="AT548" s="93"/>
      <c r="AU548" s="93"/>
      <c r="AV548" s="93"/>
      <c r="AW548" s="93"/>
      <c r="AX548" s="93"/>
      <c r="AY548" s="93"/>
      <c r="AZ548" s="93"/>
      <c r="BA548" s="93"/>
      <c r="BB548" s="93"/>
    </row>
    <row r="549" spans="1:54" ht="13.2">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115"/>
      <c r="AM549" s="93"/>
      <c r="AN549" s="93"/>
      <c r="AO549" s="93"/>
      <c r="AP549" s="93"/>
      <c r="AQ549" s="93"/>
      <c r="AR549" s="93"/>
      <c r="AS549" s="93"/>
      <c r="AT549" s="93"/>
      <c r="AU549" s="93"/>
      <c r="AV549" s="93"/>
      <c r="AW549" s="93"/>
      <c r="AX549" s="93"/>
      <c r="AY549" s="93"/>
      <c r="AZ549" s="93"/>
      <c r="BA549" s="93"/>
      <c r="BB549" s="93"/>
    </row>
    <row r="550" spans="1:54" ht="13.2">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115"/>
      <c r="AM550" s="93"/>
      <c r="AN550" s="93"/>
      <c r="AO550" s="93"/>
      <c r="AP550" s="93"/>
      <c r="AQ550" s="93"/>
      <c r="AR550" s="93"/>
      <c r="AS550" s="93"/>
      <c r="AT550" s="93"/>
      <c r="AU550" s="93"/>
      <c r="AV550" s="93"/>
      <c r="AW550" s="93"/>
      <c r="AX550" s="93"/>
      <c r="AY550" s="93"/>
      <c r="AZ550" s="93"/>
      <c r="BA550" s="93"/>
      <c r="BB550" s="93"/>
    </row>
    <row r="551" spans="1:54" ht="13.2">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115"/>
      <c r="AM551" s="93"/>
      <c r="AN551" s="93"/>
      <c r="AO551" s="93"/>
      <c r="AP551" s="93"/>
      <c r="AQ551" s="93"/>
      <c r="AR551" s="93"/>
      <c r="AS551" s="93"/>
      <c r="AT551" s="93"/>
      <c r="AU551" s="93"/>
      <c r="AV551" s="93"/>
      <c r="AW551" s="93"/>
      <c r="AX551" s="93"/>
      <c r="AY551" s="93"/>
      <c r="AZ551" s="93"/>
      <c r="BA551" s="93"/>
      <c r="BB551" s="93"/>
    </row>
    <row r="552" spans="1:54" ht="13.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115"/>
      <c r="AM552" s="93"/>
      <c r="AN552" s="93"/>
      <c r="AO552" s="93"/>
      <c r="AP552" s="93"/>
      <c r="AQ552" s="93"/>
      <c r="AR552" s="93"/>
      <c r="AS552" s="93"/>
      <c r="AT552" s="93"/>
      <c r="AU552" s="93"/>
      <c r="AV552" s="93"/>
      <c r="AW552" s="93"/>
      <c r="AX552" s="93"/>
      <c r="AY552" s="93"/>
      <c r="AZ552" s="93"/>
      <c r="BA552" s="93"/>
      <c r="BB552" s="93"/>
    </row>
    <row r="553" spans="1:54" ht="13.2">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115"/>
      <c r="AM553" s="93"/>
      <c r="AN553" s="93"/>
      <c r="AO553" s="93"/>
      <c r="AP553" s="93"/>
      <c r="AQ553" s="93"/>
      <c r="AR553" s="93"/>
      <c r="AS553" s="93"/>
      <c r="AT553" s="93"/>
      <c r="AU553" s="93"/>
      <c r="AV553" s="93"/>
      <c r="AW553" s="93"/>
      <c r="AX553" s="93"/>
      <c r="AY553" s="93"/>
      <c r="AZ553" s="93"/>
      <c r="BA553" s="93"/>
      <c r="BB553" s="93"/>
    </row>
    <row r="554" spans="1:54" ht="13.2">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115"/>
      <c r="AM554" s="93"/>
      <c r="AN554" s="93"/>
      <c r="AO554" s="93"/>
      <c r="AP554" s="93"/>
      <c r="AQ554" s="93"/>
      <c r="AR554" s="93"/>
      <c r="AS554" s="93"/>
      <c r="AT554" s="93"/>
      <c r="AU554" s="93"/>
      <c r="AV554" s="93"/>
      <c r="AW554" s="93"/>
      <c r="AX554" s="93"/>
      <c r="AY554" s="93"/>
      <c r="AZ554" s="93"/>
      <c r="BA554" s="93"/>
      <c r="BB554" s="93"/>
    </row>
    <row r="555" spans="1:54" ht="13.2">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115"/>
      <c r="AM555" s="93"/>
      <c r="AN555" s="93"/>
      <c r="AO555" s="93"/>
      <c r="AP555" s="93"/>
      <c r="AQ555" s="93"/>
      <c r="AR555" s="93"/>
      <c r="AS555" s="93"/>
      <c r="AT555" s="93"/>
      <c r="AU555" s="93"/>
      <c r="AV555" s="93"/>
      <c r="AW555" s="93"/>
      <c r="AX555" s="93"/>
      <c r="AY555" s="93"/>
      <c r="AZ555" s="93"/>
      <c r="BA555" s="93"/>
      <c r="BB555" s="93"/>
    </row>
    <row r="556" spans="1:54" ht="13.2">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115"/>
      <c r="AM556" s="93"/>
      <c r="AN556" s="93"/>
      <c r="AO556" s="93"/>
      <c r="AP556" s="93"/>
      <c r="AQ556" s="93"/>
      <c r="AR556" s="93"/>
      <c r="AS556" s="93"/>
      <c r="AT556" s="93"/>
      <c r="AU556" s="93"/>
      <c r="AV556" s="93"/>
      <c r="AW556" s="93"/>
      <c r="AX556" s="93"/>
      <c r="AY556" s="93"/>
      <c r="AZ556" s="93"/>
      <c r="BA556" s="93"/>
      <c r="BB556" s="93"/>
    </row>
    <row r="557" spans="1:54" ht="13.2">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115"/>
      <c r="AM557" s="93"/>
      <c r="AN557" s="93"/>
      <c r="AO557" s="93"/>
      <c r="AP557" s="93"/>
      <c r="AQ557" s="93"/>
      <c r="AR557" s="93"/>
      <c r="AS557" s="93"/>
      <c r="AT557" s="93"/>
      <c r="AU557" s="93"/>
      <c r="AV557" s="93"/>
      <c r="AW557" s="93"/>
      <c r="AX557" s="93"/>
      <c r="AY557" s="93"/>
      <c r="AZ557" s="93"/>
      <c r="BA557" s="93"/>
      <c r="BB557" s="93"/>
    </row>
    <row r="558" spans="1:54" ht="13.2">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115"/>
      <c r="AM558" s="93"/>
      <c r="AN558" s="93"/>
      <c r="AO558" s="93"/>
      <c r="AP558" s="93"/>
      <c r="AQ558" s="93"/>
      <c r="AR558" s="93"/>
      <c r="AS558" s="93"/>
      <c r="AT558" s="93"/>
      <c r="AU558" s="93"/>
      <c r="AV558" s="93"/>
      <c r="AW558" s="93"/>
      <c r="AX558" s="93"/>
      <c r="AY558" s="93"/>
      <c r="AZ558" s="93"/>
      <c r="BA558" s="93"/>
      <c r="BB558" s="93"/>
    </row>
    <row r="559" spans="1:54" ht="13.2">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115"/>
      <c r="AM559" s="93"/>
      <c r="AN559" s="93"/>
      <c r="AO559" s="93"/>
      <c r="AP559" s="93"/>
      <c r="AQ559" s="93"/>
      <c r="AR559" s="93"/>
      <c r="AS559" s="93"/>
      <c r="AT559" s="93"/>
      <c r="AU559" s="93"/>
      <c r="AV559" s="93"/>
      <c r="AW559" s="93"/>
      <c r="AX559" s="93"/>
      <c r="AY559" s="93"/>
      <c r="AZ559" s="93"/>
      <c r="BA559" s="93"/>
      <c r="BB559" s="93"/>
    </row>
    <row r="560" spans="1:54" ht="13.2">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115"/>
      <c r="AM560" s="93"/>
      <c r="AN560" s="93"/>
      <c r="AO560" s="93"/>
      <c r="AP560" s="93"/>
      <c r="AQ560" s="93"/>
      <c r="AR560" s="93"/>
      <c r="AS560" s="93"/>
      <c r="AT560" s="93"/>
      <c r="AU560" s="93"/>
      <c r="AV560" s="93"/>
      <c r="AW560" s="93"/>
      <c r="AX560" s="93"/>
      <c r="AY560" s="93"/>
      <c r="AZ560" s="93"/>
      <c r="BA560" s="93"/>
      <c r="BB560" s="93"/>
    </row>
    <row r="561" spans="1:54" ht="13.2">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115"/>
      <c r="AM561" s="93"/>
      <c r="AN561" s="93"/>
      <c r="AO561" s="93"/>
      <c r="AP561" s="93"/>
      <c r="AQ561" s="93"/>
      <c r="AR561" s="93"/>
      <c r="AS561" s="93"/>
      <c r="AT561" s="93"/>
      <c r="AU561" s="93"/>
      <c r="AV561" s="93"/>
      <c r="AW561" s="93"/>
      <c r="AX561" s="93"/>
      <c r="AY561" s="93"/>
      <c r="AZ561" s="93"/>
      <c r="BA561" s="93"/>
      <c r="BB561" s="93"/>
    </row>
    <row r="562" spans="1:54" ht="13.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115"/>
      <c r="AM562" s="93"/>
      <c r="AN562" s="93"/>
      <c r="AO562" s="93"/>
      <c r="AP562" s="93"/>
      <c r="AQ562" s="93"/>
      <c r="AR562" s="93"/>
      <c r="AS562" s="93"/>
      <c r="AT562" s="93"/>
      <c r="AU562" s="93"/>
      <c r="AV562" s="93"/>
      <c r="AW562" s="93"/>
      <c r="AX562" s="93"/>
      <c r="AY562" s="93"/>
      <c r="AZ562" s="93"/>
      <c r="BA562" s="93"/>
      <c r="BB562" s="93"/>
    </row>
    <row r="563" spans="1:54" ht="13.2">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115"/>
      <c r="AM563" s="93"/>
      <c r="AN563" s="93"/>
      <c r="AO563" s="93"/>
      <c r="AP563" s="93"/>
      <c r="AQ563" s="93"/>
      <c r="AR563" s="93"/>
      <c r="AS563" s="93"/>
      <c r="AT563" s="93"/>
      <c r="AU563" s="93"/>
      <c r="AV563" s="93"/>
      <c r="AW563" s="93"/>
      <c r="AX563" s="93"/>
      <c r="AY563" s="93"/>
      <c r="AZ563" s="93"/>
      <c r="BA563" s="93"/>
      <c r="BB563" s="93"/>
    </row>
    <row r="564" spans="1:54" ht="13.2">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115"/>
      <c r="AM564" s="93"/>
      <c r="AN564" s="93"/>
      <c r="AO564" s="93"/>
      <c r="AP564" s="93"/>
      <c r="AQ564" s="93"/>
      <c r="AR564" s="93"/>
      <c r="AS564" s="93"/>
      <c r="AT564" s="93"/>
      <c r="AU564" s="93"/>
      <c r="AV564" s="93"/>
      <c r="AW564" s="93"/>
      <c r="AX564" s="93"/>
      <c r="AY564" s="93"/>
      <c r="AZ564" s="93"/>
      <c r="BA564" s="93"/>
      <c r="BB564" s="93"/>
    </row>
    <row r="565" spans="1:54" ht="13.2">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115"/>
      <c r="AM565" s="93"/>
      <c r="AN565" s="93"/>
      <c r="AO565" s="93"/>
      <c r="AP565" s="93"/>
      <c r="AQ565" s="93"/>
      <c r="AR565" s="93"/>
      <c r="AS565" s="93"/>
      <c r="AT565" s="93"/>
      <c r="AU565" s="93"/>
      <c r="AV565" s="93"/>
      <c r="AW565" s="93"/>
      <c r="AX565" s="93"/>
      <c r="AY565" s="93"/>
      <c r="AZ565" s="93"/>
      <c r="BA565" s="93"/>
      <c r="BB565" s="93"/>
    </row>
    <row r="566" spans="1:54" ht="13.2">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115"/>
      <c r="AM566" s="93"/>
      <c r="AN566" s="93"/>
      <c r="AO566" s="93"/>
      <c r="AP566" s="93"/>
      <c r="AQ566" s="93"/>
      <c r="AR566" s="93"/>
      <c r="AS566" s="93"/>
      <c r="AT566" s="93"/>
      <c r="AU566" s="93"/>
      <c r="AV566" s="93"/>
      <c r="AW566" s="93"/>
      <c r="AX566" s="93"/>
      <c r="AY566" s="93"/>
      <c r="AZ566" s="93"/>
      <c r="BA566" s="93"/>
      <c r="BB566" s="93"/>
    </row>
    <row r="567" spans="1:54" ht="13.2">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115"/>
      <c r="AM567" s="93"/>
      <c r="AN567" s="93"/>
      <c r="AO567" s="93"/>
      <c r="AP567" s="93"/>
      <c r="AQ567" s="93"/>
      <c r="AR567" s="93"/>
      <c r="AS567" s="93"/>
      <c r="AT567" s="93"/>
      <c r="AU567" s="93"/>
      <c r="AV567" s="93"/>
      <c r="AW567" s="93"/>
      <c r="AX567" s="93"/>
      <c r="AY567" s="93"/>
      <c r="AZ567" s="93"/>
      <c r="BA567" s="93"/>
      <c r="BB567" s="93"/>
    </row>
    <row r="568" spans="1:54" ht="13.2">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115"/>
      <c r="AM568" s="93"/>
      <c r="AN568" s="93"/>
      <c r="AO568" s="93"/>
      <c r="AP568" s="93"/>
      <c r="AQ568" s="93"/>
      <c r="AR568" s="93"/>
      <c r="AS568" s="93"/>
      <c r="AT568" s="93"/>
      <c r="AU568" s="93"/>
      <c r="AV568" s="93"/>
      <c r="AW568" s="93"/>
      <c r="AX568" s="93"/>
      <c r="AY568" s="93"/>
      <c r="AZ568" s="93"/>
      <c r="BA568" s="93"/>
      <c r="BB568" s="93"/>
    </row>
    <row r="569" spans="1:54" ht="13.2">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115"/>
      <c r="AM569" s="93"/>
      <c r="AN569" s="93"/>
      <c r="AO569" s="93"/>
      <c r="AP569" s="93"/>
      <c r="AQ569" s="93"/>
      <c r="AR569" s="93"/>
      <c r="AS569" s="93"/>
      <c r="AT569" s="93"/>
      <c r="AU569" s="93"/>
      <c r="AV569" s="93"/>
      <c r="AW569" s="93"/>
      <c r="AX569" s="93"/>
      <c r="AY569" s="93"/>
      <c r="AZ569" s="93"/>
      <c r="BA569" s="93"/>
      <c r="BB569" s="93"/>
    </row>
    <row r="570" spans="1:54" ht="13.2">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115"/>
      <c r="AM570" s="93"/>
      <c r="AN570" s="93"/>
      <c r="AO570" s="93"/>
      <c r="AP570" s="93"/>
      <c r="AQ570" s="93"/>
      <c r="AR570" s="93"/>
      <c r="AS570" s="93"/>
      <c r="AT570" s="93"/>
      <c r="AU570" s="93"/>
      <c r="AV570" s="93"/>
      <c r="AW570" s="93"/>
      <c r="AX570" s="93"/>
      <c r="AY570" s="93"/>
      <c r="AZ570" s="93"/>
      <c r="BA570" s="93"/>
      <c r="BB570" s="93"/>
    </row>
    <row r="571" spans="1:54" ht="13.2">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115"/>
      <c r="AM571" s="93"/>
      <c r="AN571" s="93"/>
      <c r="AO571" s="93"/>
      <c r="AP571" s="93"/>
      <c r="AQ571" s="93"/>
      <c r="AR571" s="93"/>
      <c r="AS571" s="93"/>
      <c r="AT571" s="93"/>
      <c r="AU571" s="93"/>
      <c r="AV571" s="93"/>
      <c r="AW571" s="93"/>
      <c r="AX571" s="93"/>
      <c r="AY571" s="93"/>
      <c r="AZ571" s="93"/>
      <c r="BA571" s="93"/>
      <c r="BB571" s="93"/>
    </row>
    <row r="572" spans="1:54" ht="13.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115"/>
      <c r="AM572" s="93"/>
      <c r="AN572" s="93"/>
      <c r="AO572" s="93"/>
      <c r="AP572" s="93"/>
      <c r="AQ572" s="93"/>
      <c r="AR572" s="93"/>
      <c r="AS572" s="93"/>
      <c r="AT572" s="93"/>
      <c r="AU572" s="93"/>
      <c r="AV572" s="93"/>
      <c r="AW572" s="93"/>
      <c r="AX572" s="93"/>
      <c r="AY572" s="93"/>
      <c r="AZ572" s="93"/>
      <c r="BA572" s="93"/>
      <c r="BB572" s="93"/>
    </row>
    <row r="573" spans="1:54" ht="13.2">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115"/>
      <c r="AM573" s="93"/>
      <c r="AN573" s="93"/>
      <c r="AO573" s="93"/>
      <c r="AP573" s="93"/>
      <c r="AQ573" s="93"/>
      <c r="AR573" s="93"/>
      <c r="AS573" s="93"/>
      <c r="AT573" s="93"/>
      <c r="AU573" s="93"/>
      <c r="AV573" s="93"/>
      <c r="AW573" s="93"/>
      <c r="AX573" s="93"/>
      <c r="AY573" s="93"/>
      <c r="AZ573" s="93"/>
      <c r="BA573" s="93"/>
      <c r="BB573" s="93"/>
    </row>
    <row r="574" spans="1:54" ht="13.2">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115"/>
      <c r="AM574" s="93"/>
      <c r="AN574" s="93"/>
      <c r="AO574" s="93"/>
      <c r="AP574" s="93"/>
      <c r="AQ574" s="93"/>
      <c r="AR574" s="93"/>
      <c r="AS574" s="93"/>
      <c r="AT574" s="93"/>
      <c r="AU574" s="93"/>
      <c r="AV574" s="93"/>
      <c r="AW574" s="93"/>
      <c r="AX574" s="93"/>
      <c r="AY574" s="93"/>
      <c r="AZ574" s="93"/>
      <c r="BA574" s="93"/>
      <c r="BB574" s="93"/>
    </row>
    <row r="575" spans="1:54" ht="13.2">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115"/>
      <c r="AM575" s="93"/>
      <c r="AN575" s="93"/>
      <c r="AO575" s="93"/>
      <c r="AP575" s="93"/>
      <c r="AQ575" s="93"/>
      <c r="AR575" s="93"/>
      <c r="AS575" s="93"/>
      <c r="AT575" s="93"/>
      <c r="AU575" s="93"/>
      <c r="AV575" s="93"/>
      <c r="AW575" s="93"/>
      <c r="AX575" s="93"/>
      <c r="AY575" s="93"/>
      <c r="AZ575" s="93"/>
      <c r="BA575" s="93"/>
      <c r="BB575" s="93"/>
    </row>
    <row r="576" spans="1:54" ht="13.2">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115"/>
      <c r="AM576" s="93"/>
      <c r="AN576" s="93"/>
      <c r="AO576" s="93"/>
      <c r="AP576" s="93"/>
      <c r="AQ576" s="93"/>
      <c r="AR576" s="93"/>
      <c r="AS576" s="93"/>
      <c r="AT576" s="93"/>
      <c r="AU576" s="93"/>
      <c r="AV576" s="93"/>
      <c r="AW576" s="93"/>
      <c r="AX576" s="93"/>
      <c r="AY576" s="93"/>
      <c r="AZ576" s="93"/>
      <c r="BA576" s="93"/>
      <c r="BB576" s="93"/>
    </row>
    <row r="577" spans="1:54" ht="13.2">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115"/>
      <c r="AM577" s="93"/>
      <c r="AN577" s="93"/>
      <c r="AO577" s="93"/>
      <c r="AP577" s="93"/>
      <c r="AQ577" s="93"/>
      <c r="AR577" s="93"/>
      <c r="AS577" s="93"/>
      <c r="AT577" s="93"/>
      <c r="AU577" s="93"/>
      <c r="AV577" s="93"/>
      <c r="AW577" s="93"/>
      <c r="AX577" s="93"/>
      <c r="AY577" s="93"/>
      <c r="AZ577" s="93"/>
      <c r="BA577" s="93"/>
      <c r="BB577" s="93"/>
    </row>
    <row r="578" spans="1:54" ht="13.2">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115"/>
      <c r="AM578" s="93"/>
      <c r="AN578" s="93"/>
      <c r="AO578" s="93"/>
      <c r="AP578" s="93"/>
      <c r="AQ578" s="93"/>
      <c r="AR578" s="93"/>
      <c r="AS578" s="93"/>
      <c r="AT578" s="93"/>
      <c r="AU578" s="93"/>
      <c r="AV578" s="93"/>
      <c r="AW578" s="93"/>
      <c r="AX578" s="93"/>
      <c r="AY578" s="93"/>
      <c r="AZ578" s="93"/>
      <c r="BA578" s="93"/>
      <c r="BB578" s="93"/>
    </row>
    <row r="579" spans="1:54" ht="13.2">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115"/>
      <c r="AM579" s="93"/>
      <c r="AN579" s="93"/>
      <c r="AO579" s="93"/>
      <c r="AP579" s="93"/>
      <c r="AQ579" s="93"/>
      <c r="AR579" s="93"/>
      <c r="AS579" s="93"/>
      <c r="AT579" s="93"/>
      <c r="AU579" s="93"/>
      <c r="AV579" s="93"/>
      <c r="AW579" s="93"/>
      <c r="AX579" s="93"/>
      <c r="AY579" s="93"/>
      <c r="AZ579" s="93"/>
      <c r="BA579" s="93"/>
      <c r="BB579" s="93"/>
    </row>
    <row r="580" spans="1:54" ht="13.2">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115"/>
      <c r="AM580" s="93"/>
      <c r="AN580" s="93"/>
      <c r="AO580" s="93"/>
      <c r="AP580" s="93"/>
      <c r="AQ580" s="93"/>
      <c r="AR580" s="93"/>
      <c r="AS580" s="93"/>
      <c r="AT580" s="93"/>
      <c r="AU580" s="93"/>
      <c r="AV580" s="93"/>
      <c r="AW580" s="93"/>
      <c r="AX580" s="93"/>
      <c r="AY580" s="93"/>
      <c r="AZ580" s="93"/>
      <c r="BA580" s="93"/>
      <c r="BB580" s="93"/>
    </row>
    <row r="581" spans="1:54" ht="13.2">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115"/>
      <c r="AM581" s="93"/>
      <c r="AN581" s="93"/>
      <c r="AO581" s="93"/>
      <c r="AP581" s="93"/>
      <c r="AQ581" s="93"/>
      <c r="AR581" s="93"/>
      <c r="AS581" s="93"/>
      <c r="AT581" s="93"/>
      <c r="AU581" s="93"/>
      <c r="AV581" s="93"/>
      <c r="AW581" s="93"/>
      <c r="AX581" s="93"/>
      <c r="AY581" s="93"/>
      <c r="AZ581" s="93"/>
      <c r="BA581" s="93"/>
      <c r="BB581" s="93"/>
    </row>
    <row r="582" spans="1:54" ht="13.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115"/>
      <c r="AM582" s="93"/>
      <c r="AN582" s="93"/>
      <c r="AO582" s="93"/>
      <c r="AP582" s="93"/>
      <c r="AQ582" s="93"/>
      <c r="AR582" s="93"/>
      <c r="AS582" s="93"/>
      <c r="AT582" s="93"/>
      <c r="AU582" s="93"/>
      <c r="AV582" s="93"/>
      <c r="AW582" s="93"/>
      <c r="AX582" s="93"/>
      <c r="AY582" s="93"/>
      <c r="AZ582" s="93"/>
      <c r="BA582" s="93"/>
      <c r="BB582" s="93"/>
    </row>
    <row r="583" spans="1:54" ht="13.2">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115"/>
      <c r="AM583" s="93"/>
      <c r="AN583" s="93"/>
      <c r="AO583" s="93"/>
      <c r="AP583" s="93"/>
      <c r="AQ583" s="93"/>
      <c r="AR583" s="93"/>
      <c r="AS583" s="93"/>
      <c r="AT583" s="93"/>
      <c r="AU583" s="93"/>
      <c r="AV583" s="93"/>
      <c r="AW583" s="93"/>
      <c r="AX583" s="93"/>
      <c r="AY583" s="93"/>
      <c r="AZ583" s="93"/>
      <c r="BA583" s="93"/>
      <c r="BB583" s="93"/>
    </row>
    <row r="584" spans="1:54" ht="13.2">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115"/>
      <c r="AM584" s="93"/>
      <c r="AN584" s="93"/>
      <c r="AO584" s="93"/>
      <c r="AP584" s="93"/>
      <c r="AQ584" s="93"/>
      <c r="AR584" s="93"/>
      <c r="AS584" s="93"/>
      <c r="AT584" s="93"/>
      <c r="AU584" s="93"/>
      <c r="AV584" s="93"/>
      <c r="AW584" s="93"/>
      <c r="AX584" s="93"/>
      <c r="AY584" s="93"/>
      <c r="AZ584" s="93"/>
      <c r="BA584" s="93"/>
      <c r="BB584" s="93"/>
    </row>
    <row r="585" spans="1:54" ht="13.2">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115"/>
      <c r="AM585" s="93"/>
      <c r="AN585" s="93"/>
      <c r="AO585" s="93"/>
      <c r="AP585" s="93"/>
      <c r="AQ585" s="93"/>
      <c r="AR585" s="93"/>
      <c r="AS585" s="93"/>
      <c r="AT585" s="93"/>
      <c r="AU585" s="93"/>
      <c r="AV585" s="93"/>
      <c r="AW585" s="93"/>
      <c r="AX585" s="93"/>
      <c r="AY585" s="93"/>
      <c r="AZ585" s="93"/>
      <c r="BA585" s="93"/>
      <c r="BB585" s="93"/>
    </row>
    <row r="586" spans="1:54" ht="13.2">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115"/>
      <c r="AM586" s="93"/>
      <c r="AN586" s="93"/>
      <c r="AO586" s="93"/>
      <c r="AP586" s="93"/>
      <c r="AQ586" s="93"/>
      <c r="AR586" s="93"/>
      <c r="AS586" s="93"/>
      <c r="AT586" s="93"/>
      <c r="AU586" s="93"/>
      <c r="AV586" s="93"/>
      <c r="AW586" s="93"/>
      <c r="AX586" s="93"/>
      <c r="AY586" s="93"/>
      <c r="AZ586" s="93"/>
      <c r="BA586" s="93"/>
      <c r="BB586" s="93"/>
    </row>
    <row r="587" spans="1:54" ht="13.2">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115"/>
      <c r="AM587" s="93"/>
      <c r="AN587" s="93"/>
      <c r="AO587" s="93"/>
      <c r="AP587" s="93"/>
      <c r="AQ587" s="93"/>
      <c r="AR587" s="93"/>
      <c r="AS587" s="93"/>
      <c r="AT587" s="93"/>
      <c r="AU587" s="93"/>
      <c r="AV587" s="93"/>
      <c r="AW587" s="93"/>
      <c r="AX587" s="93"/>
      <c r="AY587" s="93"/>
      <c r="AZ587" s="93"/>
      <c r="BA587" s="93"/>
      <c r="BB587" s="93"/>
    </row>
    <row r="588" spans="1:54" ht="13.2">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115"/>
      <c r="AM588" s="93"/>
      <c r="AN588" s="93"/>
      <c r="AO588" s="93"/>
      <c r="AP588" s="93"/>
      <c r="AQ588" s="93"/>
      <c r="AR588" s="93"/>
      <c r="AS588" s="93"/>
      <c r="AT588" s="93"/>
      <c r="AU588" s="93"/>
      <c r="AV588" s="93"/>
      <c r="AW588" s="93"/>
      <c r="AX588" s="93"/>
      <c r="AY588" s="93"/>
      <c r="AZ588" s="93"/>
      <c r="BA588" s="93"/>
      <c r="BB588" s="93"/>
    </row>
    <row r="589" spans="1:54" ht="13.2">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115"/>
      <c r="AM589" s="93"/>
      <c r="AN589" s="93"/>
      <c r="AO589" s="93"/>
      <c r="AP589" s="93"/>
      <c r="AQ589" s="93"/>
      <c r="AR589" s="93"/>
      <c r="AS589" s="93"/>
      <c r="AT589" s="93"/>
      <c r="AU589" s="93"/>
      <c r="AV589" s="93"/>
      <c r="AW589" s="93"/>
      <c r="AX589" s="93"/>
      <c r="AY589" s="93"/>
      <c r="AZ589" s="93"/>
      <c r="BA589" s="93"/>
      <c r="BB589" s="93"/>
    </row>
    <row r="590" spans="1:54" ht="13.2">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115"/>
      <c r="AM590" s="93"/>
      <c r="AN590" s="93"/>
      <c r="AO590" s="93"/>
      <c r="AP590" s="93"/>
      <c r="AQ590" s="93"/>
      <c r="AR590" s="93"/>
      <c r="AS590" s="93"/>
      <c r="AT590" s="93"/>
      <c r="AU590" s="93"/>
      <c r="AV590" s="93"/>
      <c r="AW590" s="93"/>
      <c r="AX590" s="93"/>
      <c r="AY590" s="93"/>
      <c r="AZ590" s="93"/>
      <c r="BA590" s="93"/>
      <c r="BB590" s="93"/>
    </row>
    <row r="591" spans="1:54" ht="13.2">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115"/>
      <c r="AM591" s="93"/>
      <c r="AN591" s="93"/>
      <c r="AO591" s="93"/>
      <c r="AP591" s="93"/>
      <c r="AQ591" s="93"/>
      <c r="AR591" s="93"/>
      <c r="AS591" s="93"/>
      <c r="AT591" s="93"/>
      <c r="AU591" s="93"/>
      <c r="AV591" s="93"/>
      <c r="AW591" s="93"/>
      <c r="AX591" s="93"/>
      <c r="AY591" s="93"/>
      <c r="AZ591" s="93"/>
      <c r="BA591" s="93"/>
      <c r="BB591" s="93"/>
    </row>
    <row r="592" spans="1:54" ht="13.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115"/>
      <c r="AM592" s="93"/>
      <c r="AN592" s="93"/>
      <c r="AO592" s="93"/>
      <c r="AP592" s="93"/>
      <c r="AQ592" s="93"/>
      <c r="AR592" s="93"/>
      <c r="AS592" s="93"/>
      <c r="AT592" s="93"/>
      <c r="AU592" s="93"/>
      <c r="AV592" s="93"/>
      <c r="AW592" s="93"/>
      <c r="AX592" s="93"/>
      <c r="AY592" s="93"/>
      <c r="AZ592" s="93"/>
      <c r="BA592" s="93"/>
      <c r="BB592" s="93"/>
    </row>
    <row r="593" spans="1:54" ht="13.2">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115"/>
      <c r="AM593" s="93"/>
      <c r="AN593" s="93"/>
      <c r="AO593" s="93"/>
      <c r="AP593" s="93"/>
      <c r="AQ593" s="93"/>
      <c r="AR593" s="93"/>
      <c r="AS593" s="93"/>
      <c r="AT593" s="93"/>
      <c r="AU593" s="93"/>
      <c r="AV593" s="93"/>
      <c r="AW593" s="93"/>
      <c r="AX593" s="93"/>
      <c r="AY593" s="93"/>
      <c r="AZ593" s="93"/>
      <c r="BA593" s="93"/>
      <c r="BB593" s="93"/>
    </row>
    <row r="594" spans="1:54" ht="13.2">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115"/>
      <c r="AM594" s="93"/>
      <c r="AN594" s="93"/>
      <c r="AO594" s="93"/>
      <c r="AP594" s="93"/>
      <c r="AQ594" s="93"/>
      <c r="AR594" s="93"/>
      <c r="AS594" s="93"/>
      <c r="AT594" s="93"/>
      <c r="AU594" s="93"/>
      <c r="AV594" s="93"/>
      <c r="AW594" s="93"/>
      <c r="AX594" s="93"/>
      <c r="AY594" s="93"/>
      <c r="AZ594" s="93"/>
      <c r="BA594" s="93"/>
      <c r="BB594" s="93"/>
    </row>
    <row r="595" spans="1:54" ht="13.2">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115"/>
      <c r="AM595" s="93"/>
      <c r="AN595" s="93"/>
      <c r="AO595" s="93"/>
      <c r="AP595" s="93"/>
      <c r="AQ595" s="93"/>
      <c r="AR595" s="93"/>
      <c r="AS595" s="93"/>
      <c r="AT595" s="93"/>
      <c r="AU595" s="93"/>
      <c r="AV595" s="93"/>
      <c r="AW595" s="93"/>
      <c r="AX595" s="93"/>
      <c r="AY595" s="93"/>
      <c r="AZ595" s="93"/>
      <c r="BA595" s="93"/>
      <c r="BB595" s="93"/>
    </row>
    <row r="596" spans="1:54" ht="13.2">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115"/>
      <c r="AM596" s="93"/>
      <c r="AN596" s="93"/>
      <c r="AO596" s="93"/>
      <c r="AP596" s="93"/>
      <c r="AQ596" s="93"/>
      <c r="AR596" s="93"/>
      <c r="AS596" s="93"/>
      <c r="AT596" s="93"/>
      <c r="AU596" s="93"/>
      <c r="AV596" s="93"/>
      <c r="AW596" s="93"/>
      <c r="AX596" s="93"/>
      <c r="AY596" s="93"/>
      <c r="AZ596" s="93"/>
      <c r="BA596" s="93"/>
      <c r="BB596" s="93"/>
    </row>
    <row r="597" spans="1:54" ht="13.2">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115"/>
      <c r="AM597" s="93"/>
      <c r="AN597" s="93"/>
      <c r="AO597" s="93"/>
      <c r="AP597" s="93"/>
      <c r="AQ597" s="93"/>
      <c r="AR597" s="93"/>
      <c r="AS597" s="93"/>
      <c r="AT597" s="93"/>
      <c r="AU597" s="93"/>
      <c r="AV597" s="93"/>
      <c r="AW597" s="93"/>
      <c r="AX597" s="93"/>
      <c r="AY597" s="93"/>
      <c r="AZ597" s="93"/>
      <c r="BA597" s="93"/>
      <c r="BB597" s="93"/>
    </row>
    <row r="598" spans="1:54" ht="13.2">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115"/>
      <c r="AM598" s="93"/>
      <c r="AN598" s="93"/>
      <c r="AO598" s="93"/>
      <c r="AP598" s="93"/>
      <c r="AQ598" s="93"/>
      <c r="AR598" s="93"/>
      <c r="AS598" s="93"/>
      <c r="AT598" s="93"/>
      <c r="AU598" s="93"/>
      <c r="AV598" s="93"/>
      <c r="AW598" s="93"/>
      <c r="AX598" s="93"/>
      <c r="AY598" s="93"/>
      <c r="AZ598" s="93"/>
      <c r="BA598" s="93"/>
      <c r="BB598" s="93"/>
    </row>
    <row r="599" spans="1:54" ht="13.2">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115"/>
      <c r="AM599" s="93"/>
      <c r="AN599" s="93"/>
      <c r="AO599" s="93"/>
      <c r="AP599" s="93"/>
      <c r="AQ599" s="93"/>
      <c r="AR599" s="93"/>
      <c r="AS599" s="93"/>
      <c r="AT599" s="93"/>
      <c r="AU599" s="93"/>
      <c r="AV599" s="93"/>
      <c r="AW599" s="93"/>
      <c r="AX599" s="93"/>
      <c r="AY599" s="93"/>
      <c r="AZ599" s="93"/>
      <c r="BA599" s="93"/>
      <c r="BB599" s="93"/>
    </row>
    <row r="600" spans="1:54" ht="13.2">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115"/>
      <c r="AM600" s="93"/>
      <c r="AN600" s="93"/>
      <c r="AO600" s="93"/>
      <c r="AP600" s="93"/>
      <c r="AQ600" s="93"/>
      <c r="AR600" s="93"/>
      <c r="AS600" s="93"/>
      <c r="AT600" s="93"/>
      <c r="AU600" s="93"/>
      <c r="AV600" s="93"/>
      <c r="AW600" s="93"/>
      <c r="AX600" s="93"/>
      <c r="AY600" s="93"/>
      <c r="AZ600" s="93"/>
      <c r="BA600" s="93"/>
      <c r="BB600" s="93"/>
    </row>
    <row r="601" spans="1:54" ht="13.2">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115"/>
      <c r="AM601" s="93"/>
      <c r="AN601" s="93"/>
      <c r="AO601" s="93"/>
      <c r="AP601" s="93"/>
      <c r="AQ601" s="93"/>
      <c r="AR601" s="93"/>
      <c r="AS601" s="93"/>
      <c r="AT601" s="93"/>
      <c r="AU601" s="93"/>
      <c r="AV601" s="93"/>
      <c r="AW601" s="93"/>
      <c r="AX601" s="93"/>
      <c r="AY601" s="93"/>
      <c r="AZ601" s="93"/>
      <c r="BA601" s="93"/>
      <c r="BB601" s="93"/>
    </row>
    <row r="602" spans="1:54" ht="13.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115"/>
      <c r="AM602" s="93"/>
      <c r="AN602" s="93"/>
      <c r="AO602" s="93"/>
      <c r="AP602" s="93"/>
      <c r="AQ602" s="93"/>
      <c r="AR602" s="93"/>
      <c r="AS602" s="93"/>
      <c r="AT602" s="93"/>
      <c r="AU602" s="93"/>
      <c r="AV602" s="93"/>
      <c r="AW602" s="93"/>
      <c r="AX602" s="93"/>
      <c r="AY602" s="93"/>
      <c r="AZ602" s="93"/>
      <c r="BA602" s="93"/>
      <c r="BB602" s="93"/>
    </row>
    <row r="603" spans="1:54" ht="13.2">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115"/>
      <c r="AM603" s="93"/>
      <c r="AN603" s="93"/>
      <c r="AO603" s="93"/>
      <c r="AP603" s="93"/>
      <c r="AQ603" s="93"/>
      <c r="AR603" s="93"/>
      <c r="AS603" s="93"/>
      <c r="AT603" s="93"/>
      <c r="AU603" s="93"/>
      <c r="AV603" s="93"/>
      <c r="AW603" s="93"/>
      <c r="AX603" s="93"/>
      <c r="AY603" s="93"/>
      <c r="AZ603" s="93"/>
      <c r="BA603" s="93"/>
      <c r="BB603" s="93"/>
    </row>
    <row r="604" spans="1:54" ht="13.2">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115"/>
      <c r="AM604" s="93"/>
      <c r="AN604" s="93"/>
      <c r="AO604" s="93"/>
      <c r="AP604" s="93"/>
      <c r="AQ604" s="93"/>
      <c r="AR604" s="93"/>
      <c r="AS604" s="93"/>
      <c r="AT604" s="93"/>
      <c r="AU604" s="93"/>
      <c r="AV604" s="93"/>
      <c r="AW604" s="93"/>
      <c r="AX604" s="93"/>
      <c r="AY604" s="93"/>
      <c r="AZ604" s="93"/>
      <c r="BA604" s="93"/>
      <c r="BB604" s="93"/>
    </row>
    <row r="605" spans="1:54" ht="13.2">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115"/>
      <c r="AM605" s="93"/>
      <c r="AN605" s="93"/>
      <c r="AO605" s="93"/>
      <c r="AP605" s="93"/>
      <c r="AQ605" s="93"/>
      <c r="AR605" s="93"/>
      <c r="AS605" s="93"/>
      <c r="AT605" s="93"/>
      <c r="AU605" s="93"/>
      <c r="AV605" s="93"/>
      <c r="AW605" s="93"/>
      <c r="AX605" s="93"/>
      <c r="AY605" s="93"/>
      <c r="AZ605" s="93"/>
      <c r="BA605" s="93"/>
      <c r="BB605" s="93"/>
    </row>
    <row r="606" spans="1:54" ht="13.2">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115"/>
      <c r="AM606" s="93"/>
      <c r="AN606" s="93"/>
      <c r="AO606" s="93"/>
      <c r="AP606" s="93"/>
      <c r="AQ606" s="93"/>
      <c r="AR606" s="93"/>
      <c r="AS606" s="93"/>
      <c r="AT606" s="93"/>
      <c r="AU606" s="93"/>
      <c r="AV606" s="93"/>
      <c r="AW606" s="93"/>
      <c r="AX606" s="93"/>
      <c r="AY606" s="93"/>
      <c r="AZ606" s="93"/>
      <c r="BA606" s="93"/>
      <c r="BB606" s="93"/>
    </row>
    <row r="607" spans="1:54" ht="13.2">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115"/>
      <c r="AM607" s="93"/>
      <c r="AN607" s="93"/>
      <c r="AO607" s="93"/>
      <c r="AP607" s="93"/>
      <c r="AQ607" s="93"/>
      <c r="AR607" s="93"/>
      <c r="AS607" s="93"/>
      <c r="AT607" s="93"/>
      <c r="AU607" s="93"/>
      <c r="AV607" s="93"/>
      <c r="AW607" s="93"/>
      <c r="AX607" s="93"/>
      <c r="AY607" s="93"/>
      <c r="AZ607" s="93"/>
      <c r="BA607" s="93"/>
      <c r="BB607" s="93"/>
    </row>
    <row r="608" spans="1:54" ht="13.2">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115"/>
      <c r="AM608" s="93"/>
      <c r="AN608" s="93"/>
      <c r="AO608" s="93"/>
      <c r="AP608" s="93"/>
      <c r="AQ608" s="93"/>
      <c r="AR608" s="93"/>
      <c r="AS608" s="93"/>
      <c r="AT608" s="93"/>
      <c r="AU608" s="93"/>
      <c r="AV608" s="93"/>
      <c r="AW608" s="93"/>
      <c r="AX608" s="93"/>
      <c r="AY608" s="93"/>
      <c r="AZ608" s="93"/>
      <c r="BA608" s="93"/>
      <c r="BB608" s="93"/>
    </row>
    <row r="609" spans="1:54" ht="13.2">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115"/>
      <c r="AM609" s="93"/>
      <c r="AN609" s="93"/>
      <c r="AO609" s="93"/>
      <c r="AP609" s="93"/>
      <c r="AQ609" s="93"/>
      <c r="AR609" s="93"/>
      <c r="AS609" s="93"/>
      <c r="AT609" s="93"/>
      <c r="AU609" s="93"/>
      <c r="AV609" s="93"/>
      <c r="AW609" s="93"/>
      <c r="AX609" s="93"/>
      <c r="AY609" s="93"/>
      <c r="AZ609" s="93"/>
      <c r="BA609" s="93"/>
      <c r="BB609" s="93"/>
    </row>
    <row r="610" spans="1:54" ht="13.2">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115"/>
      <c r="AM610" s="93"/>
      <c r="AN610" s="93"/>
      <c r="AO610" s="93"/>
      <c r="AP610" s="93"/>
      <c r="AQ610" s="93"/>
      <c r="AR610" s="93"/>
      <c r="AS610" s="93"/>
      <c r="AT610" s="93"/>
      <c r="AU610" s="93"/>
      <c r="AV610" s="93"/>
      <c r="AW610" s="93"/>
      <c r="AX610" s="93"/>
      <c r="AY610" s="93"/>
      <c r="AZ610" s="93"/>
      <c r="BA610" s="93"/>
      <c r="BB610" s="93"/>
    </row>
    <row r="611" spans="1:54" ht="13.2">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115"/>
      <c r="AM611" s="93"/>
      <c r="AN611" s="93"/>
      <c r="AO611" s="93"/>
      <c r="AP611" s="93"/>
      <c r="AQ611" s="93"/>
      <c r="AR611" s="93"/>
      <c r="AS611" s="93"/>
      <c r="AT611" s="93"/>
      <c r="AU611" s="93"/>
      <c r="AV611" s="93"/>
      <c r="AW611" s="93"/>
      <c r="AX611" s="93"/>
      <c r="AY611" s="93"/>
      <c r="AZ611" s="93"/>
      <c r="BA611" s="93"/>
      <c r="BB611" s="93"/>
    </row>
    <row r="612" spans="1:54" ht="13.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115"/>
      <c r="AM612" s="93"/>
      <c r="AN612" s="93"/>
      <c r="AO612" s="93"/>
      <c r="AP612" s="93"/>
      <c r="AQ612" s="93"/>
      <c r="AR612" s="93"/>
      <c r="AS612" s="93"/>
      <c r="AT612" s="93"/>
      <c r="AU612" s="93"/>
      <c r="AV612" s="93"/>
      <c r="AW612" s="93"/>
      <c r="AX612" s="93"/>
      <c r="AY612" s="93"/>
      <c r="AZ612" s="93"/>
      <c r="BA612" s="93"/>
      <c r="BB612" s="93"/>
    </row>
    <row r="613" spans="1:54" ht="13.2">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115"/>
      <c r="AM613" s="93"/>
      <c r="AN613" s="93"/>
      <c r="AO613" s="93"/>
      <c r="AP613" s="93"/>
      <c r="AQ613" s="93"/>
      <c r="AR613" s="93"/>
      <c r="AS613" s="93"/>
      <c r="AT613" s="93"/>
      <c r="AU613" s="93"/>
      <c r="AV613" s="93"/>
      <c r="AW613" s="93"/>
      <c r="AX613" s="93"/>
      <c r="AY613" s="93"/>
      <c r="AZ613" s="93"/>
      <c r="BA613" s="93"/>
      <c r="BB613" s="93"/>
    </row>
    <row r="614" spans="1:54" ht="13.2">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115"/>
      <c r="AM614" s="93"/>
      <c r="AN614" s="93"/>
      <c r="AO614" s="93"/>
      <c r="AP614" s="93"/>
      <c r="AQ614" s="93"/>
      <c r="AR614" s="93"/>
      <c r="AS614" s="93"/>
      <c r="AT614" s="93"/>
      <c r="AU614" s="93"/>
      <c r="AV614" s="93"/>
      <c r="AW614" s="93"/>
      <c r="AX614" s="93"/>
      <c r="AY614" s="93"/>
      <c r="AZ614" s="93"/>
      <c r="BA614" s="93"/>
      <c r="BB614" s="93"/>
    </row>
    <row r="615" spans="1:54" ht="13.2">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115"/>
      <c r="AM615" s="93"/>
      <c r="AN615" s="93"/>
      <c r="AO615" s="93"/>
      <c r="AP615" s="93"/>
      <c r="AQ615" s="93"/>
      <c r="AR615" s="93"/>
      <c r="AS615" s="93"/>
      <c r="AT615" s="93"/>
      <c r="AU615" s="93"/>
      <c r="AV615" s="93"/>
      <c r="AW615" s="93"/>
      <c r="AX615" s="93"/>
      <c r="AY615" s="93"/>
      <c r="AZ615" s="93"/>
      <c r="BA615" s="93"/>
      <c r="BB615" s="93"/>
    </row>
    <row r="616" spans="1:54" ht="13.2">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115"/>
      <c r="AM616" s="93"/>
      <c r="AN616" s="93"/>
      <c r="AO616" s="93"/>
      <c r="AP616" s="93"/>
      <c r="AQ616" s="93"/>
      <c r="AR616" s="93"/>
      <c r="AS616" s="93"/>
      <c r="AT616" s="93"/>
      <c r="AU616" s="93"/>
      <c r="AV616" s="93"/>
      <c r="AW616" s="93"/>
      <c r="AX616" s="93"/>
      <c r="AY616" s="93"/>
      <c r="AZ616" s="93"/>
      <c r="BA616" s="93"/>
      <c r="BB616" s="93"/>
    </row>
    <row r="617" spans="1:54" ht="13.2">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115"/>
      <c r="AM617" s="93"/>
      <c r="AN617" s="93"/>
      <c r="AO617" s="93"/>
      <c r="AP617" s="93"/>
      <c r="AQ617" s="93"/>
      <c r="AR617" s="93"/>
      <c r="AS617" s="93"/>
      <c r="AT617" s="93"/>
      <c r="AU617" s="93"/>
      <c r="AV617" s="93"/>
      <c r="AW617" s="93"/>
      <c r="AX617" s="93"/>
      <c r="AY617" s="93"/>
      <c r="AZ617" s="93"/>
      <c r="BA617" s="93"/>
      <c r="BB617" s="93"/>
    </row>
    <row r="618" spans="1:54" ht="13.2">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115"/>
      <c r="AM618" s="93"/>
      <c r="AN618" s="93"/>
      <c r="AO618" s="93"/>
      <c r="AP618" s="93"/>
      <c r="AQ618" s="93"/>
      <c r="AR618" s="93"/>
      <c r="AS618" s="93"/>
      <c r="AT618" s="93"/>
      <c r="AU618" s="93"/>
      <c r="AV618" s="93"/>
      <c r="AW618" s="93"/>
      <c r="AX618" s="93"/>
      <c r="AY618" s="93"/>
      <c r="AZ618" s="93"/>
      <c r="BA618" s="93"/>
      <c r="BB618" s="93"/>
    </row>
    <row r="619" spans="1:54" ht="13.2">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115"/>
      <c r="AM619" s="93"/>
      <c r="AN619" s="93"/>
      <c r="AO619" s="93"/>
      <c r="AP619" s="93"/>
      <c r="AQ619" s="93"/>
      <c r="AR619" s="93"/>
      <c r="AS619" s="93"/>
      <c r="AT619" s="93"/>
      <c r="AU619" s="93"/>
      <c r="AV619" s="93"/>
      <c r="AW619" s="93"/>
      <c r="AX619" s="93"/>
      <c r="AY619" s="93"/>
      <c r="AZ619" s="93"/>
      <c r="BA619" s="93"/>
      <c r="BB619" s="93"/>
    </row>
    <row r="620" spans="1:54" ht="13.2">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115"/>
      <c r="AM620" s="93"/>
      <c r="AN620" s="93"/>
      <c r="AO620" s="93"/>
      <c r="AP620" s="93"/>
      <c r="AQ620" s="93"/>
      <c r="AR620" s="93"/>
      <c r="AS620" s="93"/>
      <c r="AT620" s="93"/>
      <c r="AU620" s="93"/>
      <c r="AV620" s="93"/>
      <c r="AW620" s="93"/>
      <c r="AX620" s="93"/>
      <c r="AY620" s="93"/>
      <c r="AZ620" s="93"/>
      <c r="BA620" s="93"/>
      <c r="BB620" s="93"/>
    </row>
    <row r="621" spans="1:54" ht="13.2">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115"/>
      <c r="AM621" s="93"/>
      <c r="AN621" s="93"/>
      <c r="AO621" s="93"/>
      <c r="AP621" s="93"/>
      <c r="AQ621" s="93"/>
      <c r="AR621" s="93"/>
      <c r="AS621" s="93"/>
      <c r="AT621" s="93"/>
      <c r="AU621" s="93"/>
      <c r="AV621" s="93"/>
      <c r="AW621" s="93"/>
      <c r="AX621" s="93"/>
      <c r="AY621" s="93"/>
      <c r="AZ621" s="93"/>
      <c r="BA621" s="93"/>
      <c r="BB621" s="93"/>
    </row>
    <row r="622" spans="1:54" ht="13.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115"/>
      <c r="AM622" s="93"/>
      <c r="AN622" s="93"/>
      <c r="AO622" s="93"/>
      <c r="AP622" s="93"/>
      <c r="AQ622" s="93"/>
      <c r="AR622" s="93"/>
      <c r="AS622" s="93"/>
      <c r="AT622" s="93"/>
      <c r="AU622" s="93"/>
      <c r="AV622" s="93"/>
      <c r="AW622" s="93"/>
      <c r="AX622" s="93"/>
      <c r="AY622" s="93"/>
      <c r="AZ622" s="93"/>
      <c r="BA622" s="93"/>
      <c r="BB622" s="93"/>
    </row>
    <row r="623" spans="1:54" ht="13.2">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115"/>
      <c r="AM623" s="93"/>
      <c r="AN623" s="93"/>
      <c r="AO623" s="93"/>
      <c r="AP623" s="93"/>
      <c r="AQ623" s="93"/>
      <c r="AR623" s="93"/>
      <c r="AS623" s="93"/>
      <c r="AT623" s="93"/>
      <c r="AU623" s="93"/>
      <c r="AV623" s="93"/>
      <c r="AW623" s="93"/>
      <c r="AX623" s="93"/>
      <c r="AY623" s="93"/>
      <c r="AZ623" s="93"/>
      <c r="BA623" s="93"/>
      <c r="BB623" s="93"/>
    </row>
    <row r="624" spans="1:54" ht="13.2">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115"/>
      <c r="AM624" s="93"/>
      <c r="AN624" s="93"/>
      <c r="AO624" s="93"/>
      <c r="AP624" s="93"/>
      <c r="AQ624" s="93"/>
      <c r="AR624" s="93"/>
      <c r="AS624" s="93"/>
      <c r="AT624" s="93"/>
      <c r="AU624" s="93"/>
      <c r="AV624" s="93"/>
      <c r="AW624" s="93"/>
      <c r="AX624" s="93"/>
      <c r="AY624" s="93"/>
      <c r="AZ624" s="93"/>
      <c r="BA624" s="93"/>
      <c r="BB624" s="93"/>
    </row>
    <row r="625" spans="1:54" ht="13.2">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115"/>
      <c r="AM625" s="93"/>
      <c r="AN625" s="93"/>
      <c r="AO625" s="93"/>
      <c r="AP625" s="93"/>
      <c r="AQ625" s="93"/>
      <c r="AR625" s="93"/>
      <c r="AS625" s="93"/>
      <c r="AT625" s="93"/>
      <c r="AU625" s="93"/>
      <c r="AV625" s="93"/>
      <c r="AW625" s="93"/>
      <c r="AX625" s="93"/>
      <c r="AY625" s="93"/>
      <c r="AZ625" s="93"/>
      <c r="BA625" s="93"/>
      <c r="BB625" s="93"/>
    </row>
    <row r="626" spans="1:54" ht="13.2">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115"/>
      <c r="AM626" s="93"/>
      <c r="AN626" s="93"/>
      <c r="AO626" s="93"/>
      <c r="AP626" s="93"/>
      <c r="AQ626" s="93"/>
      <c r="AR626" s="93"/>
      <c r="AS626" s="93"/>
      <c r="AT626" s="93"/>
      <c r="AU626" s="93"/>
      <c r="AV626" s="93"/>
      <c r="AW626" s="93"/>
      <c r="AX626" s="93"/>
      <c r="AY626" s="93"/>
      <c r="AZ626" s="93"/>
      <c r="BA626" s="93"/>
      <c r="BB626" s="93"/>
    </row>
    <row r="627" spans="1:54" ht="13.2">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115"/>
      <c r="AM627" s="93"/>
      <c r="AN627" s="93"/>
      <c r="AO627" s="93"/>
      <c r="AP627" s="93"/>
      <c r="AQ627" s="93"/>
      <c r="AR627" s="93"/>
      <c r="AS627" s="93"/>
      <c r="AT627" s="93"/>
      <c r="AU627" s="93"/>
      <c r="AV627" s="93"/>
      <c r="AW627" s="93"/>
      <c r="AX627" s="93"/>
      <c r="AY627" s="93"/>
      <c r="AZ627" s="93"/>
      <c r="BA627" s="93"/>
      <c r="BB627" s="93"/>
    </row>
    <row r="628" spans="1:54" ht="13.2">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115"/>
      <c r="AM628" s="93"/>
      <c r="AN628" s="93"/>
      <c r="AO628" s="93"/>
      <c r="AP628" s="93"/>
      <c r="AQ628" s="93"/>
      <c r="AR628" s="93"/>
      <c r="AS628" s="93"/>
      <c r="AT628" s="93"/>
      <c r="AU628" s="93"/>
      <c r="AV628" s="93"/>
      <c r="AW628" s="93"/>
      <c r="AX628" s="93"/>
      <c r="AY628" s="93"/>
      <c r="AZ628" s="93"/>
      <c r="BA628" s="93"/>
      <c r="BB628" s="93"/>
    </row>
    <row r="629" spans="1:54" ht="13.2">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115"/>
      <c r="AM629" s="93"/>
      <c r="AN629" s="93"/>
      <c r="AO629" s="93"/>
      <c r="AP629" s="93"/>
      <c r="AQ629" s="93"/>
      <c r="AR629" s="93"/>
      <c r="AS629" s="93"/>
      <c r="AT629" s="93"/>
      <c r="AU629" s="93"/>
      <c r="AV629" s="93"/>
      <c r="AW629" s="93"/>
      <c r="AX629" s="93"/>
      <c r="AY629" s="93"/>
      <c r="AZ629" s="93"/>
      <c r="BA629" s="93"/>
      <c r="BB629" s="93"/>
    </row>
    <row r="630" spans="1:54" ht="13.2">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115"/>
      <c r="AM630" s="93"/>
      <c r="AN630" s="93"/>
      <c r="AO630" s="93"/>
      <c r="AP630" s="93"/>
      <c r="AQ630" s="93"/>
      <c r="AR630" s="93"/>
      <c r="AS630" s="93"/>
      <c r="AT630" s="93"/>
      <c r="AU630" s="93"/>
      <c r="AV630" s="93"/>
      <c r="AW630" s="93"/>
      <c r="AX630" s="93"/>
      <c r="AY630" s="93"/>
      <c r="AZ630" s="93"/>
      <c r="BA630" s="93"/>
      <c r="BB630" s="93"/>
    </row>
    <row r="631" spans="1:54" ht="13.2">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115"/>
      <c r="AM631" s="93"/>
      <c r="AN631" s="93"/>
      <c r="AO631" s="93"/>
      <c r="AP631" s="93"/>
      <c r="AQ631" s="93"/>
      <c r="AR631" s="93"/>
      <c r="AS631" s="93"/>
      <c r="AT631" s="93"/>
      <c r="AU631" s="93"/>
      <c r="AV631" s="93"/>
      <c r="AW631" s="93"/>
      <c r="AX631" s="93"/>
      <c r="AY631" s="93"/>
      <c r="AZ631" s="93"/>
      <c r="BA631" s="93"/>
      <c r="BB631" s="93"/>
    </row>
    <row r="632" spans="1:54" ht="1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115"/>
      <c r="AM632" s="93"/>
      <c r="AN632" s="93"/>
      <c r="AO632" s="93"/>
      <c r="AP632" s="93"/>
      <c r="AQ632" s="93"/>
      <c r="AR632" s="93"/>
      <c r="AS632" s="93"/>
      <c r="AT632" s="93"/>
      <c r="AU632" s="93"/>
      <c r="AV632" s="93"/>
      <c r="AW632" s="93"/>
      <c r="AX632" s="93"/>
      <c r="AY632" s="93"/>
      <c r="AZ632" s="93"/>
      <c r="BA632" s="93"/>
      <c r="BB632" s="93"/>
    </row>
    <row r="633" spans="1:54" ht="13.2">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115"/>
      <c r="AM633" s="93"/>
      <c r="AN633" s="93"/>
      <c r="AO633" s="93"/>
      <c r="AP633" s="93"/>
      <c r="AQ633" s="93"/>
      <c r="AR633" s="93"/>
      <c r="AS633" s="93"/>
      <c r="AT633" s="93"/>
      <c r="AU633" s="93"/>
      <c r="AV633" s="93"/>
      <c r="AW633" s="93"/>
      <c r="AX633" s="93"/>
      <c r="AY633" s="93"/>
      <c r="AZ633" s="93"/>
      <c r="BA633" s="93"/>
      <c r="BB633" s="93"/>
    </row>
    <row r="634" spans="1:54" ht="13.2">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115"/>
      <c r="AM634" s="93"/>
      <c r="AN634" s="93"/>
      <c r="AO634" s="93"/>
      <c r="AP634" s="93"/>
      <c r="AQ634" s="93"/>
      <c r="AR634" s="93"/>
      <c r="AS634" s="93"/>
      <c r="AT634" s="93"/>
      <c r="AU634" s="93"/>
      <c r="AV634" s="93"/>
      <c r="AW634" s="93"/>
      <c r="AX634" s="93"/>
      <c r="AY634" s="93"/>
      <c r="AZ634" s="93"/>
      <c r="BA634" s="93"/>
      <c r="BB634" s="93"/>
    </row>
    <row r="635" spans="1:54" ht="13.2">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115"/>
      <c r="AM635" s="93"/>
      <c r="AN635" s="93"/>
      <c r="AO635" s="93"/>
      <c r="AP635" s="93"/>
      <c r="AQ635" s="93"/>
      <c r="AR635" s="93"/>
      <c r="AS635" s="93"/>
      <c r="AT635" s="93"/>
      <c r="AU635" s="93"/>
      <c r="AV635" s="93"/>
      <c r="AW635" s="93"/>
      <c r="AX635" s="93"/>
      <c r="AY635" s="93"/>
      <c r="AZ635" s="93"/>
      <c r="BA635" s="93"/>
      <c r="BB635" s="93"/>
    </row>
    <row r="636" spans="1:54" ht="13.2">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115"/>
      <c r="AM636" s="93"/>
      <c r="AN636" s="93"/>
      <c r="AO636" s="93"/>
      <c r="AP636" s="93"/>
      <c r="AQ636" s="93"/>
      <c r="AR636" s="93"/>
      <c r="AS636" s="93"/>
      <c r="AT636" s="93"/>
      <c r="AU636" s="93"/>
      <c r="AV636" s="93"/>
      <c r="AW636" s="93"/>
      <c r="AX636" s="93"/>
      <c r="AY636" s="93"/>
      <c r="AZ636" s="93"/>
      <c r="BA636" s="93"/>
      <c r="BB636" s="93"/>
    </row>
    <row r="637" spans="1:54" ht="13.2">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115"/>
      <c r="AM637" s="93"/>
      <c r="AN637" s="93"/>
      <c r="AO637" s="93"/>
      <c r="AP637" s="93"/>
      <c r="AQ637" s="93"/>
      <c r="AR637" s="93"/>
      <c r="AS637" s="93"/>
      <c r="AT637" s="93"/>
      <c r="AU637" s="93"/>
      <c r="AV637" s="93"/>
      <c r="AW637" s="93"/>
      <c r="AX637" s="93"/>
      <c r="AY637" s="93"/>
      <c r="AZ637" s="93"/>
      <c r="BA637" s="93"/>
      <c r="BB637" s="93"/>
    </row>
    <row r="638" spans="1:54" ht="13.2">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115"/>
      <c r="AM638" s="93"/>
      <c r="AN638" s="93"/>
      <c r="AO638" s="93"/>
      <c r="AP638" s="93"/>
      <c r="AQ638" s="93"/>
      <c r="AR638" s="93"/>
      <c r="AS638" s="93"/>
      <c r="AT638" s="93"/>
      <c r="AU638" s="93"/>
      <c r="AV638" s="93"/>
      <c r="AW638" s="93"/>
      <c r="AX638" s="93"/>
      <c r="AY638" s="93"/>
      <c r="AZ638" s="93"/>
      <c r="BA638" s="93"/>
      <c r="BB638" s="93"/>
    </row>
    <row r="639" spans="1:54" ht="13.2">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115"/>
      <c r="AM639" s="93"/>
      <c r="AN639" s="93"/>
      <c r="AO639" s="93"/>
      <c r="AP639" s="93"/>
      <c r="AQ639" s="93"/>
      <c r="AR639" s="93"/>
      <c r="AS639" s="93"/>
      <c r="AT639" s="93"/>
      <c r="AU639" s="93"/>
      <c r="AV639" s="93"/>
      <c r="AW639" s="93"/>
      <c r="AX639" s="93"/>
      <c r="AY639" s="93"/>
      <c r="AZ639" s="93"/>
      <c r="BA639" s="93"/>
      <c r="BB639" s="93"/>
    </row>
    <row r="640" spans="1:54" ht="13.2">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115"/>
      <c r="AM640" s="93"/>
      <c r="AN640" s="93"/>
      <c r="AO640" s="93"/>
      <c r="AP640" s="93"/>
      <c r="AQ640" s="93"/>
      <c r="AR640" s="93"/>
      <c r="AS640" s="93"/>
      <c r="AT640" s="93"/>
      <c r="AU640" s="93"/>
      <c r="AV640" s="93"/>
      <c r="AW640" s="93"/>
      <c r="AX640" s="93"/>
      <c r="AY640" s="93"/>
      <c r="AZ640" s="93"/>
      <c r="BA640" s="93"/>
      <c r="BB640" s="93"/>
    </row>
    <row r="641" spans="1:54" ht="13.2">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115"/>
      <c r="AM641" s="93"/>
      <c r="AN641" s="93"/>
      <c r="AO641" s="93"/>
      <c r="AP641" s="93"/>
      <c r="AQ641" s="93"/>
      <c r="AR641" s="93"/>
      <c r="AS641" s="93"/>
      <c r="AT641" s="93"/>
      <c r="AU641" s="93"/>
      <c r="AV641" s="93"/>
      <c r="AW641" s="93"/>
      <c r="AX641" s="93"/>
      <c r="AY641" s="93"/>
      <c r="AZ641" s="93"/>
      <c r="BA641" s="93"/>
      <c r="BB641" s="93"/>
    </row>
    <row r="642" spans="1:54" ht="13.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115"/>
      <c r="AM642" s="93"/>
      <c r="AN642" s="93"/>
      <c r="AO642" s="93"/>
      <c r="AP642" s="93"/>
      <c r="AQ642" s="93"/>
      <c r="AR642" s="93"/>
      <c r="AS642" s="93"/>
      <c r="AT642" s="93"/>
      <c r="AU642" s="93"/>
      <c r="AV642" s="93"/>
      <c r="AW642" s="93"/>
      <c r="AX642" s="93"/>
      <c r="AY642" s="93"/>
      <c r="AZ642" s="93"/>
      <c r="BA642" s="93"/>
      <c r="BB642" s="93"/>
    </row>
    <row r="643" spans="1:54" ht="13.2">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115"/>
      <c r="AM643" s="93"/>
      <c r="AN643" s="93"/>
      <c r="AO643" s="93"/>
      <c r="AP643" s="93"/>
      <c r="AQ643" s="93"/>
      <c r="AR643" s="93"/>
      <c r="AS643" s="93"/>
      <c r="AT643" s="93"/>
      <c r="AU643" s="93"/>
      <c r="AV643" s="93"/>
      <c r="AW643" s="93"/>
      <c r="AX643" s="93"/>
      <c r="AY643" s="93"/>
      <c r="AZ643" s="93"/>
      <c r="BA643" s="93"/>
      <c r="BB643" s="93"/>
    </row>
    <row r="644" spans="1:54" ht="13.2">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115"/>
      <c r="AM644" s="93"/>
      <c r="AN644" s="93"/>
      <c r="AO644" s="93"/>
      <c r="AP644" s="93"/>
      <c r="AQ644" s="93"/>
      <c r="AR644" s="93"/>
      <c r="AS644" s="93"/>
      <c r="AT644" s="93"/>
      <c r="AU644" s="93"/>
      <c r="AV644" s="93"/>
      <c r="AW644" s="93"/>
      <c r="AX644" s="93"/>
      <c r="AY644" s="93"/>
      <c r="AZ644" s="93"/>
      <c r="BA644" s="93"/>
      <c r="BB644" s="93"/>
    </row>
    <row r="645" spans="1:54" ht="13.2">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115"/>
      <c r="AM645" s="93"/>
      <c r="AN645" s="93"/>
      <c r="AO645" s="93"/>
      <c r="AP645" s="93"/>
      <c r="AQ645" s="93"/>
      <c r="AR645" s="93"/>
      <c r="AS645" s="93"/>
      <c r="AT645" s="93"/>
      <c r="AU645" s="93"/>
      <c r="AV645" s="93"/>
      <c r="AW645" s="93"/>
      <c r="AX645" s="93"/>
      <c r="AY645" s="93"/>
      <c r="AZ645" s="93"/>
      <c r="BA645" s="93"/>
      <c r="BB645" s="93"/>
    </row>
    <row r="646" spans="1:54" ht="13.2">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115"/>
      <c r="AM646" s="93"/>
      <c r="AN646" s="93"/>
      <c r="AO646" s="93"/>
      <c r="AP646" s="93"/>
      <c r="AQ646" s="93"/>
      <c r="AR646" s="93"/>
      <c r="AS646" s="93"/>
      <c r="AT646" s="93"/>
      <c r="AU646" s="93"/>
      <c r="AV646" s="93"/>
      <c r="AW646" s="93"/>
      <c r="AX646" s="93"/>
      <c r="AY646" s="93"/>
      <c r="AZ646" s="93"/>
      <c r="BA646" s="93"/>
      <c r="BB646" s="93"/>
    </row>
    <row r="647" spans="1:54" ht="13.2">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115"/>
      <c r="AM647" s="93"/>
      <c r="AN647" s="93"/>
      <c r="AO647" s="93"/>
      <c r="AP647" s="93"/>
      <c r="AQ647" s="93"/>
      <c r="AR647" s="93"/>
      <c r="AS647" s="93"/>
      <c r="AT647" s="93"/>
      <c r="AU647" s="93"/>
      <c r="AV647" s="93"/>
      <c r="AW647" s="93"/>
      <c r="AX647" s="93"/>
      <c r="AY647" s="93"/>
      <c r="AZ647" s="93"/>
      <c r="BA647" s="93"/>
      <c r="BB647" s="93"/>
    </row>
    <row r="648" spans="1:54" ht="13.2">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115"/>
      <c r="AM648" s="93"/>
      <c r="AN648" s="93"/>
      <c r="AO648" s="93"/>
      <c r="AP648" s="93"/>
      <c r="AQ648" s="93"/>
      <c r="AR648" s="93"/>
      <c r="AS648" s="93"/>
      <c r="AT648" s="93"/>
      <c r="AU648" s="93"/>
      <c r="AV648" s="93"/>
      <c r="AW648" s="93"/>
      <c r="AX648" s="93"/>
      <c r="AY648" s="93"/>
      <c r="AZ648" s="93"/>
      <c r="BA648" s="93"/>
      <c r="BB648" s="93"/>
    </row>
    <row r="649" spans="1:54" ht="13.2">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115"/>
      <c r="AM649" s="93"/>
      <c r="AN649" s="93"/>
      <c r="AO649" s="93"/>
      <c r="AP649" s="93"/>
      <c r="AQ649" s="93"/>
      <c r="AR649" s="93"/>
      <c r="AS649" s="93"/>
      <c r="AT649" s="93"/>
      <c r="AU649" s="93"/>
      <c r="AV649" s="93"/>
      <c r="AW649" s="93"/>
      <c r="AX649" s="93"/>
      <c r="AY649" s="93"/>
      <c r="AZ649" s="93"/>
      <c r="BA649" s="93"/>
      <c r="BB649" s="93"/>
    </row>
    <row r="650" spans="1:54" ht="13.2">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115"/>
      <c r="AM650" s="93"/>
      <c r="AN650" s="93"/>
      <c r="AO650" s="93"/>
      <c r="AP650" s="93"/>
      <c r="AQ650" s="93"/>
      <c r="AR650" s="93"/>
      <c r="AS650" s="93"/>
      <c r="AT650" s="93"/>
      <c r="AU650" s="93"/>
      <c r="AV650" s="93"/>
      <c r="AW650" s="93"/>
      <c r="AX650" s="93"/>
      <c r="AY650" s="93"/>
      <c r="AZ650" s="93"/>
      <c r="BA650" s="93"/>
      <c r="BB650" s="93"/>
    </row>
    <row r="651" spans="1:54" ht="13.2">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115"/>
      <c r="AM651" s="93"/>
      <c r="AN651" s="93"/>
      <c r="AO651" s="93"/>
      <c r="AP651" s="93"/>
      <c r="AQ651" s="93"/>
      <c r="AR651" s="93"/>
      <c r="AS651" s="93"/>
      <c r="AT651" s="93"/>
      <c r="AU651" s="93"/>
      <c r="AV651" s="93"/>
      <c r="AW651" s="93"/>
      <c r="AX651" s="93"/>
      <c r="AY651" s="93"/>
      <c r="AZ651" s="93"/>
      <c r="BA651" s="93"/>
      <c r="BB651" s="93"/>
    </row>
    <row r="652" spans="1:54" ht="13.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115"/>
      <c r="AM652" s="93"/>
      <c r="AN652" s="93"/>
      <c r="AO652" s="93"/>
      <c r="AP652" s="93"/>
      <c r="AQ652" s="93"/>
      <c r="AR652" s="93"/>
      <c r="AS652" s="93"/>
      <c r="AT652" s="93"/>
      <c r="AU652" s="93"/>
      <c r="AV652" s="93"/>
      <c r="AW652" s="93"/>
      <c r="AX652" s="93"/>
      <c r="AY652" s="93"/>
      <c r="AZ652" s="93"/>
      <c r="BA652" s="93"/>
      <c r="BB652" s="93"/>
    </row>
    <row r="653" spans="1:54" ht="13.2">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115"/>
      <c r="AM653" s="93"/>
      <c r="AN653" s="93"/>
      <c r="AO653" s="93"/>
      <c r="AP653" s="93"/>
      <c r="AQ653" s="93"/>
      <c r="AR653" s="93"/>
      <c r="AS653" s="93"/>
      <c r="AT653" s="93"/>
      <c r="AU653" s="93"/>
      <c r="AV653" s="93"/>
      <c r="AW653" s="93"/>
      <c r="AX653" s="93"/>
      <c r="AY653" s="93"/>
      <c r="AZ653" s="93"/>
      <c r="BA653" s="93"/>
      <c r="BB653" s="93"/>
    </row>
    <row r="654" spans="1:54" ht="13.2">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115"/>
      <c r="AM654" s="93"/>
      <c r="AN654" s="93"/>
      <c r="AO654" s="93"/>
      <c r="AP654" s="93"/>
      <c r="AQ654" s="93"/>
      <c r="AR654" s="93"/>
      <c r="AS654" s="93"/>
      <c r="AT654" s="93"/>
      <c r="AU654" s="93"/>
      <c r="AV654" s="93"/>
      <c r="AW654" s="93"/>
      <c r="AX654" s="93"/>
      <c r="AY654" s="93"/>
      <c r="AZ654" s="93"/>
      <c r="BA654" s="93"/>
      <c r="BB654" s="93"/>
    </row>
    <row r="655" spans="1:54" ht="13.2">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115"/>
      <c r="AM655" s="93"/>
      <c r="AN655" s="93"/>
      <c r="AO655" s="93"/>
      <c r="AP655" s="93"/>
      <c r="AQ655" s="93"/>
      <c r="AR655" s="93"/>
      <c r="AS655" s="93"/>
      <c r="AT655" s="93"/>
      <c r="AU655" s="93"/>
      <c r="AV655" s="93"/>
      <c r="AW655" s="93"/>
      <c r="AX655" s="93"/>
      <c r="AY655" s="93"/>
      <c r="AZ655" s="93"/>
      <c r="BA655" s="93"/>
      <c r="BB655" s="93"/>
    </row>
    <row r="656" spans="1:54" ht="13.2">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115"/>
      <c r="AM656" s="93"/>
      <c r="AN656" s="93"/>
      <c r="AO656" s="93"/>
      <c r="AP656" s="93"/>
      <c r="AQ656" s="93"/>
      <c r="AR656" s="93"/>
      <c r="AS656" s="93"/>
      <c r="AT656" s="93"/>
      <c r="AU656" s="93"/>
      <c r="AV656" s="93"/>
      <c r="AW656" s="93"/>
      <c r="AX656" s="93"/>
      <c r="AY656" s="93"/>
      <c r="AZ656" s="93"/>
      <c r="BA656" s="93"/>
      <c r="BB656" s="93"/>
    </row>
    <row r="657" spans="1:54" ht="13.2">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115"/>
      <c r="AM657" s="93"/>
      <c r="AN657" s="93"/>
      <c r="AO657" s="93"/>
      <c r="AP657" s="93"/>
      <c r="AQ657" s="93"/>
      <c r="AR657" s="93"/>
      <c r="AS657" s="93"/>
      <c r="AT657" s="93"/>
      <c r="AU657" s="93"/>
      <c r="AV657" s="93"/>
      <c r="AW657" s="93"/>
      <c r="AX657" s="93"/>
      <c r="AY657" s="93"/>
      <c r="AZ657" s="93"/>
      <c r="BA657" s="93"/>
      <c r="BB657" s="93"/>
    </row>
    <row r="658" spans="1:54" ht="13.2">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115"/>
      <c r="AM658" s="93"/>
      <c r="AN658" s="93"/>
      <c r="AO658" s="93"/>
      <c r="AP658" s="93"/>
      <c r="AQ658" s="93"/>
      <c r="AR658" s="93"/>
      <c r="AS658" s="93"/>
      <c r="AT658" s="93"/>
      <c r="AU658" s="93"/>
      <c r="AV658" s="93"/>
      <c r="AW658" s="93"/>
      <c r="AX658" s="93"/>
      <c r="AY658" s="93"/>
      <c r="AZ658" s="93"/>
      <c r="BA658" s="93"/>
      <c r="BB658" s="93"/>
    </row>
    <row r="659" spans="1:54" ht="13.2">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115"/>
      <c r="AM659" s="93"/>
      <c r="AN659" s="93"/>
      <c r="AO659" s="93"/>
      <c r="AP659" s="93"/>
      <c r="AQ659" s="93"/>
      <c r="AR659" s="93"/>
      <c r="AS659" s="93"/>
      <c r="AT659" s="93"/>
      <c r="AU659" s="93"/>
      <c r="AV659" s="93"/>
      <c r="AW659" s="93"/>
      <c r="AX659" s="93"/>
      <c r="AY659" s="93"/>
      <c r="AZ659" s="93"/>
      <c r="BA659" s="93"/>
      <c r="BB659" s="93"/>
    </row>
    <row r="660" spans="1:54" ht="13.2">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115"/>
      <c r="AM660" s="93"/>
      <c r="AN660" s="93"/>
      <c r="AO660" s="93"/>
      <c r="AP660" s="93"/>
      <c r="AQ660" s="93"/>
      <c r="AR660" s="93"/>
      <c r="AS660" s="93"/>
      <c r="AT660" s="93"/>
      <c r="AU660" s="93"/>
      <c r="AV660" s="93"/>
      <c r="AW660" s="93"/>
      <c r="AX660" s="93"/>
      <c r="AY660" s="93"/>
      <c r="AZ660" s="93"/>
      <c r="BA660" s="93"/>
      <c r="BB660" s="93"/>
    </row>
    <row r="661" spans="1:54" ht="13.2">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115"/>
      <c r="AM661" s="93"/>
      <c r="AN661" s="93"/>
      <c r="AO661" s="93"/>
      <c r="AP661" s="93"/>
      <c r="AQ661" s="93"/>
      <c r="AR661" s="93"/>
      <c r="AS661" s="93"/>
      <c r="AT661" s="93"/>
      <c r="AU661" s="93"/>
      <c r="AV661" s="93"/>
      <c r="AW661" s="93"/>
      <c r="AX661" s="93"/>
      <c r="AY661" s="93"/>
      <c r="AZ661" s="93"/>
      <c r="BA661" s="93"/>
      <c r="BB661" s="93"/>
    </row>
    <row r="662" spans="1:54" ht="13.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115"/>
      <c r="AM662" s="93"/>
      <c r="AN662" s="93"/>
      <c r="AO662" s="93"/>
      <c r="AP662" s="93"/>
      <c r="AQ662" s="93"/>
      <c r="AR662" s="93"/>
      <c r="AS662" s="93"/>
      <c r="AT662" s="93"/>
      <c r="AU662" s="93"/>
      <c r="AV662" s="93"/>
      <c r="AW662" s="93"/>
      <c r="AX662" s="93"/>
      <c r="AY662" s="93"/>
      <c r="AZ662" s="93"/>
      <c r="BA662" s="93"/>
      <c r="BB662" s="93"/>
    </row>
    <row r="663" spans="1:54" ht="13.2">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115"/>
      <c r="AM663" s="93"/>
      <c r="AN663" s="93"/>
      <c r="AO663" s="93"/>
      <c r="AP663" s="93"/>
      <c r="AQ663" s="93"/>
      <c r="AR663" s="93"/>
      <c r="AS663" s="93"/>
      <c r="AT663" s="93"/>
      <c r="AU663" s="93"/>
      <c r="AV663" s="93"/>
      <c r="AW663" s="93"/>
      <c r="AX663" s="93"/>
      <c r="AY663" s="93"/>
      <c r="AZ663" s="93"/>
      <c r="BA663" s="93"/>
      <c r="BB663" s="93"/>
    </row>
    <row r="664" spans="1:54" ht="13.2">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115"/>
      <c r="AM664" s="93"/>
      <c r="AN664" s="93"/>
      <c r="AO664" s="93"/>
      <c r="AP664" s="93"/>
      <c r="AQ664" s="93"/>
      <c r="AR664" s="93"/>
      <c r="AS664" s="93"/>
      <c r="AT664" s="93"/>
      <c r="AU664" s="93"/>
      <c r="AV664" s="93"/>
      <c r="AW664" s="93"/>
      <c r="AX664" s="93"/>
      <c r="AY664" s="93"/>
      <c r="AZ664" s="93"/>
      <c r="BA664" s="93"/>
      <c r="BB664" s="93"/>
    </row>
    <row r="665" spans="1:54" ht="13.2">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115"/>
      <c r="AM665" s="93"/>
      <c r="AN665" s="93"/>
      <c r="AO665" s="93"/>
      <c r="AP665" s="93"/>
      <c r="AQ665" s="93"/>
      <c r="AR665" s="93"/>
      <c r="AS665" s="93"/>
      <c r="AT665" s="93"/>
      <c r="AU665" s="93"/>
      <c r="AV665" s="93"/>
      <c r="AW665" s="93"/>
      <c r="AX665" s="93"/>
      <c r="AY665" s="93"/>
      <c r="AZ665" s="93"/>
      <c r="BA665" s="93"/>
      <c r="BB665" s="93"/>
    </row>
    <row r="666" spans="1:54" ht="13.2">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115"/>
      <c r="AM666" s="93"/>
      <c r="AN666" s="93"/>
      <c r="AO666" s="93"/>
      <c r="AP666" s="93"/>
      <c r="AQ666" s="93"/>
      <c r="AR666" s="93"/>
      <c r="AS666" s="93"/>
      <c r="AT666" s="93"/>
      <c r="AU666" s="93"/>
      <c r="AV666" s="93"/>
      <c r="AW666" s="93"/>
      <c r="AX666" s="93"/>
      <c r="AY666" s="93"/>
      <c r="AZ666" s="93"/>
      <c r="BA666" s="93"/>
      <c r="BB666" s="93"/>
    </row>
    <row r="667" spans="1:54" ht="13.2">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115"/>
      <c r="AM667" s="93"/>
      <c r="AN667" s="93"/>
      <c r="AO667" s="93"/>
      <c r="AP667" s="93"/>
      <c r="AQ667" s="93"/>
      <c r="AR667" s="93"/>
      <c r="AS667" s="93"/>
      <c r="AT667" s="93"/>
      <c r="AU667" s="93"/>
      <c r="AV667" s="93"/>
      <c r="AW667" s="93"/>
      <c r="AX667" s="93"/>
      <c r="AY667" s="93"/>
      <c r="AZ667" s="93"/>
      <c r="BA667" s="93"/>
      <c r="BB667" s="93"/>
    </row>
    <row r="668" spans="1:54" ht="13.2">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115"/>
      <c r="AM668" s="93"/>
      <c r="AN668" s="93"/>
      <c r="AO668" s="93"/>
      <c r="AP668" s="93"/>
      <c r="AQ668" s="93"/>
      <c r="AR668" s="93"/>
      <c r="AS668" s="93"/>
      <c r="AT668" s="93"/>
      <c r="AU668" s="93"/>
      <c r="AV668" s="93"/>
      <c r="AW668" s="93"/>
      <c r="AX668" s="93"/>
      <c r="AY668" s="93"/>
      <c r="AZ668" s="93"/>
      <c r="BA668" s="93"/>
      <c r="BB668" s="93"/>
    </row>
    <row r="669" spans="1:54" ht="13.2">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115"/>
      <c r="AM669" s="93"/>
      <c r="AN669" s="93"/>
      <c r="AO669" s="93"/>
      <c r="AP669" s="93"/>
      <c r="AQ669" s="93"/>
      <c r="AR669" s="93"/>
      <c r="AS669" s="93"/>
      <c r="AT669" s="93"/>
      <c r="AU669" s="93"/>
      <c r="AV669" s="93"/>
      <c r="AW669" s="93"/>
      <c r="AX669" s="93"/>
      <c r="AY669" s="93"/>
      <c r="AZ669" s="93"/>
      <c r="BA669" s="93"/>
      <c r="BB669" s="93"/>
    </row>
    <row r="670" spans="1:54" ht="13.2">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115"/>
      <c r="AM670" s="93"/>
      <c r="AN670" s="93"/>
      <c r="AO670" s="93"/>
      <c r="AP670" s="93"/>
      <c r="AQ670" s="93"/>
      <c r="AR670" s="93"/>
      <c r="AS670" s="93"/>
      <c r="AT670" s="93"/>
      <c r="AU670" s="93"/>
      <c r="AV670" s="93"/>
      <c r="AW670" s="93"/>
      <c r="AX670" s="93"/>
      <c r="AY670" s="93"/>
      <c r="AZ670" s="93"/>
      <c r="BA670" s="93"/>
      <c r="BB670" s="93"/>
    </row>
    <row r="671" spans="1:54" ht="13.2">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115"/>
      <c r="AM671" s="93"/>
      <c r="AN671" s="93"/>
      <c r="AO671" s="93"/>
      <c r="AP671" s="93"/>
      <c r="AQ671" s="93"/>
      <c r="AR671" s="93"/>
      <c r="AS671" s="93"/>
      <c r="AT671" s="93"/>
      <c r="AU671" s="93"/>
      <c r="AV671" s="93"/>
      <c r="AW671" s="93"/>
      <c r="AX671" s="93"/>
      <c r="AY671" s="93"/>
      <c r="AZ671" s="93"/>
      <c r="BA671" s="93"/>
      <c r="BB671" s="93"/>
    </row>
    <row r="672" spans="1:54" ht="13.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115"/>
      <c r="AM672" s="93"/>
      <c r="AN672" s="93"/>
      <c r="AO672" s="93"/>
      <c r="AP672" s="93"/>
      <c r="AQ672" s="93"/>
      <c r="AR672" s="93"/>
      <c r="AS672" s="93"/>
      <c r="AT672" s="93"/>
      <c r="AU672" s="93"/>
      <c r="AV672" s="93"/>
      <c r="AW672" s="93"/>
      <c r="AX672" s="93"/>
      <c r="AY672" s="93"/>
      <c r="AZ672" s="93"/>
      <c r="BA672" s="93"/>
      <c r="BB672" s="93"/>
    </row>
    <row r="673" spans="1:54" ht="13.2">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115"/>
      <c r="AM673" s="93"/>
      <c r="AN673" s="93"/>
      <c r="AO673" s="93"/>
      <c r="AP673" s="93"/>
      <c r="AQ673" s="93"/>
      <c r="AR673" s="93"/>
      <c r="AS673" s="93"/>
      <c r="AT673" s="93"/>
      <c r="AU673" s="93"/>
      <c r="AV673" s="93"/>
      <c r="AW673" s="93"/>
      <c r="AX673" s="93"/>
      <c r="AY673" s="93"/>
      <c r="AZ673" s="93"/>
      <c r="BA673" s="93"/>
      <c r="BB673" s="93"/>
    </row>
    <row r="674" spans="1:54" ht="13.2">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115"/>
      <c r="AM674" s="93"/>
      <c r="AN674" s="93"/>
      <c r="AO674" s="93"/>
      <c r="AP674" s="93"/>
      <c r="AQ674" s="93"/>
      <c r="AR674" s="93"/>
      <c r="AS674" s="93"/>
      <c r="AT674" s="93"/>
      <c r="AU674" s="93"/>
      <c r="AV674" s="93"/>
      <c r="AW674" s="93"/>
      <c r="AX674" s="93"/>
      <c r="AY674" s="93"/>
      <c r="AZ674" s="93"/>
      <c r="BA674" s="93"/>
      <c r="BB674" s="93"/>
    </row>
    <row r="675" spans="1:54" ht="13.2">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115"/>
      <c r="AM675" s="93"/>
      <c r="AN675" s="93"/>
      <c r="AO675" s="93"/>
      <c r="AP675" s="93"/>
      <c r="AQ675" s="93"/>
      <c r="AR675" s="93"/>
      <c r="AS675" s="93"/>
      <c r="AT675" s="93"/>
      <c r="AU675" s="93"/>
      <c r="AV675" s="93"/>
      <c r="AW675" s="93"/>
      <c r="AX675" s="93"/>
      <c r="AY675" s="93"/>
      <c r="AZ675" s="93"/>
      <c r="BA675" s="93"/>
      <c r="BB675" s="93"/>
    </row>
    <row r="676" spans="1:54" ht="13.2">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115"/>
      <c r="AM676" s="93"/>
      <c r="AN676" s="93"/>
      <c r="AO676" s="93"/>
      <c r="AP676" s="93"/>
      <c r="AQ676" s="93"/>
      <c r="AR676" s="93"/>
      <c r="AS676" s="93"/>
      <c r="AT676" s="93"/>
      <c r="AU676" s="93"/>
      <c r="AV676" s="93"/>
      <c r="AW676" s="93"/>
      <c r="AX676" s="93"/>
      <c r="AY676" s="93"/>
      <c r="AZ676" s="93"/>
      <c r="BA676" s="93"/>
      <c r="BB676" s="93"/>
    </row>
    <row r="677" spans="1:54" ht="13.2">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115"/>
      <c r="AM677" s="93"/>
      <c r="AN677" s="93"/>
      <c r="AO677" s="93"/>
      <c r="AP677" s="93"/>
      <c r="AQ677" s="93"/>
      <c r="AR677" s="93"/>
      <c r="AS677" s="93"/>
      <c r="AT677" s="93"/>
      <c r="AU677" s="93"/>
      <c r="AV677" s="93"/>
      <c r="AW677" s="93"/>
      <c r="AX677" s="93"/>
      <c r="AY677" s="93"/>
      <c r="AZ677" s="93"/>
      <c r="BA677" s="93"/>
      <c r="BB677" s="93"/>
    </row>
    <row r="678" spans="1:54" ht="13.2">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115"/>
      <c r="AM678" s="93"/>
      <c r="AN678" s="93"/>
      <c r="AO678" s="93"/>
      <c r="AP678" s="93"/>
      <c r="AQ678" s="93"/>
      <c r="AR678" s="93"/>
      <c r="AS678" s="93"/>
      <c r="AT678" s="93"/>
      <c r="AU678" s="93"/>
      <c r="AV678" s="93"/>
      <c r="AW678" s="93"/>
      <c r="AX678" s="93"/>
      <c r="AY678" s="93"/>
      <c r="AZ678" s="93"/>
      <c r="BA678" s="93"/>
      <c r="BB678" s="93"/>
    </row>
    <row r="679" spans="1:54" ht="13.2">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115"/>
      <c r="AM679" s="93"/>
      <c r="AN679" s="93"/>
      <c r="AO679" s="93"/>
      <c r="AP679" s="93"/>
      <c r="AQ679" s="93"/>
      <c r="AR679" s="93"/>
      <c r="AS679" s="93"/>
      <c r="AT679" s="93"/>
      <c r="AU679" s="93"/>
      <c r="AV679" s="93"/>
      <c r="AW679" s="93"/>
      <c r="AX679" s="93"/>
      <c r="AY679" s="93"/>
      <c r="AZ679" s="93"/>
      <c r="BA679" s="93"/>
      <c r="BB679" s="93"/>
    </row>
    <row r="680" spans="1:54" ht="13.2">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115"/>
      <c r="AM680" s="93"/>
      <c r="AN680" s="93"/>
      <c r="AO680" s="93"/>
      <c r="AP680" s="93"/>
      <c r="AQ680" s="93"/>
      <c r="AR680" s="93"/>
      <c r="AS680" s="93"/>
      <c r="AT680" s="93"/>
      <c r="AU680" s="93"/>
      <c r="AV680" s="93"/>
      <c r="AW680" s="93"/>
      <c r="AX680" s="93"/>
      <c r="AY680" s="93"/>
      <c r="AZ680" s="93"/>
      <c r="BA680" s="93"/>
      <c r="BB680" s="93"/>
    </row>
    <row r="681" spans="1:54" ht="13.2">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115"/>
      <c r="AM681" s="93"/>
      <c r="AN681" s="93"/>
      <c r="AO681" s="93"/>
      <c r="AP681" s="93"/>
      <c r="AQ681" s="93"/>
      <c r="AR681" s="93"/>
      <c r="AS681" s="93"/>
      <c r="AT681" s="93"/>
      <c r="AU681" s="93"/>
      <c r="AV681" s="93"/>
      <c r="AW681" s="93"/>
      <c r="AX681" s="93"/>
      <c r="AY681" s="93"/>
      <c r="AZ681" s="93"/>
      <c r="BA681" s="93"/>
      <c r="BB681" s="93"/>
    </row>
    <row r="682" spans="1:54" ht="13.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115"/>
      <c r="AM682" s="93"/>
      <c r="AN682" s="93"/>
      <c r="AO682" s="93"/>
      <c r="AP682" s="93"/>
      <c r="AQ682" s="93"/>
      <c r="AR682" s="93"/>
      <c r="AS682" s="93"/>
      <c r="AT682" s="93"/>
      <c r="AU682" s="93"/>
      <c r="AV682" s="93"/>
      <c r="AW682" s="93"/>
      <c r="AX682" s="93"/>
      <c r="AY682" s="93"/>
      <c r="AZ682" s="93"/>
      <c r="BA682" s="93"/>
      <c r="BB682" s="93"/>
    </row>
    <row r="683" spans="1:54" ht="13.2">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115"/>
      <c r="AM683" s="93"/>
      <c r="AN683" s="93"/>
      <c r="AO683" s="93"/>
      <c r="AP683" s="93"/>
      <c r="AQ683" s="93"/>
      <c r="AR683" s="93"/>
      <c r="AS683" s="93"/>
      <c r="AT683" s="93"/>
      <c r="AU683" s="93"/>
      <c r="AV683" s="93"/>
      <c r="AW683" s="93"/>
      <c r="AX683" s="93"/>
      <c r="AY683" s="93"/>
      <c r="AZ683" s="93"/>
      <c r="BA683" s="93"/>
      <c r="BB683" s="93"/>
    </row>
    <row r="684" spans="1:54" ht="13.2">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115"/>
      <c r="AM684" s="93"/>
      <c r="AN684" s="93"/>
      <c r="AO684" s="93"/>
      <c r="AP684" s="93"/>
      <c r="AQ684" s="93"/>
      <c r="AR684" s="93"/>
      <c r="AS684" s="93"/>
      <c r="AT684" s="93"/>
      <c r="AU684" s="93"/>
      <c r="AV684" s="93"/>
      <c r="AW684" s="93"/>
      <c r="AX684" s="93"/>
      <c r="AY684" s="93"/>
      <c r="AZ684" s="93"/>
      <c r="BA684" s="93"/>
      <c r="BB684" s="93"/>
    </row>
    <row r="685" spans="1:54" ht="13.2">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115"/>
      <c r="AM685" s="93"/>
      <c r="AN685" s="93"/>
      <c r="AO685" s="93"/>
      <c r="AP685" s="93"/>
      <c r="AQ685" s="93"/>
      <c r="AR685" s="93"/>
      <c r="AS685" s="93"/>
      <c r="AT685" s="93"/>
      <c r="AU685" s="93"/>
      <c r="AV685" s="93"/>
      <c r="AW685" s="93"/>
      <c r="AX685" s="93"/>
      <c r="AY685" s="93"/>
      <c r="AZ685" s="93"/>
      <c r="BA685" s="93"/>
      <c r="BB685" s="93"/>
    </row>
    <row r="686" spans="1:54" ht="13.2">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115"/>
      <c r="AM686" s="93"/>
      <c r="AN686" s="93"/>
      <c r="AO686" s="93"/>
      <c r="AP686" s="93"/>
      <c r="AQ686" s="93"/>
      <c r="AR686" s="93"/>
      <c r="AS686" s="93"/>
      <c r="AT686" s="93"/>
      <c r="AU686" s="93"/>
      <c r="AV686" s="93"/>
      <c r="AW686" s="93"/>
      <c r="AX686" s="93"/>
      <c r="AY686" s="93"/>
      <c r="AZ686" s="93"/>
      <c r="BA686" s="93"/>
      <c r="BB686" s="93"/>
    </row>
    <row r="687" spans="1:54" ht="13.2">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115"/>
      <c r="AM687" s="93"/>
      <c r="AN687" s="93"/>
      <c r="AO687" s="93"/>
      <c r="AP687" s="93"/>
      <c r="AQ687" s="93"/>
      <c r="AR687" s="93"/>
      <c r="AS687" s="93"/>
      <c r="AT687" s="93"/>
      <c r="AU687" s="93"/>
      <c r="AV687" s="93"/>
      <c r="AW687" s="93"/>
      <c r="AX687" s="93"/>
      <c r="AY687" s="93"/>
      <c r="AZ687" s="93"/>
      <c r="BA687" s="93"/>
      <c r="BB687" s="93"/>
    </row>
    <row r="688" spans="1:54" ht="13.2">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115"/>
      <c r="AM688" s="93"/>
      <c r="AN688" s="93"/>
      <c r="AO688" s="93"/>
      <c r="AP688" s="93"/>
      <c r="AQ688" s="93"/>
      <c r="AR688" s="93"/>
      <c r="AS688" s="93"/>
      <c r="AT688" s="93"/>
      <c r="AU688" s="93"/>
      <c r="AV688" s="93"/>
      <c r="AW688" s="93"/>
      <c r="AX688" s="93"/>
      <c r="AY688" s="93"/>
      <c r="AZ688" s="93"/>
      <c r="BA688" s="93"/>
      <c r="BB688" s="93"/>
    </row>
    <row r="689" spans="1:54" ht="13.2">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115"/>
      <c r="AM689" s="93"/>
      <c r="AN689" s="93"/>
      <c r="AO689" s="93"/>
      <c r="AP689" s="93"/>
      <c r="AQ689" s="93"/>
      <c r="AR689" s="93"/>
      <c r="AS689" s="93"/>
      <c r="AT689" s="93"/>
      <c r="AU689" s="93"/>
      <c r="AV689" s="93"/>
      <c r="AW689" s="93"/>
      <c r="AX689" s="93"/>
      <c r="AY689" s="93"/>
      <c r="AZ689" s="93"/>
      <c r="BA689" s="93"/>
      <c r="BB689" s="93"/>
    </row>
    <row r="690" spans="1:54" ht="13.2">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115"/>
      <c r="AM690" s="93"/>
      <c r="AN690" s="93"/>
      <c r="AO690" s="93"/>
      <c r="AP690" s="93"/>
      <c r="AQ690" s="93"/>
      <c r="AR690" s="93"/>
      <c r="AS690" s="93"/>
      <c r="AT690" s="93"/>
      <c r="AU690" s="93"/>
      <c r="AV690" s="93"/>
      <c r="AW690" s="93"/>
      <c r="AX690" s="93"/>
      <c r="AY690" s="93"/>
      <c r="AZ690" s="93"/>
      <c r="BA690" s="93"/>
      <c r="BB690" s="93"/>
    </row>
    <row r="691" spans="1:54" ht="13.2">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115"/>
      <c r="AM691" s="93"/>
      <c r="AN691" s="93"/>
      <c r="AO691" s="93"/>
      <c r="AP691" s="93"/>
      <c r="AQ691" s="93"/>
      <c r="AR691" s="93"/>
      <c r="AS691" s="93"/>
      <c r="AT691" s="93"/>
      <c r="AU691" s="93"/>
      <c r="AV691" s="93"/>
      <c r="AW691" s="93"/>
      <c r="AX691" s="93"/>
      <c r="AY691" s="93"/>
      <c r="AZ691" s="93"/>
      <c r="BA691" s="93"/>
      <c r="BB691" s="93"/>
    </row>
    <row r="692" spans="1:54" ht="13.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115"/>
      <c r="AM692" s="93"/>
      <c r="AN692" s="93"/>
      <c r="AO692" s="93"/>
      <c r="AP692" s="93"/>
      <c r="AQ692" s="93"/>
      <c r="AR692" s="93"/>
      <c r="AS692" s="93"/>
      <c r="AT692" s="93"/>
      <c r="AU692" s="93"/>
      <c r="AV692" s="93"/>
      <c r="AW692" s="93"/>
      <c r="AX692" s="93"/>
      <c r="AY692" s="93"/>
      <c r="AZ692" s="93"/>
      <c r="BA692" s="93"/>
      <c r="BB692" s="93"/>
    </row>
    <row r="693" spans="1:54" ht="13.2">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115"/>
      <c r="AM693" s="93"/>
      <c r="AN693" s="93"/>
      <c r="AO693" s="93"/>
      <c r="AP693" s="93"/>
      <c r="AQ693" s="93"/>
      <c r="AR693" s="93"/>
      <c r="AS693" s="93"/>
      <c r="AT693" s="93"/>
      <c r="AU693" s="93"/>
      <c r="AV693" s="93"/>
      <c r="AW693" s="93"/>
      <c r="AX693" s="93"/>
      <c r="AY693" s="93"/>
      <c r="AZ693" s="93"/>
      <c r="BA693" s="93"/>
      <c r="BB693" s="93"/>
    </row>
    <row r="694" spans="1:54" ht="13.2">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115"/>
      <c r="AM694" s="93"/>
      <c r="AN694" s="93"/>
      <c r="AO694" s="93"/>
      <c r="AP694" s="93"/>
      <c r="AQ694" s="93"/>
      <c r="AR694" s="93"/>
      <c r="AS694" s="93"/>
      <c r="AT694" s="93"/>
      <c r="AU694" s="93"/>
      <c r="AV694" s="93"/>
      <c r="AW694" s="93"/>
      <c r="AX694" s="93"/>
      <c r="AY694" s="93"/>
      <c r="AZ694" s="93"/>
      <c r="BA694" s="93"/>
      <c r="BB694" s="93"/>
    </row>
    <row r="695" spans="1:54" ht="13.2">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115"/>
      <c r="AM695" s="93"/>
      <c r="AN695" s="93"/>
      <c r="AO695" s="93"/>
      <c r="AP695" s="93"/>
      <c r="AQ695" s="93"/>
      <c r="AR695" s="93"/>
      <c r="AS695" s="93"/>
      <c r="AT695" s="93"/>
      <c r="AU695" s="93"/>
      <c r="AV695" s="93"/>
      <c r="AW695" s="93"/>
      <c r="AX695" s="93"/>
      <c r="AY695" s="93"/>
      <c r="AZ695" s="93"/>
      <c r="BA695" s="93"/>
      <c r="BB695" s="93"/>
    </row>
    <row r="696" spans="1:54" ht="13.2">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115"/>
      <c r="AM696" s="93"/>
      <c r="AN696" s="93"/>
      <c r="AO696" s="93"/>
      <c r="AP696" s="93"/>
      <c r="AQ696" s="93"/>
      <c r="AR696" s="93"/>
      <c r="AS696" s="93"/>
      <c r="AT696" s="93"/>
      <c r="AU696" s="93"/>
      <c r="AV696" s="93"/>
      <c r="AW696" s="93"/>
      <c r="AX696" s="93"/>
      <c r="AY696" s="93"/>
      <c r="AZ696" s="93"/>
      <c r="BA696" s="93"/>
      <c r="BB696" s="93"/>
    </row>
    <row r="697" spans="1:54" ht="13.2">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115"/>
      <c r="AM697" s="93"/>
      <c r="AN697" s="93"/>
      <c r="AO697" s="93"/>
      <c r="AP697" s="93"/>
      <c r="AQ697" s="93"/>
      <c r="AR697" s="93"/>
      <c r="AS697" s="93"/>
      <c r="AT697" s="93"/>
      <c r="AU697" s="93"/>
      <c r="AV697" s="93"/>
      <c r="AW697" s="93"/>
      <c r="AX697" s="93"/>
      <c r="AY697" s="93"/>
      <c r="AZ697" s="93"/>
      <c r="BA697" s="93"/>
      <c r="BB697" s="93"/>
    </row>
    <row r="698" spans="1:54" ht="13.2">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115"/>
      <c r="AM698" s="93"/>
      <c r="AN698" s="93"/>
      <c r="AO698" s="93"/>
      <c r="AP698" s="93"/>
      <c r="AQ698" s="93"/>
      <c r="AR698" s="93"/>
      <c r="AS698" s="93"/>
      <c r="AT698" s="93"/>
      <c r="AU698" s="93"/>
      <c r="AV698" s="93"/>
      <c r="AW698" s="93"/>
      <c r="AX698" s="93"/>
      <c r="AY698" s="93"/>
      <c r="AZ698" s="93"/>
      <c r="BA698" s="93"/>
      <c r="BB698" s="93"/>
    </row>
    <row r="699" spans="1:54" ht="13.2">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115"/>
      <c r="AM699" s="93"/>
      <c r="AN699" s="93"/>
      <c r="AO699" s="93"/>
      <c r="AP699" s="93"/>
      <c r="AQ699" s="93"/>
      <c r="AR699" s="93"/>
      <c r="AS699" s="93"/>
      <c r="AT699" s="93"/>
      <c r="AU699" s="93"/>
      <c r="AV699" s="93"/>
      <c r="AW699" s="93"/>
      <c r="AX699" s="93"/>
      <c r="AY699" s="93"/>
      <c r="AZ699" s="93"/>
      <c r="BA699" s="93"/>
      <c r="BB699" s="93"/>
    </row>
    <row r="700" spans="1:54" ht="13.2">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115"/>
      <c r="AM700" s="93"/>
      <c r="AN700" s="93"/>
      <c r="AO700" s="93"/>
      <c r="AP700" s="93"/>
      <c r="AQ700" s="93"/>
      <c r="AR700" s="93"/>
      <c r="AS700" s="93"/>
      <c r="AT700" s="93"/>
      <c r="AU700" s="93"/>
      <c r="AV700" s="93"/>
      <c r="AW700" s="93"/>
      <c r="AX700" s="93"/>
      <c r="AY700" s="93"/>
      <c r="AZ700" s="93"/>
      <c r="BA700" s="93"/>
      <c r="BB700" s="93"/>
    </row>
    <row r="701" spans="1:54" ht="13.2">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115"/>
      <c r="AM701" s="93"/>
      <c r="AN701" s="93"/>
      <c r="AO701" s="93"/>
      <c r="AP701" s="93"/>
      <c r="AQ701" s="93"/>
      <c r="AR701" s="93"/>
      <c r="AS701" s="93"/>
      <c r="AT701" s="93"/>
      <c r="AU701" s="93"/>
      <c r="AV701" s="93"/>
      <c r="AW701" s="93"/>
      <c r="AX701" s="93"/>
      <c r="AY701" s="93"/>
      <c r="AZ701" s="93"/>
      <c r="BA701" s="93"/>
      <c r="BB701" s="93"/>
    </row>
    <row r="702" spans="1:54" ht="13.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115"/>
      <c r="AM702" s="93"/>
      <c r="AN702" s="93"/>
      <c r="AO702" s="93"/>
      <c r="AP702" s="93"/>
      <c r="AQ702" s="93"/>
      <c r="AR702" s="93"/>
      <c r="AS702" s="93"/>
      <c r="AT702" s="93"/>
      <c r="AU702" s="93"/>
      <c r="AV702" s="93"/>
      <c r="AW702" s="93"/>
      <c r="AX702" s="93"/>
      <c r="AY702" s="93"/>
      <c r="AZ702" s="93"/>
      <c r="BA702" s="93"/>
      <c r="BB702" s="93"/>
    </row>
    <row r="703" spans="1:54" ht="13.2">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115"/>
      <c r="AM703" s="93"/>
      <c r="AN703" s="93"/>
      <c r="AO703" s="93"/>
      <c r="AP703" s="93"/>
      <c r="AQ703" s="93"/>
      <c r="AR703" s="93"/>
      <c r="AS703" s="93"/>
      <c r="AT703" s="93"/>
      <c r="AU703" s="93"/>
      <c r="AV703" s="93"/>
      <c r="AW703" s="93"/>
      <c r="AX703" s="93"/>
      <c r="AY703" s="93"/>
      <c r="AZ703" s="93"/>
      <c r="BA703" s="93"/>
      <c r="BB703" s="93"/>
    </row>
    <row r="704" spans="1:54" ht="13.2">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115"/>
      <c r="AM704" s="93"/>
      <c r="AN704" s="93"/>
      <c r="AO704" s="93"/>
      <c r="AP704" s="93"/>
      <c r="AQ704" s="93"/>
      <c r="AR704" s="93"/>
      <c r="AS704" s="93"/>
      <c r="AT704" s="93"/>
      <c r="AU704" s="93"/>
      <c r="AV704" s="93"/>
      <c r="AW704" s="93"/>
      <c r="AX704" s="93"/>
      <c r="AY704" s="93"/>
      <c r="AZ704" s="93"/>
      <c r="BA704" s="93"/>
      <c r="BB704" s="93"/>
    </row>
    <row r="705" spans="1:54" ht="13.2">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115"/>
      <c r="AM705" s="93"/>
      <c r="AN705" s="93"/>
      <c r="AO705" s="93"/>
      <c r="AP705" s="93"/>
      <c r="AQ705" s="93"/>
      <c r="AR705" s="93"/>
      <c r="AS705" s="93"/>
      <c r="AT705" s="93"/>
      <c r="AU705" s="93"/>
      <c r="AV705" s="93"/>
      <c r="AW705" s="93"/>
      <c r="AX705" s="93"/>
      <c r="AY705" s="93"/>
      <c r="AZ705" s="93"/>
      <c r="BA705" s="93"/>
      <c r="BB705" s="93"/>
    </row>
    <row r="706" spans="1:54" ht="13.2">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115"/>
      <c r="AM706" s="93"/>
      <c r="AN706" s="93"/>
      <c r="AO706" s="93"/>
      <c r="AP706" s="93"/>
      <c r="AQ706" s="93"/>
      <c r="AR706" s="93"/>
      <c r="AS706" s="93"/>
      <c r="AT706" s="93"/>
      <c r="AU706" s="93"/>
      <c r="AV706" s="93"/>
      <c r="AW706" s="93"/>
      <c r="AX706" s="93"/>
      <c r="AY706" s="93"/>
      <c r="AZ706" s="93"/>
      <c r="BA706" s="93"/>
      <c r="BB706" s="93"/>
    </row>
    <row r="707" spans="1:54" ht="13.2">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115"/>
      <c r="AM707" s="93"/>
      <c r="AN707" s="93"/>
      <c r="AO707" s="93"/>
      <c r="AP707" s="93"/>
      <c r="AQ707" s="93"/>
      <c r="AR707" s="93"/>
      <c r="AS707" s="93"/>
      <c r="AT707" s="93"/>
      <c r="AU707" s="93"/>
      <c r="AV707" s="93"/>
      <c r="AW707" s="93"/>
      <c r="AX707" s="93"/>
      <c r="AY707" s="93"/>
      <c r="AZ707" s="93"/>
      <c r="BA707" s="93"/>
      <c r="BB707" s="93"/>
    </row>
    <row r="708" spans="1:54" ht="13.2">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115"/>
      <c r="AM708" s="93"/>
      <c r="AN708" s="93"/>
      <c r="AO708" s="93"/>
      <c r="AP708" s="93"/>
      <c r="AQ708" s="93"/>
      <c r="AR708" s="93"/>
      <c r="AS708" s="93"/>
      <c r="AT708" s="93"/>
      <c r="AU708" s="93"/>
      <c r="AV708" s="93"/>
      <c r="AW708" s="93"/>
      <c r="AX708" s="93"/>
      <c r="AY708" s="93"/>
      <c r="AZ708" s="93"/>
      <c r="BA708" s="93"/>
      <c r="BB708" s="93"/>
    </row>
    <row r="709" spans="1:54" ht="13.2">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115"/>
      <c r="AM709" s="93"/>
      <c r="AN709" s="93"/>
      <c r="AO709" s="93"/>
      <c r="AP709" s="93"/>
      <c r="AQ709" s="93"/>
      <c r="AR709" s="93"/>
      <c r="AS709" s="93"/>
      <c r="AT709" s="93"/>
      <c r="AU709" s="93"/>
      <c r="AV709" s="93"/>
      <c r="AW709" s="93"/>
      <c r="AX709" s="93"/>
      <c r="AY709" s="93"/>
      <c r="AZ709" s="93"/>
      <c r="BA709" s="93"/>
      <c r="BB709" s="93"/>
    </row>
    <row r="710" spans="1:54" ht="13.2">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115"/>
      <c r="AM710" s="93"/>
      <c r="AN710" s="93"/>
      <c r="AO710" s="93"/>
      <c r="AP710" s="93"/>
      <c r="AQ710" s="93"/>
      <c r="AR710" s="93"/>
      <c r="AS710" s="93"/>
      <c r="AT710" s="93"/>
      <c r="AU710" s="93"/>
      <c r="AV710" s="93"/>
      <c r="AW710" s="93"/>
      <c r="AX710" s="93"/>
      <c r="AY710" s="93"/>
      <c r="AZ710" s="93"/>
      <c r="BA710" s="93"/>
      <c r="BB710" s="93"/>
    </row>
    <row r="711" spans="1:54" ht="13.2">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115"/>
      <c r="AM711" s="93"/>
      <c r="AN711" s="93"/>
      <c r="AO711" s="93"/>
      <c r="AP711" s="93"/>
      <c r="AQ711" s="93"/>
      <c r="AR711" s="93"/>
      <c r="AS711" s="93"/>
      <c r="AT711" s="93"/>
      <c r="AU711" s="93"/>
      <c r="AV711" s="93"/>
      <c r="AW711" s="93"/>
      <c r="AX711" s="93"/>
      <c r="AY711" s="93"/>
      <c r="AZ711" s="93"/>
      <c r="BA711" s="93"/>
      <c r="BB711" s="93"/>
    </row>
    <row r="712" spans="1:54" ht="13.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115"/>
      <c r="AM712" s="93"/>
      <c r="AN712" s="93"/>
      <c r="AO712" s="93"/>
      <c r="AP712" s="93"/>
      <c r="AQ712" s="93"/>
      <c r="AR712" s="93"/>
      <c r="AS712" s="93"/>
      <c r="AT712" s="93"/>
      <c r="AU712" s="93"/>
      <c r="AV712" s="93"/>
      <c r="AW712" s="93"/>
      <c r="AX712" s="93"/>
      <c r="AY712" s="93"/>
      <c r="AZ712" s="93"/>
      <c r="BA712" s="93"/>
      <c r="BB712" s="93"/>
    </row>
    <row r="713" spans="1:54" ht="13.2">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115"/>
      <c r="AM713" s="93"/>
      <c r="AN713" s="93"/>
      <c r="AO713" s="93"/>
      <c r="AP713" s="93"/>
      <c r="AQ713" s="93"/>
      <c r="AR713" s="93"/>
      <c r="AS713" s="93"/>
      <c r="AT713" s="93"/>
      <c r="AU713" s="93"/>
      <c r="AV713" s="93"/>
      <c r="AW713" s="93"/>
      <c r="AX713" s="93"/>
      <c r="AY713" s="93"/>
      <c r="AZ713" s="93"/>
      <c r="BA713" s="93"/>
      <c r="BB713" s="93"/>
    </row>
    <row r="714" spans="1:54" ht="13.2">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115"/>
      <c r="AM714" s="93"/>
      <c r="AN714" s="93"/>
      <c r="AO714" s="93"/>
      <c r="AP714" s="93"/>
      <c r="AQ714" s="93"/>
      <c r="AR714" s="93"/>
      <c r="AS714" s="93"/>
      <c r="AT714" s="93"/>
      <c r="AU714" s="93"/>
      <c r="AV714" s="93"/>
      <c r="AW714" s="93"/>
      <c r="AX714" s="93"/>
      <c r="AY714" s="93"/>
      <c r="AZ714" s="93"/>
      <c r="BA714" s="93"/>
      <c r="BB714" s="93"/>
    </row>
    <row r="715" spans="1:54" ht="13.2">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115"/>
      <c r="AM715" s="93"/>
      <c r="AN715" s="93"/>
      <c r="AO715" s="93"/>
      <c r="AP715" s="93"/>
      <c r="AQ715" s="93"/>
      <c r="AR715" s="93"/>
      <c r="AS715" s="93"/>
      <c r="AT715" s="93"/>
      <c r="AU715" s="93"/>
      <c r="AV715" s="93"/>
      <c r="AW715" s="93"/>
      <c r="AX715" s="93"/>
      <c r="AY715" s="93"/>
      <c r="AZ715" s="93"/>
      <c r="BA715" s="93"/>
      <c r="BB715" s="93"/>
    </row>
    <row r="716" spans="1:54" ht="13.2">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115"/>
      <c r="AM716" s="93"/>
      <c r="AN716" s="93"/>
      <c r="AO716" s="93"/>
      <c r="AP716" s="93"/>
      <c r="AQ716" s="93"/>
      <c r="AR716" s="93"/>
      <c r="AS716" s="93"/>
      <c r="AT716" s="93"/>
      <c r="AU716" s="93"/>
      <c r="AV716" s="93"/>
      <c r="AW716" s="93"/>
      <c r="AX716" s="93"/>
      <c r="AY716" s="93"/>
      <c r="AZ716" s="93"/>
      <c r="BA716" s="93"/>
      <c r="BB716" s="93"/>
    </row>
    <row r="717" spans="1:54" ht="13.2">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115"/>
      <c r="AM717" s="93"/>
      <c r="AN717" s="93"/>
      <c r="AO717" s="93"/>
      <c r="AP717" s="93"/>
      <c r="AQ717" s="93"/>
      <c r="AR717" s="93"/>
      <c r="AS717" s="93"/>
      <c r="AT717" s="93"/>
      <c r="AU717" s="93"/>
      <c r="AV717" s="93"/>
      <c r="AW717" s="93"/>
      <c r="AX717" s="93"/>
      <c r="AY717" s="93"/>
      <c r="AZ717" s="93"/>
      <c r="BA717" s="93"/>
      <c r="BB717" s="93"/>
    </row>
    <row r="718" spans="1:54" ht="13.2">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115"/>
      <c r="AM718" s="93"/>
      <c r="AN718" s="93"/>
      <c r="AO718" s="93"/>
      <c r="AP718" s="93"/>
      <c r="AQ718" s="93"/>
      <c r="AR718" s="93"/>
      <c r="AS718" s="93"/>
      <c r="AT718" s="93"/>
      <c r="AU718" s="93"/>
      <c r="AV718" s="93"/>
      <c r="AW718" s="93"/>
      <c r="AX718" s="93"/>
      <c r="AY718" s="93"/>
      <c r="AZ718" s="93"/>
      <c r="BA718" s="93"/>
      <c r="BB718" s="93"/>
    </row>
    <row r="719" spans="1:54" ht="13.2">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115"/>
      <c r="AM719" s="93"/>
      <c r="AN719" s="93"/>
      <c r="AO719" s="93"/>
      <c r="AP719" s="93"/>
      <c r="AQ719" s="93"/>
      <c r="AR719" s="93"/>
      <c r="AS719" s="93"/>
      <c r="AT719" s="93"/>
      <c r="AU719" s="93"/>
      <c r="AV719" s="93"/>
      <c r="AW719" s="93"/>
      <c r="AX719" s="93"/>
      <c r="AY719" s="93"/>
      <c r="AZ719" s="93"/>
      <c r="BA719" s="93"/>
      <c r="BB719" s="93"/>
    </row>
    <row r="720" spans="1:54" ht="13.2">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115"/>
      <c r="AM720" s="93"/>
      <c r="AN720" s="93"/>
      <c r="AO720" s="93"/>
      <c r="AP720" s="93"/>
      <c r="AQ720" s="93"/>
      <c r="AR720" s="93"/>
      <c r="AS720" s="93"/>
      <c r="AT720" s="93"/>
      <c r="AU720" s="93"/>
      <c r="AV720" s="93"/>
      <c r="AW720" s="93"/>
      <c r="AX720" s="93"/>
      <c r="AY720" s="93"/>
      <c r="AZ720" s="93"/>
      <c r="BA720" s="93"/>
      <c r="BB720" s="93"/>
    </row>
    <row r="721" spans="1:54" ht="13.2">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115"/>
      <c r="AM721" s="93"/>
      <c r="AN721" s="93"/>
      <c r="AO721" s="93"/>
      <c r="AP721" s="93"/>
      <c r="AQ721" s="93"/>
      <c r="AR721" s="93"/>
      <c r="AS721" s="93"/>
      <c r="AT721" s="93"/>
      <c r="AU721" s="93"/>
      <c r="AV721" s="93"/>
      <c r="AW721" s="93"/>
      <c r="AX721" s="93"/>
      <c r="AY721" s="93"/>
      <c r="AZ721" s="93"/>
      <c r="BA721" s="93"/>
      <c r="BB721" s="93"/>
    </row>
    <row r="722" spans="1:54" ht="13.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115"/>
      <c r="AM722" s="93"/>
      <c r="AN722" s="93"/>
      <c r="AO722" s="93"/>
      <c r="AP722" s="93"/>
      <c r="AQ722" s="93"/>
      <c r="AR722" s="93"/>
      <c r="AS722" s="93"/>
      <c r="AT722" s="93"/>
      <c r="AU722" s="93"/>
      <c r="AV722" s="93"/>
      <c r="AW722" s="93"/>
      <c r="AX722" s="93"/>
      <c r="AY722" s="93"/>
      <c r="AZ722" s="93"/>
      <c r="BA722" s="93"/>
      <c r="BB722" s="93"/>
    </row>
    <row r="723" spans="1:54" ht="13.2">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115"/>
      <c r="AM723" s="93"/>
      <c r="AN723" s="93"/>
      <c r="AO723" s="93"/>
      <c r="AP723" s="93"/>
      <c r="AQ723" s="93"/>
      <c r="AR723" s="93"/>
      <c r="AS723" s="93"/>
      <c r="AT723" s="93"/>
      <c r="AU723" s="93"/>
      <c r="AV723" s="93"/>
      <c r="AW723" s="93"/>
      <c r="AX723" s="93"/>
      <c r="AY723" s="93"/>
      <c r="AZ723" s="93"/>
      <c r="BA723" s="93"/>
      <c r="BB723" s="93"/>
    </row>
    <row r="724" spans="1:54" ht="13.2">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115"/>
      <c r="AM724" s="93"/>
      <c r="AN724" s="93"/>
      <c r="AO724" s="93"/>
      <c r="AP724" s="93"/>
      <c r="AQ724" s="93"/>
      <c r="AR724" s="93"/>
      <c r="AS724" s="93"/>
      <c r="AT724" s="93"/>
      <c r="AU724" s="93"/>
      <c r="AV724" s="93"/>
      <c r="AW724" s="93"/>
      <c r="AX724" s="93"/>
      <c r="AY724" s="93"/>
      <c r="AZ724" s="93"/>
      <c r="BA724" s="93"/>
      <c r="BB724" s="93"/>
    </row>
    <row r="725" spans="1:54" ht="13.2">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115"/>
      <c r="AM725" s="93"/>
      <c r="AN725" s="93"/>
      <c r="AO725" s="93"/>
      <c r="AP725" s="93"/>
      <c r="AQ725" s="93"/>
      <c r="AR725" s="93"/>
      <c r="AS725" s="93"/>
      <c r="AT725" s="93"/>
      <c r="AU725" s="93"/>
      <c r="AV725" s="93"/>
      <c r="AW725" s="93"/>
      <c r="AX725" s="93"/>
      <c r="AY725" s="93"/>
      <c r="AZ725" s="93"/>
      <c r="BA725" s="93"/>
      <c r="BB725" s="93"/>
    </row>
    <row r="726" spans="1:54" ht="13.2">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115"/>
      <c r="AM726" s="93"/>
      <c r="AN726" s="93"/>
      <c r="AO726" s="93"/>
      <c r="AP726" s="93"/>
      <c r="AQ726" s="93"/>
      <c r="AR726" s="93"/>
      <c r="AS726" s="93"/>
      <c r="AT726" s="93"/>
      <c r="AU726" s="93"/>
      <c r="AV726" s="93"/>
      <c r="AW726" s="93"/>
      <c r="AX726" s="93"/>
      <c r="AY726" s="93"/>
      <c r="AZ726" s="93"/>
      <c r="BA726" s="93"/>
      <c r="BB726" s="93"/>
    </row>
    <row r="727" spans="1:54" ht="13.2">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115"/>
      <c r="AM727" s="93"/>
      <c r="AN727" s="93"/>
      <c r="AO727" s="93"/>
      <c r="AP727" s="93"/>
      <c r="AQ727" s="93"/>
      <c r="AR727" s="93"/>
      <c r="AS727" s="93"/>
      <c r="AT727" s="93"/>
      <c r="AU727" s="93"/>
      <c r="AV727" s="93"/>
      <c r="AW727" s="93"/>
      <c r="AX727" s="93"/>
      <c r="AY727" s="93"/>
      <c r="AZ727" s="93"/>
      <c r="BA727" s="93"/>
      <c r="BB727" s="93"/>
    </row>
    <row r="728" spans="1:54" ht="13.2">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115"/>
      <c r="AM728" s="93"/>
      <c r="AN728" s="93"/>
      <c r="AO728" s="93"/>
      <c r="AP728" s="93"/>
      <c r="AQ728" s="93"/>
      <c r="AR728" s="93"/>
      <c r="AS728" s="93"/>
      <c r="AT728" s="93"/>
      <c r="AU728" s="93"/>
      <c r="AV728" s="93"/>
      <c r="AW728" s="93"/>
      <c r="AX728" s="93"/>
      <c r="AY728" s="93"/>
      <c r="AZ728" s="93"/>
      <c r="BA728" s="93"/>
      <c r="BB728" s="93"/>
    </row>
    <row r="729" spans="1:54" ht="13.2">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115"/>
      <c r="AM729" s="93"/>
      <c r="AN729" s="93"/>
      <c r="AO729" s="93"/>
      <c r="AP729" s="93"/>
      <c r="AQ729" s="93"/>
      <c r="AR729" s="93"/>
      <c r="AS729" s="93"/>
      <c r="AT729" s="93"/>
      <c r="AU729" s="93"/>
      <c r="AV729" s="93"/>
      <c r="AW729" s="93"/>
      <c r="AX729" s="93"/>
      <c r="AY729" s="93"/>
      <c r="AZ729" s="93"/>
      <c r="BA729" s="93"/>
      <c r="BB729" s="93"/>
    </row>
    <row r="730" spans="1:54" ht="13.2">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115"/>
      <c r="AM730" s="93"/>
      <c r="AN730" s="93"/>
      <c r="AO730" s="93"/>
      <c r="AP730" s="93"/>
      <c r="AQ730" s="93"/>
      <c r="AR730" s="93"/>
      <c r="AS730" s="93"/>
      <c r="AT730" s="93"/>
      <c r="AU730" s="93"/>
      <c r="AV730" s="93"/>
      <c r="AW730" s="93"/>
      <c r="AX730" s="93"/>
      <c r="AY730" s="93"/>
      <c r="AZ730" s="93"/>
      <c r="BA730" s="93"/>
      <c r="BB730" s="93"/>
    </row>
    <row r="731" spans="1:54" ht="13.2">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115"/>
      <c r="AM731" s="93"/>
      <c r="AN731" s="93"/>
      <c r="AO731" s="93"/>
      <c r="AP731" s="93"/>
      <c r="AQ731" s="93"/>
      <c r="AR731" s="93"/>
      <c r="AS731" s="93"/>
      <c r="AT731" s="93"/>
      <c r="AU731" s="93"/>
      <c r="AV731" s="93"/>
      <c r="AW731" s="93"/>
      <c r="AX731" s="93"/>
      <c r="AY731" s="93"/>
      <c r="AZ731" s="93"/>
      <c r="BA731" s="93"/>
      <c r="BB731" s="93"/>
    </row>
    <row r="732" spans="1:54" ht="1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115"/>
      <c r="AM732" s="93"/>
      <c r="AN732" s="93"/>
      <c r="AO732" s="93"/>
      <c r="AP732" s="93"/>
      <c r="AQ732" s="93"/>
      <c r="AR732" s="93"/>
      <c r="AS732" s="93"/>
      <c r="AT732" s="93"/>
      <c r="AU732" s="93"/>
      <c r="AV732" s="93"/>
      <c r="AW732" s="93"/>
      <c r="AX732" s="93"/>
      <c r="AY732" s="93"/>
      <c r="AZ732" s="93"/>
      <c r="BA732" s="93"/>
      <c r="BB732" s="93"/>
    </row>
    <row r="733" spans="1:54" ht="13.2">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115"/>
      <c r="AM733" s="93"/>
      <c r="AN733" s="93"/>
      <c r="AO733" s="93"/>
      <c r="AP733" s="93"/>
      <c r="AQ733" s="93"/>
      <c r="AR733" s="93"/>
      <c r="AS733" s="93"/>
      <c r="AT733" s="93"/>
      <c r="AU733" s="93"/>
      <c r="AV733" s="93"/>
      <c r="AW733" s="93"/>
      <c r="AX733" s="93"/>
      <c r="AY733" s="93"/>
      <c r="AZ733" s="93"/>
      <c r="BA733" s="93"/>
      <c r="BB733" s="93"/>
    </row>
    <row r="734" spans="1:54" ht="13.2">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115"/>
      <c r="AM734" s="93"/>
      <c r="AN734" s="93"/>
      <c r="AO734" s="93"/>
      <c r="AP734" s="93"/>
      <c r="AQ734" s="93"/>
      <c r="AR734" s="93"/>
      <c r="AS734" s="93"/>
      <c r="AT734" s="93"/>
      <c r="AU734" s="93"/>
      <c r="AV734" s="93"/>
      <c r="AW734" s="93"/>
      <c r="AX734" s="93"/>
      <c r="AY734" s="93"/>
      <c r="AZ734" s="93"/>
      <c r="BA734" s="93"/>
      <c r="BB734" s="93"/>
    </row>
    <row r="735" spans="1:54" ht="13.2">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115"/>
      <c r="AM735" s="93"/>
      <c r="AN735" s="93"/>
      <c r="AO735" s="93"/>
      <c r="AP735" s="93"/>
      <c r="AQ735" s="93"/>
      <c r="AR735" s="93"/>
      <c r="AS735" s="93"/>
      <c r="AT735" s="93"/>
      <c r="AU735" s="93"/>
      <c r="AV735" s="93"/>
      <c r="AW735" s="93"/>
      <c r="AX735" s="93"/>
      <c r="AY735" s="93"/>
      <c r="AZ735" s="93"/>
      <c r="BA735" s="93"/>
      <c r="BB735" s="93"/>
    </row>
    <row r="736" spans="1:54" ht="13.2">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115"/>
      <c r="AM736" s="93"/>
      <c r="AN736" s="93"/>
      <c r="AO736" s="93"/>
      <c r="AP736" s="93"/>
      <c r="AQ736" s="93"/>
      <c r="AR736" s="93"/>
      <c r="AS736" s="93"/>
      <c r="AT736" s="93"/>
      <c r="AU736" s="93"/>
      <c r="AV736" s="93"/>
      <c r="AW736" s="93"/>
      <c r="AX736" s="93"/>
      <c r="AY736" s="93"/>
      <c r="AZ736" s="93"/>
      <c r="BA736" s="93"/>
      <c r="BB736" s="93"/>
    </row>
    <row r="737" spans="1:54" ht="13.2">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115"/>
      <c r="AM737" s="93"/>
      <c r="AN737" s="93"/>
      <c r="AO737" s="93"/>
      <c r="AP737" s="93"/>
      <c r="AQ737" s="93"/>
      <c r="AR737" s="93"/>
      <c r="AS737" s="93"/>
      <c r="AT737" s="93"/>
      <c r="AU737" s="93"/>
      <c r="AV737" s="93"/>
      <c r="AW737" s="93"/>
      <c r="AX737" s="93"/>
      <c r="AY737" s="93"/>
      <c r="AZ737" s="93"/>
      <c r="BA737" s="93"/>
      <c r="BB737" s="93"/>
    </row>
    <row r="738" spans="1:54" ht="13.2">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c r="AI738" s="93"/>
      <c r="AJ738" s="93"/>
      <c r="AK738" s="93"/>
      <c r="AL738" s="115"/>
      <c r="AM738" s="93"/>
      <c r="AN738" s="93"/>
      <c r="AO738" s="93"/>
      <c r="AP738" s="93"/>
      <c r="AQ738" s="93"/>
      <c r="AR738" s="93"/>
      <c r="AS738" s="93"/>
      <c r="AT738" s="93"/>
      <c r="AU738" s="93"/>
      <c r="AV738" s="93"/>
      <c r="AW738" s="93"/>
      <c r="AX738" s="93"/>
      <c r="AY738" s="93"/>
      <c r="AZ738" s="93"/>
      <c r="BA738" s="93"/>
      <c r="BB738" s="93"/>
    </row>
    <row r="739" spans="1:54" ht="13.2">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c r="AI739" s="93"/>
      <c r="AJ739" s="93"/>
      <c r="AK739" s="93"/>
      <c r="AL739" s="115"/>
      <c r="AM739" s="93"/>
      <c r="AN739" s="93"/>
      <c r="AO739" s="93"/>
      <c r="AP739" s="93"/>
      <c r="AQ739" s="93"/>
      <c r="AR739" s="93"/>
      <c r="AS739" s="93"/>
      <c r="AT739" s="93"/>
      <c r="AU739" s="93"/>
      <c r="AV739" s="93"/>
      <c r="AW739" s="93"/>
      <c r="AX739" s="93"/>
      <c r="AY739" s="93"/>
      <c r="AZ739" s="93"/>
      <c r="BA739" s="93"/>
      <c r="BB739" s="93"/>
    </row>
    <row r="740" spans="1:54" ht="13.2">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115"/>
      <c r="AM740" s="93"/>
      <c r="AN740" s="93"/>
      <c r="AO740" s="93"/>
      <c r="AP740" s="93"/>
      <c r="AQ740" s="93"/>
      <c r="AR740" s="93"/>
      <c r="AS740" s="93"/>
      <c r="AT740" s="93"/>
      <c r="AU740" s="93"/>
      <c r="AV740" s="93"/>
      <c r="AW740" s="93"/>
      <c r="AX740" s="93"/>
      <c r="AY740" s="93"/>
      <c r="AZ740" s="93"/>
      <c r="BA740" s="93"/>
      <c r="BB740" s="93"/>
    </row>
    <row r="741" spans="1:54" ht="13.2">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115"/>
      <c r="AM741" s="93"/>
      <c r="AN741" s="93"/>
      <c r="AO741" s="93"/>
      <c r="AP741" s="93"/>
      <c r="AQ741" s="93"/>
      <c r="AR741" s="93"/>
      <c r="AS741" s="93"/>
      <c r="AT741" s="93"/>
      <c r="AU741" s="93"/>
      <c r="AV741" s="93"/>
      <c r="AW741" s="93"/>
      <c r="AX741" s="93"/>
      <c r="AY741" s="93"/>
      <c r="AZ741" s="93"/>
      <c r="BA741" s="93"/>
      <c r="BB741" s="93"/>
    </row>
    <row r="742" spans="1:54" ht="13.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115"/>
      <c r="AM742" s="93"/>
      <c r="AN742" s="93"/>
      <c r="AO742" s="93"/>
      <c r="AP742" s="93"/>
      <c r="AQ742" s="93"/>
      <c r="AR742" s="93"/>
      <c r="AS742" s="93"/>
      <c r="AT742" s="93"/>
      <c r="AU742" s="93"/>
      <c r="AV742" s="93"/>
      <c r="AW742" s="93"/>
      <c r="AX742" s="93"/>
      <c r="AY742" s="93"/>
      <c r="AZ742" s="93"/>
      <c r="BA742" s="93"/>
      <c r="BB742" s="93"/>
    </row>
    <row r="743" spans="1:54" ht="13.2">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115"/>
      <c r="AM743" s="93"/>
      <c r="AN743" s="93"/>
      <c r="AO743" s="93"/>
      <c r="AP743" s="93"/>
      <c r="AQ743" s="93"/>
      <c r="AR743" s="93"/>
      <c r="AS743" s="93"/>
      <c r="AT743" s="93"/>
      <c r="AU743" s="93"/>
      <c r="AV743" s="93"/>
      <c r="AW743" s="93"/>
      <c r="AX743" s="93"/>
      <c r="AY743" s="93"/>
      <c r="AZ743" s="93"/>
      <c r="BA743" s="93"/>
      <c r="BB743" s="93"/>
    </row>
    <row r="744" spans="1:54" ht="13.2">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115"/>
      <c r="AM744" s="93"/>
      <c r="AN744" s="93"/>
      <c r="AO744" s="93"/>
      <c r="AP744" s="93"/>
      <c r="AQ744" s="93"/>
      <c r="AR744" s="93"/>
      <c r="AS744" s="93"/>
      <c r="AT744" s="93"/>
      <c r="AU744" s="93"/>
      <c r="AV744" s="93"/>
      <c r="AW744" s="93"/>
      <c r="AX744" s="93"/>
      <c r="AY744" s="93"/>
      <c r="AZ744" s="93"/>
      <c r="BA744" s="93"/>
      <c r="BB744" s="93"/>
    </row>
    <row r="745" spans="1:54" ht="13.2">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115"/>
      <c r="AM745" s="93"/>
      <c r="AN745" s="93"/>
      <c r="AO745" s="93"/>
      <c r="AP745" s="93"/>
      <c r="AQ745" s="93"/>
      <c r="AR745" s="93"/>
      <c r="AS745" s="93"/>
      <c r="AT745" s="93"/>
      <c r="AU745" s="93"/>
      <c r="AV745" s="93"/>
      <c r="AW745" s="93"/>
      <c r="AX745" s="93"/>
      <c r="AY745" s="93"/>
      <c r="AZ745" s="93"/>
      <c r="BA745" s="93"/>
      <c r="BB745" s="93"/>
    </row>
    <row r="746" spans="1:54" ht="13.2">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c r="AI746" s="93"/>
      <c r="AJ746" s="93"/>
      <c r="AK746" s="93"/>
      <c r="AL746" s="115"/>
      <c r="AM746" s="93"/>
      <c r="AN746" s="93"/>
      <c r="AO746" s="93"/>
      <c r="AP746" s="93"/>
      <c r="AQ746" s="93"/>
      <c r="AR746" s="93"/>
      <c r="AS746" s="93"/>
      <c r="AT746" s="93"/>
      <c r="AU746" s="93"/>
      <c r="AV746" s="93"/>
      <c r="AW746" s="93"/>
      <c r="AX746" s="93"/>
      <c r="AY746" s="93"/>
      <c r="AZ746" s="93"/>
      <c r="BA746" s="93"/>
      <c r="BB746" s="93"/>
    </row>
    <row r="747" spans="1:54" ht="13.2">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115"/>
      <c r="AM747" s="93"/>
      <c r="AN747" s="93"/>
      <c r="AO747" s="93"/>
      <c r="AP747" s="93"/>
      <c r="AQ747" s="93"/>
      <c r="AR747" s="93"/>
      <c r="AS747" s="93"/>
      <c r="AT747" s="93"/>
      <c r="AU747" s="93"/>
      <c r="AV747" s="93"/>
      <c r="AW747" s="93"/>
      <c r="AX747" s="93"/>
      <c r="AY747" s="93"/>
      <c r="AZ747" s="93"/>
      <c r="BA747" s="93"/>
      <c r="BB747" s="93"/>
    </row>
    <row r="748" spans="1:54" ht="13.2">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115"/>
      <c r="AM748" s="93"/>
      <c r="AN748" s="93"/>
      <c r="AO748" s="93"/>
      <c r="AP748" s="93"/>
      <c r="AQ748" s="93"/>
      <c r="AR748" s="93"/>
      <c r="AS748" s="93"/>
      <c r="AT748" s="93"/>
      <c r="AU748" s="93"/>
      <c r="AV748" s="93"/>
      <c r="AW748" s="93"/>
      <c r="AX748" s="93"/>
      <c r="AY748" s="93"/>
      <c r="AZ748" s="93"/>
      <c r="BA748" s="93"/>
      <c r="BB748" s="93"/>
    </row>
    <row r="749" spans="1:54" ht="13.2">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115"/>
      <c r="AM749" s="93"/>
      <c r="AN749" s="93"/>
      <c r="AO749" s="93"/>
      <c r="AP749" s="93"/>
      <c r="AQ749" s="93"/>
      <c r="AR749" s="93"/>
      <c r="AS749" s="93"/>
      <c r="AT749" s="93"/>
      <c r="AU749" s="93"/>
      <c r="AV749" s="93"/>
      <c r="AW749" s="93"/>
      <c r="AX749" s="93"/>
      <c r="AY749" s="93"/>
      <c r="AZ749" s="93"/>
      <c r="BA749" s="93"/>
      <c r="BB749" s="93"/>
    </row>
    <row r="750" spans="1:54" ht="13.2">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c r="AI750" s="93"/>
      <c r="AJ750" s="93"/>
      <c r="AK750" s="93"/>
      <c r="AL750" s="115"/>
      <c r="AM750" s="93"/>
      <c r="AN750" s="93"/>
      <c r="AO750" s="93"/>
      <c r="AP750" s="93"/>
      <c r="AQ750" s="93"/>
      <c r="AR750" s="93"/>
      <c r="AS750" s="93"/>
      <c r="AT750" s="93"/>
      <c r="AU750" s="93"/>
      <c r="AV750" s="93"/>
      <c r="AW750" s="93"/>
      <c r="AX750" s="93"/>
      <c r="AY750" s="93"/>
      <c r="AZ750" s="93"/>
      <c r="BA750" s="93"/>
      <c r="BB750" s="93"/>
    </row>
    <row r="751" spans="1:54" ht="13.2">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c r="AI751" s="93"/>
      <c r="AJ751" s="93"/>
      <c r="AK751" s="93"/>
      <c r="AL751" s="115"/>
      <c r="AM751" s="93"/>
      <c r="AN751" s="93"/>
      <c r="AO751" s="93"/>
      <c r="AP751" s="93"/>
      <c r="AQ751" s="93"/>
      <c r="AR751" s="93"/>
      <c r="AS751" s="93"/>
      <c r="AT751" s="93"/>
      <c r="AU751" s="93"/>
      <c r="AV751" s="93"/>
      <c r="AW751" s="93"/>
      <c r="AX751" s="93"/>
      <c r="AY751" s="93"/>
      <c r="AZ751" s="93"/>
      <c r="BA751" s="93"/>
      <c r="BB751" s="93"/>
    </row>
    <row r="752" spans="1:54" ht="13.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c r="AI752" s="93"/>
      <c r="AJ752" s="93"/>
      <c r="AK752" s="93"/>
      <c r="AL752" s="115"/>
      <c r="AM752" s="93"/>
      <c r="AN752" s="93"/>
      <c r="AO752" s="93"/>
      <c r="AP752" s="93"/>
      <c r="AQ752" s="93"/>
      <c r="AR752" s="93"/>
      <c r="AS752" s="93"/>
      <c r="AT752" s="93"/>
      <c r="AU752" s="93"/>
      <c r="AV752" s="93"/>
      <c r="AW752" s="93"/>
      <c r="AX752" s="93"/>
      <c r="AY752" s="93"/>
      <c r="AZ752" s="93"/>
      <c r="BA752" s="93"/>
      <c r="BB752" s="93"/>
    </row>
    <row r="753" spans="1:54" ht="13.2">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c r="AI753" s="93"/>
      <c r="AJ753" s="93"/>
      <c r="AK753" s="93"/>
      <c r="AL753" s="115"/>
      <c r="AM753" s="93"/>
      <c r="AN753" s="93"/>
      <c r="AO753" s="93"/>
      <c r="AP753" s="93"/>
      <c r="AQ753" s="93"/>
      <c r="AR753" s="93"/>
      <c r="AS753" s="93"/>
      <c r="AT753" s="93"/>
      <c r="AU753" s="93"/>
      <c r="AV753" s="93"/>
      <c r="AW753" s="93"/>
      <c r="AX753" s="93"/>
      <c r="AY753" s="93"/>
      <c r="AZ753" s="93"/>
      <c r="BA753" s="93"/>
      <c r="BB753" s="93"/>
    </row>
    <row r="754" spans="1:54" ht="13.2">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c r="AI754" s="93"/>
      <c r="AJ754" s="93"/>
      <c r="AK754" s="93"/>
      <c r="AL754" s="115"/>
      <c r="AM754" s="93"/>
      <c r="AN754" s="93"/>
      <c r="AO754" s="93"/>
      <c r="AP754" s="93"/>
      <c r="AQ754" s="93"/>
      <c r="AR754" s="93"/>
      <c r="AS754" s="93"/>
      <c r="AT754" s="93"/>
      <c r="AU754" s="93"/>
      <c r="AV754" s="93"/>
      <c r="AW754" s="93"/>
      <c r="AX754" s="93"/>
      <c r="AY754" s="93"/>
      <c r="AZ754" s="93"/>
      <c r="BA754" s="93"/>
      <c r="BB754" s="93"/>
    </row>
    <row r="755" spans="1:54" ht="13.2">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c r="AI755" s="93"/>
      <c r="AJ755" s="93"/>
      <c r="AK755" s="93"/>
      <c r="AL755" s="115"/>
      <c r="AM755" s="93"/>
      <c r="AN755" s="93"/>
      <c r="AO755" s="93"/>
      <c r="AP755" s="93"/>
      <c r="AQ755" s="93"/>
      <c r="AR755" s="93"/>
      <c r="AS755" s="93"/>
      <c r="AT755" s="93"/>
      <c r="AU755" s="93"/>
      <c r="AV755" s="93"/>
      <c r="AW755" s="93"/>
      <c r="AX755" s="93"/>
      <c r="AY755" s="93"/>
      <c r="AZ755" s="93"/>
      <c r="BA755" s="93"/>
      <c r="BB755" s="93"/>
    </row>
    <row r="756" spans="1:54" ht="13.2">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c r="AI756" s="93"/>
      <c r="AJ756" s="93"/>
      <c r="AK756" s="93"/>
      <c r="AL756" s="115"/>
      <c r="AM756" s="93"/>
      <c r="AN756" s="93"/>
      <c r="AO756" s="93"/>
      <c r="AP756" s="93"/>
      <c r="AQ756" s="93"/>
      <c r="AR756" s="93"/>
      <c r="AS756" s="93"/>
      <c r="AT756" s="93"/>
      <c r="AU756" s="93"/>
      <c r="AV756" s="93"/>
      <c r="AW756" s="93"/>
      <c r="AX756" s="93"/>
      <c r="AY756" s="93"/>
      <c r="AZ756" s="93"/>
      <c r="BA756" s="93"/>
      <c r="BB756" s="93"/>
    </row>
    <row r="757" spans="1:54" ht="13.2">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c r="AI757" s="93"/>
      <c r="AJ757" s="93"/>
      <c r="AK757" s="93"/>
      <c r="AL757" s="115"/>
      <c r="AM757" s="93"/>
      <c r="AN757" s="93"/>
      <c r="AO757" s="93"/>
      <c r="AP757" s="93"/>
      <c r="AQ757" s="93"/>
      <c r="AR757" s="93"/>
      <c r="AS757" s="93"/>
      <c r="AT757" s="93"/>
      <c r="AU757" s="93"/>
      <c r="AV757" s="93"/>
      <c r="AW757" s="93"/>
      <c r="AX757" s="93"/>
      <c r="AY757" s="93"/>
      <c r="AZ757" s="93"/>
      <c r="BA757" s="93"/>
      <c r="BB757" s="93"/>
    </row>
    <row r="758" spans="1:54" ht="13.2">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c r="AI758" s="93"/>
      <c r="AJ758" s="93"/>
      <c r="AK758" s="93"/>
      <c r="AL758" s="115"/>
      <c r="AM758" s="93"/>
      <c r="AN758" s="93"/>
      <c r="AO758" s="93"/>
      <c r="AP758" s="93"/>
      <c r="AQ758" s="93"/>
      <c r="AR758" s="93"/>
      <c r="AS758" s="93"/>
      <c r="AT758" s="93"/>
      <c r="AU758" s="93"/>
      <c r="AV758" s="93"/>
      <c r="AW758" s="93"/>
      <c r="AX758" s="93"/>
      <c r="AY758" s="93"/>
      <c r="AZ758" s="93"/>
      <c r="BA758" s="93"/>
      <c r="BB758" s="93"/>
    </row>
    <row r="759" spans="1:54" ht="13.2">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c r="AI759" s="93"/>
      <c r="AJ759" s="93"/>
      <c r="AK759" s="93"/>
      <c r="AL759" s="115"/>
      <c r="AM759" s="93"/>
      <c r="AN759" s="93"/>
      <c r="AO759" s="93"/>
      <c r="AP759" s="93"/>
      <c r="AQ759" s="93"/>
      <c r="AR759" s="93"/>
      <c r="AS759" s="93"/>
      <c r="AT759" s="93"/>
      <c r="AU759" s="93"/>
      <c r="AV759" s="93"/>
      <c r="AW759" s="93"/>
      <c r="AX759" s="93"/>
      <c r="AY759" s="93"/>
      <c r="AZ759" s="93"/>
      <c r="BA759" s="93"/>
      <c r="BB759" s="93"/>
    </row>
    <row r="760" spans="1:54" ht="13.2">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c r="AI760" s="93"/>
      <c r="AJ760" s="93"/>
      <c r="AK760" s="93"/>
      <c r="AL760" s="115"/>
      <c r="AM760" s="93"/>
      <c r="AN760" s="93"/>
      <c r="AO760" s="93"/>
      <c r="AP760" s="93"/>
      <c r="AQ760" s="93"/>
      <c r="AR760" s="93"/>
      <c r="AS760" s="93"/>
      <c r="AT760" s="93"/>
      <c r="AU760" s="93"/>
      <c r="AV760" s="93"/>
      <c r="AW760" s="93"/>
      <c r="AX760" s="93"/>
      <c r="AY760" s="93"/>
      <c r="AZ760" s="93"/>
      <c r="BA760" s="93"/>
      <c r="BB760" s="93"/>
    </row>
    <row r="761" spans="1:54" ht="13.2">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c r="AI761" s="93"/>
      <c r="AJ761" s="93"/>
      <c r="AK761" s="93"/>
      <c r="AL761" s="115"/>
      <c r="AM761" s="93"/>
      <c r="AN761" s="93"/>
      <c r="AO761" s="93"/>
      <c r="AP761" s="93"/>
      <c r="AQ761" s="93"/>
      <c r="AR761" s="93"/>
      <c r="AS761" s="93"/>
      <c r="AT761" s="93"/>
      <c r="AU761" s="93"/>
      <c r="AV761" s="93"/>
      <c r="AW761" s="93"/>
      <c r="AX761" s="93"/>
      <c r="AY761" s="93"/>
      <c r="AZ761" s="93"/>
      <c r="BA761" s="93"/>
      <c r="BB761" s="93"/>
    </row>
    <row r="762" spans="1:54" ht="13.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c r="AI762" s="93"/>
      <c r="AJ762" s="93"/>
      <c r="AK762" s="93"/>
      <c r="AL762" s="115"/>
      <c r="AM762" s="93"/>
      <c r="AN762" s="93"/>
      <c r="AO762" s="93"/>
      <c r="AP762" s="93"/>
      <c r="AQ762" s="93"/>
      <c r="AR762" s="93"/>
      <c r="AS762" s="93"/>
      <c r="AT762" s="93"/>
      <c r="AU762" s="93"/>
      <c r="AV762" s="93"/>
      <c r="AW762" s="93"/>
      <c r="AX762" s="93"/>
      <c r="AY762" s="93"/>
      <c r="AZ762" s="93"/>
      <c r="BA762" s="93"/>
      <c r="BB762" s="93"/>
    </row>
    <row r="763" spans="1:54" ht="13.2">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c r="AI763" s="93"/>
      <c r="AJ763" s="93"/>
      <c r="AK763" s="93"/>
      <c r="AL763" s="115"/>
      <c r="AM763" s="93"/>
      <c r="AN763" s="93"/>
      <c r="AO763" s="93"/>
      <c r="AP763" s="93"/>
      <c r="AQ763" s="93"/>
      <c r="AR763" s="93"/>
      <c r="AS763" s="93"/>
      <c r="AT763" s="93"/>
      <c r="AU763" s="93"/>
      <c r="AV763" s="93"/>
      <c r="AW763" s="93"/>
      <c r="AX763" s="93"/>
      <c r="AY763" s="93"/>
      <c r="AZ763" s="93"/>
      <c r="BA763" s="93"/>
      <c r="BB763" s="93"/>
    </row>
    <row r="764" spans="1:54" ht="13.2">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115"/>
      <c r="AM764" s="93"/>
      <c r="AN764" s="93"/>
      <c r="AO764" s="93"/>
      <c r="AP764" s="93"/>
      <c r="AQ764" s="93"/>
      <c r="AR764" s="93"/>
      <c r="AS764" s="93"/>
      <c r="AT764" s="93"/>
      <c r="AU764" s="93"/>
      <c r="AV764" s="93"/>
      <c r="AW764" s="93"/>
      <c r="AX764" s="93"/>
      <c r="AY764" s="93"/>
      <c r="AZ764" s="93"/>
      <c r="BA764" s="93"/>
      <c r="BB764" s="93"/>
    </row>
    <row r="765" spans="1:54" ht="13.2">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115"/>
      <c r="AM765" s="93"/>
      <c r="AN765" s="93"/>
      <c r="AO765" s="93"/>
      <c r="AP765" s="93"/>
      <c r="AQ765" s="93"/>
      <c r="AR765" s="93"/>
      <c r="AS765" s="93"/>
      <c r="AT765" s="93"/>
      <c r="AU765" s="93"/>
      <c r="AV765" s="93"/>
      <c r="AW765" s="93"/>
      <c r="AX765" s="93"/>
      <c r="AY765" s="93"/>
      <c r="AZ765" s="93"/>
      <c r="BA765" s="93"/>
      <c r="BB765" s="93"/>
    </row>
    <row r="766" spans="1:54" ht="13.2">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115"/>
      <c r="AM766" s="93"/>
      <c r="AN766" s="93"/>
      <c r="AO766" s="93"/>
      <c r="AP766" s="93"/>
      <c r="AQ766" s="93"/>
      <c r="AR766" s="93"/>
      <c r="AS766" s="93"/>
      <c r="AT766" s="93"/>
      <c r="AU766" s="93"/>
      <c r="AV766" s="93"/>
      <c r="AW766" s="93"/>
      <c r="AX766" s="93"/>
      <c r="AY766" s="93"/>
      <c r="AZ766" s="93"/>
      <c r="BA766" s="93"/>
      <c r="BB766" s="93"/>
    </row>
    <row r="767" spans="1:54" ht="13.2">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115"/>
      <c r="AM767" s="93"/>
      <c r="AN767" s="93"/>
      <c r="AO767" s="93"/>
      <c r="AP767" s="93"/>
      <c r="AQ767" s="93"/>
      <c r="AR767" s="93"/>
      <c r="AS767" s="93"/>
      <c r="AT767" s="93"/>
      <c r="AU767" s="93"/>
      <c r="AV767" s="93"/>
      <c r="AW767" s="93"/>
      <c r="AX767" s="93"/>
      <c r="AY767" s="93"/>
      <c r="AZ767" s="93"/>
      <c r="BA767" s="93"/>
      <c r="BB767" s="93"/>
    </row>
    <row r="768" spans="1:54" ht="13.2">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115"/>
      <c r="AM768" s="93"/>
      <c r="AN768" s="93"/>
      <c r="AO768" s="93"/>
      <c r="AP768" s="93"/>
      <c r="AQ768" s="93"/>
      <c r="AR768" s="93"/>
      <c r="AS768" s="93"/>
      <c r="AT768" s="93"/>
      <c r="AU768" s="93"/>
      <c r="AV768" s="93"/>
      <c r="AW768" s="93"/>
      <c r="AX768" s="93"/>
      <c r="AY768" s="93"/>
      <c r="AZ768" s="93"/>
      <c r="BA768" s="93"/>
      <c r="BB768" s="93"/>
    </row>
    <row r="769" spans="1:54" ht="13.2">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c r="AI769" s="93"/>
      <c r="AJ769" s="93"/>
      <c r="AK769" s="93"/>
      <c r="AL769" s="115"/>
      <c r="AM769" s="93"/>
      <c r="AN769" s="93"/>
      <c r="AO769" s="93"/>
      <c r="AP769" s="93"/>
      <c r="AQ769" s="93"/>
      <c r="AR769" s="93"/>
      <c r="AS769" s="93"/>
      <c r="AT769" s="93"/>
      <c r="AU769" s="93"/>
      <c r="AV769" s="93"/>
      <c r="AW769" s="93"/>
      <c r="AX769" s="93"/>
      <c r="AY769" s="93"/>
      <c r="AZ769" s="93"/>
      <c r="BA769" s="93"/>
      <c r="BB769" s="93"/>
    </row>
    <row r="770" spans="1:54" ht="13.2">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c r="AI770" s="93"/>
      <c r="AJ770" s="93"/>
      <c r="AK770" s="93"/>
      <c r="AL770" s="115"/>
      <c r="AM770" s="93"/>
      <c r="AN770" s="93"/>
      <c r="AO770" s="93"/>
      <c r="AP770" s="93"/>
      <c r="AQ770" s="93"/>
      <c r="AR770" s="93"/>
      <c r="AS770" s="93"/>
      <c r="AT770" s="93"/>
      <c r="AU770" s="93"/>
      <c r="AV770" s="93"/>
      <c r="AW770" s="93"/>
      <c r="AX770" s="93"/>
      <c r="AY770" s="93"/>
      <c r="AZ770" s="93"/>
      <c r="BA770" s="93"/>
      <c r="BB770" s="93"/>
    </row>
    <row r="771" spans="1:54" ht="13.2">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c r="AI771" s="93"/>
      <c r="AJ771" s="93"/>
      <c r="AK771" s="93"/>
      <c r="AL771" s="115"/>
      <c r="AM771" s="93"/>
      <c r="AN771" s="93"/>
      <c r="AO771" s="93"/>
      <c r="AP771" s="93"/>
      <c r="AQ771" s="93"/>
      <c r="AR771" s="93"/>
      <c r="AS771" s="93"/>
      <c r="AT771" s="93"/>
      <c r="AU771" s="93"/>
      <c r="AV771" s="93"/>
      <c r="AW771" s="93"/>
      <c r="AX771" s="93"/>
      <c r="AY771" s="93"/>
      <c r="AZ771" s="93"/>
      <c r="BA771" s="93"/>
      <c r="BB771" s="93"/>
    </row>
    <row r="772" spans="1:54" ht="13.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c r="AI772" s="93"/>
      <c r="AJ772" s="93"/>
      <c r="AK772" s="93"/>
      <c r="AL772" s="115"/>
      <c r="AM772" s="93"/>
      <c r="AN772" s="93"/>
      <c r="AO772" s="93"/>
      <c r="AP772" s="93"/>
      <c r="AQ772" s="93"/>
      <c r="AR772" s="93"/>
      <c r="AS772" s="93"/>
      <c r="AT772" s="93"/>
      <c r="AU772" s="93"/>
      <c r="AV772" s="93"/>
      <c r="AW772" s="93"/>
      <c r="AX772" s="93"/>
      <c r="AY772" s="93"/>
      <c r="AZ772" s="93"/>
      <c r="BA772" s="93"/>
      <c r="BB772" s="93"/>
    </row>
    <row r="773" spans="1:54" ht="13.2">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c r="AI773" s="93"/>
      <c r="AJ773" s="93"/>
      <c r="AK773" s="93"/>
      <c r="AL773" s="115"/>
      <c r="AM773" s="93"/>
      <c r="AN773" s="93"/>
      <c r="AO773" s="93"/>
      <c r="AP773" s="93"/>
      <c r="AQ773" s="93"/>
      <c r="AR773" s="93"/>
      <c r="AS773" s="93"/>
      <c r="AT773" s="93"/>
      <c r="AU773" s="93"/>
      <c r="AV773" s="93"/>
      <c r="AW773" s="93"/>
      <c r="AX773" s="93"/>
      <c r="AY773" s="93"/>
      <c r="AZ773" s="93"/>
      <c r="BA773" s="93"/>
      <c r="BB773" s="93"/>
    </row>
    <row r="774" spans="1:54" ht="13.2">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c r="AI774" s="93"/>
      <c r="AJ774" s="93"/>
      <c r="AK774" s="93"/>
      <c r="AL774" s="115"/>
      <c r="AM774" s="93"/>
      <c r="AN774" s="93"/>
      <c r="AO774" s="93"/>
      <c r="AP774" s="93"/>
      <c r="AQ774" s="93"/>
      <c r="AR774" s="93"/>
      <c r="AS774" s="93"/>
      <c r="AT774" s="93"/>
      <c r="AU774" s="93"/>
      <c r="AV774" s="93"/>
      <c r="AW774" s="93"/>
      <c r="AX774" s="93"/>
      <c r="AY774" s="93"/>
      <c r="AZ774" s="93"/>
      <c r="BA774" s="93"/>
      <c r="BB774" s="93"/>
    </row>
    <row r="775" spans="1:54" ht="13.2">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c r="AI775" s="93"/>
      <c r="AJ775" s="93"/>
      <c r="AK775" s="93"/>
      <c r="AL775" s="115"/>
      <c r="AM775" s="93"/>
      <c r="AN775" s="93"/>
      <c r="AO775" s="93"/>
      <c r="AP775" s="93"/>
      <c r="AQ775" s="93"/>
      <c r="AR775" s="93"/>
      <c r="AS775" s="93"/>
      <c r="AT775" s="93"/>
      <c r="AU775" s="93"/>
      <c r="AV775" s="93"/>
      <c r="AW775" s="93"/>
      <c r="AX775" s="93"/>
      <c r="AY775" s="93"/>
      <c r="AZ775" s="93"/>
      <c r="BA775" s="93"/>
      <c r="BB775" s="93"/>
    </row>
    <row r="776" spans="1:54" ht="13.2">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c r="AI776" s="93"/>
      <c r="AJ776" s="93"/>
      <c r="AK776" s="93"/>
      <c r="AL776" s="115"/>
      <c r="AM776" s="93"/>
      <c r="AN776" s="93"/>
      <c r="AO776" s="93"/>
      <c r="AP776" s="93"/>
      <c r="AQ776" s="93"/>
      <c r="AR776" s="93"/>
      <c r="AS776" s="93"/>
      <c r="AT776" s="93"/>
      <c r="AU776" s="93"/>
      <c r="AV776" s="93"/>
      <c r="AW776" s="93"/>
      <c r="AX776" s="93"/>
      <c r="AY776" s="93"/>
      <c r="AZ776" s="93"/>
      <c r="BA776" s="93"/>
      <c r="BB776" s="93"/>
    </row>
    <row r="777" spans="1:54" ht="13.2">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c r="AI777" s="93"/>
      <c r="AJ777" s="93"/>
      <c r="AK777" s="93"/>
      <c r="AL777" s="115"/>
      <c r="AM777" s="93"/>
      <c r="AN777" s="93"/>
      <c r="AO777" s="93"/>
      <c r="AP777" s="93"/>
      <c r="AQ777" s="93"/>
      <c r="AR777" s="93"/>
      <c r="AS777" s="93"/>
      <c r="AT777" s="93"/>
      <c r="AU777" s="93"/>
      <c r="AV777" s="93"/>
      <c r="AW777" s="93"/>
      <c r="AX777" s="93"/>
      <c r="AY777" s="93"/>
      <c r="AZ777" s="93"/>
      <c r="BA777" s="93"/>
      <c r="BB777" s="93"/>
    </row>
    <row r="778" spans="1:54" ht="13.2">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c r="AI778" s="93"/>
      <c r="AJ778" s="93"/>
      <c r="AK778" s="93"/>
      <c r="AL778" s="115"/>
      <c r="AM778" s="93"/>
      <c r="AN778" s="93"/>
      <c r="AO778" s="93"/>
      <c r="AP778" s="93"/>
      <c r="AQ778" s="93"/>
      <c r="AR778" s="93"/>
      <c r="AS778" s="93"/>
      <c r="AT778" s="93"/>
      <c r="AU778" s="93"/>
      <c r="AV778" s="93"/>
      <c r="AW778" s="93"/>
      <c r="AX778" s="93"/>
      <c r="AY778" s="93"/>
      <c r="AZ778" s="93"/>
      <c r="BA778" s="93"/>
      <c r="BB778" s="93"/>
    </row>
    <row r="779" spans="1:54" ht="13.2">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c r="AI779" s="93"/>
      <c r="AJ779" s="93"/>
      <c r="AK779" s="93"/>
      <c r="AL779" s="115"/>
      <c r="AM779" s="93"/>
      <c r="AN779" s="93"/>
      <c r="AO779" s="93"/>
      <c r="AP779" s="93"/>
      <c r="AQ779" s="93"/>
      <c r="AR779" s="93"/>
      <c r="AS779" s="93"/>
      <c r="AT779" s="93"/>
      <c r="AU779" s="93"/>
      <c r="AV779" s="93"/>
      <c r="AW779" s="93"/>
      <c r="AX779" s="93"/>
      <c r="AY779" s="93"/>
      <c r="AZ779" s="93"/>
      <c r="BA779" s="93"/>
      <c r="BB779" s="93"/>
    </row>
    <row r="780" spans="1:54" ht="13.2">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c r="AI780" s="93"/>
      <c r="AJ780" s="93"/>
      <c r="AK780" s="93"/>
      <c r="AL780" s="115"/>
      <c r="AM780" s="93"/>
      <c r="AN780" s="93"/>
      <c r="AO780" s="93"/>
      <c r="AP780" s="93"/>
      <c r="AQ780" s="93"/>
      <c r="AR780" s="93"/>
      <c r="AS780" s="93"/>
      <c r="AT780" s="93"/>
      <c r="AU780" s="93"/>
      <c r="AV780" s="93"/>
      <c r="AW780" s="93"/>
      <c r="AX780" s="93"/>
      <c r="AY780" s="93"/>
      <c r="AZ780" s="93"/>
      <c r="BA780" s="93"/>
      <c r="BB780" s="93"/>
    </row>
    <row r="781" spans="1:54" ht="13.2">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c r="AI781" s="93"/>
      <c r="AJ781" s="93"/>
      <c r="AK781" s="93"/>
      <c r="AL781" s="115"/>
      <c r="AM781" s="93"/>
      <c r="AN781" s="93"/>
      <c r="AO781" s="93"/>
      <c r="AP781" s="93"/>
      <c r="AQ781" s="93"/>
      <c r="AR781" s="93"/>
      <c r="AS781" s="93"/>
      <c r="AT781" s="93"/>
      <c r="AU781" s="93"/>
      <c r="AV781" s="93"/>
      <c r="AW781" s="93"/>
      <c r="AX781" s="93"/>
      <c r="AY781" s="93"/>
      <c r="AZ781" s="93"/>
      <c r="BA781" s="93"/>
      <c r="BB781" s="93"/>
    </row>
    <row r="782" spans="1:54" ht="13.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115"/>
      <c r="AM782" s="93"/>
      <c r="AN782" s="93"/>
      <c r="AO782" s="93"/>
      <c r="AP782" s="93"/>
      <c r="AQ782" s="93"/>
      <c r="AR782" s="93"/>
      <c r="AS782" s="93"/>
      <c r="AT782" s="93"/>
      <c r="AU782" s="93"/>
      <c r="AV782" s="93"/>
      <c r="AW782" s="93"/>
      <c r="AX782" s="93"/>
      <c r="AY782" s="93"/>
      <c r="AZ782" s="93"/>
      <c r="BA782" s="93"/>
      <c r="BB782" s="93"/>
    </row>
    <row r="783" spans="1:54" ht="13.2">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115"/>
      <c r="AM783" s="93"/>
      <c r="AN783" s="93"/>
      <c r="AO783" s="93"/>
      <c r="AP783" s="93"/>
      <c r="AQ783" s="93"/>
      <c r="AR783" s="93"/>
      <c r="AS783" s="93"/>
      <c r="AT783" s="93"/>
      <c r="AU783" s="93"/>
      <c r="AV783" s="93"/>
      <c r="AW783" s="93"/>
      <c r="AX783" s="93"/>
      <c r="AY783" s="93"/>
      <c r="AZ783" s="93"/>
      <c r="BA783" s="93"/>
      <c r="BB783" s="93"/>
    </row>
    <row r="784" spans="1:54" ht="13.2">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115"/>
      <c r="AM784" s="93"/>
      <c r="AN784" s="93"/>
      <c r="AO784" s="93"/>
      <c r="AP784" s="93"/>
      <c r="AQ784" s="93"/>
      <c r="AR784" s="93"/>
      <c r="AS784" s="93"/>
      <c r="AT784" s="93"/>
      <c r="AU784" s="93"/>
      <c r="AV784" s="93"/>
      <c r="AW784" s="93"/>
      <c r="AX784" s="93"/>
      <c r="AY784" s="93"/>
      <c r="AZ784" s="93"/>
      <c r="BA784" s="93"/>
      <c r="BB784" s="93"/>
    </row>
    <row r="785" spans="1:54" ht="13.2">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115"/>
      <c r="AM785" s="93"/>
      <c r="AN785" s="93"/>
      <c r="AO785" s="93"/>
      <c r="AP785" s="93"/>
      <c r="AQ785" s="93"/>
      <c r="AR785" s="93"/>
      <c r="AS785" s="93"/>
      <c r="AT785" s="93"/>
      <c r="AU785" s="93"/>
      <c r="AV785" s="93"/>
      <c r="AW785" s="93"/>
      <c r="AX785" s="93"/>
      <c r="AY785" s="93"/>
      <c r="AZ785" s="93"/>
      <c r="BA785" s="93"/>
      <c r="BB785" s="93"/>
    </row>
    <row r="786" spans="1:54" ht="13.2">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115"/>
      <c r="AM786" s="93"/>
      <c r="AN786" s="93"/>
      <c r="AO786" s="93"/>
      <c r="AP786" s="93"/>
      <c r="AQ786" s="93"/>
      <c r="AR786" s="93"/>
      <c r="AS786" s="93"/>
      <c r="AT786" s="93"/>
      <c r="AU786" s="93"/>
      <c r="AV786" s="93"/>
      <c r="AW786" s="93"/>
      <c r="AX786" s="93"/>
      <c r="AY786" s="93"/>
      <c r="AZ786" s="93"/>
      <c r="BA786" s="93"/>
      <c r="BB786" s="93"/>
    </row>
    <row r="787" spans="1:54" ht="13.2">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115"/>
      <c r="AM787" s="93"/>
      <c r="AN787" s="93"/>
      <c r="AO787" s="93"/>
      <c r="AP787" s="93"/>
      <c r="AQ787" s="93"/>
      <c r="AR787" s="93"/>
      <c r="AS787" s="93"/>
      <c r="AT787" s="93"/>
      <c r="AU787" s="93"/>
      <c r="AV787" s="93"/>
      <c r="AW787" s="93"/>
      <c r="AX787" s="93"/>
      <c r="AY787" s="93"/>
      <c r="AZ787" s="93"/>
      <c r="BA787" s="93"/>
      <c r="BB787" s="93"/>
    </row>
    <row r="788" spans="1:54" ht="13.2">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c r="AI788" s="93"/>
      <c r="AJ788" s="93"/>
      <c r="AK788" s="93"/>
      <c r="AL788" s="115"/>
      <c r="AM788" s="93"/>
      <c r="AN788" s="93"/>
      <c r="AO788" s="93"/>
      <c r="AP788" s="93"/>
      <c r="AQ788" s="93"/>
      <c r="AR788" s="93"/>
      <c r="AS788" s="93"/>
      <c r="AT788" s="93"/>
      <c r="AU788" s="93"/>
      <c r="AV788" s="93"/>
      <c r="AW788" s="93"/>
      <c r="AX788" s="93"/>
      <c r="AY788" s="93"/>
      <c r="AZ788" s="93"/>
      <c r="BA788" s="93"/>
      <c r="BB788" s="93"/>
    </row>
    <row r="789" spans="1:54" ht="13.2">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115"/>
      <c r="AM789" s="93"/>
      <c r="AN789" s="93"/>
      <c r="AO789" s="93"/>
      <c r="AP789" s="93"/>
      <c r="AQ789" s="93"/>
      <c r="AR789" s="93"/>
      <c r="AS789" s="93"/>
      <c r="AT789" s="93"/>
      <c r="AU789" s="93"/>
      <c r="AV789" s="93"/>
      <c r="AW789" s="93"/>
      <c r="AX789" s="93"/>
      <c r="AY789" s="93"/>
      <c r="AZ789" s="93"/>
      <c r="BA789" s="93"/>
      <c r="BB789" s="93"/>
    </row>
    <row r="790" spans="1:54" ht="13.2">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115"/>
      <c r="AM790" s="93"/>
      <c r="AN790" s="93"/>
      <c r="AO790" s="93"/>
      <c r="AP790" s="93"/>
      <c r="AQ790" s="93"/>
      <c r="AR790" s="93"/>
      <c r="AS790" s="93"/>
      <c r="AT790" s="93"/>
      <c r="AU790" s="93"/>
      <c r="AV790" s="93"/>
      <c r="AW790" s="93"/>
      <c r="AX790" s="93"/>
      <c r="AY790" s="93"/>
      <c r="AZ790" s="93"/>
      <c r="BA790" s="93"/>
      <c r="BB790" s="93"/>
    </row>
    <row r="791" spans="1:54" ht="13.2">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115"/>
      <c r="AM791" s="93"/>
      <c r="AN791" s="93"/>
      <c r="AO791" s="93"/>
      <c r="AP791" s="93"/>
      <c r="AQ791" s="93"/>
      <c r="AR791" s="93"/>
      <c r="AS791" s="93"/>
      <c r="AT791" s="93"/>
      <c r="AU791" s="93"/>
      <c r="AV791" s="93"/>
      <c r="AW791" s="93"/>
      <c r="AX791" s="93"/>
      <c r="AY791" s="93"/>
      <c r="AZ791" s="93"/>
      <c r="BA791" s="93"/>
      <c r="BB791" s="93"/>
    </row>
    <row r="792" spans="1:54" ht="13.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c r="AI792" s="93"/>
      <c r="AJ792" s="93"/>
      <c r="AK792" s="93"/>
      <c r="AL792" s="115"/>
      <c r="AM792" s="93"/>
      <c r="AN792" s="93"/>
      <c r="AO792" s="93"/>
      <c r="AP792" s="93"/>
      <c r="AQ792" s="93"/>
      <c r="AR792" s="93"/>
      <c r="AS792" s="93"/>
      <c r="AT792" s="93"/>
      <c r="AU792" s="93"/>
      <c r="AV792" s="93"/>
      <c r="AW792" s="93"/>
      <c r="AX792" s="93"/>
      <c r="AY792" s="93"/>
      <c r="AZ792" s="93"/>
      <c r="BA792" s="93"/>
      <c r="BB792" s="93"/>
    </row>
    <row r="793" spans="1:54" ht="13.2">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c r="AI793" s="93"/>
      <c r="AJ793" s="93"/>
      <c r="AK793" s="93"/>
      <c r="AL793" s="115"/>
      <c r="AM793" s="93"/>
      <c r="AN793" s="93"/>
      <c r="AO793" s="93"/>
      <c r="AP793" s="93"/>
      <c r="AQ793" s="93"/>
      <c r="AR793" s="93"/>
      <c r="AS793" s="93"/>
      <c r="AT793" s="93"/>
      <c r="AU793" s="93"/>
      <c r="AV793" s="93"/>
      <c r="AW793" s="93"/>
      <c r="AX793" s="93"/>
      <c r="AY793" s="93"/>
      <c r="AZ793" s="93"/>
      <c r="BA793" s="93"/>
      <c r="BB793" s="93"/>
    </row>
    <row r="794" spans="1:54" ht="13.2">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c r="AI794" s="93"/>
      <c r="AJ794" s="93"/>
      <c r="AK794" s="93"/>
      <c r="AL794" s="115"/>
      <c r="AM794" s="93"/>
      <c r="AN794" s="93"/>
      <c r="AO794" s="93"/>
      <c r="AP794" s="93"/>
      <c r="AQ794" s="93"/>
      <c r="AR794" s="93"/>
      <c r="AS794" s="93"/>
      <c r="AT794" s="93"/>
      <c r="AU794" s="93"/>
      <c r="AV794" s="93"/>
      <c r="AW794" s="93"/>
      <c r="AX794" s="93"/>
      <c r="AY794" s="93"/>
      <c r="AZ794" s="93"/>
      <c r="BA794" s="93"/>
      <c r="BB794" s="93"/>
    </row>
    <row r="795" spans="1:54" ht="13.2">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c r="AI795" s="93"/>
      <c r="AJ795" s="93"/>
      <c r="AK795" s="93"/>
      <c r="AL795" s="115"/>
      <c r="AM795" s="93"/>
      <c r="AN795" s="93"/>
      <c r="AO795" s="93"/>
      <c r="AP795" s="93"/>
      <c r="AQ795" s="93"/>
      <c r="AR795" s="93"/>
      <c r="AS795" s="93"/>
      <c r="AT795" s="93"/>
      <c r="AU795" s="93"/>
      <c r="AV795" s="93"/>
      <c r="AW795" s="93"/>
      <c r="AX795" s="93"/>
      <c r="AY795" s="93"/>
      <c r="AZ795" s="93"/>
      <c r="BA795" s="93"/>
      <c r="BB795" s="93"/>
    </row>
    <row r="796" spans="1:54" ht="13.2">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c r="AI796" s="93"/>
      <c r="AJ796" s="93"/>
      <c r="AK796" s="93"/>
      <c r="AL796" s="115"/>
      <c r="AM796" s="93"/>
      <c r="AN796" s="93"/>
      <c r="AO796" s="93"/>
      <c r="AP796" s="93"/>
      <c r="AQ796" s="93"/>
      <c r="AR796" s="93"/>
      <c r="AS796" s="93"/>
      <c r="AT796" s="93"/>
      <c r="AU796" s="93"/>
      <c r="AV796" s="93"/>
      <c r="AW796" s="93"/>
      <c r="AX796" s="93"/>
      <c r="AY796" s="93"/>
      <c r="AZ796" s="93"/>
      <c r="BA796" s="93"/>
      <c r="BB796" s="93"/>
    </row>
    <row r="797" spans="1:54" ht="13.2">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c r="AI797" s="93"/>
      <c r="AJ797" s="93"/>
      <c r="AK797" s="93"/>
      <c r="AL797" s="115"/>
      <c r="AM797" s="93"/>
      <c r="AN797" s="93"/>
      <c r="AO797" s="93"/>
      <c r="AP797" s="93"/>
      <c r="AQ797" s="93"/>
      <c r="AR797" s="93"/>
      <c r="AS797" s="93"/>
      <c r="AT797" s="93"/>
      <c r="AU797" s="93"/>
      <c r="AV797" s="93"/>
      <c r="AW797" s="93"/>
      <c r="AX797" s="93"/>
      <c r="AY797" s="93"/>
      <c r="AZ797" s="93"/>
      <c r="BA797" s="93"/>
      <c r="BB797" s="93"/>
    </row>
    <row r="798" spans="1:54" ht="13.2">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c r="AI798" s="93"/>
      <c r="AJ798" s="93"/>
      <c r="AK798" s="93"/>
      <c r="AL798" s="115"/>
      <c r="AM798" s="93"/>
      <c r="AN798" s="93"/>
      <c r="AO798" s="93"/>
      <c r="AP798" s="93"/>
      <c r="AQ798" s="93"/>
      <c r="AR798" s="93"/>
      <c r="AS798" s="93"/>
      <c r="AT798" s="93"/>
      <c r="AU798" s="93"/>
      <c r="AV798" s="93"/>
      <c r="AW798" s="93"/>
      <c r="AX798" s="93"/>
      <c r="AY798" s="93"/>
      <c r="AZ798" s="93"/>
      <c r="BA798" s="93"/>
      <c r="BB798" s="93"/>
    </row>
    <row r="799" spans="1:54" ht="13.2">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c r="AI799" s="93"/>
      <c r="AJ799" s="93"/>
      <c r="AK799" s="93"/>
      <c r="AL799" s="115"/>
      <c r="AM799" s="93"/>
      <c r="AN799" s="93"/>
      <c r="AO799" s="93"/>
      <c r="AP799" s="93"/>
      <c r="AQ799" s="93"/>
      <c r="AR799" s="93"/>
      <c r="AS799" s="93"/>
      <c r="AT799" s="93"/>
      <c r="AU799" s="93"/>
      <c r="AV799" s="93"/>
      <c r="AW799" s="93"/>
      <c r="AX799" s="93"/>
      <c r="AY799" s="93"/>
      <c r="AZ799" s="93"/>
      <c r="BA799" s="93"/>
      <c r="BB799" s="93"/>
    </row>
    <row r="800" spans="1:54" ht="13.2">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c r="AI800" s="93"/>
      <c r="AJ800" s="93"/>
      <c r="AK800" s="93"/>
      <c r="AL800" s="115"/>
      <c r="AM800" s="93"/>
      <c r="AN800" s="93"/>
      <c r="AO800" s="93"/>
      <c r="AP800" s="93"/>
      <c r="AQ800" s="93"/>
      <c r="AR800" s="93"/>
      <c r="AS800" s="93"/>
      <c r="AT800" s="93"/>
      <c r="AU800" s="93"/>
      <c r="AV800" s="93"/>
      <c r="AW800" s="93"/>
      <c r="AX800" s="93"/>
      <c r="AY800" s="93"/>
      <c r="AZ800" s="93"/>
      <c r="BA800" s="93"/>
      <c r="BB800" s="93"/>
    </row>
    <row r="801" spans="1:54" ht="13.2">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c r="AI801" s="93"/>
      <c r="AJ801" s="93"/>
      <c r="AK801" s="93"/>
      <c r="AL801" s="115"/>
      <c r="AM801" s="93"/>
      <c r="AN801" s="93"/>
      <c r="AO801" s="93"/>
      <c r="AP801" s="93"/>
      <c r="AQ801" s="93"/>
      <c r="AR801" s="93"/>
      <c r="AS801" s="93"/>
      <c r="AT801" s="93"/>
      <c r="AU801" s="93"/>
      <c r="AV801" s="93"/>
      <c r="AW801" s="93"/>
      <c r="AX801" s="93"/>
      <c r="AY801" s="93"/>
      <c r="AZ801" s="93"/>
      <c r="BA801" s="93"/>
      <c r="BB801" s="93"/>
    </row>
    <row r="802" spans="1:54" ht="13.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c r="AI802" s="93"/>
      <c r="AJ802" s="93"/>
      <c r="AK802" s="93"/>
      <c r="AL802" s="115"/>
      <c r="AM802" s="93"/>
      <c r="AN802" s="93"/>
      <c r="AO802" s="93"/>
      <c r="AP802" s="93"/>
      <c r="AQ802" s="93"/>
      <c r="AR802" s="93"/>
      <c r="AS802" s="93"/>
      <c r="AT802" s="93"/>
      <c r="AU802" s="93"/>
      <c r="AV802" s="93"/>
      <c r="AW802" s="93"/>
      <c r="AX802" s="93"/>
      <c r="AY802" s="93"/>
      <c r="AZ802" s="93"/>
      <c r="BA802" s="93"/>
      <c r="BB802" s="93"/>
    </row>
    <row r="803" spans="1:54" ht="13.2">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c r="AI803" s="93"/>
      <c r="AJ803" s="93"/>
      <c r="AK803" s="93"/>
      <c r="AL803" s="115"/>
      <c r="AM803" s="93"/>
      <c r="AN803" s="93"/>
      <c r="AO803" s="93"/>
      <c r="AP803" s="93"/>
      <c r="AQ803" s="93"/>
      <c r="AR803" s="93"/>
      <c r="AS803" s="93"/>
      <c r="AT803" s="93"/>
      <c r="AU803" s="93"/>
      <c r="AV803" s="93"/>
      <c r="AW803" s="93"/>
      <c r="AX803" s="93"/>
      <c r="AY803" s="93"/>
      <c r="AZ803" s="93"/>
      <c r="BA803" s="93"/>
      <c r="BB803" s="93"/>
    </row>
    <row r="804" spans="1:54" ht="13.2">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c r="AI804" s="93"/>
      <c r="AJ804" s="93"/>
      <c r="AK804" s="93"/>
      <c r="AL804" s="115"/>
      <c r="AM804" s="93"/>
      <c r="AN804" s="93"/>
      <c r="AO804" s="93"/>
      <c r="AP804" s="93"/>
      <c r="AQ804" s="93"/>
      <c r="AR804" s="93"/>
      <c r="AS804" s="93"/>
      <c r="AT804" s="93"/>
      <c r="AU804" s="93"/>
      <c r="AV804" s="93"/>
      <c r="AW804" s="93"/>
      <c r="AX804" s="93"/>
      <c r="AY804" s="93"/>
      <c r="AZ804" s="93"/>
      <c r="BA804" s="93"/>
      <c r="BB804" s="93"/>
    </row>
    <row r="805" spans="1:54" ht="13.2">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c r="AI805" s="93"/>
      <c r="AJ805" s="93"/>
      <c r="AK805" s="93"/>
      <c r="AL805" s="115"/>
      <c r="AM805" s="93"/>
      <c r="AN805" s="93"/>
      <c r="AO805" s="93"/>
      <c r="AP805" s="93"/>
      <c r="AQ805" s="93"/>
      <c r="AR805" s="93"/>
      <c r="AS805" s="93"/>
      <c r="AT805" s="93"/>
      <c r="AU805" s="93"/>
      <c r="AV805" s="93"/>
      <c r="AW805" s="93"/>
      <c r="AX805" s="93"/>
      <c r="AY805" s="93"/>
      <c r="AZ805" s="93"/>
      <c r="BA805" s="93"/>
      <c r="BB805" s="93"/>
    </row>
    <row r="806" spans="1:54" ht="13.2">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c r="AI806" s="93"/>
      <c r="AJ806" s="93"/>
      <c r="AK806" s="93"/>
      <c r="AL806" s="115"/>
      <c r="AM806" s="93"/>
      <c r="AN806" s="93"/>
      <c r="AO806" s="93"/>
      <c r="AP806" s="93"/>
      <c r="AQ806" s="93"/>
      <c r="AR806" s="93"/>
      <c r="AS806" s="93"/>
      <c r="AT806" s="93"/>
      <c r="AU806" s="93"/>
      <c r="AV806" s="93"/>
      <c r="AW806" s="93"/>
      <c r="AX806" s="93"/>
      <c r="AY806" s="93"/>
      <c r="AZ806" s="93"/>
      <c r="BA806" s="93"/>
      <c r="BB806" s="93"/>
    </row>
    <row r="807" spans="1:54" ht="13.2">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c r="AI807" s="93"/>
      <c r="AJ807" s="93"/>
      <c r="AK807" s="93"/>
      <c r="AL807" s="115"/>
      <c r="AM807" s="93"/>
      <c r="AN807" s="93"/>
      <c r="AO807" s="93"/>
      <c r="AP807" s="93"/>
      <c r="AQ807" s="93"/>
      <c r="AR807" s="93"/>
      <c r="AS807" s="93"/>
      <c r="AT807" s="93"/>
      <c r="AU807" s="93"/>
      <c r="AV807" s="93"/>
      <c r="AW807" s="93"/>
      <c r="AX807" s="93"/>
      <c r="AY807" s="93"/>
      <c r="AZ807" s="93"/>
      <c r="BA807" s="93"/>
      <c r="BB807" s="93"/>
    </row>
    <row r="808" spans="1:54" ht="13.2">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c r="AI808" s="93"/>
      <c r="AJ808" s="93"/>
      <c r="AK808" s="93"/>
      <c r="AL808" s="115"/>
      <c r="AM808" s="93"/>
      <c r="AN808" s="93"/>
      <c r="AO808" s="93"/>
      <c r="AP808" s="93"/>
      <c r="AQ808" s="93"/>
      <c r="AR808" s="93"/>
      <c r="AS808" s="93"/>
      <c r="AT808" s="93"/>
      <c r="AU808" s="93"/>
      <c r="AV808" s="93"/>
      <c r="AW808" s="93"/>
      <c r="AX808" s="93"/>
      <c r="AY808" s="93"/>
      <c r="AZ808" s="93"/>
      <c r="BA808" s="93"/>
      <c r="BB808" s="93"/>
    </row>
    <row r="809" spans="1:54" ht="13.2">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c r="AI809" s="93"/>
      <c r="AJ809" s="93"/>
      <c r="AK809" s="93"/>
      <c r="AL809" s="115"/>
      <c r="AM809" s="93"/>
      <c r="AN809" s="93"/>
      <c r="AO809" s="93"/>
      <c r="AP809" s="93"/>
      <c r="AQ809" s="93"/>
      <c r="AR809" s="93"/>
      <c r="AS809" s="93"/>
      <c r="AT809" s="93"/>
      <c r="AU809" s="93"/>
      <c r="AV809" s="93"/>
      <c r="AW809" s="93"/>
      <c r="AX809" s="93"/>
      <c r="AY809" s="93"/>
      <c r="AZ809" s="93"/>
      <c r="BA809" s="93"/>
      <c r="BB809" s="93"/>
    </row>
    <row r="810" spans="1:54" ht="13.2">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c r="AI810" s="93"/>
      <c r="AJ810" s="93"/>
      <c r="AK810" s="93"/>
      <c r="AL810" s="115"/>
      <c r="AM810" s="93"/>
      <c r="AN810" s="93"/>
      <c r="AO810" s="93"/>
      <c r="AP810" s="93"/>
      <c r="AQ810" s="93"/>
      <c r="AR810" s="93"/>
      <c r="AS810" s="93"/>
      <c r="AT810" s="93"/>
      <c r="AU810" s="93"/>
      <c r="AV810" s="93"/>
      <c r="AW810" s="93"/>
      <c r="AX810" s="93"/>
      <c r="AY810" s="93"/>
      <c r="AZ810" s="93"/>
      <c r="BA810" s="93"/>
      <c r="BB810" s="93"/>
    </row>
    <row r="811" spans="1:54" ht="13.2">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c r="AI811" s="93"/>
      <c r="AJ811" s="93"/>
      <c r="AK811" s="93"/>
      <c r="AL811" s="115"/>
      <c r="AM811" s="93"/>
      <c r="AN811" s="93"/>
      <c r="AO811" s="93"/>
      <c r="AP811" s="93"/>
      <c r="AQ811" s="93"/>
      <c r="AR811" s="93"/>
      <c r="AS811" s="93"/>
      <c r="AT811" s="93"/>
      <c r="AU811" s="93"/>
      <c r="AV811" s="93"/>
      <c r="AW811" s="93"/>
      <c r="AX811" s="93"/>
      <c r="AY811" s="93"/>
      <c r="AZ811" s="93"/>
      <c r="BA811" s="93"/>
      <c r="BB811" s="93"/>
    </row>
    <row r="812" spans="1:54" ht="13.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c r="AI812" s="93"/>
      <c r="AJ812" s="93"/>
      <c r="AK812" s="93"/>
      <c r="AL812" s="115"/>
      <c r="AM812" s="93"/>
      <c r="AN812" s="93"/>
      <c r="AO812" s="93"/>
      <c r="AP812" s="93"/>
      <c r="AQ812" s="93"/>
      <c r="AR812" s="93"/>
      <c r="AS812" s="93"/>
      <c r="AT812" s="93"/>
      <c r="AU812" s="93"/>
      <c r="AV812" s="93"/>
      <c r="AW812" s="93"/>
      <c r="AX812" s="93"/>
      <c r="AY812" s="93"/>
      <c r="AZ812" s="93"/>
      <c r="BA812" s="93"/>
      <c r="BB812" s="93"/>
    </row>
    <row r="813" spans="1:54" ht="13.2">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c r="AI813" s="93"/>
      <c r="AJ813" s="93"/>
      <c r="AK813" s="93"/>
      <c r="AL813" s="115"/>
      <c r="AM813" s="93"/>
      <c r="AN813" s="93"/>
      <c r="AO813" s="93"/>
      <c r="AP813" s="93"/>
      <c r="AQ813" s="93"/>
      <c r="AR813" s="93"/>
      <c r="AS813" s="93"/>
      <c r="AT813" s="93"/>
      <c r="AU813" s="93"/>
      <c r="AV813" s="93"/>
      <c r="AW813" s="93"/>
      <c r="AX813" s="93"/>
      <c r="AY813" s="93"/>
      <c r="AZ813" s="93"/>
      <c r="BA813" s="93"/>
      <c r="BB813" s="93"/>
    </row>
    <row r="814" spans="1:54" ht="13.2">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c r="AI814" s="93"/>
      <c r="AJ814" s="93"/>
      <c r="AK814" s="93"/>
      <c r="AL814" s="115"/>
      <c r="AM814" s="93"/>
      <c r="AN814" s="93"/>
      <c r="AO814" s="93"/>
      <c r="AP814" s="93"/>
      <c r="AQ814" s="93"/>
      <c r="AR814" s="93"/>
      <c r="AS814" s="93"/>
      <c r="AT814" s="93"/>
      <c r="AU814" s="93"/>
      <c r="AV814" s="93"/>
      <c r="AW814" s="93"/>
      <c r="AX814" s="93"/>
      <c r="AY814" s="93"/>
      <c r="AZ814" s="93"/>
      <c r="BA814" s="93"/>
      <c r="BB814" s="93"/>
    </row>
    <row r="815" spans="1:54" ht="13.2">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c r="AI815" s="93"/>
      <c r="AJ815" s="93"/>
      <c r="AK815" s="93"/>
      <c r="AL815" s="115"/>
      <c r="AM815" s="93"/>
      <c r="AN815" s="93"/>
      <c r="AO815" s="93"/>
      <c r="AP815" s="93"/>
      <c r="AQ815" s="93"/>
      <c r="AR815" s="93"/>
      <c r="AS815" s="93"/>
      <c r="AT815" s="93"/>
      <c r="AU815" s="93"/>
      <c r="AV815" s="93"/>
      <c r="AW815" s="93"/>
      <c r="AX815" s="93"/>
      <c r="AY815" s="93"/>
      <c r="AZ815" s="93"/>
      <c r="BA815" s="93"/>
      <c r="BB815" s="93"/>
    </row>
    <row r="816" spans="1:54" ht="13.2">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c r="AI816" s="93"/>
      <c r="AJ816" s="93"/>
      <c r="AK816" s="93"/>
      <c r="AL816" s="115"/>
      <c r="AM816" s="93"/>
      <c r="AN816" s="93"/>
      <c r="AO816" s="93"/>
      <c r="AP816" s="93"/>
      <c r="AQ816" s="93"/>
      <c r="AR816" s="93"/>
      <c r="AS816" s="93"/>
      <c r="AT816" s="93"/>
      <c r="AU816" s="93"/>
      <c r="AV816" s="93"/>
      <c r="AW816" s="93"/>
      <c r="AX816" s="93"/>
      <c r="AY816" s="93"/>
      <c r="AZ816" s="93"/>
      <c r="BA816" s="93"/>
      <c r="BB816" s="93"/>
    </row>
    <row r="817" spans="1:54" ht="13.2">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c r="AI817" s="93"/>
      <c r="AJ817" s="93"/>
      <c r="AK817" s="93"/>
      <c r="AL817" s="115"/>
      <c r="AM817" s="93"/>
      <c r="AN817" s="93"/>
      <c r="AO817" s="93"/>
      <c r="AP817" s="93"/>
      <c r="AQ817" s="93"/>
      <c r="AR817" s="93"/>
      <c r="AS817" s="93"/>
      <c r="AT817" s="93"/>
      <c r="AU817" s="93"/>
      <c r="AV817" s="93"/>
      <c r="AW817" s="93"/>
      <c r="AX817" s="93"/>
      <c r="AY817" s="93"/>
      <c r="AZ817" s="93"/>
      <c r="BA817" s="93"/>
      <c r="BB817" s="93"/>
    </row>
    <row r="818" spans="1:54" ht="13.2">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c r="AI818" s="93"/>
      <c r="AJ818" s="93"/>
      <c r="AK818" s="93"/>
      <c r="AL818" s="115"/>
      <c r="AM818" s="93"/>
      <c r="AN818" s="93"/>
      <c r="AO818" s="93"/>
      <c r="AP818" s="93"/>
      <c r="AQ818" s="93"/>
      <c r="AR818" s="93"/>
      <c r="AS818" s="93"/>
      <c r="AT818" s="93"/>
      <c r="AU818" s="93"/>
      <c r="AV818" s="93"/>
      <c r="AW818" s="93"/>
      <c r="AX818" s="93"/>
      <c r="AY818" s="93"/>
      <c r="AZ818" s="93"/>
      <c r="BA818" s="93"/>
      <c r="BB818" s="93"/>
    </row>
    <row r="819" spans="1:54" ht="13.2">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c r="AI819" s="93"/>
      <c r="AJ819" s="93"/>
      <c r="AK819" s="93"/>
      <c r="AL819" s="115"/>
      <c r="AM819" s="93"/>
      <c r="AN819" s="93"/>
      <c r="AO819" s="93"/>
      <c r="AP819" s="93"/>
      <c r="AQ819" s="93"/>
      <c r="AR819" s="93"/>
      <c r="AS819" s="93"/>
      <c r="AT819" s="93"/>
      <c r="AU819" s="93"/>
      <c r="AV819" s="93"/>
      <c r="AW819" s="93"/>
      <c r="AX819" s="93"/>
      <c r="AY819" s="93"/>
      <c r="AZ819" s="93"/>
      <c r="BA819" s="93"/>
      <c r="BB819" s="93"/>
    </row>
    <row r="820" spans="1:54" ht="13.2">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c r="AI820" s="93"/>
      <c r="AJ820" s="93"/>
      <c r="AK820" s="93"/>
      <c r="AL820" s="115"/>
      <c r="AM820" s="93"/>
      <c r="AN820" s="93"/>
      <c r="AO820" s="93"/>
      <c r="AP820" s="93"/>
      <c r="AQ820" s="93"/>
      <c r="AR820" s="93"/>
      <c r="AS820" s="93"/>
      <c r="AT820" s="93"/>
      <c r="AU820" s="93"/>
      <c r="AV820" s="93"/>
      <c r="AW820" s="93"/>
      <c r="AX820" s="93"/>
      <c r="AY820" s="93"/>
      <c r="AZ820" s="93"/>
      <c r="BA820" s="93"/>
      <c r="BB820" s="93"/>
    </row>
    <row r="821" spans="1:54" ht="13.2">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c r="AI821" s="93"/>
      <c r="AJ821" s="93"/>
      <c r="AK821" s="93"/>
      <c r="AL821" s="115"/>
      <c r="AM821" s="93"/>
      <c r="AN821" s="93"/>
      <c r="AO821" s="93"/>
      <c r="AP821" s="93"/>
      <c r="AQ821" s="93"/>
      <c r="AR821" s="93"/>
      <c r="AS821" s="93"/>
      <c r="AT821" s="93"/>
      <c r="AU821" s="93"/>
      <c r="AV821" s="93"/>
      <c r="AW821" s="93"/>
      <c r="AX821" s="93"/>
      <c r="AY821" s="93"/>
      <c r="AZ821" s="93"/>
      <c r="BA821" s="93"/>
      <c r="BB821" s="93"/>
    </row>
    <row r="822" spans="1:54" ht="13.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c r="AI822" s="93"/>
      <c r="AJ822" s="93"/>
      <c r="AK822" s="93"/>
      <c r="AL822" s="115"/>
      <c r="AM822" s="93"/>
      <c r="AN822" s="93"/>
      <c r="AO822" s="93"/>
      <c r="AP822" s="93"/>
      <c r="AQ822" s="93"/>
      <c r="AR822" s="93"/>
      <c r="AS822" s="93"/>
      <c r="AT822" s="93"/>
      <c r="AU822" s="93"/>
      <c r="AV822" s="93"/>
      <c r="AW822" s="93"/>
      <c r="AX822" s="93"/>
      <c r="AY822" s="93"/>
      <c r="AZ822" s="93"/>
      <c r="BA822" s="93"/>
      <c r="BB822" s="93"/>
    </row>
    <row r="823" spans="1:54" ht="13.2">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c r="AI823" s="93"/>
      <c r="AJ823" s="93"/>
      <c r="AK823" s="93"/>
      <c r="AL823" s="115"/>
      <c r="AM823" s="93"/>
      <c r="AN823" s="93"/>
      <c r="AO823" s="93"/>
      <c r="AP823" s="93"/>
      <c r="AQ823" s="93"/>
      <c r="AR823" s="93"/>
      <c r="AS823" s="93"/>
      <c r="AT823" s="93"/>
      <c r="AU823" s="93"/>
      <c r="AV823" s="93"/>
      <c r="AW823" s="93"/>
      <c r="AX823" s="93"/>
      <c r="AY823" s="93"/>
      <c r="AZ823" s="93"/>
      <c r="BA823" s="93"/>
      <c r="BB823" s="93"/>
    </row>
    <row r="824" spans="1:54" ht="13.2">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115"/>
      <c r="AM824" s="93"/>
      <c r="AN824" s="93"/>
      <c r="AO824" s="93"/>
      <c r="AP824" s="93"/>
      <c r="AQ824" s="93"/>
      <c r="AR824" s="93"/>
      <c r="AS824" s="93"/>
      <c r="AT824" s="93"/>
      <c r="AU824" s="93"/>
      <c r="AV824" s="93"/>
      <c r="AW824" s="93"/>
      <c r="AX824" s="93"/>
      <c r="AY824" s="93"/>
      <c r="AZ824" s="93"/>
      <c r="BA824" s="93"/>
      <c r="BB824" s="93"/>
    </row>
    <row r="825" spans="1:54" ht="13.2">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115"/>
      <c r="AM825" s="93"/>
      <c r="AN825" s="93"/>
      <c r="AO825" s="93"/>
      <c r="AP825" s="93"/>
      <c r="AQ825" s="93"/>
      <c r="AR825" s="93"/>
      <c r="AS825" s="93"/>
      <c r="AT825" s="93"/>
      <c r="AU825" s="93"/>
      <c r="AV825" s="93"/>
      <c r="AW825" s="93"/>
      <c r="AX825" s="93"/>
      <c r="AY825" s="93"/>
      <c r="AZ825" s="93"/>
      <c r="BA825" s="93"/>
      <c r="BB825" s="93"/>
    </row>
    <row r="826" spans="1:54" ht="13.2">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115"/>
      <c r="AM826" s="93"/>
      <c r="AN826" s="93"/>
      <c r="AO826" s="93"/>
      <c r="AP826" s="93"/>
      <c r="AQ826" s="93"/>
      <c r="AR826" s="93"/>
      <c r="AS826" s="93"/>
      <c r="AT826" s="93"/>
      <c r="AU826" s="93"/>
      <c r="AV826" s="93"/>
      <c r="AW826" s="93"/>
      <c r="AX826" s="93"/>
      <c r="AY826" s="93"/>
      <c r="AZ826" s="93"/>
      <c r="BA826" s="93"/>
      <c r="BB826" s="93"/>
    </row>
    <row r="827" spans="1:54" ht="13.2">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115"/>
      <c r="AM827" s="93"/>
      <c r="AN827" s="93"/>
      <c r="AO827" s="93"/>
      <c r="AP827" s="93"/>
      <c r="AQ827" s="93"/>
      <c r="AR827" s="93"/>
      <c r="AS827" s="93"/>
      <c r="AT827" s="93"/>
      <c r="AU827" s="93"/>
      <c r="AV827" s="93"/>
      <c r="AW827" s="93"/>
      <c r="AX827" s="93"/>
      <c r="AY827" s="93"/>
      <c r="AZ827" s="93"/>
      <c r="BA827" s="93"/>
      <c r="BB827" s="93"/>
    </row>
    <row r="828" spans="1:54" ht="13.2">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115"/>
      <c r="AM828" s="93"/>
      <c r="AN828" s="93"/>
      <c r="AO828" s="93"/>
      <c r="AP828" s="93"/>
      <c r="AQ828" s="93"/>
      <c r="AR828" s="93"/>
      <c r="AS828" s="93"/>
      <c r="AT828" s="93"/>
      <c r="AU828" s="93"/>
      <c r="AV828" s="93"/>
      <c r="AW828" s="93"/>
      <c r="AX828" s="93"/>
      <c r="AY828" s="93"/>
      <c r="AZ828" s="93"/>
      <c r="BA828" s="93"/>
      <c r="BB828" s="93"/>
    </row>
    <row r="829" spans="1:54" ht="13.2">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115"/>
      <c r="AM829" s="93"/>
      <c r="AN829" s="93"/>
      <c r="AO829" s="93"/>
      <c r="AP829" s="93"/>
      <c r="AQ829" s="93"/>
      <c r="AR829" s="93"/>
      <c r="AS829" s="93"/>
      <c r="AT829" s="93"/>
      <c r="AU829" s="93"/>
      <c r="AV829" s="93"/>
      <c r="AW829" s="93"/>
      <c r="AX829" s="93"/>
      <c r="AY829" s="93"/>
      <c r="AZ829" s="93"/>
      <c r="BA829" s="93"/>
      <c r="BB829" s="93"/>
    </row>
    <row r="830" spans="1:54" ht="13.2">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c r="AI830" s="93"/>
      <c r="AJ830" s="93"/>
      <c r="AK830" s="93"/>
      <c r="AL830" s="115"/>
      <c r="AM830" s="93"/>
      <c r="AN830" s="93"/>
      <c r="AO830" s="93"/>
      <c r="AP830" s="93"/>
      <c r="AQ830" s="93"/>
      <c r="AR830" s="93"/>
      <c r="AS830" s="93"/>
      <c r="AT830" s="93"/>
      <c r="AU830" s="93"/>
      <c r="AV830" s="93"/>
      <c r="AW830" s="93"/>
      <c r="AX830" s="93"/>
      <c r="AY830" s="93"/>
      <c r="AZ830" s="93"/>
      <c r="BA830" s="93"/>
      <c r="BB830" s="93"/>
    </row>
    <row r="831" spans="1:54" ht="13.2">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115"/>
      <c r="AM831" s="93"/>
      <c r="AN831" s="93"/>
      <c r="AO831" s="93"/>
      <c r="AP831" s="93"/>
      <c r="AQ831" s="93"/>
      <c r="AR831" s="93"/>
      <c r="AS831" s="93"/>
      <c r="AT831" s="93"/>
      <c r="AU831" s="93"/>
      <c r="AV831" s="93"/>
      <c r="AW831" s="93"/>
      <c r="AX831" s="93"/>
      <c r="AY831" s="93"/>
      <c r="AZ831" s="93"/>
      <c r="BA831" s="93"/>
      <c r="BB831" s="93"/>
    </row>
    <row r="832" spans="1:54" ht="1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115"/>
      <c r="AM832" s="93"/>
      <c r="AN832" s="93"/>
      <c r="AO832" s="93"/>
      <c r="AP832" s="93"/>
      <c r="AQ832" s="93"/>
      <c r="AR832" s="93"/>
      <c r="AS832" s="93"/>
      <c r="AT832" s="93"/>
      <c r="AU832" s="93"/>
      <c r="AV832" s="93"/>
      <c r="AW832" s="93"/>
      <c r="AX832" s="93"/>
      <c r="AY832" s="93"/>
      <c r="AZ832" s="93"/>
      <c r="BA832" s="93"/>
      <c r="BB832" s="93"/>
    </row>
    <row r="833" spans="1:54" ht="13.2">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115"/>
      <c r="AM833" s="93"/>
      <c r="AN833" s="93"/>
      <c r="AO833" s="93"/>
      <c r="AP833" s="93"/>
      <c r="AQ833" s="93"/>
      <c r="AR833" s="93"/>
      <c r="AS833" s="93"/>
      <c r="AT833" s="93"/>
      <c r="AU833" s="93"/>
      <c r="AV833" s="93"/>
      <c r="AW833" s="93"/>
      <c r="AX833" s="93"/>
      <c r="AY833" s="93"/>
      <c r="AZ833" s="93"/>
      <c r="BA833" s="93"/>
      <c r="BB833" s="93"/>
    </row>
    <row r="834" spans="1:54" ht="13.2">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c r="AI834" s="93"/>
      <c r="AJ834" s="93"/>
      <c r="AK834" s="93"/>
      <c r="AL834" s="115"/>
      <c r="AM834" s="93"/>
      <c r="AN834" s="93"/>
      <c r="AO834" s="93"/>
      <c r="AP834" s="93"/>
      <c r="AQ834" s="93"/>
      <c r="AR834" s="93"/>
      <c r="AS834" s="93"/>
      <c r="AT834" s="93"/>
      <c r="AU834" s="93"/>
      <c r="AV834" s="93"/>
      <c r="AW834" s="93"/>
      <c r="AX834" s="93"/>
      <c r="AY834" s="93"/>
      <c r="AZ834" s="93"/>
      <c r="BA834" s="93"/>
      <c r="BB834" s="93"/>
    </row>
    <row r="835" spans="1:54" ht="13.2">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c r="AI835" s="93"/>
      <c r="AJ835" s="93"/>
      <c r="AK835" s="93"/>
      <c r="AL835" s="115"/>
      <c r="AM835" s="93"/>
      <c r="AN835" s="93"/>
      <c r="AO835" s="93"/>
      <c r="AP835" s="93"/>
      <c r="AQ835" s="93"/>
      <c r="AR835" s="93"/>
      <c r="AS835" s="93"/>
      <c r="AT835" s="93"/>
      <c r="AU835" s="93"/>
      <c r="AV835" s="93"/>
      <c r="AW835" s="93"/>
      <c r="AX835" s="93"/>
      <c r="AY835" s="93"/>
      <c r="AZ835" s="93"/>
      <c r="BA835" s="93"/>
      <c r="BB835" s="93"/>
    </row>
    <row r="836" spans="1:54" ht="13.2">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c r="AI836" s="93"/>
      <c r="AJ836" s="93"/>
      <c r="AK836" s="93"/>
      <c r="AL836" s="115"/>
      <c r="AM836" s="93"/>
      <c r="AN836" s="93"/>
      <c r="AO836" s="93"/>
      <c r="AP836" s="93"/>
      <c r="AQ836" s="93"/>
      <c r="AR836" s="93"/>
      <c r="AS836" s="93"/>
      <c r="AT836" s="93"/>
      <c r="AU836" s="93"/>
      <c r="AV836" s="93"/>
      <c r="AW836" s="93"/>
      <c r="AX836" s="93"/>
      <c r="AY836" s="93"/>
      <c r="AZ836" s="93"/>
      <c r="BA836" s="93"/>
      <c r="BB836" s="93"/>
    </row>
    <row r="837" spans="1:54" ht="13.2">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c r="AE837" s="93"/>
      <c r="AF837" s="93"/>
      <c r="AG837" s="93"/>
      <c r="AH837" s="93"/>
      <c r="AI837" s="93"/>
      <c r="AJ837" s="93"/>
      <c r="AK837" s="93"/>
      <c r="AL837" s="115"/>
      <c r="AM837" s="93"/>
      <c r="AN837" s="93"/>
      <c r="AO837" s="93"/>
      <c r="AP837" s="93"/>
      <c r="AQ837" s="93"/>
      <c r="AR837" s="93"/>
      <c r="AS837" s="93"/>
      <c r="AT837" s="93"/>
      <c r="AU837" s="93"/>
      <c r="AV837" s="93"/>
      <c r="AW837" s="93"/>
      <c r="AX837" s="93"/>
      <c r="AY837" s="93"/>
      <c r="AZ837" s="93"/>
      <c r="BA837" s="93"/>
      <c r="BB837" s="93"/>
    </row>
    <row r="838" spans="1:54" ht="13.2">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c r="AC838" s="93"/>
      <c r="AD838" s="93"/>
      <c r="AE838" s="93"/>
      <c r="AF838" s="93"/>
      <c r="AG838" s="93"/>
      <c r="AH838" s="93"/>
      <c r="AI838" s="93"/>
      <c r="AJ838" s="93"/>
      <c r="AK838" s="93"/>
      <c r="AL838" s="115"/>
      <c r="AM838" s="93"/>
      <c r="AN838" s="93"/>
      <c r="AO838" s="93"/>
      <c r="AP838" s="93"/>
      <c r="AQ838" s="93"/>
      <c r="AR838" s="93"/>
      <c r="AS838" s="93"/>
      <c r="AT838" s="93"/>
      <c r="AU838" s="93"/>
      <c r="AV838" s="93"/>
      <c r="AW838" s="93"/>
      <c r="AX838" s="93"/>
      <c r="AY838" s="93"/>
      <c r="AZ838" s="93"/>
      <c r="BA838" s="93"/>
      <c r="BB838" s="93"/>
    </row>
    <row r="839" spans="1:54" ht="13.2">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c r="AC839" s="93"/>
      <c r="AD839" s="93"/>
      <c r="AE839" s="93"/>
      <c r="AF839" s="93"/>
      <c r="AG839" s="93"/>
      <c r="AH839" s="93"/>
      <c r="AI839" s="93"/>
      <c r="AJ839" s="93"/>
      <c r="AK839" s="93"/>
      <c r="AL839" s="115"/>
      <c r="AM839" s="93"/>
      <c r="AN839" s="93"/>
      <c r="AO839" s="93"/>
      <c r="AP839" s="93"/>
      <c r="AQ839" s="93"/>
      <c r="AR839" s="93"/>
      <c r="AS839" s="93"/>
      <c r="AT839" s="93"/>
      <c r="AU839" s="93"/>
      <c r="AV839" s="93"/>
      <c r="AW839" s="93"/>
      <c r="AX839" s="93"/>
      <c r="AY839" s="93"/>
      <c r="AZ839" s="93"/>
      <c r="BA839" s="93"/>
      <c r="BB839" s="93"/>
    </row>
    <row r="840" spans="1:54" ht="13.2">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c r="AC840" s="93"/>
      <c r="AD840" s="93"/>
      <c r="AE840" s="93"/>
      <c r="AF840" s="93"/>
      <c r="AG840" s="93"/>
      <c r="AH840" s="93"/>
      <c r="AI840" s="93"/>
      <c r="AJ840" s="93"/>
      <c r="AK840" s="93"/>
      <c r="AL840" s="115"/>
      <c r="AM840" s="93"/>
      <c r="AN840" s="93"/>
      <c r="AO840" s="93"/>
      <c r="AP840" s="93"/>
      <c r="AQ840" s="93"/>
      <c r="AR840" s="93"/>
      <c r="AS840" s="93"/>
      <c r="AT840" s="93"/>
      <c r="AU840" s="93"/>
      <c r="AV840" s="93"/>
      <c r="AW840" s="93"/>
      <c r="AX840" s="93"/>
      <c r="AY840" s="93"/>
      <c r="AZ840" s="93"/>
      <c r="BA840" s="93"/>
      <c r="BB840" s="93"/>
    </row>
    <row r="841" spans="1:54" ht="13.2">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c r="AC841" s="93"/>
      <c r="AD841" s="93"/>
      <c r="AE841" s="93"/>
      <c r="AF841" s="93"/>
      <c r="AG841" s="93"/>
      <c r="AH841" s="93"/>
      <c r="AI841" s="93"/>
      <c r="AJ841" s="93"/>
      <c r="AK841" s="93"/>
      <c r="AL841" s="115"/>
      <c r="AM841" s="93"/>
      <c r="AN841" s="93"/>
      <c r="AO841" s="93"/>
      <c r="AP841" s="93"/>
      <c r="AQ841" s="93"/>
      <c r="AR841" s="93"/>
      <c r="AS841" s="93"/>
      <c r="AT841" s="93"/>
      <c r="AU841" s="93"/>
      <c r="AV841" s="93"/>
      <c r="AW841" s="93"/>
      <c r="AX841" s="93"/>
      <c r="AY841" s="93"/>
      <c r="AZ841" s="93"/>
      <c r="BA841" s="93"/>
      <c r="BB841" s="93"/>
    </row>
    <row r="842" spans="1:54" ht="13.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c r="AC842" s="93"/>
      <c r="AD842" s="93"/>
      <c r="AE842" s="93"/>
      <c r="AF842" s="93"/>
      <c r="AG842" s="93"/>
      <c r="AH842" s="93"/>
      <c r="AI842" s="93"/>
      <c r="AJ842" s="93"/>
      <c r="AK842" s="93"/>
      <c r="AL842" s="115"/>
      <c r="AM842" s="93"/>
      <c r="AN842" s="93"/>
      <c r="AO842" s="93"/>
      <c r="AP842" s="93"/>
      <c r="AQ842" s="93"/>
      <c r="AR842" s="93"/>
      <c r="AS842" s="93"/>
      <c r="AT842" s="93"/>
      <c r="AU842" s="93"/>
      <c r="AV842" s="93"/>
      <c r="AW842" s="93"/>
      <c r="AX842" s="93"/>
      <c r="AY842" s="93"/>
      <c r="AZ842" s="93"/>
      <c r="BA842" s="93"/>
      <c r="BB842" s="93"/>
    </row>
    <row r="843" spans="1:54" ht="13.2">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c r="AE843" s="93"/>
      <c r="AF843" s="93"/>
      <c r="AG843" s="93"/>
      <c r="AH843" s="93"/>
      <c r="AI843" s="93"/>
      <c r="AJ843" s="93"/>
      <c r="AK843" s="93"/>
      <c r="AL843" s="115"/>
      <c r="AM843" s="93"/>
      <c r="AN843" s="93"/>
      <c r="AO843" s="93"/>
      <c r="AP843" s="93"/>
      <c r="AQ843" s="93"/>
      <c r="AR843" s="93"/>
      <c r="AS843" s="93"/>
      <c r="AT843" s="93"/>
      <c r="AU843" s="93"/>
      <c r="AV843" s="93"/>
      <c r="AW843" s="93"/>
      <c r="AX843" s="93"/>
      <c r="AY843" s="93"/>
      <c r="AZ843" s="93"/>
      <c r="BA843" s="93"/>
      <c r="BB843" s="93"/>
    </row>
    <row r="844" spans="1:54" ht="13.2">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c r="AC844" s="93"/>
      <c r="AD844" s="93"/>
      <c r="AE844" s="93"/>
      <c r="AF844" s="93"/>
      <c r="AG844" s="93"/>
      <c r="AH844" s="93"/>
      <c r="AI844" s="93"/>
      <c r="AJ844" s="93"/>
      <c r="AK844" s="93"/>
      <c r="AL844" s="115"/>
      <c r="AM844" s="93"/>
      <c r="AN844" s="93"/>
      <c r="AO844" s="93"/>
      <c r="AP844" s="93"/>
      <c r="AQ844" s="93"/>
      <c r="AR844" s="93"/>
      <c r="AS844" s="93"/>
      <c r="AT844" s="93"/>
      <c r="AU844" s="93"/>
      <c r="AV844" s="93"/>
      <c r="AW844" s="93"/>
      <c r="AX844" s="93"/>
      <c r="AY844" s="93"/>
      <c r="AZ844" s="93"/>
      <c r="BA844" s="93"/>
      <c r="BB844" s="93"/>
    </row>
    <row r="845" spans="1:54" ht="13.2">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c r="AE845" s="93"/>
      <c r="AF845" s="93"/>
      <c r="AG845" s="93"/>
      <c r="AH845" s="93"/>
      <c r="AI845" s="93"/>
      <c r="AJ845" s="93"/>
      <c r="AK845" s="93"/>
      <c r="AL845" s="115"/>
      <c r="AM845" s="93"/>
      <c r="AN845" s="93"/>
      <c r="AO845" s="93"/>
      <c r="AP845" s="93"/>
      <c r="AQ845" s="93"/>
      <c r="AR845" s="93"/>
      <c r="AS845" s="93"/>
      <c r="AT845" s="93"/>
      <c r="AU845" s="93"/>
      <c r="AV845" s="93"/>
      <c r="AW845" s="93"/>
      <c r="AX845" s="93"/>
      <c r="AY845" s="93"/>
      <c r="AZ845" s="93"/>
      <c r="BA845" s="93"/>
      <c r="BB845" s="93"/>
    </row>
    <row r="846" spans="1:54" ht="13.2">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c r="AC846" s="93"/>
      <c r="AD846" s="93"/>
      <c r="AE846" s="93"/>
      <c r="AF846" s="93"/>
      <c r="AG846" s="93"/>
      <c r="AH846" s="93"/>
      <c r="AI846" s="93"/>
      <c r="AJ846" s="93"/>
      <c r="AK846" s="93"/>
      <c r="AL846" s="115"/>
      <c r="AM846" s="93"/>
      <c r="AN846" s="93"/>
      <c r="AO846" s="93"/>
      <c r="AP846" s="93"/>
      <c r="AQ846" s="93"/>
      <c r="AR846" s="93"/>
      <c r="AS846" s="93"/>
      <c r="AT846" s="93"/>
      <c r="AU846" s="93"/>
      <c r="AV846" s="93"/>
      <c r="AW846" s="93"/>
      <c r="AX846" s="93"/>
      <c r="AY846" s="93"/>
      <c r="AZ846" s="93"/>
      <c r="BA846" s="93"/>
      <c r="BB846" s="93"/>
    </row>
    <row r="847" spans="1:54" ht="13.2">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c r="AC847" s="93"/>
      <c r="AD847" s="93"/>
      <c r="AE847" s="93"/>
      <c r="AF847" s="93"/>
      <c r="AG847" s="93"/>
      <c r="AH847" s="93"/>
      <c r="AI847" s="93"/>
      <c r="AJ847" s="93"/>
      <c r="AK847" s="93"/>
      <c r="AL847" s="115"/>
      <c r="AM847" s="93"/>
      <c r="AN847" s="93"/>
      <c r="AO847" s="93"/>
      <c r="AP847" s="93"/>
      <c r="AQ847" s="93"/>
      <c r="AR847" s="93"/>
      <c r="AS847" s="93"/>
      <c r="AT847" s="93"/>
      <c r="AU847" s="93"/>
      <c r="AV847" s="93"/>
      <c r="AW847" s="93"/>
      <c r="AX847" s="93"/>
      <c r="AY847" s="93"/>
      <c r="AZ847" s="93"/>
      <c r="BA847" s="93"/>
      <c r="BB847" s="93"/>
    </row>
    <row r="848" spans="1:54" ht="13.2">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c r="AC848" s="93"/>
      <c r="AD848" s="93"/>
      <c r="AE848" s="93"/>
      <c r="AF848" s="93"/>
      <c r="AG848" s="93"/>
      <c r="AH848" s="93"/>
      <c r="AI848" s="93"/>
      <c r="AJ848" s="93"/>
      <c r="AK848" s="93"/>
      <c r="AL848" s="115"/>
      <c r="AM848" s="93"/>
      <c r="AN848" s="93"/>
      <c r="AO848" s="93"/>
      <c r="AP848" s="93"/>
      <c r="AQ848" s="93"/>
      <c r="AR848" s="93"/>
      <c r="AS848" s="93"/>
      <c r="AT848" s="93"/>
      <c r="AU848" s="93"/>
      <c r="AV848" s="93"/>
      <c r="AW848" s="93"/>
      <c r="AX848" s="93"/>
      <c r="AY848" s="93"/>
      <c r="AZ848" s="93"/>
      <c r="BA848" s="93"/>
      <c r="BB848" s="93"/>
    </row>
    <row r="849" spans="1:54" ht="13.2">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c r="AC849" s="93"/>
      <c r="AD849" s="93"/>
      <c r="AE849" s="93"/>
      <c r="AF849" s="93"/>
      <c r="AG849" s="93"/>
      <c r="AH849" s="93"/>
      <c r="AI849" s="93"/>
      <c r="AJ849" s="93"/>
      <c r="AK849" s="93"/>
      <c r="AL849" s="115"/>
      <c r="AM849" s="93"/>
      <c r="AN849" s="93"/>
      <c r="AO849" s="93"/>
      <c r="AP849" s="93"/>
      <c r="AQ849" s="93"/>
      <c r="AR849" s="93"/>
      <c r="AS849" s="93"/>
      <c r="AT849" s="93"/>
      <c r="AU849" s="93"/>
      <c r="AV849" s="93"/>
      <c r="AW849" s="93"/>
      <c r="AX849" s="93"/>
      <c r="AY849" s="93"/>
      <c r="AZ849" s="93"/>
      <c r="BA849" s="93"/>
      <c r="BB849" s="93"/>
    </row>
    <row r="850" spans="1:54" ht="13.2">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c r="AC850" s="93"/>
      <c r="AD850" s="93"/>
      <c r="AE850" s="93"/>
      <c r="AF850" s="93"/>
      <c r="AG850" s="93"/>
      <c r="AH850" s="93"/>
      <c r="AI850" s="93"/>
      <c r="AJ850" s="93"/>
      <c r="AK850" s="93"/>
      <c r="AL850" s="115"/>
      <c r="AM850" s="93"/>
      <c r="AN850" s="93"/>
      <c r="AO850" s="93"/>
      <c r="AP850" s="93"/>
      <c r="AQ850" s="93"/>
      <c r="AR850" s="93"/>
      <c r="AS850" s="93"/>
      <c r="AT850" s="93"/>
      <c r="AU850" s="93"/>
      <c r="AV850" s="93"/>
      <c r="AW850" s="93"/>
      <c r="AX850" s="93"/>
      <c r="AY850" s="93"/>
      <c r="AZ850" s="93"/>
      <c r="BA850" s="93"/>
      <c r="BB850" s="93"/>
    </row>
    <row r="851" spans="1:54" ht="13.2">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c r="AE851" s="93"/>
      <c r="AF851" s="93"/>
      <c r="AG851" s="93"/>
      <c r="AH851" s="93"/>
      <c r="AI851" s="93"/>
      <c r="AJ851" s="93"/>
      <c r="AK851" s="93"/>
      <c r="AL851" s="115"/>
      <c r="AM851" s="93"/>
      <c r="AN851" s="93"/>
      <c r="AO851" s="93"/>
      <c r="AP851" s="93"/>
      <c r="AQ851" s="93"/>
      <c r="AR851" s="93"/>
      <c r="AS851" s="93"/>
      <c r="AT851" s="93"/>
      <c r="AU851" s="93"/>
      <c r="AV851" s="93"/>
      <c r="AW851" s="93"/>
      <c r="AX851" s="93"/>
      <c r="AY851" s="93"/>
      <c r="AZ851" s="93"/>
      <c r="BA851" s="93"/>
      <c r="BB851" s="93"/>
    </row>
    <row r="852" spans="1:54" ht="13.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c r="AC852" s="93"/>
      <c r="AD852" s="93"/>
      <c r="AE852" s="93"/>
      <c r="AF852" s="93"/>
      <c r="AG852" s="93"/>
      <c r="AH852" s="93"/>
      <c r="AI852" s="93"/>
      <c r="AJ852" s="93"/>
      <c r="AK852" s="93"/>
      <c r="AL852" s="115"/>
      <c r="AM852" s="93"/>
      <c r="AN852" s="93"/>
      <c r="AO852" s="93"/>
      <c r="AP852" s="93"/>
      <c r="AQ852" s="93"/>
      <c r="AR852" s="93"/>
      <c r="AS852" s="93"/>
      <c r="AT852" s="93"/>
      <c r="AU852" s="93"/>
      <c r="AV852" s="93"/>
      <c r="AW852" s="93"/>
      <c r="AX852" s="93"/>
      <c r="AY852" s="93"/>
      <c r="AZ852" s="93"/>
      <c r="BA852" s="93"/>
      <c r="BB852" s="93"/>
    </row>
    <row r="853" spans="1:54" ht="13.2">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c r="AC853" s="93"/>
      <c r="AD853" s="93"/>
      <c r="AE853" s="93"/>
      <c r="AF853" s="93"/>
      <c r="AG853" s="93"/>
      <c r="AH853" s="93"/>
      <c r="AI853" s="93"/>
      <c r="AJ853" s="93"/>
      <c r="AK853" s="93"/>
      <c r="AL853" s="115"/>
      <c r="AM853" s="93"/>
      <c r="AN853" s="93"/>
      <c r="AO853" s="93"/>
      <c r="AP853" s="93"/>
      <c r="AQ853" s="93"/>
      <c r="AR853" s="93"/>
      <c r="AS853" s="93"/>
      <c r="AT853" s="93"/>
      <c r="AU853" s="93"/>
      <c r="AV853" s="93"/>
      <c r="AW853" s="93"/>
      <c r="AX853" s="93"/>
      <c r="AY853" s="93"/>
      <c r="AZ853" s="93"/>
      <c r="BA853" s="93"/>
      <c r="BB853" s="93"/>
    </row>
    <row r="854" spans="1:54" ht="13.2">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c r="AC854" s="93"/>
      <c r="AD854" s="93"/>
      <c r="AE854" s="93"/>
      <c r="AF854" s="93"/>
      <c r="AG854" s="93"/>
      <c r="AH854" s="93"/>
      <c r="AI854" s="93"/>
      <c r="AJ854" s="93"/>
      <c r="AK854" s="93"/>
      <c r="AL854" s="115"/>
      <c r="AM854" s="93"/>
      <c r="AN854" s="93"/>
      <c r="AO854" s="93"/>
      <c r="AP854" s="93"/>
      <c r="AQ854" s="93"/>
      <c r="AR854" s="93"/>
      <c r="AS854" s="93"/>
      <c r="AT854" s="93"/>
      <c r="AU854" s="93"/>
      <c r="AV854" s="93"/>
      <c r="AW854" s="93"/>
      <c r="AX854" s="93"/>
      <c r="AY854" s="93"/>
      <c r="AZ854" s="93"/>
      <c r="BA854" s="93"/>
      <c r="BB854" s="93"/>
    </row>
    <row r="855" spans="1:54" ht="13.2">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c r="AC855" s="93"/>
      <c r="AD855" s="93"/>
      <c r="AE855" s="93"/>
      <c r="AF855" s="93"/>
      <c r="AG855" s="93"/>
      <c r="AH855" s="93"/>
      <c r="AI855" s="93"/>
      <c r="AJ855" s="93"/>
      <c r="AK855" s="93"/>
      <c r="AL855" s="115"/>
      <c r="AM855" s="93"/>
      <c r="AN855" s="93"/>
      <c r="AO855" s="93"/>
      <c r="AP855" s="93"/>
      <c r="AQ855" s="93"/>
      <c r="AR855" s="93"/>
      <c r="AS855" s="93"/>
      <c r="AT855" s="93"/>
      <c r="AU855" s="93"/>
      <c r="AV855" s="93"/>
      <c r="AW855" s="93"/>
      <c r="AX855" s="93"/>
      <c r="AY855" s="93"/>
      <c r="AZ855" s="93"/>
      <c r="BA855" s="93"/>
      <c r="BB855" s="93"/>
    </row>
    <row r="856" spans="1:54" ht="13.2">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c r="AC856" s="93"/>
      <c r="AD856" s="93"/>
      <c r="AE856" s="93"/>
      <c r="AF856" s="93"/>
      <c r="AG856" s="93"/>
      <c r="AH856" s="93"/>
      <c r="AI856" s="93"/>
      <c r="AJ856" s="93"/>
      <c r="AK856" s="93"/>
      <c r="AL856" s="115"/>
      <c r="AM856" s="93"/>
      <c r="AN856" s="93"/>
      <c r="AO856" s="93"/>
      <c r="AP856" s="93"/>
      <c r="AQ856" s="93"/>
      <c r="AR856" s="93"/>
      <c r="AS856" s="93"/>
      <c r="AT856" s="93"/>
      <c r="AU856" s="93"/>
      <c r="AV856" s="93"/>
      <c r="AW856" s="93"/>
      <c r="AX856" s="93"/>
      <c r="AY856" s="93"/>
      <c r="AZ856" s="93"/>
      <c r="BA856" s="93"/>
      <c r="BB856" s="93"/>
    </row>
    <row r="857" spans="1:54" ht="13.2">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c r="AE857" s="93"/>
      <c r="AF857" s="93"/>
      <c r="AG857" s="93"/>
      <c r="AH857" s="93"/>
      <c r="AI857" s="93"/>
      <c r="AJ857" s="93"/>
      <c r="AK857" s="93"/>
      <c r="AL857" s="115"/>
      <c r="AM857" s="93"/>
      <c r="AN857" s="93"/>
      <c r="AO857" s="93"/>
      <c r="AP857" s="93"/>
      <c r="AQ857" s="93"/>
      <c r="AR857" s="93"/>
      <c r="AS857" s="93"/>
      <c r="AT857" s="93"/>
      <c r="AU857" s="93"/>
      <c r="AV857" s="93"/>
      <c r="AW857" s="93"/>
      <c r="AX857" s="93"/>
      <c r="AY857" s="93"/>
      <c r="AZ857" s="93"/>
      <c r="BA857" s="93"/>
      <c r="BB857" s="93"/>
    </row>
    <row r="858" spans="1:54" ht="13.2">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c r="AC858" s="93"/>
      <c r="AD858" s="93"/>
      <c r="AE858" s="93"/>
      <c r="AF858" s="93"/>
      <c r="AG858" s="93"/>
      <c r="AH858" s="93"/>
      <c r="AI858" s="93"/>
      <c r="AJ858" s="93"/>
      <c r="AK858" s="93"/>
      <c r="AL858" s="115"/>
      <c r="AM858" s="93"/>
      <c r="AN858" s="93"/>
      <c r="AO858" s="93"/>
      <c r="AP858" s="93"/>
      <c r="AQ858" s="93"/>
      <c r="AR858" s="93"/>
      <c r="AS858" s="93"/>
      <c r="AT858" s="93"/>
      <c r="AU858" s="93"/>
      <c r="AV858" s="93"/>
      <c r="AW858" s="93"/>
      <c r="AX858" s="93"/>
      <c r="AY858" s="93"/>
      <c r="AZ858" s="93"/>
      <c r="BA858" s="93"/>
      <c r="BB858" s="93"/>
    </row>
    <row r="859" spans="1:54" ht="13.2">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c r="AC859" s="93"/>
      <c r="AD859" s="93"/>
      <c r="AE859" s="93"/>
      <c r="AF859" s="93"/>
      <c r="AG859" s="93"/>
      <c r="AH859" s="93"/>
      <c r="AI859" s="93"/>
      <c r="AJ859" s="93"/>
      <c r="AK859" s="93"/>
      <c r="AL859" s="115"/>
      <c r="AM859" s="93"/>
      <c r="AN859" s="93"/>
      <c r="AO859" s="93"/>
      <c r="AP859" s="93"/>
      <c r="AQ859" s="93"/>
      <c r="AR859" s="93"/>
      <c r="AS859" s="93"/>
      <c r="AT859" s="93"/>
      <c r="AU859" s="93"/>
      <c r="AV859" s="93"/>
      <c r="AW859" s="93"/>
      <c r="AX859" s="93"/>
      <c r="AY859" s="93"/>
      <c r="AZ859" s="93"/>
      <c r="BA859" s="93"/>
      <c r="BB859" s="93"/>
    </row>
    <row r="860" spans="1:54" ht="13.2">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c r="AC860" s="93"/>
      <c r="AD860" s="93"/>
      <c r="AE860" s="93"/>
      <c r="AF860" s="93"/>
      <c r="AG860" s="93"/>
      <c r="AH860" s="93"/>
      <c r="AI860" s="93"/>
      <c r="AJ860" s="93"/>
      <c r="AK860" s="93"/>
      <c r="AL860" s="115"/>
      <c r="AM860" s="93"/>
      <c r="AN860" s="93"/>
      <c r="AO860" s="93"/>
      <c r="AP860" s="93"/>
      <c r="AQ860" s="93"/>
      <c r="AR860" s="93"/>
      <c r="AS860" s="93"/>
      <c r="AT860" s="93"/>
      <c r="AU860" s="93"/>
      <c r="AV860" s="93"/>
      <c r="AW860" s="93"/>
      <c r="AX860" s="93"/>
      <c r="AY860" s="93"/>
      <c r="AZ860" s="93"/>
      <c r="BA860" s="93"/>
      <c r="BB860" s="93"/>
    </row>
    <row r="861" spans="1:54" ht="13.2">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c r="AC861" s="93"/>
      <c r="AD861" s="93"/>
      <c r="AE861" s="93"/>
      <c r="AF861" s="93"/>
      <c r="AG861" s="93"/>
      <c r="AH861" s="93"/>
      <c r="AI861" s="93"/>
      <c r="AJ861" s="93"/>
      <c r="AK861" s="93"/>
      <c r="AL861" s="115"/>
      <c r="AM861" s="93"/>
      <c r="AN861" s="93"/>
      <c r="AO861" s="93"/>
      <c r="AP861" s="93"/>
      <c r="AQ861" s="93"/>
      <c r="AR861" s="93"/>
      <c r="AS861" s="93"/>
      <c r="AT861" s="93"/>
      <c r="AU861" s="93"/>
      <c r="AV861" s="93"/>
      <c r="AW861" s="93"/>
      <c r="AX861" s="93"/>
      <c r="AY861" s="93"/>
      <c r="AZ861" s="93"/>
      <c r="BA861" s="93"/>
      <c r="BB861" s="93"/>
    </row>
    <row r="862" spans="1:54" ht="13.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c r="AC862" s="93"/>
      <c r="AD862" s="93"/>
      <c r="AE862" s="93"/>
      <c r="AF862" s="93"/>
      <c r="AG862" s="93"/>
      <c r="AH862" s="93"/>
      <c r="AI862" s="93"/>
      <c r="AJ862" s="93"/>
      <c r="AK862" s="93"/>
      <c r="AL862" s="115"/>
      <c r="AM862" s="93"/>
      <c r="AN862" s="93"/>
      <c r="AO862" s="93"/>
      <c r="AP862" s="93"/>
      <c r="AQ862" s="93"/>
      <c r="AR862" s="93"/>
      <c r="AS862" s="93"/>
      <c r="AT862" s="93"/>
      <c r="AU862" s="93"/>
      <c r="AV862" s="93"/>
      <c r="AW862" s="93"/>
      <c r="AX862" s="93"/>
      <c r="AY862" s="93"/>
      <c r="AZ862" s="93"/>
      <c r="BA862" s="93"/>
      <c r="BB862" s="93"/>
    </row>
    <row r="863" spans="1:54" ht="13.2">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c r="AC863" s="93"/>
      <c r="AD863" s="93"/>
      <c r="AE863" s="93"/>
      <c r="AF863" s="93"/>
      <c r="AG863" s="93"/>
      <c r="AH863" s="93"/>
      <c r="AI863" s="93"/>
      <c r="AJ863" s="93"/>
      <c r="AK863" s="93"/>
      <c r="AL863" s="115"/>
      <c r="AM863" s="93"/>
      <c r="AN863" s="93"/>
      <c r="AO863" s="93"/>
      <c r="AP863" s="93"/>
      <c r="AQ863" s="93"/>
      <c r="AR863" s="93"/>
      <c r="AS863" s="93"/>
      <c r="AT863" s="93"/>
      <c r="AU863" s="93"/>
      <c r="AV863" s="93"/>
      <c r="AW863" s="93"/>
      <c r="AX863" s="93"/>
      <c r="AY863" s="93"/>
      <c r="AZ863" s="93"/>
      <c r="BA863" s="93"/>
      <c r="BB863" s="93"/>
    </row>
    <row r="864" spans="1:54" ht="13.2">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c r="AC864" s="93"/>
      <c r="AD864" s="93"/>
      <c r="AE864" s="93"/>
      <c r="AF864" s="93"/>
      <c r="AG864" s="93"/>
      <c r="AH864" s="93"/>
      <c r="AI864" s="93"/>
      <c r="AJ864" s="93"/>
      <c r="AK864" s="93"/>
      <c r="AL864" s="115"/>
      <c r="AM864" s="93"/>
      <c r="AN864" s="93"/>
      <c r="AO864" s="93"/>
      <c r="AP864" s="93"/>
      <c r="AQ864" s="93"/>
      <c r="AR864" s="93"/>
      <c r="AS864" s="93"/>
      <c r="AT864" s="93"/>
      <c r="AU864" s="93"/>
      <c r="AV864" s="93"/>
      <c r="AW864" s="93"/>
      <c r="AX864" s="93"/>
      <c r="AY864" s="93"/>
      <c r="AZ864" s="93"/>
      <c r="BA864" s="93"/>
      <c r="BB864" s="93"/>
    </row>
    <row r="865" spans="1:54" ht="13.2">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c r="AC865" s="93"/>
      <c r="AD865" s="93"/>
      <c r="AE865" s="93"/>
      <c r="AF865" s="93"/>
      <c r="AG865" s="93"/>
      <c r="AH865" s="93"/>
      <c r="AI865" s="93"/>
      <c r="AJ865" s="93"/>
      <c r="AK865" s="93"/>
      <c r="AL865" s="115"/>
      <c r="AM865" s="93"/>
      <c r="AN865" s="93"/>
      <c r="AO865" s="93"/>
      <c r="AP865" s="93"/>
      <c r="AQ865" s="93"/>
      <c r="AR865" s="93"/>
      <c r="AS865" s="93"/>
      <c r="AT865" s="93"/>
      <c r="AU865" s="93"/>
      <c r="AV865" s="93"/>
      <c r="AW865" s="93"/>
      <c r="AX865" s="93"/>
      <c r="AY865" s="93"/>
      <c r="AZ865" s="93"/>
      <c r="BA865" s="93"/>
      <c r="BB865" s="93"/>
    </row>
    <row r="866" spans="1:54" ht="13.2">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c r="AI866" s="93"/>
      <c r="AJ866" s="93"/>
      <c r="AK866" s="93"/>
      <c r="AL866" s="115"/>
      <c r="AM866" s="93"/>
      <c r="AN866" s="93"/>
      <c r="AO866" s="93"/>
      <c r="AP866" s="93"/>
      <c r="AQ866" s="93"/>
      <c r="AR866" s="93"/>
      <c r="AS866" s="93"/>
      <c r="AT866" s="93"/>
      <c r="AU866" s="93"/>
      <c r="AV866" s="93"/>
      <c r="AW866" s="93"/>
      <c r="AX866" s="93"/>
      <c r="AY866" s="93"/>
      <c r="AZ866" s="93"/>
      <c r="BA866" s="93"/>
      <c r="BB866" s="93"/>
    </row>
    <row r="867" spans="1:54" ht="13.2">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c r="AI867" s="93"/>
      <c r="AJ867" s="93"/>
      <c r="AK867" s="93"/>
      <c r="AL867" s="115"/>
      <c r="AM867" s="93"/>
      <c r="AN867" s="93"/>
      <c r="AO867" s="93"/>
      <c r="AP867" s="93"/>
      <c r="AQ867" s="93"/>
      <c r="AR867" s="93"/>
      <c r="AS867" s="93"/>
      <c r="AT867" s="93"/>
      <c r="AU867" s="93"/>
      <c r="AV867" s="93"/>
      <c r="AW867" s="93"/>
      <c r="AX867" s="93"/>
      <c r="AY867" s="93"/>
      <c r="AZ867" s="93"/>
      <c r="BA867" s="93"/>
      <c r="BB867" s="93"/>
    </row>
    <row r="868" spans="1:54" ht="13.2">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c r="AI868" s="93"/>
      <c r="AJ868" s="93"/>
      <c r="AK868" s="93"/>
      <c r="AL868" s="115"/>
      <c r="AM868" s="93"/>
      <c r="AN868" s="93"/>
      <c r="AO868" s="93"/>
      <c r="AP868" s="93"/>
      <c r="AQ868" s="93"/>
      <c r="AR868" s="93"/>
      <c r="AS868" s="93"/>
      <c r="AT868" s="93"/>
      <c r="AU868" s="93"/>
      <c r="AV868" s="93"/>
      <c r="AW868" s="93"/>
      <c r="AX868" s="93"/>
      <c r="AY868" s="93"/>
      <c r="AZ868" s="93"/>
      <c r="BA868" s="93"/>
      <c r="BB868" s="93"/>
    </row>
    <row r="869" spans="1:54" ht="13.2">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c r="AI869" s="93"/>
      <c r="AJ869" s="93"/>
      <c r="AK869" s="93"/>
      <c r="AL869" s="115"/>
      <c r="AM869" s="93"/>
      <c r="AN869" s="93"/>
      <c r="AO869" s="93"/>
      <c r="AP869" s="93"/>
      <c r="AQ869" s="93"/>
      <c r="AR869" s="93"/>
      <c r="AS869" s="93"/>
      <c r="AT869" s="93"/>
      <c r="AU869" s="93"/>
      <c r="AV869" s="93"/>
      <c r="AW869" s="93"/>
      <c r="AX869" s="93"/>
      <c r="AY869" s="93"/>
      <c r="AZ869" s="93"/>
      <c r="BA869" s="93"/>
      <c r="BB869" s="93"/>
    </row>
    <row r="870" spans="1:54" ht="13.2">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c r="AI870" s="93"/>
      <c r="AJ870" s="93"/>
      <c r="AK870" s="93"/>
      <c r="AL870" s="115"/>
      <c r="AM870" s="93"/>
      <c r="AN870" s="93"/>
      <c r="AO870" s="93"/>
      <c r="AP870" s="93"/>
      <c r="AQ870" s="93"/>
      <c r="AR870" s="93"/>
      <c r="AS870" s="93"/>
      <c r="AT870" s="93"/>
      <c r="AU870" s="93"/>
      <c r="AV870" s="93"/>
      <c r="AW870" s="93"/>
      <c r="AX870" s="93"/>
      <c r="AY870" s="93"/>
      <c r="AZ870" s="93"/>
      <c r="BA870" s="93"/>
      <c r="BB870" s="93"/>
    </row>
    <row r="871" spans="1:54" ht="13.2">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c r="AI871" s="93"/>
      <c r="AJ871" s="93"/>
      <c r="AK871" s="93"/>
      <c r="AL871" s="115"/>
      <c r="AM871" s="93"/>
      <c r="AN871" s="93"/>
      <c r="AO871" s="93"/>
      <c r="AP871" s="93"/>
      <c r="AQ871" s="93"/>
      <c r="AR871" s="93"/>
      <c r="AS871" s="93"/>
      <c r="AT871" s="93"/>
      <c r="AU871" s="93"/>
      <c r="AV871" s="93"/>
      <c r="AW871" s="93"/>
      <c r="AX871" s="93"/>
      <c r="AY871" s="93"/>
      <c r="AZ871" s="93"/>
      <c r="BA871" s="93"/>
      <c r="BB871" s="93"/>
    </row>
    <row r="872" spans="1:54" ht="13.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c r="AC872" s="93"/>
      <c r="AD872" s="93"/>
      <c r="AE872" s="93"/>
      <c r="AF872" s="93"/>
      <c r="AG872" s="93"/>
      <c r="AH872" s="93"/>
      <c r="AI872" s="93"/>
      <c r="AJ872" s="93"/>
      <c r="AK872" s="93"/>
      <c r="AL872" s="115"/>
      <c r="AM872" s="93"/>
      <c r="AN872" s="93"/>
      <c r="AO872" s="93"/>
      <c r="AP872" s="93"/>
      <c r="AQ872" s="93"/>
      <c r="AR872" s="93"/>
      <c r="AS872" s="93"/>
      <c r="AT872" s="93"/>
      <c r="AU872" s="93"/>
      <c r="AV872" s="93"/>
      <c r="AW872" s="93"/>
      <c r="AX872" s="93"/>
      <c r="AY872" s="93"/>
      <c r="AZ872" s="93"/>
      <c r="BA872" s="93"/>
      <c r="BB872" s="93"/>
    </row>
    <row r="873" spans="1:54" ht="13.2">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c r="AI873" s="93"/>
      <c r="AJ873" s="93"/>
      <c r="AK873" s="93"/>
      <c r="AL873" s="115"/>
      <c r="AM873" s="93"/>
      <c r="AN873" s="93"/>
      <c r="AO873" s="93"/>
      <c r="AP873" s="93"/>
      <c r="AQ873" s="93"/>
      <c r="AR873" s="93"/>
      <c r="AS873" s="93"/>
      <c r="AT873" s="93"/>
      <c r="AU873" s="93"/>
      <c r="AV873" s="93"/>
      <c r="AW873" s="93"/>
      <c r="AX873" s="93"/>
      <c r="AY873" s="93"/>
      <c r="AZ873" s="93"/>
      <c r="BA873" s="93"/>
      <c r="BB873" s="93"/>
    </row>
    <row r="874" spans="1:54" ht="13.2">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c r="AI874" s="93"/>
      <c r="AJ874" s="93"/>
      <c r="AK874" s="93"/>
      <c r="AL874" s="115"/>
      <c r="AM874" s="93"/>
      <c r="AN874" s="93"/>
      <c r="AO874" s="93"/>
      <c r="AP874" s="93"/>
      <c r="AQ874" s="93"/>
      <c r="AR874" s="93"/>
      <c r="AS874" s="93"/>
      <c r="AT874" s="93"/>
      <c r="AU874" s="93"/>
      <c r="AV874" s="93"/>
      <c r="AW874" s="93"/>
      <c r="AX874" s="93"/>
      <c r="AY874" s="93"/>
      <c r="AZ874" s="93"/>
      <c r="BA874" s="93"/>
      <c r="BB874" s="93"/>
    </row>
    <row r="875" spans="1:54" ht="13.2">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c r="AI875" s="93"/>
      <c r="AJ875" s="93"/>
      <c r="AK875" s="93"/>
      <c r="AL875" s="115"/>
      <c r="AM875" s="93"/>
      <c r="AN875" s="93"/>
      <c r="AO875" s="93"/>
      <c r="AP875" s="93"/>
      <c r="AQ875" s="93"/>
      <c r="AR875" s="93"/>
      <c r="AS875" s="93"/>
      <c r="AT875" s="93"/>
      <c r="AU875" s="93"/>
      <c r="AV875" s="93"/>
      <c r="AW875" s="93"/>
      <c r="AX875" s="93"/>
      <c r="AY875" s="93"/>
      <c r="AZ875" s="93"/>
      <c r="BA875" s="93"/>
      <c r="BB875" s="93"/>
    </row>
    <row r="876" spans="1:54" ht="13.2">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c r="AC876" s="93"/>
      <c r="AD876" s="93"/>
      <c r="AE876" s="93"/>
      <c r="AF876" s="93"/>
      <c r="AG876" s="93"/>
      <c r="AH876" s="93"/>
      <c r="AI876" s="93"/>
      <c r="AJ876" s="93"/>
      <c r="AK876" s="93"/>
      <c r="AL876" s="115"/>
      <c r="AM876" s="93"/>
      <c r="AN876" s="93"/>
      <c r="AO876" s="93"/>
      <c r="AP876" s="93"/>
      <c r="AQ876" s="93"/>
      <c r="AR876" s="93"/>
      <c r="AS876" s="93"/>
      <c r="AT876" s="93"/>
      <c r="AU876" s="93"/>
      <c r="AV876" s="93"/>
      <c r="AW876" s="93"/>
      <c r="AX876" s="93"/>
      <c r="AY876" s="93"/>
      <c r="AZ876" s="93"/>
      <c r="BA876" s="93"/>
      <c r="BB876" s="93"/>
    </row>
    <row r="877" spans="1:54" ht="13.2">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c r="AC877" s="93"/>
      <c r="AD877" s="93"/>
      <c r="AE877" s="93"/>
      <c r="AF877" s="93"/>
      <c r="AG877" s="93"/>
      <c r="AH877" s="93"/>
      <c r="AI877" s="93"/>
      <c r="AJ877" s="93"/>
      <c r="AK877" s="93"/>
      <c r="AL877" s="115"/>
      <c r="AM877" s="93"/>
      <c r="AN877" s="93"/>
      <c r="AO877" s="93"/>
      <c r="AP877" s="93"/>
      <c r="AQ877" s="93"/>
      <c r="AR877" s="93"/>
      <c r="AS877" s="93"/>
      <c r="AT877" s="93"/>
      <c r="AU877" s="93"/>
      <c r="AV877" s="93"/>
      <c r="AW877" s="93"/>
      <c r="AX877" s="93"/>
      <c r="AY877" s="93"/>
      <c r="AZ877" s="93"/>
      <c r="BA877" s="93"/>
      <c r="BB877" s="93"/>
    </row>
    <row r="878" spans="1:54" ht="13.2">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c r="AC878" s="93"/>
      <c r="AD878" s="93"/>
      <c r="AE878" s="93"/>
      <c r="AF878" s="93"/>
      <c r="AG878" s="93"/>
      <c r="AH878" s="93"/>
      <c r="AI878" s="93"/>
      <c r="AJ878" s="93"/>
      <c r="AK878" s="93"/>
      <c r="AL878" s="115"/>
      <c r="AM878" s="93"/>
      <c r="AN878" s="93"/>
      <c r="AO878" s="93"/>
      <c r="AP878" s="93"/>
      <c r="AQ878" s="93"/>
      <c r="AR878" s="93"/>
      <c r="AS878" s="93"/>
      <c r="AT878" s="93"/>
      <c r="AU878" s="93"/>
      <c r="AV878" s="93"/>
      <c r="AW878" s="93"/>
      <c r="AX878" s="93"/>
      <c r="AY878" s="93"/>
      <c r="AZ878" s="93"/>
      <c r="BA878" s="93"/>
      <c r="BB878" s="93"/>
    </row>
    <row r="879" spans="1:54" ht="13.2">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c r="AC879" s="93"/>
      <c r="AD879" s="93"/>
      <c r="AE879" s="93"/>
      <c r="AF879" s="93"/>
      <c r="AG879" s="93"/>
      <c r="AH879" s="93"/>
      <c r="AI879" s="93"/>
      <c r="AJ879" s="93"/>
      <c r="AK879" s="93"/>
      <c r="AL879" s="115"/>
      <c r="AM879" s="93"/>
      <c r="AN879" s="93"/>
      <c r="AO879" s="93"/>
      <c r="AP879" s="93"/>
      <c r="AQ879" s="93"/>
      <c r="AR879" s="93"/>
      <c r="AS879" s="93"/>
      <c r="AT879" s="93"/>
      <c r="AU879" s="93"/>
      <c r="AV879" s="93"/>
      <c r="AW879" s="93"/>
      <c r="AX879" s="93"/>
      <c r="AY879" s="93"/>
      <c r="AZ879" s="93"/>
      <c r="BA879" s="93"/>
      <c r="BB879" s="93"/>
    </row>
    <row r="880" spans="1:54" ht="13.2">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c r="AC880" s="93"/>
      <c r="AD880" s="93"/>
      <c r="AE880" s="93"/>
      <c r="AF880" s="93"/>
      <c r="AG880" s="93"/>
      <c r="AH880" s="93"/>
      <c r="AI880" s="93"/>
      <c r="AJ880" s="93"/>
      <c r="AK880" s="93"/>
      <c r="AL880" s="115"/>
      <c r="AM880" s="93"/>
      <c r="AN880" s="93"/>
      <c r="AO880" s="93"/>
      <c r="AP880" s="93"/>
      <c r="AQ880" s="93"/>
      <c r="AR880" s="93"/>
      <c r="AS880" s="93"/>
      <c r="AT880" s="93"/>
      <c r="AU880" s="93"/>
      <c r="AV880" s="93"/>
      <c r="AW880" s="93"/>
      <c r="AX880" s="93"/>
      <c r="AY880" s="93"/>
      <c r="AZ880" s="93"/>
      <c r="BA880" s="93"/>
      <c r="BB880" s="93"/>
    </row>
    <row r="881" spans="1:54" ht="13.2">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c r="AC881" s="93"/>
      <c r="AD881" s="93"/>
      <c r="AE881" s="93"/>
      <c r="AF881" s="93"/>
      <c r="AG881" s="93"/>
      <c r="AH881" s="93"/>
      <c r="AI881" s="93"/>
      <c r="AJ881" s="93"/>
      <c r="AK881" s="93"/>
      <c r="AL881" s="115"/>
      <c r="AM881" s="93"/>
      <c r="AN881" s="93"/>
      <c r="AO881" s="93"/>
      <c r="AP881" s="93"/>
      <c r="AQ881" s="93"/>
      <c r="AR881" s="93"/>
      <c r="AS881" s="93"/>
      <c r="AT881" s="93"/>
      <c r="AU881" s="93"/>
      <c r="AV881" s="93"/>
      <c r="AW881" s="93"/>
      <c r="AX881" s="93"/>
      <c r="AY881" s="93"/>
      <c r="AZ881" s="93"/>
      <c r="BA881" s="93"/>
      <c r="BB881" s="93"/>
    </row>
    <row r="882" spans="1:54" ht="13.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c r="AC882" s="93"/>
      <c r="AD882" s="93"/>
      <c r="AE882" s="93"/>
      <c r="AF882" s="93"/>
      <c r="AG882" s="93"/>
      <c r="AH882" s="93"/>
      <c r="AI882" s="93"/>
      <c r="AJ882" s="93"/>
      <c r="AK882" s="93"/>
      <c r="AL882" s="115"/>
      <c r="AM882" s="93"/>
      <c r="AN882" s="93"/>
      <c r="AO882" s="93"/>
      <c r="AP882" s="93"/>
      <c r="AQ882" s="93"/>
      <c r="AR882" s="93"/>
      <c r="AS882" s="93"/>
      <c r="AT882" s="93"/>
      <c r="AU882" s="93"/>
      <c r="AV882" s="93"/>
      <c r="AW882" s="93"/>
      <c r="AX882" s="93"/>
      <c r="AY882" s="93"/>
      <c r="AZ882" s="93"/>
      <c r="BA882" s="93"/>
      <c r="BB882" s="93"/>
    </row>
    <row r="883" spans="1:54" ht="13.2">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c r="AE883" s="93"/>
      <c r="AF883" s="93"/>
      <c r="AG883" s="93"/>
      <c r="AH883" s="93"/>
      <c r="AI883" s="93"/>
      <c r="AJ883" s="93"/>
      <c r="AK883" s="93"/>
      <c r="AL883" s="115"/>
      <c r="AM883" s="93"/>
      <c r="AN883" s="93"/>
      <c r="AO883" s="93"/>
      <c r="AP883" s="93"/>
      <c r="AQ883" s="93"/>
      <c r="AR883" s="93"/>
      <c r="AS883" s="93"/>
      <c r="AT883" s="93"/>
      <c r="AU883" s="93"/>
      <c r="AV883" s="93"/>
      <c r="AW883" s="93"/>
      <c r="AX883" s="93"/>
      <c r="AY883" s="93"/>
      <c r="AZ883" s="93"/>
      <c r="BA883" s="93"/>
      <c r="BB883" s="93"/>
    </row>
    <row r="884" spans="1:54" ht="13.2">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c r="AC884" s="93"/>
      <c r="AD884" s="93"/>
      <c r="AE884" s="93"/>
      <c r="AF884" s="93"/>
      <c r="AG884" s="93"/>
      <c r="AH884" s="93"/>
      <c r="AI884" s="93"/>
      <c r="AJ884" s="93"/>
      <c r="AK884" s="93"/>
      <c r="AL884" s="115"/>
      <c r="AM884" s="93"/>
      <c r="AN884" s="93"/>
      <c r="AO884" s="93"/>
      <c r="AP884" s="93"/>
      <c r="AQ884" s="93"/>
      <c r="AR884" s="93"/>
      <c r="AS884" s="93"/>
      <c r="AT884" s="93"/>
      <c r="AU884" s="93"/>
      <c r="AV884" s="93"/>
      <c r="AW884" s="93"/>
      <c r="AX884" s="93"/>
      <c r="AY884" s="93"/>
      <c r="AZ884" s="93"/>
      <c r="BA884" s="93"/>
      <c r="BB884" s="93"/>
    </row>
    <row r="885" spans="1:54" ht="13.2">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c r="AC885" s="93"/>
      <c r="AD885" s="93"/>
      <c r="AE885" s="93"/>
      <c r="AF885" s="93"/>
      <c r="AG885" s="93"/>
      <c r="AH885" s="93"/>
      <c r="AI885" s="93"/>
      <c r="AJ885" s="93"/>
      <c r="AK885" s="93"/>
      <c r="AL885" s="115"/>
      <c r="AM885" s="93"/>
      <c r="AN885" s="93"/>
      <c r="AO885" s="93"/>
      <c r="AP885" s="93"/>
      <c r="AQ885" s="93"/>
      <c r="AR885" s="93"/>
      <c r="AS885" s="93"/>
      <c r="AT885" s="93"/>
      <c r="AU885" s="93"/>
      <c r="AV885" s="93"/>
      <c r="AW885" s="93"/>
      <c r="AX885" s="93"/>
      <c r="AY885" s="93"/>
      <c r="AZ885" s="93"/>
      <c r="BA885" s="93"/>
      <c r="BB885" s="93"/>
    </row>
    <row r="886" spans="1:54" ht="13.2">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c r="AC886" s="93"/>
      <c r="AD886" s="93"/>
      <c r="AE886" s="93"/>
      <c r="AF886" s="93"/>
      <c r="AG886" s="93"/>
      <c r="AH886" s="93"/>
      <c r="AI886" s="93"/>
      <c r="AJ886" s="93"/>
      <c r="AK886" s="93"/>
      <c r="AL886" s="115"/>
      <c r="AM886" s="93"/>
      <c r="AN886" s="93"/>
      <c r="AO886" s="93"/>
      <c r="AP886" s="93"/>
      <c r="AQ886" s="93"/>
      <c r="AR886" s="93"/>
      <c r="AS886" s="93"/>
      <c r="AT886" s="93"/>
      <c r="AU886" s="93"/>
      <c r="AV886" s="93"/>
      <c r="AW886" s="93"/>
      <c r="AX886" s="93"/>
      <c r="AY886" s="93"/>
      <c r="AZ886" s="93"/>
      <c r="BA886" s="93"/>
      <c r="BB886" s="93"/>
    </row>
    <row r="887" spans="1:54" ht="13.2">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c r="AC887" s="93"/>
      <c r="AD887" s="93"/>
      <c r="AE887" s="93"/>
      <c r="AF887" s="93"/>
      <c r="AG887" s="93"/>
      <c r="AH887" s="93"/>
      <c r="AI887" s="93"/>
      <c r="AJ887" s="93"/>
      <c r="AK887" s="93"/>
      <c r="AL887" s="115"/>
      <c r="AM887" s="93"/>
      <c r="AN887" s="93"/>
      <c r="AO887" s="93"/>
      <c r="AP887" s="93"/>
      <c r="AQ887" s="93"/>
      <c r="AR887" s="93"/>
      <c r="AS887" s="93"/>
      <c r="AT887" s="93"/>
      <c r="AU887" s="93"/>
      <c r="AV887" s="93"/>
      <c r="AW887" s="93"/>
      <c r="AX887" s="93"/>
      <c r="AY887" s="93"/>
      <c r="AZ887" s="93"/>
      <c r="BA887" s="93"/>
      <c r="BB887" s="93"/>
    </row>
    <row r="888" spans="1:54" ht="13.2">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c r="AC888" s="93"/>
      <c r="AD888" s="93"/>
      <c r="AE888" s="93"/>
      <c r="AF888" s="93"/>
      <c r="AG888" s="93"/>
      <c r="AH888" s="93"/>
      <c r="AI888" s="93"/>
      <c r="AJ888" s="93"/>
      <c r="AK888" s="93"/>
      <c r="AL888" s="115"/>
      <c r="AM888" s="93"/>
      <c r="AN888" s="93"/>
      <c r="AO888" s="93"/>
      <c r="AP888" s="93"/>
      <c r="AQ888" s="93"/>
      <c r="AR888" s="93"/>
      <c r="AS888" s="93"/>
      <c r="AT888" s="93"/>
      <c r="AU888" s="93"/>
      <c r="AV888" s="93"/>
      <c r="AW888" s="93"/>
      <c r="AX888" s="93"/>
      <c r="AY888" s="93"/>
      <c r="AZ888" s="93"/>
      <c r="BA888" s="93"/>
      <c r="BB888" s="93"/>
    </row>
    <row r="889" spans="1:54" ht="13.2">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c r="AE889" s="93"/>
      <c r="AF889" s="93"/>
      <c r="AG889" s="93"/>
      <c r="AH889" s="93"/>
      <c r="AI889" s="93"/>
      <c r="AJ889" s="93"/>
      <c r="AK889" s="93"/>
      <c r="AL889" s="115"/>
      <c r="AM889" s="93"/>
      <c r="AN889" s="93"/>
      <c r="AO889" s="93"/>
      <c r="AP889" s="93"/>
      <c r="AQ889" s="93"/>
      <c r="AR889" s="93"/>
      <c r="AS889" s="93"/>
      <c r="AT889" s="93"/>
      <c r="AU889" s="93"/>
      <c r="AV889" s="93"/>
      <c r="AW889" s="93"/>
      <c r="AX889" s="93"/>
      <c r="AY889" s="93"/>
      <c r="AZ889" s="93"/>
      <c r="BA889" s="93"/>
      <c r="BB889" s="93"/>
    </row>
    <row r="890" spans="1:54" ht="13.2">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c r="AC890" s="93"/>
      <c r="AD890" s="93"/>
      <c r="AE890" s="93"/>
      <c r="AF890" s="93"/>
      <c r="AG890" s="93"/>
      <c r="AH890" s="93"/>
      <c r="AI890" s="93"/>
      <c r="AJ890" s="93"/>
      <c r="AK890" s="93"/>
      <c r="AL890" s="115"/>
      <c r="AM890" s="93"/>
      <c r="AN890" s="93"/>
      <c r="AO890" s="93"/>
      <c r="AP890" s="93"/>
      <c r="AQ890" s="93"/>
      <c r="AR890" s="93"/>
      <c r="AS890" s="93"/>
      <c r="AT890" s="93"/>
      <c r="AU890" s="93"/>
      <c r="AV890" s="93"/>
      <c r="AW890" s="93"/>
      <c r="AX890" s="93"/>
      <c r="AY890" s="93"/>
      <c r="AZ890" s="93"/>
      <c r="BA890" s="93"/>
      <c r="BB890" s="93"/>
    </row>
    <row r="891" spans="1:54" ht="13.2">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c r="AC891" s="93"/>
      <c r="AD891" s="93"/>
      <c r="AE891" s="93"/>
      <c r="AF891" s="93"/>
      <c r="AG891" s="93"/>
      <c r="AH891" s="93"/>
      <c r="AI891" s="93"/>
      <c r="AJ891" s="93"/>
      <c r="AK891" s="93"/>
      <c r="AL891" s="115"/>
      <c r="AM891" s="93"/>
      <c r="AN891" s="93"/>
      <c r="AO891" s="93"/>
      <c r="AP891" s="93"/>
      <c r="AQ891" s="93"/>
      <c r="AR891" s="93"/>
      <c r="AS891" s="93"/>
      <c r="AT891" s="93"/>
      <c r="AU891" s="93"/>
      <c r="AV891" s="93"/>
      <c r="AW891" s="93"/>
      <c r="AX891" s="93"/>
      <c r="AY891" s="93"/>
      <c r="AZ891" s="93"/>
      <c r="BA891" s="93"/>
      <c r="BB891" s="93"/>
    </row>
    <row r="892" spans="1:54" ht="13.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c r="AE892" s="93"/>
      <c r="AF892" s="93"/>
      <c r="AG892" s="93"/>
      <c r="AH892" s="93"/>
      <c r="AI892" s="93"/>
      <c r="AJ892" s="93"/>
      <c r="AK892" s="93"/>
      <c r="AL892" s="115"/>
      <c r="AM892" s="93"/>
      <c r="AN892" s="93"/>
      <c r="AO892" s="93"/>
      <c r="AP892" s="93"/>
      <c r="AQ892" s="93"/>
      <c r="AR892" s="93"/>
      <c r="AS892" s="93"/>
      <c r="AT892" s="93"/>
      <c r="AU892" s="93"/>
      <c r="AV892" s="93"/>
      <c r="AW892" s="93"/>
      <c r="AX892" s="93"/>
      <c r="AY892" s="93"/>
      <c r="AZ892" s="93"/>
      <c r="BA892" s="93"/>
      <c r="BB892" s="93"/>
    </row>
    <row r="893" spans="1:54" ht="13.2">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c r="AC893" s="93"/>
      <c r="AD893" s="93"/>
      <c r="AE893" s="93"/>
      <c r="AF893" s="93"/>
      <c r="AG893" s="93"/>
      <c r="AH893" s="93"/>
      <c r="AI893" s="93"/>
      <c r="AJ893" s="93"/>
      <c r="AK893" s="93"/>
      <c r="AL893" s="115"/>
      <c r="AM893" s="93"/>
      <c r="AN893" s="93"/>
      <c r="AO893" s="93"/>
      <c r="AP893" s="93"/>
      <c r="AQ893" s="93"/>
      <c r="AR893" s="93"/>
      <c r="AS893" s="93"/>
      <c r="AT893" s="93"/>
      <c r="AU893" s="93"/>
      <c r="AV893" s="93"/>
      <c r="AW893" s="93"/>
      <c r="AX893" s="93"/>
      <c r="AY893" s="93"/>
      <c r="AZ893" s="93"/>
      <c r="BA893" s="93"/>
      <c r="BB893" s="93"/>
    </row>
    <row r="894" spans="1:54" ht="13.2">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c r="AC894" s="93"/>
      <c r="AD894" s="93"/>
      <c r="AE894" s="93"/>
      <c r="AF894" s="93"/>
      <c r="AG894" s="93"/>
      <c r="AH894" s="93"/>
      <c r="AI894" s="93"/>
      <c r="AJ894" s="93"/>
      <c r="AK894" s="93"/>
      <c r="AL894" s="115"/>
      <c r="AM894" s="93"/>
      <c r="AN894" s="93"/>
      <c r="AO894" s="93"/>
      <c r="AP894" s="93"/>
      <c r="AQ894" s="93"/>
      <c r="AR894" s="93"/>
      <c r="AS894" s="93"/>
      <c r="AT894" s="93"/>
      <c r="AU894" s="93"/>
      <c r="AV894" s="93"/>
      <c r="AW894" s="93"/>
      <c r="AX894" s="93"/>
      <c r="AY894" s="93"/>
      <c r="AZ894" s="93"/>
      <c r="BA894" s="93"/>
      <c r="BB894" s="93"/>
    </row>
    <row r="895" spans="1:54" ht="13.2">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c r="AC895" s="93"/>
      <c r="AD895" s="93"/>
      <c r="AE895" s="93"/>
      <c r="AF895" s="93"/>
      <c r="AG895" s="93"/>
      <c r="AH895" s="93"/>
      <c r="AI895" s="93"/>
      <c r="AJ895" s="93"/>
      <c r="AK895" s="93"/>
      <c r="AL895" s="115"/>
      <c r="AM895" s="93"/>
      <c r="AN895" s="93"/>
      <c r="AO895" s="93"/>
      <c r="AP895" s="93"/>
      <c r="AQ895" s="93"/>
      <c r="AR895" s="93"/>
      <c r="AS895" s="93"/>
      <c r="AT895" s="93"/>
      <c r="AU895" s="93"/>
      <c r="AV895" s="93"/>
      <c r="AW895" s="93"/>
      <c r="AX895" s="93"/>
      <c r="AY895" s="93"/>
      <c r="AZ895" s="93"/>
      <c r="BA895" s="93"/>
      <c r="BB895" s="93"/>
    </row>
    <row r="896" spans="1:54" ht="13.2">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c r="AC896" s="93"/>
      <c r="AD896" s="93"/>
      <c r="AE896" s="93"/>
      <c r="AF896" s="93"/>
      <c r="AG896" s="93"/>
      <c r="AH896" s="93"/>
      <c r="AI896" s="93"/>
      <c r="AJ896" s="93"/>
      <c r="AK896" s="93"/>
      <c r="AL896" s="115"/>
      <c r="AM896" s="93"/>
      <c r="AN896" s="93"/>
      <c r="AO896" s="93"/>
      <c r="AP896" s="93"/>
      <c r="AQ896" s="93"/>
      <c r="AR896" s="93"/>
      <c r="AS896" s="93"/>
      <c r="AT896" s="93"/>
      <c r="AU896" s="93"/>
      <c r="AV896" s="93"/>
      <c r="AW896" s="93"/>
      <c r="AX896" s="93"/>
      <c r="AY896" s="93"/>
      <c r="AZ896" s="93"/>
      <c r="BA896" s="93"/>
      <c r="BB896" s="93"/>
    </row>
    <row r="897" spans="1:54" ht="13.2">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c r="AC897" s="93"/>
      <c r="AD897" s="93"/>
      <c r="AE897" s="93"/>
      <c r="AF897" s="93"/>
      <c r="AG897" s="93"/>
      <c r="AH897" s="93"/>
      <c r="AI897" s="93"/>
      <c r="AJ897" s="93"/>
      <c r="AK897" s="93"/>
      <c r="AL897" s="115"/>
      <c r="AM897" s="93"/>
      <c r="AN897" s="93"/>
      <c r="AO897" s="93"/>
      <c r="AP897" s="93"/>
      <c r="AQ897" s="93"/>
      <c r="AR897" s="93"/>
      <c r="AS897" s="93"/>
      <c r="AT897" s="93"/>
      <c r="AU897" s="93"/>
      <c r="AV897" s="93"/>
      <c r="AW897" s="93"/>
      <c r="AX897" s="93"/>
      <c r="AY897" s="93"/>
      <c r="AZ897" s="93"/>
      <c r="BA897" s="93"/>
      <c r="BB897" s="93"/>
    </row>
    <row r="898" spans="1:54" ht="13.2">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c r="AE898" s="93"/>
      <c r="AF898" s="93"/>
      <c r="AG898" s="93"/>
      <c r="AH898" s="93"/>
      <c r="AI898" s="93"/>
      <c r="AJ898" s="93"/>
      <c r="AK898" s="93"/>
      <c r="AL898" s="115"/>
      <c r="AM898" s="93"/>
      <c r="AN898" s="93"/>
      <c r="AO898" s="93"/>
      <c r="AP898" s="93"/>
      <c r="AQ898" s="93"/>
      <c r="AR898" s="93"/>
      <c r="AS898" s="93"/>
      <c r="AT898" s="93"/>
      <c r="AU898" s="93"/>
      <c r="AV898" s="93"/>
      <c r="AW898" s="93"/>
      <c r="AX898" s="93"/>
      <c r="AY898" s="93"/>
      <c r="AZ898" s="93"/>
      <c r="BA898" s="93"/>
      <c r="BB898" s="93"/>
    </row>
    <row r="899" spans="1:54" ht="13.2">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c r="AC899" s="93"/>
      <c r="AD899" s="93"/>
      <c r="AE899" s="93"/>
      <c r="AF899" s="93"/>
      <c r="AG899" s="93"/>
      <c r="AH899" s="93"/>
      <c r="AI899" s="93"/>
      <c r="AJ899" s="93"/>
      <c r="AK899" s="93"/>
      <c r="AL899" s="115"/>
      <c r="AM899" s="93"/>
      <c r="AN899" s="93"/>
      <c r="AO899" s="93"/>
      <c r="AP899" s="93"/>
      <c r="AQ899" s="93"/>
      <c r="AR899" s="93"/>
      <c r="AS899" s="93"/>
      <c r="AT899" s="93"/>
      <c r="AU899" s="93"/>
      <c r="AV899" s="93"/>
      <c r="AW899" s="93"/>
      <c r="AX899" s="93"/>
      <c r="AY899" s="93"/>
      <c r="AZ899" s="93"/>
      <c r="BA899" s="93"/>
      <c r="BB899" s="93"/>
    </row>
    <row r="900" spans="1:54" ht="13.2">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c r="AC900" s="93"/>
      <c r="AD900" s="93"/>
      <c r="AE900" s="93"/>
      <c r="AF900" s="93"/>
      <c r="AG900" s="93"/>
      <c r="AH900" s="93"/>
      <c r="AI900" s="93"/>
      <c r="AJ900" s="93"/>
      <c r="AK900" s="93"/>
      <c r="AL900" s="115"/>
      <c r="AM900" s="93"/>
      <c r="AN900" s="93"/>
      <c r="AO900" s="93"/>
      <c r="AP900" s="93"/>
      <c r="AQ900" s="93"/>
      <c r="AR900" s="93"/>
      <c r="AS900" s="93"/>
      <c r="AT900" s="93"/>
      <c r="AU900" s="93"/>
      <c r="AV900" s="93"/>
      <c r="AW900" s="93"/>
      <c r="AX900" s="93"/>
      <c r="AY900" s="93"/>
      <c r="AZ900" s="93"/>
      <c r="BA900" s="93"/>
      <c r="BB900" s="93"/>
    </row>
    <row r="901" spans="1:54" ht="13.2">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c r="AC901" s="93"/>
      <c r="AD901" s="93"/>
      <c r="AE901" s="93"/>
      <c r="AF901" s="93"/>
      <c r="AG901" s="93"/>
      <c r="AH901" s="93"/>
      <c r="AI901" s="93"/>
      <c r="AJ901" s="93"/>
      <c r="AK901" s="93"/>
      <c r="AL901" s="115"/>
      <c r="AM901" s="93"/>
      <c r="AN901" s="93"/>
      <c r="AO901" s="93"/>
      <c r="AP901" s="93"/>
      <c r="AQ901" s="93"/>
      <c r="AR901" s="93"/>
      <c r="AS901" s="93"/>
      <c r="AT901" s="93"/>
      <c r="AU901" s="93"/>
      <c r="AV901" s="93"/>
      <c r="AW901" s="93"/>
      <c r="AX901" s="93"/>
      <c r="AY901" s="93"/>
      <c r="AZ901" s="93"/>
      <c r="BA901" s="93"/>
      <c r="BB901" s="93"/>
    </row>
    <row r="902" spans="1:54" ht="13.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c r="AC902" s="93"/>
      <c r="AD902" s="93"/>
      <c r="AE902" s="93"/>
      <c r="AF902" s="93"/>
      <c r="AG902" s="93"/>
      <c r="AH902" s="93"/>
      <c r="AI902" s="93"/>
      <c r="AJ902" s="93"/>
      <c r="AK902" s="93"/>
      <c r="AL902" s="115"/>
      <c r="AM902" s="93"/>
      <c r="AN902" s="93"/>
      <c r="AO902" s="93"/>
      <c r="AP902" s="93"/>
      <c r="AQ902" s="93"/>
      <c r="AR902" s="93"/>
      <c r="AS902" s="93"/>
      <c r="AT902" s="93"/>
      <c r="AU902" s="93"/>
      <c r="AV902" s="93"/>
      <c r="AW902" s="93"/>
      <c r="AX902" s="93"/>
      <c r="AY902" s="93"/>
      <c r="AZ902" s="93"/>
      <c r="BA902" s="93"/>
      <c r="BB902" s="93"/>
    </row>
    <row r="903" spans="1:54" ht="13.2">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c r="AC903" s="93"/>
      <c r="AD903" s="93"/>
      <c r="AE903" s="93"/>
      <c r="AF903" s="93"/>
      <c r="AG903" s="93"/>
      <c r="AH903" s="93"/>
      <c r="AI903" s="93"/>
      <c r="AJ903" s="93"/>
      <c r="AK903" s="93"/>
      <c r="AL903" s="115"/>
      <c r="AM903" s="93"/>
      <c r="AN903" s="93"/>
      <c r="AO903" s="93"/>
      <c r="AP903" s="93"/>
      <c r="AQ903" s="93"/>
      <c r="AR903" s="93"/>
      <c r="AS903" s="93"/>
      <c r="AT903" s="93"/>
      <c r="AU903" s="93"/>
      <c r="AV903" s="93"/>
      <c r="AW903" s="93"/>
      <c r="AX903" s="93"/>
      <c r="AY903" s="93"/>
      <c r="AZ903" s="93"/>
      <c r="BA903" s="93"/>
      <c r="BB903" s="93"/>
    </row>
    <row r="904" spans="1:54" ht="13.2">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c r="AC904" s="93"/>
      <c r="AD904" s="93"/>
      <c r="AE904" s="93"/>
      <c r="AF904" s="93"/>
      <c r="AG904" s="93"/>
      <c r="AH904" s="93"/>
      <c r="AI904" s="93"/>
      <c r="AJ904" s="93"/>
      <c r="AK904" s="93"/>
      <c r="AL904" s="115"/>
      <c r="AM904" s="93"/>
      <c r="AN904" s="93"/>
      <c r="AO904" s="93"/>
      <c r="AP904" s="93"/>
      <c r="AQ904" s="93"/>
      <c r="AR904" s="93"/>
      <c r="AS904" s="93"/>
      <c r="AT904" s="93"/>
      <c r="AU904" s="93"/>
      <c r="AV904" s="93"/>
      <c r="AW904" s="93"/>
      <c r="AX904" s="93"/>
      <c r="AY904" s="93"/>
      <c r="AZ904" s="93"/>
      <c r="BA904" s="93"/>
      <c r="BB904" s="93"/>
    </row>
    <row r="905" spans="1:54" ht="13.2">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c r="AC905" s="93"/>
      <c r="AD905" s="93"/>
      <c r="AE905" s="93"/>
      <c r="AF905" s="93"/>
      <c r="AG905" s="93"/>
      <c r="AH905" s="93"/>
      <c r="AI905" s="93"/>
      <c r="AJ905" s="93"/>
      <c r="AK905" s="93"/>
      <c r="AL905" s="115"/>
      <c r="AM905" s="93"/>
      <c r="AN905" s="93"/>
      <c r="AO905" s="93"/>
      <c r="AP905" s="93"/>
      <c r="AQ905" s="93"/>
      <c r="AR905" s="93"/>
      <c r="AS905" s="93"/>
      <c r="AT905" s="93"/>
      <c r="AU905" s="93"/>
      <c r="AV905" s="93"/>
      <c r="AW905" s="93"/>
      <c r="AX905" s="93"/>
      <c r="AY905" s="93"/>
      <c r="AZ905" s="93"/>
      <c r="BA905" s="93"/>
      <c r="BB905" s="93"/>
    </row>
    <row r="906" spans="1:54" ht="13.2">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c r="AC906" s="93"/>
      <c r="AD906" s="93"/>
      <c r="AE906" s="93"/>
      <c r="AF906" s="93"/>
      <c r="AG906" s="93"/>
      <c r="AH906" s="93"/>
      <c r="AI906" s="93"/>
      <c r="AJ906" s="93"/>
      <c r="AK906" s="93"/>
      <c r="AL906" s="115"/>
      <c r="AM906" s="93"/>
      <c r="AN906" s="93"/>
      <c r="AO906" s="93"/>
      <c r="AP906" s="93"/>
      <c r="AQ906" s="93"/>
      <c r="AR906" s="93"/>
      <c r="AS906" s="93"/>
      <c r="AT906" s="93"/>
      <c r="AU906" s="93"/>
      <c r="AV906" s="93"/>
      <c r="AW906" s="93"/>
      <c r="AX906" s="93"/>
      <c r="AY906" s="93"/>
      <c r="AZ906" s="93"/>
      <c r="BA906" s="93"/>
      <c r="BB906" s="93"/>
    </row>
    <row r="907" spans="1:54" ht="13.2">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c r="AE907" s="93"/>
      <c r="AF907" s="93"/>
      <c r="AG907" s="93"/>
      <c r="AH907" s="93"/>
      <c r="AI907" s="93"/>
      <c r="AJ907" s="93"/>
      <c r="AK907" s="93"/>
      <c r="AL907" s="115"/>
      <c r="AM907" s="93"/>
      <c r="AN907" s="93"/>
      <c r="AO907" s="93"/>
      <c r="AP907" s="93"/>
      <c r="AQ907" s="93"/>
      <c r="AR907" s="93"/>
      <c r="AS907" s="93"/>
      <c r="AT907" s="93"/>
      <c r="AU907" s="93"/>
      <c r="AV907" s="93"/>
      <c r="AW907" s="93"/>
      <c r="AX907" s="93"/>
      <c r="AY907" s="93"/>
      <c r="AZ907" s="93"/>
      <c r="BA907" s="93"/>
      <c r="BB907" s="93"/>
    </row>
    <row r="908" spans="1:54" ht="13.2">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c r="AI908" s="93"/>
      <c r="AJ908" s="93"/>
      <c r="AK908" s="93"/>
      <c r="AL908" s="115"/>
      <c r="AM908" s="93"/>
      <c r="AN908" s="93"/>
      <c r="AO908" s="93"/>
      <c r="AP908" s="93"/>
      <c r="AQ908" s="93"/>
      <c r="AR908" s="93"/>
      <c r="AS908" s="93"/>
      <c r="AT908" s="93"/>
      <c r="AU908" s="93"/>
      <c r="AV908" s="93"/>
      <c r="AW908" s="93"/>
      <c r="AX908" s="93"/>
      <c r="AY908" s="93"/>
      <c r="AZ908" s="93"/>
      <c r="BA908" s="93"/>
      <c r="BB908" s="93"/>
    </row>
    <row r="909" spans="1:54" ht="13.2">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c r="AI909" s="93"/>
      <c r="AJ909" s="93"/>
      <c r="AK909" s="93"/>
      <c r="AL909" s="115"/>
      <c r="AM909" s="93"/>
      <c r="AN909" s="93"/>
      <c r="AO909" s="93"/>
      <c r="AP909" s="93"/>
      <c r="AQ909" s="93"/>
      <c r="AR909" s="93"/>
      <c r="AS909" s="93"/>
      <c r="AT909" s="93"/>
      <c r="AU909" s="93"/>
      <c r="AV909" s="93"/>
      <c r="AW909" s="93"/>
      <c r="AX909" s="93"/>
      <c r="AY909" s="93"/>
      <c r="AZ909" s="93"/>
      <c r="BA909" s="93"/>
      <c r="BB909" s="93"/>
    </row>
    <row r="910" spans="1:54" ht="13.2">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c r="AI910" s="93"/>
      <c r="AJ910" s="93"/>
      <c r="AK910" s="93"/>
      <c r="AL910" s="115"/>
      <c r="AM910" s="93"/>
      <c r="AN910" s="93"/>
      <c r="AO910" s="93"/>
      <c r="AP910" s="93"/>
      <c r="AQ910" s="93"/>
      <c r="AR910" s="93"/>
      <c r="AS910" s="93"/>
      <c r="AT910" s="93"/>
      <c r="AU910" s="93"/>
      <c r="AV910" s="93"/>
      <c r="AW910" s="93"/>
      <c r="AX910" s="93"/>
      <c r="AY910" s="93"/>
      <c r="AZ910" s="93"/>
      <c r="BA910" s="93"/>
      <c r="BB910" s="93"/>
    </row>
    <row r="911" spans="1:54" ht="13.2">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c r="AI911" s="93"/>
      <c r="AJ911" s="93"/>
      <c r="AK911" s="93"/>
      <c r="AL911" s="115"/>
      <c r="AM911" s="93"/>
      <c r="AN911" s="93"/>
      <c r="AO911" s="93"/>
      <c r="AP911" s="93"/>
      <c r="AQ911" s="93"/>
      <c r="AR911" s="93"/>
      <c r="AS911" s="93"/>
      <c r="AT911" s="93"/>
      <c r="AU911" s="93"/>
      <c r="AV911" s="93"/>
      <c r="AW911" s="93"/>
      <c r="AX911" s="93"/>
      <c r="AY911" s="93"/>
      <c r="AZ911" s="93"/>
      <c r="BA911" s="93"/>
      <c r="BB911" s="93"/>
    </row>
    <row r="912" spans="1:54" ht="13.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c r="AI912" s="93"/>
      <c r="AJ912" s="93"/>
      <c r="AK912" s="93"/>
      <c r="AL912" s="115"/>
      <c r="AM912" s="93"/>
      <c r="AN912" s="93"/>
      <c r="AO912" s="93"/>
      <c r="AP912" s="93"/>
      <c r="AQ912" s="93"/>
      <c r="AR912" s="93"/>
      <c r="AS912" s="93"/>
      <c r="AT912" s="93"/>
      <c r="AU912" s="93"/>
      <c r="AV912" s="93"/>
      <c r="AW912" s="93"/>
      <c r="AX912" s="93"/>
      <c r="AY912" s="93"/>
      <c r="AZ912" s="93"/>
      <c r="BA912" s="93"/>
      <c r="BB912" s="93"/>
    </row>
    <row r="913" spans="1:54" ht="13.2">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c r="AI913" s="93"/>
      <c r="AJ913" s="93"/>
      <c r="AK913" s="93"/>
      <c r="AL913" s="115"/>
      <c r="AM913" s="93"/>
      <c r="AN913" s="93"/>
      <c r="AO913" s="93"/>
      <c r="AP913" s="93"/>
      <c r="AQ913" s="93"/>
      <c r="AR913" s="93"/>
      <c r="AS913" s="93"/>
      <c r="AT913" s="93"/>
      <c r="AU913" s="93"/>
      <c r="AV913" s="93"/>
      <c r="AW913" s="93"/>
      <c r="AX913" s="93"/>
      <c r="AY913" s="93"/>
      <c r="AZ913" s="93"/>
      <c r="BA913" s="93"/>
      <c r="BB913" s="93"/>
    </row>
    <row r="914" spans="1:54" ht="13.2">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c r="AC914" s="93"/>
      <c r="AD914" s="93"/>
      <c r="AE914" s="93"/>
      <c r="AF914" s="93"/>
      <c r="AG914" s="93"/>
      <c r="AH914" s="93"/>
      <c r="AI914" s="93"/>
      <c r="AJ914" s="93"/>
      <c r="AK914" s="93"/>
      <c r="AL914" s="115"/>
      <c r="AM914" s="93"/>
      <c r="AN914" s="93"/>
      <c r="AO914" s="93"/>
      <c r="AP914" s="93"/>
      <c r="AQ914" s="93"/>
      <c r="AR914" s="93"/>
      <c r="AS914" s="93"/>
      <c r="AT914" s="93"/>
      <c r="AU914" s="93"/>
      <c r="AV914" s="93"/>
      <c r="AW914" s="93"/>
      <c r="AX914" s="93"/>
      <c r="AY914" s="93"/>
      <c r="AZ914" s="93"/>
      <c r="BA914" s="93"/>
      <c r="BB914" s="93"/>
    </row>
    <row r="915" spans="1:54" ht="13.2">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c r="AI915" s="93"/>
      <c r="AJ915" s="93"/>
      <c r="AK915" s="93"/>
      <c r="AL915" s="115"/>
      <c r="AM915" s="93"/>
      <c r="AN915" s="93"/>
      <c r="AO915" s="93"/>
      <c r="AP915" s="93"/>
      <c r="AQ915" s="93"/>
      <c r="AR915" s="93"/>
      <c r="AS915" s="93"/>
      <c r="AT915" s="93"/>
      <c r="AU915" s="93"/>
      <c r="AV915" s="93"/>
      <c r="AW915" s="93"/>
      <c r="AX915" s="93"/>
      <c r="AY915" s="93"/>
      <c r="AZ915" s="93"/>
      <c r="BA915" s="93"/>
      <c r="BB915" s="93"/>
    </row>
    <row r="916" spans="1:54" ht="13.2">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c r="AI916" s="93"/>
      <c r="AJ916" s="93"/>
      <c r="AK916" s="93"/>
      <c r="AL916" s="115"/>
      <c r="AM916" s="93"/>
      <c r="AN916" s="93"/>
      <c r="AO916" s="93"/>
      <c r="AP916" s="93"/>
      <c r="AQ916" s="93"/>
      <c r="AR916" s="93"/>
      <c r="AS916" s="93"/>
      <c r="AT916" s="93"/>
      <c r="AU916" s="93"/>
      <c r="AV916" s="93"/>
      <c r="AW916" s="93"/>
      <c r="AX916" s="93"/>
      <c r="AY916" s="93"/>
      <c r="AZ916" s="93"/>
      <c r="BA916" s="93"/>
      <c r="BB916" s="93"/>
    </row>
    <row r="917" spans="1:54" ht="13.2">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c r="AI917" s="93"/>
      <c r="AJ917" s="93"/>
      <c r="AK917" s="93"/>
      <c r="AL917" s="115"/>
      <c r="AM917" s="93"/>
      <c r="AN917" s="93"/>
      <c r="AO917" s="93"/>
      <c r="AP917" s="93"/>
      <c r="AQ917" s="93"/>
      <c r="AR917" s="93"/>
      <c r="AS917" s="93"/>
      <c r="AT917" s="93"/>
      <c r="AU917" s="93"/>
      <c r="AV917" s="93"/>
      <c r="AW917" s="93"/>
      <c r="AX917" s="93"/>
      <c r="AY917" s="93"/>
      <c r="AZ917" s="93"/>
      <c r="BA917" s="93"/>
      <c r="BB917" s="93"/>
    </row>
    <row r="918" spans="1:54" ht="13.2">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c r="AC918" s="93"/>
      <c r="AD918" s="93"/>
      <c r="AE918" s="93"/>
      <c r="AF918" s="93"/>
      <c r="AG918" s="93"/>
      <c r="AH918" s="93"/>
      <c r="AI918" s="93"/>
      <c r="AJ918" s="93"/>
      <c r="AK918" s="93"/>
      <c r="AL918" s="115"/>
      <c r="AM918" s="93"/>
      <c r="AN918" s="93"/>
      <c r="AO918" s="93"/>
      <c r="AP918" s="93"/>
      <c r="AQ918" s="93"/>
      <c r="AR918" s="93"/>
      <c r="AS918" s="93"/>
      <c r="AT918" s="93"/>
      <c r="AU918" s="93"/>
      <c r="AV918" s="93"/>
      <c r="AW918" s="93"/>
      <c r="AX918" s="93"/>
      <c r="AY918" s="93"/>
      <c r="AZ918" s="93"/>
      <c r="BA918" s="93"/>
      <c r="BB918" s="93"/>
    </row>
    <row r="919" spans="1:54" ht="13.2">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c r="AC919" s="93"/>
      <c r="AD919" s="93"/>
      <c r="AE919" s="93"/>
      <c r="AF919" s="93"/>
      <c r="AG919" s="93"/>
      <c r="AH919" s="93"/>
      <c r="AI919" s="93"/>
      <c r="AJ919" s="93"/>
      <c r="AK919" s="93"/>
      <c r="AL919" s="115"/>
      <c r="AM919" s="93"/>
      <c r="AN919" s="93"/>
      <c r="AO919" s="93"/>
      <c r="AP919" s="93"/>
      <c r="AQ919" s="93"/>
      <c r="AR919" s="93"/>
      <c r="AS919" s="93"/>
      <c r="AT919" s="93"/>
      <c r="AU919" s="93"/>
      <c r="AV919" s="93"/>
      <c r="AW919" s="93"/>
      <c r="AX919" s="93"/>
      <c r="AY919" s="93"/>
      <c r="AZ919" s="93"/>
      <c r="BA919" s="93"/>
      <c r="BB919" s="93"/>
    </row>
    <row r="920" spans="1:54" ht="13.2">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c r="AC920" s="93"/>
      <c r="AD920" s="93"/>
      <c r="AE920" s="93"/>
      <c r="AF920" s="93"/>
      <c r="AG920" s="93"/>
      <c r="AH920" s="93"/>
      <c r="AI920" s="93"/>
      <c r="AJ920" s="93"/>
      <c r="AK920" s="93"/>
      <c r="AL920" s="115"/>
      <c r="AM920" s="93"/>
      <c r="AN920" s="93"/>
      <c r="AO920" s="93"/>
      <c r="AP920" s="93"/>
      <c r="AQ920" s="93"/>
      <c r="AR920" s="93"/>
      <c r="AS920" s="93"/>
      <c r="AT920" s="93"/>
      <c r="AU920" s="93"/>
      <c r="AV920" s="93"/>
      <c r="AW920" s="93"/>
      <c r="AX920" s="93"/>
      <c r="AY920" s="93"/>
      <c r="AZ920" s="93"/>
      <c r="BA920" s="93"/>
      <c r="BB920" s="93"/>
    </row>
    <row r="921" spans="1:54" ht="13.2">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c r="AE921" s="93"/>
      <c r="AF921" s="93"/>
      <c r="AG921" s="93"/>
      <c r="AH921" s="93"/>
      <c r="AI921" s="93"/>
      <c r="AJ921" s="93"/>
      <c r="AK921" s="93"/>
      <c r="AL921" s="115"/>
      <c r="AM921" s="93"/>
      <c r="AN921" s="93"/>
      <c r="AO921" s="93"/>
      <c r="AP921" s="93"/>
      <c r="AQ921" s="93"/>
      <c r="AR921" s="93"/>
      <c r="AS921" s="93"/>
      <c r="AT921" s="93"/>
      <c r="AU921" s="93"/>
      <c r="AV921" s="93"/>
      <c r="AW921" s="93"/>
      <c r="AX921" s="93"/>
      <c r="AY921" s="93"/>
      <c r="AZ921" s="93"/>
      <c r="BA921" s="93"/>
      <c r="BB921" s="93"/>
    </row>
    <row r="922" spans="1:54" ht="13.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c r="AC922" s="93"/>
      <c r="AD922" s="93"/>
      <c r="AE922" s="93"/>
      <c r="AF922" s="93"/>
      <c r="AG922" s="93"/>
      <c r="AH922" s="93"/>
      <c r="AI922" s="93"/>
      <c r="AJ922" s="93"/>
      <c r="AK922" s="93"/>
      <c r="AL922" s="115"/>
      <c r="AM922" s="93"/>
      <c r="AN922" s="93"/>
      <c r="AO922" s="93"/>
      <c r="AP922" s="93"/>
      <c r="AQ922" s="93"/>
      <c r="AR922" s="93"/>
      <c r="AS922" s="93"/>
      <c r="AT922" s="93"/>
      <c r="AU922" s="93"/>
      <c r="AV922" s="93"/>
      <c r="AW922" s="93"/>
      <c r="AX922" s="93"/>
      <c r="AY922" s="93"/>
      <c r="AZ922" s="93"/>
      <c r="BA922" s="93"/>
      <c r="BB922" s="93"/>
    </row>
    <row r="923" spans="1:54" ht="13.2">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c r="AC923" s="93"/>
      <c r="AD923" s="93"/>
      <c r="AE923" s="93"/>
      <c r="AF923" s="93"/>
      <c r="AG923" s="93"/>
      <c r="AH923" s="93"/>
      <c r="AI923" s="93"/>
      <c r="AJ923" s="93"/>
      <c r="AK923" s="93"/>
      <c r="AL923" s="115"/>
      <c r="AM923" s="93"/>
      <c r="AN923" s="93"/>
      <c r="AO923" s="93"/>
      <c r="AP923" s="93"/>
      <c r="AQ923" s="93"/>
      <c r="AR923" s="93"/>
      <c r="AS923" s="93"/>
      <c r="AT923" s="93"/>
      <c r="AU923" s="93"/>
      <c r="AV923" s="93"/>
      <c r="AW923" s="93"/>
      <c r="AX923" s="93"/>
      <c r="AY923" s="93"/>
      <c r="AZ923" s="93"/>
      <c r="BA923" s="93"/>
      <c r="BB923" s="93"/>
    </row>
    <row r="924" spans="1:54" ht="13.2">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c r="AC924" s="93"/>
      <c r="AD924" s="93"/>
      <c r="AE924" s="93"/>
      <c r="AF924" s="93"/>
      <c r="AG924" s="93"/>
      <c r="AH924" s="93"/>
      <c r="AI924" s="93"/>
      <c r="AJ924" s="93"/>
      <c r="AK924" s="93"/>
      <c r="AL924" s="115"/>
      <c r="AM924" s="93"/>
      <c r="AN924" s="93"/>
      <c r="AO924" s="93"/>
      <c r="AP924" s="93"/>
      <c r="AQ924" s="93"/>
      <c r="AR924" s="93"/>
      <c r="AS924" s="93"/>
      <c r="AT924" s="93"/>
      <c r="AU924" s="93"/>
      <c r="AV924" s="93"/>
      <c r="AW924" s="93"/>
      <c r="AX924" s="93"/>
      <c r="AY924" s="93"/>
      <c r="AZ924" s="93"/>
      <c r="BA924" s="93"/>
      <c r="BB924" s="93"/>
    </row>
    <row r="925" spans="1:54" ht="13.2">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c r="AC925" s="93"/>
      <c r="AD925" s="93"/>
      <c r="AE925" s="93"/>
      <c r="AF925" s="93"/>
      <c r="AG925" s="93"/>
      <c r="AH925" s="93"/>
      <c r="AI925" s="93"/>
      <c r="AJ925" s="93"/>
      <c r="AK925" s="93"/>
      <c r="AL925" s="115"/>
      <c r="AM925" s="93"/>
      <c r="AN925" s="93"/>
      <c r="AO925" s="93"/>
      <c r="AP925" s="93"/>
      <c r="AQ925" s="93"/>
      <c r="AR925" s="93"/>
      <c r="AS925" s="93"/>
      <c r="AT925" s="93"/>
      <c r="AU925" s="93"/>
      <c r="AV925" s="93"/>
      <c r="AW925" s="93"/>
      <c r="AX925" s="93"/>
      <c r="AY925" s="93"/>
      <c r="AZ925" s="93"/>
      <c r="BA925" s="93"/>
      <c r="BB925" s="93"/>
    </row>
    <row r="926" spans="1:54" ht="13.2">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c r="AC926" s="93"/>
      <c r="AD926" s="93"/>
      <c r="AE926" s="93"/>
      <c r="AF926" s="93"/>
      <c r="AG926" s="93"/>
      <c r="AH926" s="93"/>
      <c r="AI926" s="93"/>
      <c r="AJ926" s="93"/>
      <c r="AK926" s="93"/>
      <c r="AL926" s="115"/>
      <c r="AM926" s="93"/>
      <c r="AN926" s="93"/>
      <c r="AO926" s="93"/>
      <c r="AP926" s="93"/>
      <c r="AQ926" s="93"/>
      <c r="AR926" s="93"/>
      <c r="AS926" s="93"/>
      <c r="AT926" s="93"/>
      <c r="AU926" s="93"/>
      <c r="AV926" s="93"/>
      <c r="AW926" s="93"/>
      <c r="AX926" s="93"/>
      <c r="AY926" s="93"/>
      <c r="AZ926" s="93"/>
      <c r="BA926" s="93"/>
      <c r="BB926" s="93"/>
    </row>
    <row r="927" spans="1:54" ht="13.2">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c r="AC927" s="93"/>
      <c r="AD927" s="93"/>
      <c r="AE927" s="93"/>
      <c r="AF927" s="93"/>
      <c r="AG927" s="93"/>
      <c r="AH927" s="93"/>
      <c r="AI927" s="93"/>
      <c r="AJ927" s="93"/>
      <c r="AK927" s="93"/>
      <c r="AL927" s="115"/>
      <c r="AM927" s="93"/>
      <c r="AN927" s="93"/>
      <c r="AO927" s="93"/>
      <c r="AP927" s="93"/>
      <c r="AQ927" s="93"/>
      <c r="AR927" s="93"/>
      <c r="AS927" s="93"/>
      <c r="AT927" s="93"/>
      <c r="AU927" s="93"/>
      <c r="AV927" s="93"/>
      <c r="AW927" s="93"/>
      <c r="AX927" s="93"/>
      <c r="AY927" s="93"/>
      <c r="AZ927" s="93"/>
      <c r="BA927" s="93"/>
      <c r="BB927" s="93"/>
    </row>
    <row r="928" spans="1:54" ht="13.2">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c r="AC928" s="93"/>
      <c r="AD928" s="93"/>
      <c r="AE928" s="93"/>
      <c r="AF928" s="93"/>
      <c r="AG928" s="93"/>
      <c r="AH928" s="93"/>
      <c r="AI928" s="93"/>
      <c r="AJ928" s="93"/>
      <c r="AK928" s="93"/>
      <c r="AL928" s="115"/>
      <c r="AM928" s="93"/>
      <c r="AN928" s="93"/>
      <c r="AO928" s="93"/>
      <c r="AP928" s="93"/>
      <c r="AQ928" s="93"/>
      <c r="AR928" s="93"/>
      <c r="AS928" s="93"/>
      <c r="AT928" s="93"/>
      <c r="AU928" s="93"/>
      <c r="AV928" s="93"/>
      <c r="AW928" s="93"/>
      <c r="AX928" s="93"/>
      <c r="AY928" s="93"/>
      <c r="AZ928" s="93"/>
      <c r="BA928" s="93"/>
      <c r="BB928" s="93"/>
    </row>
    <row r="929" spans="1:54" ht="13.2">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c r="AC929" s="93"/>
      <c r="AD929" s="93"/>
      <c r="AE929" s="93"/>
      <c r="AF929" s="93"/>
      <c r="AG929" s="93"/>
      <c r="AH929" s="93"/>
      <c r="AI929" s="93"/>
      <c r="AJ929" s="93"/>
      <c r="AK929" s="93"/>
      <c r="AL929" s="115"/>
      <c r="AM929" s="93"/>
      <c r="AN929" s="93"/>
      <c r="AO929" s="93"/>
      <c r="AP929" s="93"/>
      <c r="AQ929" s="93"/>
      <c r="AR929" s="93"/>
      <c r="AS929" s="93"/>
      <c r="AT929" s="93"/>
      <c r="AU929" s="93"/>
      <c r="AV929" s="93"/>
      <c r="AW929" s="93"/>
      <c r="AX929" s="93"/>
      <c r="AY929" s="93"/>
      <c r="AZ929" s="93"/>
      <c r="BA929" s="93"/>
      <c r="BB929" s="93"/>
    </row>
    <row r="930" spans="1:54" ht="13.2">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c r="AC930" s="93"/>
      <c r="AD930" s="93"/>
      <c r="AE930" s="93"/>
      <c r="AF930" s="93"/>
      <c r="AG930" s="93"/>
      <c r="AH930" s="93"/>
      <c r="AI930" s="93"/>
      <c r="AJ930" s="93"/>
      <c r="AK930" s="93"/>
      <c r="AL930" s="115"/>
      <c r="AM930" s="93"/>
      <c r="AN930" s="93"/>
      <c r="AO930" s="93"/>
      <c r="AP930" s="93"/>
      <c r="AQ930" s="93"/>
      <c r="AR930" s="93"/>
      <c r="AS930" s="93"/>
      <c r="AT930" s="93"/>
      <c r="AU930" s="93"/>
      <c r="AV930" s="93"/>
      <c r="AW930" s="93"/>
      <c r="AX930" s="93"/>
      <c r="AY930" s="93"/>
      <c r="AZ930" s="93"/>
      <c r="BA930" s="93"/>
      <c r="BB930" s="93"/>
    </row>
    <row r="931" spans="1:54" ht="13.2">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c r="AC931" s="93"/>
      <c r="AD931" s="93"/>
      <c r="AE931" s="93"/>
      <c r="AF931" s="93"/>
      <c r="AG931" s="93"/>
      <c r="AH931" s="93"/>
      <c r="AI931" s="93"/>
      <c r="AJ931" s="93"/>
      <c r="AK931" s="93"/>
      <c r="AL931" s="115"/>
      <c r="AM931" s="93"/>
      <c r="AN931" s="93"/>
      <c r="AO931" s="93"/>
      <c r="AP931" s="93"/>
      <c r="AQ931" s="93"/>
      <c r="AR931" s="93"/>
      <c r="AS931" s="93"/>
      <c r="AT931" s="93"/>
      <c r="AU931" s="93"/>
      <c r="AV931" s="93"/>
      <c r="AW931" s="93"/>
      <c r="AX931" s="93"/>
      <c r="AY931" s="93"/>
      <c r="AZ931" s="93"/>
      <c r="BA931" s="93"/>
      <c r="BB931" s="93"/>
    </row>
    <row r="932" spans="1:54" ht="1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c r="AC932" s="93"/>
      <c r="AD932" s="93"/>
      <c r="AE932" s="93"/>
      <c r="AF932" s="93"/>
      <c r="AG932" s="93"/>
      <c r="AH932" s="93"/>
      <c r="AI932" s="93"/>
      <c r="AJ932" s="93"/>
      <c r="AK932" s="93"/>
      <c r="AL932" s="115"/>
      <c r="AM932" s="93"/>
      <c r="AN932" s="93"/>
      <c r="AO932" s="93"/>
      <c r="AP932" s="93"/>
      <c r="AQ932" s="93"/>
      <c r="AR932" s="93"/>
      <c r="AS932" s="93"/>
      <c r="AT932" s="93"/>
      <c r="AU932" s="93"/>
      <c r="AV932" s="93"/>
      <c r="AW932" s="93"/>
      <c r="AX932" s="93"/>
      <c r="AY932" s="93"/>
      <c r="AZ932" s="93"/>
      <c r="BA932" s="93"/>
      <c r="BB932" s="93"/>
    </row>
    <row r="933" spans="1:54" ht="13.2">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c r="AC933" s="93"/>
      <c r="AD933" s="93"/>
      <c r="AE933" s="93"/>
      <c r="AF933" s="93"/>
      <c r="AG933" s="93"/>
      <c r="AH933" s="93"/>
      <c r="AI933" s="93"/>
      <c r="AJ933" s="93"/>
      <c r="AK933" s="93"/>
      <c r="AL933" s="115"/>
      <c r="AM933" s="93"/>
      <c r="AN933" s="93"/>
      <c r="AO933" s="93"/>
      <c r="AP933" s="93"/>
      <c r="AQ933" s="93"/>
      <c r="AR933" s="93"/>
      <c r="AS933" s="93"/>
      <c r="AT933" s="93"/>
      <c r="AU933" s="93"/>
      <c r="AV933" s="93"/>
      <c r="AW933" s="93"/>
      <c r="AX933" s="93"/>
      <c r="AY933" s="93"/>
      <c r="AZ933" s="93"/>
      <c r="BA933" s="93"/>
      <c r="BB933" s="93"/>
    </row>
    <row r="934" spans="1:54" ht="13.2">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c r="AC934" s="93"/>
      <c r="AD934" s="93"/>
      <c r="AE934" s="93"/>
      <c r="AF934" s="93"/>
      <c r="AG934" s="93"/>
      <c r="AH934" s="93"/>
      <c r="AI934" s="93"/>
      <c r="AJ934" s="93"/>
      <c r="AK934" s="93"/>
      <c r="AL934" s="115"/>
      <c r="AM934" s="93"/>
      <c r="AN934" s="93"/>
      <c r="AO934" s="93"/>
      <c r="AP934" s="93"/>
      <c r="AQ934" s="93"/>
      <c r="AR934" s="93"/>
      <c r="AS934" s="93"/>
      <c r="AT934" s="93"/>
      <c r="AU934" s="93"/>
      <c r="AV934" s="93"/>
      <c r="AW934" s="93"/>
      <c r="AX934" s="93"/>
      <c r="AY934" s="93"/>
      <c r="AZ934" s="93"/>
      <c r="BA934" s="93"/>
      <c r="BB934" s="93"/>
    </row>
    <row r="935" spans="1:54" ht="13.2">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c r="AE935" s="93"/>
      <c r="AF935" s="93"/>
      <c r="AG935" s="93"/>
      <c r="AH935" s="93"/>
      <c r="AI935" s="93"/>
      <c r="AJ935" s="93"/>
      <c r="AK935" s="93"/>
      <c r="AL935" s="115"/>
      <c r="AM935" s="93"/>
      <c r="AN935" s="93"/>
      <c r="AO935" s="93"/>
      <c r="AP935" s="93"/>
      <c r="AQ935" s="93"/>
      <c r="AR935" s="93"/>
      <c r="AS935" s="93"/>
      <c r="AT935" s="93"/>
      <c r="AU935" s="93"/>
      <c r="AV935" s="93"/>
      <c r="AW935" s="93"/>
      <c r="AX935" s="93"/>
      <c r="AY935" s="93"/>
      <c r="AZ935" s="93"/>
      <c r="BA935" s="93"/>
      <c r="BB935" s="93"/>
    </row>
    <row r="936" spans="1:54" ht="13.2">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c r="AC936" s="93"/>
      <c r="AD936" s="93"/>
      <c r="AE936" s="93"/>
      <c r="AF936" s="93"/>
      <c r="AG936" s="93"/>
      <c r="AH936" s="93"/>
      <c r="AI936" s="93"/>
      <c r="AJ936" s="93"/>
      <c r="AK936" s="93"/>
      <c r="AL936" s="115"/>
      <c r="AM936" s="93"/>
      <c r="AN936" s="93"/>
      <c r="AO936" s="93"/>
      <c r="AP936" s="93"/>
      <c r="AQ936" s="93"/>
      <c r="AR936" s="93"/>
      <c r="AS936" s="93"/>
      <c r="AT936" s="93"/>
      <c r="AU936" s="93"/>
      <c r="AV936" s="93"/>
      <c r="AW936" s="93"/>
      <c r="AX936" s="93"/>
      <c r="AY936" s="93"/>
      <c r="AZ936" s="93"/>
      <c r="BA936" s="93"/>
      <c r="BB936" s="93"/>
    </row>
    <row r="937" spans="1:54" ht="13.2">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c r="AC937" s="93"/>
      <c r="AD937" s="93"/>
      <c r="AE937" s="93"/>
      <c r="AF937" s="93"/>
      <c r="AG937" s="93"/>
      <c r="AH937" s="93"/>
      <c r="AI937" s="93"/>
      <c r="AJ937" s="93"/>
      <c r="AK937" s="93"/>
      <c r="AL937" s="115"/>
      <c r="AM937" s="93"/>
      <c r="AN937" s="93"/>
      <c r="AO937" s="93"/>
      <c r="AP937" s="93"/>
      <c r="AQ937" s="93"/>
      <c r="AR937" s="93"/>
      <c r="AS937" s="93"/>
      <c r="AT937" s="93"/>
      <c r="AU937" s="93"/>
      <c r="AV937" s="93"/>
      <c r="AW937" s="93"/>
      <c r="AX937" s="93"/>
      <c r="AY937" s="93"/>
      <c r="AZ937" s="93"/>
      <c r="BA937" s="93"/>
      <c r="BB937" s="93"/>
    </row>
    <row r="938" spans="1:54" ht="13.2">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c r="AC938" s="93"/>
      <c r="AD938" s="93"/>
      <c r="AE938" s="93"/>
      <c r="AF938" s="93"/>
      <c r="AG938" s="93"/>
      <c r="AH938" s="93"/>
      <c r="AI938" s="93"/>
      <c r="AJ938" s="93"/>
      <c r="AK938" s="93"/>
      <c r="AL938" s="115"/>
      <c r="AM938" s="93"/>
      <c r="AN938" s="93"/>
      <c r="AO938" s="93"/>
      <c r="AP938" s="93"/>
      <c r="AQ938" s="93"/>
      <c r="AR938" s="93"/>
      <c r="AS938" s="93"/>
      <c r="AT938" s="93"/>
      <c r="AU938" s="93"/>
      <c r="AV938" s="93"/>
      <c r="AW938" s="93"/>
      <c r="AX938" s="93"/>
      <c r="AY938" s="93"/>
      <c r="AZ938" s="93"/>
      <c r="BA938" s="93"/>
      <c r="BB938" s="93"/>
    </row>
    <row r="939" spans="1:54" ht="13.2">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c r="AC939" s="93"/>
      <c r="AD939" s="93"/>
      <c r="AE939" s="93"/>
      <c r="AF939" s="93"/>
      <c r="AG939" s="93"/>
      <c r="AH939" s="93"/>
      <c r="AI939" s="93"/>
      <c r="AJ939" s="93"/>
      <c r="AK939" s="93"/>
      <c r="AL939" s="115"/>
      <c r="AM939" s="93"/>
      <c r="AN939" s="93"/>
      <c r="AO939" s="93"/>
      <c r="AP939" s="93"/>
      <c r="AQ939" s="93"/>
      <c r="AR939" s="93"/>
      <c r="AS939" s="93"/>
      <c r="AT939" s="93"/>
      <c r="AU939" s="93"/>
      <c r="AV939" s="93"/>
      <c r="AW939" s="93"/>
      <c r="AX939" s="93"/>
      <c r="AY939" s="93"/>
      <c r="AZ939" s="93"/>
      <c r="BA939" s="93"/>
      <c r="BB939" s="93"/>
    </row>
    <row r="940" spans="1:54" ht="13.2">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c r="AC940" s="93"/>
      <c r="AD940" s="93"/>
      <c r="AE940" s="93"/>
      <c r="AF940" s="93"/>
      <c r="AG940" s="93"/>
      <c r="AH940" s="93"/>
      <c r="AI940" s="93"/>
      <c r="AJ940" s="93"/>
      <c r="AK940" s="93"/>
      <c r="AL940" s="115"/>
      <c r="AM940" s="93"/>
      <c r="AN940" s="93"/>
      <c r="AO940" s="93"/>
      <c r="AP940" s="93"/>
      <c r="AQ940" s="93"/>
      <c r="AR940" s="93"/>
      <c r="AS940" s="93"/>
      <c r="AT940" s="93"/>
      <c r="AU940" s="93"/>
      <c r="AV940" s="93"/>
      <c r="AW940" s="93"/>
      <c r="AX940" s="93"/>
      <c r="AY940" s="93"/>
      <c r="AZ940" s="93"/>
      <c r="BA940" s="93"/>
      <c r="BB940" s="93"/>
    </row>
    <row r="941" spans="1:54" ht="13.2">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c r="AC941" s="93"/>
      <c r="AD941" s="93"/>
      <c r="AE941" s="93"/>
      <c r="AF941" s="93"/>
      <c r="AG941" s="93"/>
      <c r="AH941" s="93"/>
      <c r="AI941" s="93"/>
      <c r="AJ941" s="93"/>
      <c r="AK941" s="93"/>
      <c r="AL941" s="115"/>
      <c r="AM941" s="93"/>
      <c r="AN941" s="93"/>
      <c r="AO941" s="93"/>
      <c r="AP941" s="93"/>
      <c r="AQ941" s="93"/>
      <c r="AR941" s="93"/>
      <c r="AS941" s="93"/>
      <c r="AT941" s="93"/>
      <c r="AU941" s="93"/>
      <c r="AV941" s="93"/>
      <c r="AW941" s="93"/>
      <c r="AX941" s="93"/>
      <c r="AY941" s="93"/>
      <c r="AZ941" s="93"/>
      <c r="BA941" s="93"/>
      <c r="BB941" s="93"/>
    </row>
    <row r="942" spans="1:54" ht="13.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c r="AE942" s="93"/>
      <c r="AF942" s="93"/>
      <c r="AG942" s="93"/>
      <c r="AH942" s="93"/>
      <c r="AI942" s="93"/>
      <c r="AJ942" s="93"/>
      <c r="AK942" s="93"/>
      <c r="AL942" s="115"/>
      <c r="AM942" s="93"/>
      <c r="AN942" s="93"/>
      <c r="AO942" s="93"/>
      <c r="AP942" s="93"/>
      <c r="AQ942" s="93"/>
      <c r="AR942" s="93"/>
      <c r="AS942" s="93"/>
      <c r="AT942" s="93"/>
      <c r="AU942" s="93"/>
      <c r="AV942" s="93"/>
      <c r="AW942" s="93"/>
      <c r="AX942" s="93"/>
      <c r="AY942" s="93"/>
      <c r="AZ942" s="93"/>
      <c r="BA942" s="93"/>
      <c r="BB942" s="93"/>
    </row>
    <row r="943" spans="1:54" ht="13.2">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c r="AC943" s="93"/>
      <c r="AD943" s="93"/>
      <c r="AE943" s="93"/>
      <c r="AF943" s="93"/>
      <c r="AG943" s="93"/>
      <c r="AH943" s="93"/>
      <c r="AI943" s="93"/>
      <c r="AJ943" s="93"/>
      <c r="AK943" s="93"/>
      <c r="AL943" s="115"/>
      <c r="AM943" s="93"/>
      <c r="AN943" s="93"/>
      <c r="AO943" s="93"/>
      <c r="AP943" s="93"/>
      <c r="AQ943" s="93"/>
      <c r="AR943" s="93"/>
      <c r="AS943" s="93"/>
      <c r="AT943" s="93"/>
      <c r="AU943" s="93"/>
      <c r="AV943" s="93"/>
      <c r="AW943" s="93"/>
      <c r="AX943" s="93"/>
      <c r="AY943" s="93"/>
      <c r="AZ943" s="93"/>
      <c r="BA943" s="93"/>
      <c r="BB943" s="93"/>
    </row>
    <row r="944" spans="1:54" ht="13.2">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c r="AC944" s="93"/>
      <c r="AD944" s="93"/>
      <c r="AE944" s="93"/>
      <c r="AF944" s="93"/>
      <c r="AG944" s="93"/>
      <c r="AH944" s="93"/>
      <c r="AI944" s="93"/>
      <c r="AJ944" s="93"/>
      <c r="AK944" s="93"/>
      <c r="AL944" s="115"/>
      <c r="AM944" s="93"/>
      <c r="AN944" s="93"/>
      <c r="AO944" s="93"/>
      <c r="AP944" s="93"/>
      <c r="AQ944" s="93"/>
      <c r="AR944" s="93"/>
      <c r="AS944" s="93"/>
      <c r="AT944" s="93"/>
      <c r="AU944" s="93"/>
      <c r="AV944" s="93"/>
      <c r="AW944" s="93"/>
      <c r="AX944" s="93"/>
      <c r="AY944" s="93"/>
      <c r="AZ944" s="93"/>
      <c r="BA944" s="93"/>
      <c r="BB944" s="93"/>
    </row>
    <row r="945" spans="1:54" ht="13.2">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c r="AE945" s="93"/>
      <c r="AF945" s="93"/>
      <c r="AG945" s="93"/>
      <c r="AH945" s="93"/>
      <c r="AI945" s="93"/>
      <c r="AJ945" s="93"/>
      <c r="AK945" s="93"/>
      <c r="AL945" s="115"/>
      <c r="AM945" s="93"/>
      <c r="AN945" s="93"/>
      <c r="AO945" s="93"/>
      <c r="AP945" s="93"/>
      <c r="AQ945" s="93"/>
      <c r="AR945" s="93"/>
      <c r="AS945" s="93"/>
      <c r="AT945" s="93"/>
      <c r="AU945" s="93"/>
      <c r="AV945" s="93"/>
      <c r="AW945" s="93"/>
      <c r="AX945" s="93"/>
      <c r="AY945" s="93"/>
      <c r="AZ945" s="93"/>
      <c r="BA945" s="93"/>
      <c r="BB945" s="93"/>
    </row>
    <row r="946" spans="1:54" ht="13.2">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c r="AE946" s="93"/>
      <c r="AF946" s="93"/>
      <c r="AG946" s="93"/>
      <c r="AH946" s="93"/>
      <c r="AI946" s="93"/>
      <c r="AJ946" s="93"/>
      <c r="AK946" s="93"/>
      <c r="AL946" s="115"/>
      <c r="AM946" s="93"/>
      <c r="AN946" s="93"/>
      <c r="AO946" s="93"/>
      <c r="AP946" s="93"/>
      <c r="AQ946" s="93"/>
      <c r="AR946" s="93"/>
      <c r="AS946" s="93"/>
      <c r="AT946" s="93"/>
      <c r="AU946" s="93"/>
      <c r="AV946" s="93"/>
      <c r="AW946" s="93"/>
      <c r="AX946" s="93"/>
      <c r="AY946" s="93"/>
      <c r="AZ946" s="93"/>
      <c r="BA946" s="93"/>
      <c r="BB946" s="93"/>
    </row>
    <row r="947" spans="1:54" ht="13.2">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c r="AE947" s="93"/>
      <c r="AF947" s="93"/>
      <c r="AG947" s="93"/>
      <c r="AH947" s="93"/>
      <c r="AI947" s="93"/>
      <c r="AJ947" s="93"/>
      <c r="AK947" s="93"/>
      <c r="AL947" s="115"/>
      <c r="AM947" s="93"/>
      <c r="AN947" s="93"/>
      <c r="AO947" s="93"/>
      <c r="AP947" s="93"/>
      <c r="AQ947" s="93"/>
      <c r="AR947" s="93"/>
      <c r="AS947" s="93"/>
      <c r="AT947" s="93"/>
      <c r="AU947" s="93"/>
      <c r="AV947" s="93"/>
      <c r="AW947" s="93"/>
      <c r="AX947" s="93"/>
      <c r="AY947" s="93"/>
      <c r="AZ947" s="93"/>
      <c r="BA947" s="93"/>
      <c r="BB947" s="93"/>
    </row>
    <row r="948" spans="1:54" ht="13.2">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c r="AE948" s="93"/>
      <c r="AF948" s="93"/>
      <c r="AG948" s="93"/>
      <c r="AH948" s="93"/>
      <c r="AI948" s="93"/>
      <c r="AJ948" s="93"/>
      <c r="AK948" s="93"/>
      <c r="AL948" s="115"/>
      <c r="AM948" s="93"/>
      <c r="AN948" s="93"/>
      <c r="AO948" s="93"/>
      <c r="AP948" s="93"/>
      <c r="AQ948" s="93"/>
      <c r="AR948" s="93"/>
      <c r="AS948" s="93"/>
      <c r="AT948" s="93"/>
      <c r="AU948" s="93"/>
      <c r="AV948" s="93"/>
      <c r="AW948" s="93"/>
      <c r="AX948" s="93"/>
      <c r="AY948" s="93"/>
      <c r="AZ948" s="93"/>
      <c r="BA948" s="93"/>
      <c r="BB948" s="93"/>
    </row>
    <row r="949" spans="1:54" ht="13.2">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c r="AE949" s="93"/>
      <c r="AF949" s="93"/>
      <c r="AG949" s="93"/>
      <c r="AH949" s="93"/>
      <c r="AI949" s="93"/>
      <c r="AJ949" s="93"/>
      <c r="AK949" s="93"/>
      <c r="AL949" s="115"/>
      <c r="AM949" s="93"/>
      <c r="AN949" s="93"/>
      <c r="AO949" s="93"/>
      <c r="AP949" s="93"/>
      <c r="AQ949" s="93"/>
      <c r="AR949" s="93"/>
      <c r="AS949" s="93"/>
      <c r="AT949" s="93"/>
      <c r="AU949" s="93"/>
      <c r="AV949" s="93"/>
      <c r="AW949" s="93"/>
      <c r="AX949" s="93"/>
      <c r="AY949" s="93"/>
      <c r="AZ949" s="93"/>
      <c r="BA949" s="93"/>
      <c r="BB949" s="93"/>
    </row>
    <row r="950" spans="1:54" ht="13.2">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c r="AI950" s="93"/>
      <c r="AJ950" s="93"/>
      <c r="AK950" s="93"/>
      <c r="AL950" s="115"/>
      <c r="AM950" s="93"/>
      <c r="AN950" s="93"/>
      <c r="AO950" s="93"/>
      <c r="AP950" s="93"/>
      <c r="AQ950" s="93"/>
      <c r="AR950" s="93"/>
      <c r="AS950" s="93"/>
      <c r="AT950" s="93"/>
      <c r="AU950" s="93"/>
      <c r="AV950" s="93"/>
      <c r="AW950" s="93"/>
      <c r="AX950" s="93"/>
      <c r="AY950" s="93"/>
      <c r="AZ950" s="93"/>
      <c r="BA950" s="93"/>
      <c r="BB950" s="93"/>
    </row>
    <row r="951" spans="1:54" ht="13.2">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c r="AI951" s="93"/>
      <c r="AJ951" s="93"/>
      <c r="AK951" s="93"/>
      <c r="AL951" s="115"/>
      <c r="AM951" s="93"/>
      <c r="AN951" s="93"/>
      <c r="AO951" s="93"/>
      <c r="AP951" s="93"/>
      <c r="AQ951" s="93"/>
      <c r="AR951" s="93"/>
      <c r="AS951" s="93"/>
      <c r="AT951" s="93"/>
      <c r="AU951" s="93"/>
      <c r="AV951" s="93"/>
      <c r="AW951" s="93"/>
      <c r="AX951" s="93"/>
      <c r="AY951" s="93"/>
      <c r="AZ951" s="93"/>
      <c r="BA951" s="93"/>
      <c r="BB951" s="93"/>
    </row>
    <row r="952" spans="1:54" ht="13.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c r="AI952" s="93"/>
      <c r="AJ952" s="93"/>
      <c r="AK952" s="93"/>
      <c r="AL952" s="115"/>
      <c r="AM952" s="93"/>
      <c r="AN952" s="93"/>
      <c r="AO952" s="93"/>
      <c r="AP952" s="93"/>
      <c r="AQ952" s="93"/>
      <c r="AR952" s="93"/>
      <c r="AS952" s="93"/>
      <c r="AT952" s="93"/>
      <c r="AU952" s="93"/>
      <c r="AV952" s="93"/>
      <c r="AW952" s="93"/>
      <c r="AX952" s="93"/>
      <c r="AY952" s="93"/>
      <c r="AZ952" s="93"/>
      <c r="BA952" s="93"/>
      <c r="BB952" s="93"/>
    </row>
    <row r="953" spans="1:54" ht="13.2">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c r="AI953" s="93"/>
      <c r="AJ953" s="93"/>
      <c r="AK953" s="93"/>
      <c r="AL953" s="115"/>
      <c r="AM953" s="93"/>
      <c r="AN953" s="93"/>
      <c r="AO953" s="93"/>
      <c r="AP953" s="93"/>
      <c r="AQ953" s="93"/>
      <c r="AR953" s="93"/>
      <c r="AS953" s="93"/>
      <c r="AT953" s="93"/>
      <c r="AU953" s="93"/>
      <c r="AV953" s="93"/>
      <c r="AW953" s="93"/>
      <c r="AX953" s="93"/>
      <c r="AY953" s="93"/>
      <c r="AZ953" s="93"/>
      <c r="BA953" s="93"/>
      <c r="BB953" s="93"/>
    </row>
    <row r="954" spans="1:54" ht="13.2">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c r="AI954" s="93"/>
      <c r="AJ954" s="93"/>
      <c r="AK954" s="93"/>
      <c r="AL954" s="115"/>
      <c r="AM954" s="93"/>
      <c r="AN954" s="93"/>
      <c r="AO954" s="93"/>
      <c r="AP954" s="93"/>
      <c r="AQ954" s="93"/>
      <c r="AR954" s="93"/>
      <c r="AS954" s="93"/>
      <c r="AT954" s="93"/>
      <c r="AU954" s="93"/>
      <c r="AV954" s="93"/>
      <c r="AW954" s="93"/>
      <c r="AX954" s="93"/>
      <c r="AY954" s="93"/>
      <c r="AZ954" s="93"/>
      <c r="BA954" s="93"/>
      <c r="BB954" s="93"/>
    </row>
    <row r="955" spans="1:54" ht="13.2">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c r="AI955" s="93"/>
      <c r="AJ955" s="93"/>
      <c r="AK955" s="93"/>
      <c r="AL955" s="115"/>
      <c r="AM955" s="93"/>
      <c r="AN955" s="93"/>
      <c r="AO955" s="93"/>
      <c r="AP955" s="93"/>
      <c r="AQ955" s="93"/>
      <c r="AR955" s="93"/>
      <c r="AS955" s="93"/>
      <c r="AT955" s="93"/>
      <c r="AU955" s="93"/>
      <c r="AV955" s="93"/>
      <c r="AW955" s="93"/>
      <c r="AX955" s="93"/>
      <c r="AY955" s="93"/>
      <c r="AZ955" s="93"/>
      <c r="BA955" s="93"/>
      <c r="BB955" s="93"/>
    </row>
    <row r="956" spans="1:54" ht="13.2">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c r="AC956" s="93"/>
      <c r="AD956" s="93"/>
      <c r="AE956" s="93"/>
      <c r="AF956" s="93"/>
      <c r="AG956" s="93"/>
      <c r="AH956" s="93"/>
      <c r="AI956" s="93"/>
      <c r="AJ956" s="93"/>
      <c r="AK956" s="93"/>
      <c r="AL956" s="115"/>
      <c r="AM956" s="93"/>
      <c r="AN956" s="93"/>
      <c r="AO956" s="93"/>
      <c r="AP956" s="93"/>
      <c r="AQ956" s="93"/>
      <c r="AR956" s="93"/>
      <c r="AS956" s="93"/>
      <c r="AT956" s="93"/>
      <c r="AU956" s="93"/>
      <c r="AV956" s="93"/>
      <c r="AW956" s="93"/>
      <c r="AX956" s="93"/>
      <c r="AY956" s="93"/>
      <c r="AZ956" s="93"/>
      <c r="BA956" s="93"/>
      <c r="BB956" s="93"/>
    </row>
    <row r="957" spans="1:54" ht="13.2">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c r="AI957" s="93"/>
      <c r="AJ957" s="93"/>
      <c r="AK957" s="93"/>
      <c r="AL957" s="115"/>
      <c r="AM957" s="93"/>
      <c r="AN957" s="93"/>
      <c r="AO957" s="93"/>
      <c r="AP957" s="93"/>
      <c r="AQ957" s="93"/>
      <c r="AR957" s="93"/>
      <c r="AS957" s="93"/>
      <c r="AT957" s="93"/>
      <c r="AU957" s="93"/>
      <c r="AV957" s="93"/>
      <c r="AW957" s="93"/>
      <c r="AX957" s="93"/>
      <c r="AY957" s="93"/>
      <c r="AZ957" s="93"/>
      <c r="BA957" s="93"/>
      <c r="BB957" s="93"/>
    </row>
    <row r="958" spans="1:54" ht="13.2">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c r="AI958" s="93"/>
      <c r="AJ958" s="93"/>
      <c r="AK958" s="93"/>
      <c r="AL958" s="115"/>
      <c r="AM958" s="93"/>
      <c r="AN958" s="93"/>
      <c r="AO958" s="93"/>
      <c r="AP958" s="93"/>
      <c r="AQ958" s="93"/>
      <c r="AR958" s="93"/>
      <c r="AS958" s="93"/>
      <c r="AT958" s="93"/>
      <c r="AU958" s="93"/>
      <c r="AV958" s="93"/>
      <c r="AW958" s="93"/>
      <c r="AX958" s="93"/>
      <c r="AY958" s="93"/>
      <c r="AZ958" s="93"/>
      <c r="BA958" s="93"/>
      <c r="BB958" s="93"/>
    </row>
    <row r="959" spans="1:54" ht="13.2">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c r="AI959" s="93"/>
      <c r="AJ959" s="93"/>
      <c r="AK959" s="93"/>
      <c r="AL959" s="115"/>
      <c r="AM959" s="93"/>
      <c r="AN959" s="93"/>
      <c r="AO959" s="93"/>
      <c r="AP959" s="93"/>
      <c r="AQ959" s="93"/>
      <c r="AR959" s="93"/>
      <c r="AS959" s="93"/>
      <c r="AT959" s="93"/>
      <c r="AU959" s="93"/>
      <c r="AV959" s="93"/>
      <c r="AW959" s="93"/>
      <c r="AX959" s="93"/>
      <c r="AY959" s="93"/>
      <c r="AZ959" s="93"/>
      <c r="BA959" s="93"/>
      <c r="BB959" s="93"/>
    </row>
    <row r="960" spans="1:54" ht="13.2">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c r="AC960" s="93"/>
      <c r="AD960" s="93"/>
      <c r="AE960" s="93"/>
      <c r="AF960" s="93"/>
      <c r="AG960" s="93"/>
      <c r="AH960" s="93"/>
      <c r="AI960" s="93"/>
      <c r="AJ960" s="93"/>
      <c r="AK960" s="93"/>
      <c r="AL960" s="115"/>
      <c r="AM960" s="93"/>
      <c r="AN960" s="93"/>
      <c r="AO960" s="93"/>
      <c r="AP960" s="93"/>
      <c r="AQ960" s="93"/>
      <c r="AR960" s="93"/>
      <c r="AS960" s="93"/>
      <c r="AT960" s="93"/>
      <c r="AU960" s="93"/>
      <c r="AV960" s="93"/>
      <c r="AW960" s="93"/>
      <c r="AX960" s="93"/>
      <c r="AY960" s="93"/>
      <c r="AZ960" s="93"/>
      <c r="BA960" s="93"/>
      <c r="BB960" s="93"/>
    </row>
    <row r="961" spans="1:54" ht="13.2">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c r="AC961" s="93"/>
      <c r="AD961" s="93"/>
      <c r="AE961" s="93"/>
      <c r="AF961" s="93"/>
      <c r="AG961" s="93"/>
      <c r="AH961" s="93"/>
      <c r="AI961" s="93"/>
      <c r="AJ961" s="93"/>
      <c r="AK961" s="93"/>
      <c r="AL961" s="115"/>
      <c r="AM961" s="93"/>
      <c r="AN961" s="93"/>
      <c r="AO961" s="93"/>
      <c r="AP961" s="93"/>
      <c r="AQ961" s="93"/>
      <c r="AR961" s="93"/>
      <c r="AS961" s="93"/>
      <c r="AT961" s="93"/>
      <c r="AU961" s="93"/>
      <c r="AV961" s="93"/>
      <c r="AW961" s="93"/>
      <c r="AX961" s="93"/>
      <c r="AY961" s="93"/>
      <c r="AZ961" s="93"/>
      <c r="BA961" s="93"/>
      <c r="BB961" s="93"/>
    </row>
    <row r="962" spans="1:54" ht="13.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c r="AC962" s="93"/>
      <c r="AD962" s="93"/>
      <c r="AE962" s="93"/>
      <c r="AF962" s="93"/>
      <c r="AG962" s="93"/>
      <c r="AH962" s="93"/>
      <c r="AI962" s="93"/>
      <c r="AJ962" s="93"/>
      <c r="AK962" s="93"/>
      <c r="AL962" s="115"/>
      <c r="AM962" s="93"/>
      <c r="AN962" s="93"/>
      <c r="AO962" s="93"/>
      <c r="AP962" s="93"/>
      <c r="AQ962" s="93"/>
      <c r="AR962" s="93"/>
      <c r="AS962" s="93"/>
      <c r="AT962" s="93"/>
      <c r="AU962" s="93"/>
      <c r="AV962" s="93"/>
      <c r="AW962" s="93"/>
      <c r="AX962" s="93"/>
      <c r="AY962" s="93"/>
      <c r="AZ962" s="93"/>
      <c r="BA962" s="93"/>
      <c r="BB962" s="93"/>
    </row>
    <row r="963" spans="1:54" ht="13.2">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c r="AC963" s="93"/>
      <c r="AD963" s="93"/>
      <c r="AE963" s="93"/>
      <c r="AF963" s="93"/>
      <c r="AG963" s="93"/>
      <c r="AH963" s="93"/>
      <c r="AI963" s="93"/>
      <c r="AJ963" s="93"/>
      <c r="AK963" s="93"/>
      <c r="AL963" s="115"/>
      <c r="AM963" s="93"/>
      <c r="AN963" s="93"/>
      <c r="AO963" s="93"/>
      <c r="AP963" s="93"/>
      <c r="AQ963" s="93"/>
      <c r="AR963" s="93"/>
      <c r="AS963" s="93"/>
      <c r="AT963" s="93"/>
      <c r="AU963" s="93"/>
      <c r="AV963" s="93"/>
      <c r="AW963" s="93"/>
      <c r="AX963" s="93"/>
      <c r="AY963" s="93"/>
      <c r="AZ963" s="93"/>
      <c r="BA963" s="93"/>
      <c r="BB963" s="93"/>
    </row>
    <row r="964" spans="1:54" ht="13.2">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c r="AC964" s="93"/>
      <c r="AD964" s="93"/>
      <c r="AE964" s="93"/>
      <c r="AF964" s="93"/>
      <c r="AG964" s="93"/>
      <c r="AH964" s="93"/>
      <c r="AI964" s="93"/>
      <c r="AJ964" s="93"/>
      <c r="AK964" s="93"/>
      <c r="AL964" s="115"/>
      <c r="AM964" s="93"/>
      <c r="AN964" s="93"/>
      <c r="AO964" s="93"/>
      <c r="AP964" s="93"/>
      <c r="AQ964" s="93"/>
      <c r="AR964" s="93"/>
      <c r="AS964" s="93"/>
      <c r="AT964" s="93"/>
      <c r="AU964" s="93"/>
      <c r="AV964" s="93"/>
      <c r="AW964" s="93"/>
      <c r="AX964" s="93"/>
      <c r="AY964" s="93"/>
      <c r="AZ964" s="93"/>
      <c r="BA964" s="93"/>
      <c r="BB964" s="93"/>
    </row>
    <row r="965" spans="1:54" ht="13.2">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c r="AE965" s="93"/>
      <c r="AF965" s="93"/>
      <c r="AG965" s="93"/>
      <c r="AH965" s="93"/>
      <c r="AI965" s="93"/>
      <c r="AJ965" s="93"/>
      <c r="AK965" s="93"/>
      <c r="AL965" s="115"/>
      <c r="AM965" s="93"/>
      <c r="AN965" s="93"/>
      <c r="AO965" s="93"/>
      <c r="AP965" s="93"/>
      <c r="AQ965" s="93"/>
      <c r="AR965" s="93"/>
      <c r="AS965" s="93"/>
      <c r="AT965" s="93"/>
      <c r="AU965" s="93"/>
      <c r="AV965" s="93"/>
      <c r="AW965" s="93"/>
      <c r="AX965" s="93"/>
      <c r="AY965" s="93"/>
      <c r="AZ965" s="93"/>
      <c r="BA965" s="93"/>
      <c r="BB965" s="93"/>
    </row>
    <row r="966" spans="1:54" ht="13.2">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c r="AC966" s="93"/>
      <c r="AD966" s="93"/>
      <c r="AE966" s="93"/>
      <c r="AF966" s="93"/>
      <c r="AG966" s="93"/>
      <c r="AH966" s="93"/>
      <c r="AI966" s="93"/>
      <c r="AJ966" s="93"/>
      <c r="AK966" s="93"/>
      <c r="AL966" s="115"/>
      <c r="AM966" s="93"/>
      <c r="AN966" s="93"/>
      <c r="AO966" s="93"/>
      <c r="AP966" s="93"/>
      <c r="AQ966" s="93"/>
      <c r="AR966" s="93"/>
      <c r="AS966" s="93"/>
      <c r="AT966" s="93"/>
      <c r="AU966" s="93"/>
      <c r="AV966" s="93"/>
      <c r="AW966" s="93"/>
      <c r="AX966" s="93"/>
      <c r="AY966" s="93"/>
      <c r="AZ966" s="93"/>
      <c r="BA966" s="93"/>
      <c r="BB966" s="93"/>
    </row>
    <row r="967" spans="1:54" ht="13.2">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c r="AC967" s="93"/>
      <c r="AD967" s="93"/>
      <c r="AE967" s="93"/>
      <c r="AF967" s="93"/>
      <c r="AG967" s="93"/>
      <c r="AH967" s="93"/>
      <c r="AI967" s="93"/>
      <c r="AJ967" s="93"/>
      <c r="AK967" s="93"/>
      <c r="AL967" s="115"/>
      <c r="AM967" s="93"/>
      <c r="AN967" s="93"/>
      <c r="AO967" s="93"/>
      <c r="AP967" s="93"/>
      <c r="AQ967" s="93"/>
      <c r="AR967" s="93"/>
      <c r="AS967" s="93"/>
      <c r="AT967" s="93"/>
      <c r="AU967" s="93"/>
      <c r="AV967" s="93"/>
      <c r="AW967" s="93"/>
      <c r="AX967" s="93"/>
      <c r="AY967" s="93"/>
      <c r="AZ967" s="93"/>
      <c r="BA967" s="93"/>
      <c r="BB967" s="93"/>
    </row>
    <row r="968" spans="1:54" ht="13.2">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c r="AC968" s="93"/>
      <c r="AD968" s="93"/>
      <c r="AE968" s="93"/>
      <c r="AF968" s="93"/>
      <c r="AG968" s="93"/>
      <c r="AH968" s="93"/>
      <c r="AI968" s="93"/>
      <c r="AJ968" s="93"/>
      <c r="AK968" s="93"/>
      <c r="AL968" s="115"/>
      <c r="AM968" s="93"/>
      <c r="AN968" s="93"/>
      <c r="AO968" s="93"/>
      <c r="AP968" s="93"/>
      <c r="AQ968" s="93"/>
      <c r="AR968" s="93"/>
      <c r="AS968" s="93"/>
      <c r="AT968" s="93"/>
      <c r="AU968" s="93"/>
      <c r="AV968" s="93"/>
      <c r="AW968" s="93"/>
      <c r="AX968" s="93"/>
      <c r="AY968" s="93"/>
      <c r="AZ968" s="93"/>
      <c r="BA968" s="93"/>
      <c r="BB968" s="93"/>
    </row>
    <row r="969" spans="1:54" ht="13.2">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c r="AC969" s="93"/>
      <c r="AD969" s="93"/>
      <c r="AE969" s="93"/>
      <c r="AF969" s="93"/>
      <c r="AG969" s="93"/>
      <c r="AH969" s="93"/>
      <c r="AI969" s="93"/>
      <c r="AJ969" s="93"/>
      <c r="AK969" s="93"/>
      <c r="AL969" s="115"/>
      <c r="AM969" s="93"/>
      <c r="AN969" s="93"/>
      <c r="AO969" s="93"/>
      <c r="AP969" s="93"/>
      <c r="AQ969" s="93"/>
      <c r="AR969" s="93"/>
      <c r="AS969" s="93"/>
      <c r="AT969" s="93"/>
      <c r="AU969" s="93"/>
      <c r="AV969" s="93"/>
      <c r="AW969" s="93"/>
      <c r="AX969" s="93"/>
      <c r="AY969" s="93"/>
      <c r="AZ969" s="93"/>
      <c r="BA969" s="93"/>
      <c r="BB969" s="93"/>
    </row>
    <row r="970" spans="1:54" ht="13.2">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c r="AE970" s="93"/>
      <c r="AF970" s="93"/>
      <c r="AG970" s="93"/>
      <c r="AH970" s="93"/>
      <c r="AI970" s="93"/>
      <c r="AJ970" s="93"/>
      <c r="AK970" s="93"/>
      <c r="AL970" s="115"/>
      <c r="AM970" s="93"/>
      <c r="AN970" s="93"/>
      <c r="AO970" s="93"/>
      <c r="AP970" s="93"/>
      <c r="AQ970" s="93"/>
      <c r="AR970" s="93"/>
      <c r="AS970" s="93"/>
      <c r="AT970" s="93"/>
      <c r="AU970" s="93"/>
      <c r="AV970" s="93"/>
      <c r="AW970" s="93"/>
      <c r="AX970" s="93"/>
      <c r="AY970" s="93"/>
      <c r="AZ970" s="93"/>
      <c r="BA970" s="93"/>
      <c r="BB970" s="93"/>
    </row>
    <row r="971" spans="1:54" ht="13.2">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c r="AC971" s="93"/>
      <c r="AD971" s="93"/>
      <c r="AE971" s="93"/>
      <c r="AF971" s="93"/>
      <c r="AG971" s="93"/>
      <c r="AH971" s="93"/>
      <c r="AI971" s="93"/>
      <c r="AJ971" s="93"/>
      <c r="AK971" s="93"/>
      <c r="AL971" s="115"/>
      <c r="AM971" s="93"/>
      <c r="AN971" s="93"/>
      <c r="AO971" s="93"/>
      <c r="AP971" s="93"/>
      <c r="AQ971" s="93"/>
      <c r="AR971" s="93"/>
      <c r="AS971" s="93"/>
      <c r="AT971" s="93"/>
      <c r="AU971" s="93"/>
      <c r="AV971" s="93"/>
      <c r="AW971" s="93"/>
      <c r="AX971" s="93"/>
      <c r="AY971" s="93"/>
      <c r="AZ971" s="93"/>
      <c r="BA971" s="93"/>
      <c r="BB971" s="93"/>
    </row>
    <row r="972" spans="1:54" ht="13.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c r="AC972" s="93"/>
      <c r="AD972" s="93"/>
      <c r="AE972" s="93"/>
      <c r="AF972" s="93"/>
      <c r="AG972" s="93"/>
      <c r="AH972" s="93"/>
      <c r="AI972" s="93"/>
      <c r="AJ972" s="93"/>
      <c r="AK972" s="93"/>
      <c r="AL972" s="115"/>
      <c r="AM972" s="93"/>
      <c r="AN972" s="93"/>
      <c r="AO972" s="93"/>
      <c r="AP972" s="93"/>
      <c r="AQ972" s="93"/>
      <c r="AR972" s="93"/>
      <c r="AS972" s="93"/>
      <c r="AT972" s="93"/>
      <c r="AU972" s="93"/>
      <c r="AV972" s="93"/>
      <c r="AW972" s="93"/>
      <c r="AX972" s="93"/>
      <c r="AY972" s="93"/>
      <c r="AZ972" s="93"/>
      <c r="BA972" s="93"/>
      <c r="BB972" s="93"/>
    </row>
    <row r="973" spans="1:54" ht="13.2">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c r="AC973" s="93"/>
      <c r="AD973" s="93"/>
      <c r="AE973" s="93"/>
      <c r="AF973" s="93"/>
      <c r="AG973" s="93"/>
      <c r="AH973" s="93"/>
      <c r="AI973" s="93"/>
      <c r="AJ973" s="93"/>
      <c r="AK973" s="93"/>
      <c r="AL973" s="115"/>
      <c r="AM973" s="93"/>
      <c r="AN973" s="93"/>
      <c r="AO973" s="93"/>
      <c r="AP973" s="93"/>
      <c r="AQ973" s="93"/>
      <c r="AR973" s="93"/>
      <c r="AS973" s="93"/>
      <c r="AT973" s="93"/>
      <c r="AU973" s="93"/>
      <c r="AV973" s="93"/>
      <c r="AW973" s="93"/>
      <c r="AX973" s="93"/>
      <c r="AY973" s="93"/>
      <c r="AZ973" s="93"/>
      <c r="BA973" s="93"/>
      <c r="BB973" s="93"/>
    </row>
    <row r="974" spans="1:54" ht="13.2">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c r="AC974" s="93"/>
      <c r="AD974" s="93"/>
      <c r="AE974" s="93"/>
      <c r="AF974" s="93"/>
      <c r="AG974" s="93"/>
      <c r="AH974" s="93"/>
      <c r="AI974" s="93"/>
      <c r="AJ974" s="93"/>
      <c r="AK974" s="93"/>
      <c r="AL974" s="115"/>
      <c r="AM974" s="93"/>
      <c r="AN974" s="93"/>
      <c r="AO974" s="93"/>
      <c r="AP974" s="93"/>
      <c r="AQ974" s="93"/>
      <c r="AR974" s="93"/>
      <c r="AS974" s="93"/>
      <c r="AT974" s="93"/>
      <c r="AU974" s="93"/>
      <c r="AV974" s="93"/>
      <c r="AW974" s="93"/>
      <c r="AX974" s="93"/>
      <c r="AY974" s="93"/>
      <c r="AZ974" s="93"/>
      <c r="BA974" s="93"/>
      <c r="BB974" s="93"/>
    </row>
    <row r="975" spans="1:54" ht="13.2">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c r="AC975" s="93"/>
      <c r="AD975" s="93"/>
      <c r="AE975" s="93"/>
      <c r="AF975" s="93"/>
      <c r="AG975" s="93"/>
      <c r="AH975" s="93"/>
      <c r="AI975" s="93"/>
      <c r="AJ975" s="93"/>
      <c r="AK975" s="93"/>
      <c r="AL975" s="115"/>
      <c r="AM975" s="93"/>
      <c r="AN975" s="93"/>
      <c r="AO975" s="93"/>
      <c r="AP975" s="93"/>
      <c r="AQ975" s="93"/>
      <c r="AR975" s="93"/>
      <c r="AS975" s="93"/>
      <c r="AT975" s="93"/>
      <c r="AU975" s="93"/>
      <c r="AV975" s="93"/>
      <c r="AW975" s="93"/>
      <c r="AX975" s="93"/>
      <c r="AY975" s="93"/>
      <c r="AZ975" s="93"/>
      <c r="BA975" s="93"/>
      <c r="BB975" s="93"/>
    </row>
    <row r="976" spans="1:54" ht="13.2">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c r="AC976" s="93"/>
      <c r="AD976" s="93"/>
      <c r="AE976" s="93"/>
      <c r="AF976" s="93"/>
      <c r="AG976" s="93"/>
      <c r="AH976" s="93"/>
      <c r="AI976" s="93"/>
      <c r="AJ976" s="93"/>
      <c r="AK976" s="93"/>
      <c r="AL976" s="115"/>
      <c r="AM976" s="93"/>
      <c r="AN976" s="93"/>
      <c r="AO976" s="93"/>
      <c r="AP976" s="93"/>
      <c r="AQ976" s="93"/>
      <c r="AR976" s="93"/>
      <c r="AS976" s="93"/>
      <c r="AT976" s="93"/>
      <c r="AU976" s="93"/>
      <c r="AV976" s="93"/>
      <c r="AW976" s="93"/>
      <c r="AX976" s="93"/>
      <c r="AY976" s="93"/>
      <c r="AZ976" s="93"/>
      <c r="BA976" s="93"/>
      <c r="BB976" s="93"/>
    </row>
    <row r="977" spans="1:54" ht="13.2">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c r="AE977" s="93"/>
      <c r="AF977" s="93"/>
      <c r="AG977" s="93"/>
      <c r="AH977" s="93"/>
      <c r="AI977" s="93"/>
      <c r="AJ977" s="93"/>
      <c r="AK977" s="93"/>
      <c r="AL977" s="115"/>
      <c r="AM977" s="93"/>
      <c r="AN977" s="93"/>
      <c r="AO977" s="93"/>
      <c r="AP977" s="93"/>
      <c r="AQ977" s="93"/>
      <c r="AR977" s="93"/>
      <c r="AS977" s="93"/>
      <c r="AT977" s="93"/>
      <c r="AU977" s="93"/>
      <c r="AV977" s="93"/>
      <c r="AW977" s="93"/>
      <c r="AX977" s="93"/>
      <c r="AY977" s="93"/>
      <c r="AZ977" s="93"/>
      <c r="BA977" s="93"/>
      <c r="BB977" s="93"/>
    </row>
    <row r="978" spans="1:54" ht="13.2">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c r="AC978" s="93"/>
      <c r="AD978" s="93"/>
      <c r="AE978" s="93"/>
      <c r="AF978" s="93"/>
      <c r="AG978" s="93"/>
      <c r="AH978" s="93"/>
      <c r="AI978" s="93"/>
      <c r="AJ978" s="93"/>
      <c r="AK978" s="93"/>
      <c r="AL978" s="115"/>
      <c r="AM978" s="93"/>
      <c r="AN978" s="93"/>
      <c r="AO978" s="93"/>
      <c r="AP978" s="93"/>
      <c r="AQ978" s="93"/>
      <c r="AR978" s="93"/>
      <c r="AS978" s="93"/>
      <c r="AT978" s="93"/>
      <c r="AU978" s="93"/>
      <c r="AV978" s="93"/>
      <c r="AW978" s="93"/>
      <c r="AX978" s="93"/>
      <c r="AY978" s="93"/>
      <c r="AZ978" s="93"/>
      <c r="BA978" s="93"/>
      <c r="BB978" s="93"/>
    </row>
    <row r="979" spans="1:54" ht="13.2">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c r="AC979" s="93"/>
      <c r="AD979" s="93"/>
      <c r="AE979" s="93"/>
      <c r="AF979" s="93"/>
      <c r="AG979" s="93"/>
      <c r="AH979" s="93"/>
      <c r="AI979" s="93"/>
      <c r="AJ979" s="93"/>
      <c r="AK979" s="93"/>
      <c r="AL979" s="115"/>
      <c r="AM979" s="93"/>
      <c r="AN979" s="93"/>
      <c r="AO979" s="93"/>
      <c r="AP979" s="93"/>
      <c r="AQ979" s="93"/>
      <c r="AR979" s="93"/>
      <c r="AS979" s="93"/>
      <c r="AT979" s="93"/>
      <c r="AU979" s="93"/>
      <c r="AV979" s="93"/>
      <c r="AW979" s="93"/>
      <c r="AX979" s="93"/>
      <c r="AY979" s="93"/>
      <c r="AZ979" s="93"/>
      <c r="BA979" s="93"/>
      <c r="BB979" s="93"/>
    </row>
    <row r="980" spans="1:54" ht="13.2">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c r="AC980" s="93"/>
      <c r="AD980" s="93"/>
      <c r="AE980" s="93"/>
      <c r="AF980" s="93"/>
      <c r="AG980" s="93"/>
      <c r="AH980" s="93"/>
      <c r="AI980" s="93"/>
      <c r="AJ980" s="93"/>
      <c r="AK980" s="93"/>
      <c r="AL980" s="115"/>
      <c r="AM980" s="93"/>
      <c r="AN980" s="93"/>
      <c r="AO980" s="93"/>
      <c r="AP980" s="93"/>
      <c r="AQ980" s="93"/>
      <c r="AR980" s="93"/>
      <c r="AS980" s="93"/>
      <c r="AT980" s="93"/>
      <c r="AU980" s="93"/>
      <c r="AV980" s="93"/>
      <c r="AW980" s="93"/>
      <c r="AX980" s="93"/>
      <c r="AY980" s="93"/>
      <c r="AZ980" s="93"/>
      <c r="BA980" s="93"/>
      <c r="BB980" s="93"/>
    </row>
    <row r="981" spans="1:54" ht="13.2">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c r="AC981" s="93"/>
      <c r="AD981" s="93"/>
      <c r="AE981" s="93"/>
      <c r="AF981" s="93"/>
      <c r="AG981" s="93"/>
      <c r="AH981" s="93"/>
      <c r="AI981" s="93"/>
      <c r="AJ981" s="93"/>
      <c r="AK981" s="93"/>
      <c r="AL981" s="115"/>
      <c r="AM981" s="93"/>
      <c r="AN981" s="93"/>
      <c r="AO981" s="93"/>
      <c r="AP981" s="93"/>
      <c r="AQ981" s="93"/>
      <c r="AR981" s="93"/>
      <c r="AS981" s="93"/>
      <c r="AT981" s="93"/>
      <c r="AU981" s="93"/>
      <c r="AV981" s="93"/>
      <c r="AW981" s="93"/>
      <c r="AX981" s="93"/>
      <c r="AY981" s="93"/>
      <c r="AZ981" s="93"/>
      <c r="BA981" s="93"/>
      <c r="BB981" s="93"/>
    </row>
    <row r="982" spans="1:54" ht="13.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c r="AC982" s="93"/>
      <c r="AD982" s="93"/>
      <c r="AE982" s="93"/>
      <c r="AF982" s="93"/>
      <c r="AG982" s="93"/>
      <c r="AH982" s="93"/>
      <c r="AI982" s="93"/>
      <c r="AJ982" s="93"/>
      <c r="AK982" s="93"/>
      <c r="AL982" s="115"/>
      <c r="AM982" s="93"/>
      <c r="AN982" s="93"/>
      <c r="AO982" s="93"/>
      <c r="AP982" s="93"/>
      <c r="AQ982" s="93"/>
      <c r="AR982" s="93"/>
      <c r="AS982" s="93"/>
      <c r="AT982" s="93"/>
      <c r="AU982" s="93"/>
      <c r="AV982" s="93"/>
      <c r="AW982" s="93"/>
      <c r="AX982" s="93"/>
      <c r="AY982" s="93"/>
      <c r="AZ982" s="93"/>
      <c r="BA982" s="93"/>
      <c r="BB982" s="93"/>
    </row>
    <row r="983" spans="1:54" ht="13.2">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c r="AC983" s="93"/>
      <c r="AD983" s="93"/>
      <c r="AE983" s="93"/>
      <c r="AF983" s="93"/>
      <c r="AG983" s="93"/>
      <c r="AH983" s="93"/>
      <c r="AI983" s="93"/>
      <c r="AJ983" s="93"/>
      <c r="AK983" s="93"/>
      <c r="AL983" s="115"/>
      <c r="AM983" s="93"/>
      <c r="AN983" s="93"/>
      <c r="AO983" s="93"/>
      <c r="AP983" s="93"/>
      <c r="AQ983" s="93"/>
      <c r="AR983" s="93"/>
      <c r="AS983" s="93"/>
      <c r="AT983" s="93"/>
      <c r="AU983" s="93"/>
      <c r="AV983" s="93"/>
      <c r="AW983" s="93"/>
      <c r="AX983" s="93"/>
      <c r="AY983" s="93"/>
      <c r="AZ983" s="93"/>
      <c r="BA983" s="93"/>
      <c r="BB983" s="93"/>
    </row>
    <row r="984" spans="1:54" ht="13.2">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c r="AC984" s="93"/>
      <c r="AD984" s="93"/>
      <c r="AE984" s="93"/>
      <c r="AF984" s="93"/>
      <c r="AG984" s="93"/>
      <c r="AH984" s="93"/>
      <c r="AI984" s="93"/>
      <c r="AJ984" s="93"/>
      <c r="AK984" s="93"/>
      <c r="AL984" s="115"/>
      <c r="AM984" s="93"/>
      <c r="AN984" s="93"/>
      <c r="AO984" s="93"/>
      <c r="AP984" s="93"/>
      <c r="AQ984" s="93"/>
      <c r="AR984" s="93"/>
      <c r="AS984" s="93"/>
      <c r="AT984" s="93"/>
      <c r="AU984" s="93"/>
      <c r="AV984" s="93"/>
      <c r="AW984" s="93"/>
      <c r="AX984" s="93"/>
      <c r="AY984" s="93"/>
      <c r="AZ984" s="93"/>
      <c r="BA984" s="93"/>
      <c r="BB984" s="93"/>
    </row>
    <row r="985" spans="1:54" ht="13.2">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c r="AC985" s="93"/>
      <c r="AD985" s="93"/>
      <c r="AE985" s="93"/>
      <c r="AF985" s="93"/>
      <c r="AG985" s="93"/>
      <c r="AH985" s="93"/>
      <c r="AI985" s="93"/>
      <c r="AJ985" s="93"/>
      <c r="AK985" s="93"/>
      <c r="AL985" s="115"/>
      <c r="AM985" s="93"/>
      <c r="AN985" s="93"/>
      <c r="AO985" s="93"/>
      <c r="AP985" s="93"/>
      <c r="AQ985" s="93"/>
      <c r="AR985" s="93"/>
      <c r="AS985" s="93"/>
      <c r="AT985" s="93"/>
      <c r="AU985" s="93"/>
      <c r="AV985" s="93"/>
      <c r="AW985" s="93"/>
      <c r="AX985" s="93"/>
      <c r="AY985" s="93"/>
      <c r="AZ985" s="93"/>
      <c r="BA985" s="93"/>
      <c r="BB985" s="93"/>
    </row>
    <row r="986" spans="1:54" ht="13.2">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c r="AC986" s="93"/>
      <c r="AD986" s="93"/>
      <c r="AE986" s="93"/>
      <c r="AF986" s="93"/>
      <c r="AG986" s="93"/>
      <c r="AH986" s="93"/>
      <c r="AI986" s="93"/>
      <c r="AJ986" s="93"/>
      <c r="AK986" s="93"/>
      <c r="AL986" s="115"/>
      <c r="AM986" s="93"/>
      <c r="AN986" s="93"/>
      <c r="AO986" s="93"/>
      <c r="AP986" s="93"/>
      <c r="AQ986" s="93"/>
      <c r="AR986" s="93"/>
      <c r="AS986" s="93"/>
      <c r="AT986" s="93"/>
      <c r="AU986" s="93"/>
      <c r="AV986" s="93"/>
      <c r="AW986" s="93"/>
      <c r="AX986" s="93"/>
      <c r="AY986" s="93"/>
      <c r="AZ986" s="93"/>
      <c r="BA986" s="93"/>
      <c r="BB986" s="93"/>
    </row>
    <row r="987" spans="1:54" ht="13.2">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c r="AC987" s="93"/>
      <c r="AD987" s="93"/>
      <c r="AE987" s="93"/>
      <c r="AF987" s="93"/>
      <c r="AG987" s="93"/>
      <c r="AH987" s="93"/>
      <c r="AI987" s="93"/>
      <c r="AJ987" s="93"/>
      <c r="AK987" s="93"/>
      <c r="AL987" s="115"/>
      <c r="AM987" s="93"/>
      <c r="AN987" s="93"/>
      <c r="AO987" s="93"/>
      <c r="AP987" s="93"/>
      <c r="AQ987" s="93"/>
      <c r="AR987" s="93"/>
      <c r="AS987" s="93"/>
      <c r="AT987" s="93"/>
      <c r="AU987" s="93"/>
      <c r="AV987" s="93"/>
      <c r="AW987" s="93"/>
      <c r="AX987" s="93"/>
      <c r="AY987" s="93"/>
      <c r="AZ987" s="93"/>
      <c r="BA987" s="93"/>
      <c r="BB987" s="93"/>
    </row>
    <row r="988" spans="1:54" ht="13.2">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c r="AC988" s="93"/>
      <c r="AD988" s="93"/>
      <c r="AE988" s="93"/>
      <c r="AF988" s="93"/>
      <c r="AG988" s="93"/>
      <c r="AH988" s="93"/>
      <c r="AI988" s="93"/>
      <c r="AJ988" s="93"/>
      <c r="AK988" s="93"/>
      <c r="AL988" s="115"/>
      <c r="AM988" s="93"/>
      <c r="AN988" s="93"/>
      <c r="AO988" s="93"/>
      <c r="AP988" s="93"/>
      <c r="AQ988" s="93"/>
      <c r="AR988" s="93"/>
      <c r="AS988" s="93"/>
      <c r="AT988" s="93"/>
      <c r="AU988" s="93"/>
      <c r="AV988" s="93"/>
      <c r="AW988" s="93"/>
      <c r="AX988" s="93"/>
      <c r="AY988" s="93"/>
      <c r="AZ988" s="93"/>
      <c r="BA988" s="93"/>
      <c r="BB988" s="93"/>
    </row>
    <row r="989" spans="1:54" ht="13.2">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c r="AC989" s="93"/>
      <c r="AD989" s="93"/>
      <c r="AE989" s="93"/>
      <c r="AF989" s="93"/>
      <c r="AG989" s="93"/>
      <c r="AH989" s="93"/>
      <c r="AI989" s="93"/>
      <c r="AJ989" s="93"/>
      <c r="AK989" s="93"/>
      <c r="AL989" s="115"/>
      <c r="AM989" s="93"/>
      <c r="AN989" s="93"/>
      <c r="AO989" s="93"/>
      <c r="AP989" s="93"/>
      <c r="AQ989" s="93"/>
      <c r="AR989" s="93"/>
      <c r="AS989" s="93"/>
      <c r="AT989" s="93"/>
      <c r="AU989" s="93"/>
      <c r="AV989" s="93"/>
      <c r="AW989" s="93"/>
      <c r="AX989" s="93"/>
      <c r="AY989" s="93"/>
      <c r="AZ989" s="93"/>
      <c r="BA989" s="93"/>
      <c r="BB989" s="93"/>
    </row>
    <row r="990" spans="1:54" ht="13.2">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c r="AC990" s="93"/>
      <c r="AD990" s="93"/>
      <c r="AE990" s="93"/>
      <c r="AF990" s="93"/>
      <c r="AG990" s="93"/>
      <c r="AH990" s="93"/>
      <c r="AI990" s="93"/>
      <c r="AJ990" s="93"/>
      <c r="AK990" s="93"/>
      <c r="AL990" s="115"/>
      <c r="AM990" s="93"/>
      <c r="AN990" s="93"/>
      <c r="AO990" s="93"/>
      <c r="AP990" s="93"/>
      <c r="AQ990" s="93"/>
      <c r="AR990" s="93"/>
      <c r="AS990" s="93"/>
      <c r="AT990" s="93"/>
      <c r="AU990" s="93"/>
      <c r="AV990" s="93"/>
      <c r="AW990" s="93"/>
      <c r="AX990" s="93"/>
      <c r="AY990" s="93"/>
      <c r="AZ990" s="93"/>
      <c r="BA990" s="93"/>
      <c r="BB990" s="93"/>
    </row>
    <row r="991" spans="1:54" ht="13.2">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c r="AC991" s="93"/>
      <c r="AD991" s="93"/>
      <c r="AE991" s="93"/>
      <c r="AF991" s="93"/>
      <c r="AG991" s="93"/>
      <c r="AH991" s="93"/>
      <c r="AI991" s="93"/>
      <c r="AJ991" s="93"/>
      <c r="AK991" s="93"/>
      <c r="AL991" s="115"/>
      <c r="AM991" s="93"/>
      <c r="AN991" s="93"/>
      <c r="AO991" s="93"/>
      <c r="AP991" s="93"/>
      <c r="AQ991" s="93"/>
      <c r="AR991" s="93"/>
      <c r="AS991" s="93"/>
      <c r="AT991" s="93"/>
      <c r="AU991" s="93"/>
      <c r="AV991" s="93"/>
      <c r="AW991" s="93"/>
      <c r="AX991" s="93"/>
      <c r="AY991" s="93"/>
      <c r="AZ991" s="93"/>
      <c r="BA991" s="93"/>
      <c r="BB991" s="93"/>
    </row>
    <row r="992" spans="1:54" ht="13.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c r="AI992" s="93"/>
      <c r="AJ992" s="93"/>
      <c r="AK992" s="93"/>
      <c r="AL992" s="115"/>
      <c r="AM992" s="93"/>
      <c r="AN992" s="93"/>
      <c r="AO992" s="93"/>
      <c r="AP992" s="93"/>
      <c r="AQ992" s="93"/>
      <c r="AR992" s="93"/>
      <c r="AS992" s="93"/>
      <c r="AT992" s="93"/>
      <c r="AU992" s="93"/>
      <c r="AV992" s="93"/>
      <c r="AW992" s="93"/>
      <c r="AX992" s="93"/>
      <c r="AY992" s="93"/>
      <c r="AZ992" s="93"/>
      <c r="BA992" s="93"/>
      <c r="BB992" s="93"/>
    </row>
    <row r="993" spans="1:54" ht="13.2">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c r="AI993" s="93"/>
      <c r="AJ993" s="93"/>
      <c r="AK993" s="93"/>
      <c r="AL993" s="115"/>
      <c r="AM993" s="93"/>
      <c r="AN993" s="93"/>
      <c r="AO993" s="93"/>
      <c r="AP993" s="93"/>
      <c r="AQ993" s="93"/>
      <c r="AR993" s="93"/>
      <c r="AS993" s="93"/>
      <c r="AT993" s="93"/>
      <c r="AU993" s="93"/>
      <c r="AV993" s="93"/>
      <c r="AW993" s="93"/>
      <c r="AX993" s="93"/>
      <c r="AY993" s="93"/>
      <c r="AZ993" s="93"/>
      <c r="BA993" s="93"/>
      <c r="BB993" s="93"/>
    </row>
    <row r="994" spans="1:54" ht="13.2">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c r="AI994" s="93"/>
      <c r="AJ994" s="93"/>
      <c r="AK994" s="93"/>
      <c r="AL994" s="115"/>
      <c r="AM994" s="93"/>
      <c r="AN994" s="93"/>
      <c r="AO994" s="93"/>
      <c r="AP994" s="93"/>
      <c r="AQ994" s="93"/>
      <c r="AR994" s="93"/>
      <c r="AS994" s="93"/>
      <c r="AT994" s="93"/>
      <c r="AU994" s="93"/>
      <c r="AV994" s="93"/>
      <c r="AW994" s="93"/>
      <c r="AX994" s="93"/>
      <c r="AY994" s="93"/>
      <c r="AZ994" s="93"/>
      <c r="BA994" s="93"/>
      <c r="BB994" s="93"/>
    </row>
    <row r="995" spans="1:54" ht="13.2">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c r="AC995" s="93"/>
      <c r="AD995" s="93"/>
      <c r="AE995" s="93"/>
      <c r="AF995" s="93"/>
      <c r="AG995" s="93"/>
      <c r="AH995" s="93"/>
      <c r="AI995" s="93"/>
      <c r="AJ995" s="93"/>
      <c r="AK995" s="93"/>
      <c r="AL995" s="115"/>
      <c r="AM995" s="93"/>
      <c r="AN995" s="93"/>
      <c r="AO995" s="93"/>
      <c r="AP995" s="93"/>
      <c r="AQ995" s="93"/>
      <c r="AR995" s="93"/>
      <c r="AS995" s="93"/>
      <c r="AT995" s="93"/>
      <c r="AU995" s="93"/>
      <c r="AV995" s="93"/>
      <c r="AW995" s="93"/>
      <c r="AX995" s="93"/>
      <c r="AY995" s="93"/>
      <c r="AZ995" s="93"/>
      <c r="BA995" s="93"/>
      <c r="BB995" s="93"/>
    </row>
    <row r="996" spans="1:54" ht="13.2">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c r="AC996" s="93"/>
      <c r="AD996" s="93"/>
      <c r="AE996" s="93"/>
      <c r="AF996" s="93"/>
      <c r="AG996" s="93"/>
      <c r="AH996" s="93"/>
      <c r="AI996" s="93"/>
      <c r="AJ996" s="93"/>
      <c r="AK996" s="93"/>
      <c r="AL996" s="115"/>
      <c r="AM996" s="93"/>
      <c r="AN996" s="93"/>
      <c r="AO996" s="93"/>
      <c r="AP996" s="93"/>
      <c r="AQ996" s="93"/>
      <c r="AR996" s="93"/>
      <c r="AS996" s="93"/>
      <c r="AT996" s="93"/>
      <c r="AU996" s="93"/>
      <c r="AV996" s="93"/>
      <c r="AW996" s="93"/>
      <c r="AX996" s="93"/>
      <c r="AY996" s="93"/>
      <c r="AZ996" s="93"/>
      <c r="BA996" s="93"/>
      <c r="BB996" s="93"/>
    </row>
    <row r="997" spans="1:54" ht="13.2">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c r="AC997" s="93"/>
      <c r="AD997" s="93"/>
      <c r="AE997" s="93"/>
      <c r="AF997" s="93"/>
      <c r="AG997" s="93"/>
      <c r="AH997" s="93"/>
      <c r="AI997" s="93"/>
      <c r="AJ997" s="93"/>
      <c r="AK997" s="93"/>
      <c r="AL997" s="115"/>
      <c r="AM997" s="93"/>
      <c r="AN997" s="93"/>
      <c r="AO997" s="93"/>
      <c r="AP997" s="93"/>
      <c r="AQ997" s="93"/>
      <c r="AR997" s="93"/>
      <c r="AS997" s="93"/>
      <c r="AT997" s="93"/>
      <c r="AU997" s="93"/>
      <c r="AV997" s="93"/>
      <c r="AW997" s="93"/>
      <c r="AX997" s="93"/>
      <c r="AY997" s="93"/>
      <c r="AZ997" s="93"/>
      <c r="BA997" s="93"/>
      <c r="BB997" s="93"/>
    </row>
    <row r="998" spans="1:54" ht="13.2">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c r="AA998" s="93"/>
      <c r="AB998" s="93"/>
      <c r="AC998" s="93"/>
      <c r="AD998" s="93"/>
      <c r="AE998" s="93"/>
      <c r="AF998" s="93"/>
      <c r="AG998" s="93"/>
      <c r="AH998" s="93"/>
      <c r="AI998" s="93"/>
      <c r="AJ998" s="93"/>
      <c r="AK998" s="93"/>
      <c r="AL998" s="115"/>
      <c r="AM998" s="93"/>
      <c r="AN998" s="93"/>
      <c r="AO998" s="93"/>
      <c r="AP998" s="93"/>
      <c r="AQ998" s="93"/>
      <c r="AR998" s="93"/>
      <c r="AS998" s="93"/>
      <c r="AT998" s="93"/>
      <c r="AU998" s="93"/>
      <c r="AV998" s="93"/>
      <c r="AW998" s="93"/>
      <c r="AX998" s="93"/>
      <c r="AY998" s="93"/>
      <c r="AZ998" s="93"/>
      <c r="BA998" s="93"/>
      <c r="BB998" s="93"/>
    </row>
    <row r="999" spans="1:54" ht="13.2">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c r="AC999" s="93"/>
      <c r="AD999" s="93"/>
      <c r="AE999" s="93"/>
      <c r="AF999" s="93"/>
      <c r="AG999" s="93"/>
      <c r="AH999" s="93"/>
      <c r="AI999" s="93"/>
      <c r="AJ999" s="93"/>
      <c r="AK999" s="93"/>
      <c r="AL999" s="115"/>
      <c r="AM999" s="93"/>
      <c r="AN999" s="93"/>
      <c r="AO999" s="93"/>
      <c r="AP999" s="93"/>
      <c r="AQ999" s="93"/>
      <c r="AR999" s="93"/>
      <c r="AS999" s="93"/>
      <c r="AT999" s="93"/>
      <c r="AU999" s="93"/>
      <c r="AV999" s="93"/>
      <c r="AW999" s="93"/>
      <c r="AX999" s="93"/>
      <c r="AY999" s="93"/>
      <c r="AZ999" s="93"/>
      <c r="BA999" s="93"/>
      <c r="BB999" s="93"/>
    </row>
    <row r="1000" spans="1:54" ht="13.2">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c r="AE1000" s="93"/>
      <c r="AF1000" s="93"/>
      <c r="AG1000" s="93"/>
      <c r="AH1000" s="93"/>
      <c r="AI1000" s="93"/>
      <c r="AJ1000" s="93"/>
      <c r="AK1000" s="93"/>
      <c r="AL1000" s="115"/>
      <c r="AM1000" s="93"/>
      <c r="AN1000" s="93"/>
      <c r="AO1000" s="93"/>
      <c r="AP1000" s="93"/>
      <c r="AQ1000" s="93"/>
      <c r="AR1000" s="93"/>
      <c r="AS1000" s="93"/>
      <c r="AT1000" s="93"/>
      <c r="AU1000" s="93"/>
      <c r="AV1000" s="93"/>
      <c r="AW1000" s="93"/>
      <c r="AX1000" s="93"/>
      <c r="AY1000" s="93"/>
      <c r="AZ1000" s="93"/>
      <c r="BA1000" s="93"/>
      <c r="BB1000" s="93"/>
    </row>
  </sheetData>
  <hyperlinks>
    <hyperlink ref="Q1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5"/>
  <sheetViews>
    <sheetView workbookViewId="0"/>
  </sheetViews>
  <sheetFormatPr defaultColWidth="12.6640625" defaultRowHeight="15.75" customHeight="1"/>
  <cols>
    <col min="1" max="1" width="24.88671875" customWidth="1"/>
    <col min="2" max="2" width="67.44140625" customWidth="1"/>
    <col min="3" max="3" width="12.88671875" customWidth="1"/>
    <col min="4" max="4" width="13.109375" customWidth="1"/>
    <col min="5" max="5" width="12.44140625" customWidth="1"/>
    <col min="6" max="6" width="56.33203125" customWidth="1"/>
  </cols>
  <sheetData>
    <row r="1" spans="1:6" ht="13.2">
      <c r="A1" s="116"/>
      <c r="B1" s="116">
        <v>2025</v>
      </c>
      <c r="C1" s="116">
        <v>2026</v>
      </c>
    </row>
    <row r="2" spans="1:6" ht="13.2">
      <c r="A2" s="116" t="s">
        <v>7973</v>
      </c>
      <c r="B2" s="117">
        <f>COUNTA(SVNCKH2025_2026!B2:'SVNCKH2025_2026'!B824)</f>
        <v>226</v>
      </c>
    </row>
    <row r="3" spans="1:6" ht="13.2">
      <c r="A3" s="116" t="s">
        <v>7974</v>
      </c>
      <c r="B3" s="117">
        <f>COUNTA(BangSVKhoiNghiep2025!B2:'BangSVKhoiNghiep2025'!B225)</f>
        <v>59</v>
      </c>
      <c r="C3" s="117">
        <f>COUNTA(BangSVKhoiNghiep2026!B2:'BangSVKhoiNghiep2026'!B321)</f>
        <v>78</v>
      </c>
    </row>
    <row r="4" spans="1:6" ht="13.2">
      <c r="A4" s="116" t="s">
        <v>7975</v>
      </c>
      <c r="B4" s="117">
        <f>COUNTIF(BangLHS_2025_2026!B10:'BangLHS_2025_2026'!B409,"2025")</f>
        <v>299</v>
      </c>
    </row>
    <row r="12" spans="1:6" ht="15.75" customHeight="1">
      <c r="A12" s="118" t="s">
        <v>7976</v>
      </c>
      <c r="B12" s="118" t="s">
        <v>7977</v>
      </c>
      <c r="C12" s="118" t="s">
        <v>7978</v>
      </c>
      <c r="D12" s="119" t="s">
        <v>7979</v>
      </c>
      <c r="E12" s="119" t="s">
        <v>7980</v>
      </c>
    </row>
    <row r="13" spans="1:6" ht="15.75" customHeight="1">
      <c r="A13" s="120" t="s">
        <v>7981</v>
      </c>
      <c r="B13" s="121" t="s">
        <v>7982</v>
      </c>
      <c r="C13" s="120" t="s">
        <v>7983</v>
      </c>
      <c r="D13" s="122">
        <v>284</v>
      </c>
      <c r="E13" s="123"/>
      <c r="F13" s="116" t="s">
        <v>7984</v>
      </c>
    </row>
    <row r="14" spans="1:6" ht="15.75" customHeight="1">
      <c r="A14" s="120" t="s">
        <v>7985</v>
      </c>
      <c r="B14" s="121" t="s">
        <v>7986</v>
      </c>
      <c r="C14" s="120" t="s">
        <v>7987</v>
      </c>
      <c r="D14" s="122">
        <v>30120</v>
      </c>
      <c r="E14" s="123"/>
      <c r="F14" s="116" t="s">
        <v>7988</v>
      </c>
    </row>
    <row r="15" spans="1:6" ht="15.75" customHeight="1">
      <c r="A15" s="120" t="s">
        <v>7989</v>
      </c>
      <c r="B15" s="124" t="s">
        <v>7990</v>
      </c>
      <c r="C15" s="120" t="s">
        <v>7991</v>
      </c>
      <c r="D15" s="125"/>
      <c r="E15" s="123"/>
    </row>
    <row r="16" spans="1:6" ht="15.75" customHeight="1">
      <c r="A16" s="120" t="s">
        <v>7992</v>
      </c>
      <c r="B16" s="121" t="s">
        <v>7993</v>
      </c>
      <c r="C16" s="120" t="s">
        <v>7994</v>
      </c>
      <c r="D16" s="126">
        <v>46278</v>
      </c>
      <c r="E16" s="123"/>
      <c r="F16" s="116" t="s">
        <v>7995</v>
      </c>
    </row>
    <row r="17" spans="1:6" ht="15.75" customHeight="1">
      <c r="A17" s="120" t="s">
        <v>7996</v>
      </c>
      <c r="B17" s="121" t="s">
        <v>7997</v>
      </c>
      <c r="C17" s="120" t="s">
        <v>7994</v>
      </c>
      <c r="D17" s="122">
        <v>10</v>
      </c>
      <c r="E17" s="123"/>
      <c r="F17" s="116" t="s">
        <v>7998</v>
      </c>
    </row>
    <row r="18" spans="1:6" ht="15.75" customHeight="1">
      <c r="A18" s="120" t="s">
        <v>7999</v>
      </c>
      <c r="B18" s="124" t="s">
        <v>8000</v>
      </c>
      <c r="C18" s="120" t="s">
        <v>7991</v>
      </c>
      <c r="D18" s="125"/>
      <c r="E18" s="123"/>
    </row>
    <row r="19" spans="1:6" ht="15.75" customHeight="1">
      <c r="A19" s="120" t="s">
        <v>8001</v>
      </c>
      <c r="B19" s="121" t="s">
        <v>8002</v>
      </c>
      <c r="C19" s="120" t="s">
        <v>7991</v>
      </c>
      <c r="D19" s="122">
        <v>16</v>
      </c>
      <c r="E19" s="123"/>
      <c r="F19" s="116" t="s">
        <v>8003</v>
      </c>
    </row>
    <row r="20" spans="1:6" ht="15.75" customHeight="1">
      <c r="A20" s="120" t="s">
        <v>8004</v>
      </c>
      <c r="B20" s="124" t="s">
        <v>8005</v>
      </c>
      <c r="C20" s="120" t="s">
        <v>7991</v>
      </c>
      <c r="D20" s="125"/>
      <c r="E20" s="123"/>
    </row>
    <row r="21" spans="1:6" ht="15.75" customHeight="1">
      <c r="A21" s="120" t="s">
        <v>8006</v>
      </c>
      <c r="B21" s="124" t="s">
        <v>8007</v>
      </c>
      <c r="C21" s="120" t="s">
        <v>7991</v>
      </c>
      <c r="D21" s="125"/>
      <c r="E21" s="123"/>
    </row>
    <row r="22" spans="1:6" ht="15.75" customHeight="1">
      <c r="A22" s="120" t="s">
        <v>8008</v>
      </c>
      <c r="B22" s="121" t="s">
        <v>8009</v>
      </c>
      <c r="C22" s="120" t="s">
        <v>7991</v>
      </c>
      <c r="D22" s="122">
        <v>8</v>
      </c>
      <c r="E22" s="123"/>
      <c r="F22" s="116" t="s">
        <v>8010</v>
      </c>
    </row>
    <row r="23" spans="1:6" ht="15.75" customHeight="1">
      <c r="A23" s="120" t="s">
        <v>8011</v>
      </c>
      <c r="B23" s="121" t="s">
        <v>8012</v>
      </c>
      <c r="C23" s="120" t="s">
        <v>7991</v>
      </c>
      <c r="D23" s="122">
        <v>0</v>
      </c>
      <c r="E23" s="123"/>
      <c r="F23" s="116" t="s">
        <v>8010</v>
      </c>
    </row>
    <row r="24" spans="1:6" ht="13.2">
      <c r="A24" s="127" t="s">
        <v>8013</v>
      </c>
      <c r="B24" s="127" t="s">
        <v>8014</v>
      </c>
      <c r="C24" s="127" t="s">
        <v>7991</v>
      </c>
      <c r="D24" s="122">
        <v>56</v>
      </c>
      <c r="E24" s="123"/>
      <c r="F24" s="116" t="s">
        <v>8015</v>
      </c>
    </row>
    <row r="25" spans="1:6" ht="13.2">
      <c r="A25" s="127" t="s">
        <v>8016</v>
      </c>
      <c r="B25" s="127" t="s">
        <v>8017</v>
      </c>
      <c r="C25" s="127" t="s">
        <v>7991</v>
      </c>
      <c r="D25" s="125"/>
      <c r="E25" s="1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000"/>
  <sheetViews>
    <sheetView workbookViewId="0"/>
  </sheetViews>
  <sheetFormatPr defaultColWidth="12.6640625" defaultRowHeight="15.75" customHeight="1"/>
  <cols>
    <col min="2" max="2" width="22.77734375" customWidth="1"/>
    <col min="7" max="7" width="24" customWidth="1"/>
    <col min="13" max="13" width="20.6640625" customWidth="1"/>
  </cols>
  <sheetData>
    <row r="1" spans="1:13">
      <c r="A1" s="128" t="s">
        <v>2638</v>
      </c>
      <c r="B1" s="128" t="s">
        <v>8018</v>
      </c>
      <c r="C1" s="128" t="s">
        <v>2641</v>
      </c>
      <c r="D1" s="128" t="s">
        <v>8019</v>
      </c>
      <c r="E1" s="128" t="s">
        <v>8020</v>
      </c>
      <c r="F1" s="128" t="s">
        <v>10</v>
      </c>
      <c r="G1" s="128" t="s">
        <v>2648</v>
      </c>
      <c r="H1" s="128" t="s">
        <v>8021</v>
      </c>
      <c r="I1" s="128" t="s">
        <v>8022</v>
      </c>
      <c r="J1" s="128" t="s">
        <v>8023</v>
      </c>
      <c r="K1" s="128" t="s">
        <v>8024</v>
      </c>
      <c r="L1" s="128" t="s">
        <v>8025</v>
      </c>
      <c r="M1" s="129" t="s">
        <v>8026</v>
      </c>
    </row>
    <row r="2" spans="1:13">
      <c r="A2" s="128">
        <v>1</v>
      </c>
      <c r="B2" s="128" t="s">
        <v>8027</v>
      </c>
      <c r="C2" s="128" t="s">
        <v>1067</v>
      </c>
      <c r="D2" s="128" t="s">
        <v>1051</v>
      </c>
      <c r="E2" s="128" t="s">
        <v>8028</v>
      </c>
      <c r="F2" s="128" t="s">
        <v>1462</v>
      </c>
      <c r="G2" s="128" t="s">
        <v>1820</v>
      </c>
      <c r="H2" s="128" t="s">
        <v>8029</v>
      </c>
      <c r="I2" s="130" t="s">
        <v>8030</v>
      </c>
      <c r="J2" s="128" t="s">
        <v>8031</v>
      </c>
      <c r="K2" s="128" t="s">
        <v>8032</v>
      </c>
      <c r="L2" s="128">
        <v>2025</v>
      </c>
      <c r="M2" s="131" t="s">
        <v>8033</v>
      </c>
    </row>
    <row r="3" spans="1:13">
      <c r="A3" s="128">
        <v>2</v>
      </c>
      <c r="B3" s="128"/>
      <c r="C3" s="128" t="s">
        <v>1065</v>
      </c>
      <c r="D3" s="128" t="s">
        <v>1051</v>
      </c>
      <c r="E3" s="128" t="s">
        <v>8028</v>
      </c>
      <c r="F3" s="128" t="s">
        <v>1462</v>
      </c>
      <c r="G3" s="128" t="s">
        <v>1820</v>
      </c>
      <c r="H3" s="128" t="s">
        <v>8029</v>
      </c>
      <c r="I3" s="128"/>
      <c r="J3" s="128" t="s">
        <v>8031</v>
      </c>
      <c r="K3" s="128"/>
      <c r="L3" s="128">
        <v>2025</v>
      </c>
      <c r="M3" s="132">
        <f t="shared" ref="M3:M220" ca="1" si="0">RANDBETWEEN(DATE(2025,1,1),DATE(2025,12,31))</f>
        <v>45931</v>
      </c>
    </row>
    <row r="4" spans="1:13">
      <c r="A4" s="128">
        <v>3</v>
      </c>
      <c r="B4" s="128" t="s">
        <v>8034</v>
      </c>
      <c r="C4" s="128" t="s">
        <v>1470</v>
      </c>
      <c r="D4" s="128" t="s">
        <v>1445</v>
      </c>
      <c r="E4" s="128" t="s">
        <v>8035</v>
      </c>
      <c r="F4" s="128" t="s">
        <v>1329</v>
      </c>
      <c r="G4" s="128" t="s">
        <v>1328</v>
      </c>
      <c r="H4" s="128" t="s">
        <v>7557</v>
      </c>
      <c r="I4" s="130" t="s">
        <v>8036</v>
      </c>
      <c r="J4" s="128" t="s">
        <v>8031</v>
      </c>
      <c r="K4" s="128" t="s">
        <v>8037</v>
      </c>
      <c r="L4" s="128">
        <v>2025</v>
      </c>
      <c r="M4" s="132">
        <f t="shared" ca="1" si="0"/>
        <v>46013</v>
      </c>
    </row>
    <row r="5" spans="1:13">
      <c r="A5" s="128">
        <v>4</v>
      </c>
      <c r="B5" s="128" t="s">
        <v>8038</v>
      </c>
      <c r="C5" s="128" t="s">
        <v>2359</v>
      </c>
      <c r="D5" s="128" t="s">
        <v>445</v>
      </c>
      <c r="E5" s="128" t="s">
        <v>8035</v>
      </c>
      <c r="F5" s="128" t="s">
        <v>1417</v>
      </c>
      <c r="G5" s="128" t="s">
        <v>2361</v>
      </c>
      <c r="H5" s="128" t="s">
        <v>8039</v>
      </c>
      <c r="I5" s="130" t="s">
        <v>8040</v>
      </c>
      <c r="J5" s="128" t="s">
        <v>8031</v>
      </c>
      <c r="K5" s="128" t="s">
        <v>8041</v>
      </c>
      <c r="L5" s="128">
        <v>2025</v>
      </c>
      <c r="M5" s="132">
        <f t="shared" ca="1" si="0"/>
        <v>45694</v>
      </c>
    </row>
    <row r="6" spans="1:13">
      <c r="A6" s="128">
        <v>5</v>
      </c>
      <c r="B6" s="128"/>
      <c r="C6" s="128" t="s">
        <v>448</v>
      </c>
      <c r="D6" s="128" t="s">
        <v>442</v>
      </c>
      <c r="E6" s="128" t="s">
        <v>8028</v>
      </c>
      <c r="F6" s="128" t="s">
        <v>1417</v>
      </c>
      <c r="G6" s="128" t="s">
        <v>2361</v>
      </c>
      <c r="H6" s="128" t="s">
        <v>8039</v>
      </c>
      <c r="I6" s="128"/>
      <c r="J6" s="128"/>
      <c r="K6" s="128"/>
      <c r="L6" s="128">
        <v>2025</v>
      </c>
      <c r="M6" s="132">
        <f t="shared" ca="1" si="0"/>
        <v>45754</v>
      </c>
    </row>
    <row r="7" spans="1:13">
      <c r="A7" s="128">
        <v>6</v>
      </c>
      <c r="B7" s="128"/>
      <c r="C7" s="128" t="s">
        <v>8042</v>
      </c>
      <c r="D7" s="128" t="s">
        <v>442</v>
      </c>
      <c r="E7" s="128" t="s">
        <v>8028</v>
      </c>
      <c r="F7" s="128" t="s">
        <v>1417</v>
      </c>
      <c r="G7" s="128" t="s">
        <v>2361</v>
      </c>
      <c r="H7" s="128" t="s">
        <v>8039</v>
      </c>
      <c r="I7" s="128"/>
      <c r="J7" s="128"/>
      <c r="K7" s="128"/>
      <c r="L7" s="128">
        <v>2025</v>
      </c>
      <c r="M7" s="132">
        <f t="shared" ca="1" si="0"/>
        <v>45856</v>
      </c>
    </row>
    <row r="8" spans="1:13">
      <c r="A8" s="128">
        <v>7</v>
      </c>
      <c r="B8" s="128" t="s">
        <v>8043</v>
      </c>
      <c r="C8" s="128" t="s">
        <v>8044</v>
      </c>
      <c r="D8" s="128" t="s">
        <v>1385</v>
      </c>
      <c r="E8" s="128" t="s">
        <v>8035</v>
      </c>
      <c r="F8" s="128" t="s">
        <v>1329</v>
      </c>
      <c r="G8" s="128" t="s">
        <v>1328</v>
      </c>
      <c r="H8" s="128" t="s">
        <v>7557</v>
      </c>
      <c r="I8" s="130" t="s">
        <v>8045</v>
      </c>
      <c r="J8" s="128" t="s">
        <v>8046</v>
      </c>
      <c r="K8" s="128" t="s">
        <v>8037</v>
      </c>
      <c r="L8" s="128">
        <v>2025</v>
      </c>
      <c r="M8" s="132">
        <f t="shared" ca="1" si="0"/>
        <v>45975</v>
      </c>
    </row>
    <row r="9" spans="1:13">
      <c r="A9" s="128">
        <v>8</v>
      </c>
      <c r="B9" s="128"/>
      <c r="C9" s="128" t="s">
        <v>1387</v>
      </c>
      <c r="D9" s="128" t="s">
        <v>1385</v>
      </c>
      <c r="E9" s="128" t="s">
        <v>8035</v>
      </c>
      <c r="F9" s="128" t="s">
        <v>1329</v>
      </c>
      <c r="G9" s="128" t="s">
        <v>1328</v>
      </c>
      <c r="H9" s="128" t="s">
        <v>7557</v>
      </c>
      <c r="I9" s="128"/>
      <c r="J9" s="128"/>
      <c r="K9" s="128"/>
      <c r="L9" s="128">
        <v>2025</v>
      </c>
      <c r="M9" s="132">
        <f t="shared" ca="1" si="0"/>
        <v>45902</v>
      </c>
    </row>
    <row r="10" spans="1:13">
      <c r="A10" s="128">
        <v>9</v>
      </c>
      <c r="B10" s="128"/>
      <c r="C10" s="128" t="s">
        <v>1384</v>
      </c>
      <c r="D10" s="128" t="s">
        <v>1385</v>
      </c>
      <c r="E10" s="128" t="s">
        <v>8035</v>
      </c>
      <c r="F10" s="128" t="s">
        <v>1329</v>
      </c>
      <c r="G10" s="128" t="s">
        <v>1328</v>
      </c>
      <c r="H10" s="128" t="s">
        <v>7557</v>
      </c>
      <c r="I10" s="128"/>
      <c r="J10" s="128"/>
      <c r="K10" s="128"/>
      <c r="L10" s="128">
        <v>2025</v>
      </c>
      <c r="M10" s="132">
        <f t="shared" ca="1" si="0"/>
        <v>45967</v>
      </c>
    </row>
    <row r="11" spans="1:13">
      <c r="A11" s="128">
        <v>10</v>
      </c>
      <c r="B11" s="128" t="s">
        <v>8047</v>
      </c>
      <c r="C11" s="128" t="s">
        <v>8048</v>
      </c>
      <c r="D11" s="128" t="s">
        <v>1269</v>
      </c>
      <c r="E11" s="128" t="s">
        <v>8028</v>
      </c>
      <c r="F11" s="128" t="s">
        <v>1437</v>
      </c>
      <c r="G11" s="128" t="s">
        <v>1478</v>
      </c>
      <c r="H11" s="128" t="s">
        <v>8049</v>
      </c>
      <c r="I11" s="130" t="s">
        <v>8050</v>
      </c>
      <c r="J11" s="128" t="s">
        <v>8031</v>
      </c>
      <c r="K11" s="128" t="s">
        <v>8032</v>
      </c>
      <c r="L11" s="128">
        <v>2025</v>
      </c>
      <c r="M11" s="132">
        <f t="shared" ca="1" si="0"/>
        <v>45838</v>
      </c>
    </row>
    <row r="12" spans="1:13">
      <c r="A12" s="128">
        <v>11</v>
      </c>
      <c r="B12" s="128"/>
      <c r="C12" s="128" t="s">
        <v>8051</v>
      </c>
      <c r="D12" s="128" t="s">
        <v>1269</v>
      </c>
      <c r="E12" s="128" t="s">
        <v>8028</v>
      </c>
      <c r="F12" s="128" t="s">
        <v>1437</v>
      </c>
      <c r="G12" s="128" t="s">
        <v>1478</v>
      </c>
      <c r="H12" s="128" t="s">
        <v>8049</v>
      </c>
      <c r="I12" s="130" t="s">
        <v>8052</v>
      </c>
      <c r="J12" s="128"/>
      <c r="K12" s="128"/>
      <c r="L12" s="128">
        <v>2025</v>
      </c>
      <c r="M12" s="132">
        <f t="shared" ca="1" si="0"/>
        <v>45876</v>
      </c>
    </row>
    <row r="13" spans="1:13">
      <c r="A13" s="128">
        <v>12</v>
      </c>
      <c r="B13" s="128" t="s">
        <v>8053</v>
      </c>
      <c r="C13" s="128" t="s">
        <v>8054</v>
      </c>
      <c r="D13" s="128" t="s">
        <v>641</v>
      </c>
      <c r="E13" s="128" t="s">
        <v>8028</v>
      </c>
      <c r="F13" s="128" t="s">
        <v>1437</v>
      </c>
      <c r="G13" s="128" t="s">
        <v>1478</v>
      </c>
      <c r="H13" s="128" t="s">
        <v>8049</v>
      </c>
      <c r="I13" s="130" t="s">
        <v>8055</v>
      </c>
      <c r="J13" s="128" t="s">
        <v>8031</v>
      </c>
      <c r="K13" s="128" t="s">
        <v>8056</v>
      </c>
      <c r="L13" s="128">
        <v>2025</v>
      </c>
      <c r="M13" s="132">
        <f t="shared" ca="1" si="0"/>
        <v>45901</v>
      </c>
    </row>
    <row r="14" spans="1:13">
      <c r="A14" s="128">
        <v>13</v>
      </c>
      <c r="B14" s="128"/>
      <c r="C14" s="128" t="s">
        <v>8057</v>
      </c>
      <c r="D14" s="128" t="s">
        <v>641</v>
      </c>
      <c r="E14" s="128" t="s">
        <v>8028</v>
      </c>
      <c r="F14" s="128" t="s">
        <v>1437</v>
      </c>
      <c r="G14" s="128" t="s">
        <v>1478</v>
      </c>
      <c r="H14" s="128" t="s">
        <v>8049</v>
      </c>
      <c r="I14" s="128"/>
      <c r="J14" s="128"/>
      <c r="K14" s="128"/>
      <c r="L14" s="128">
        <v>2025</v>
      </c>
      <c r="M14" s="132">
        <f t="shared" ca="1" si="0"/>
        <v>45924</v>
      </c>
    </row>
    <row r="15" spans="1:13">
      <c r="A15" s="128">
        <v>14</v>
      </c>
      <c r="B15" s="128"/>
      <c r="C15" s="128" t="s">
        <v>647</v>
      </c>
      <c r="D15" s="128" t="s">
        <v>641</v>
      </c>
      <c r="E15" s="128" t="s">
        <v>8028</v>
      </c>
      <c r="F15" s="128" t="s">
        <v>1437</v>
      </c>
      <c r="G15" s="128" t="s">
        <v>1478</v>
      </c>
      <c r="H15" s="128" t="s">
        <v>8049</v>
      </c>
      <c r="I15" s="128"/>
      <c r="J15" s="128"/>
      <c r="K15" s="128"/>
      <c r="L15" s="128">
        <v>2025</v>
      </c>
      <c r="M15" s="132">
        <f t="shared" ca="1" si="0"/>
        <v>45978</v>
      </c>
    </row>
    <row r="16" spans="1:13">
      <c r="A16" s="128">
        <v>15</v>
      </c>
      <c r="B16" s="128"/>
      <c r="C16" s="128" t="s">
        <v>646</v>
      </c>
      <c r="D16" s="128" t="s">
        <v>641</v>
      </c>
      <c r="E16" s="128" t="s">
        <v>8028</v>
      </c>
      <c r="F16" s="128" t="s">
        <v>1437</v>
      </c>
      <c r="G16" s="128" t="s">
        <v>1478</v>
      </c>
      <c r="H16" s="128" t="s">
        <v>8049</v>
      </c>
      <c r="I16" s="128"/>
      <c r="J16" s="128"/>
      <c r="K16" s="128"/>
      <c r="L16" s="128">
        <v>2025</v>
      </c>
      <c r="M16" s="132">
        <f t="shared" ca="1" si="0"/>
        <v>45793</v>
      </c>
    </row>
    <row r="17" spans="1:13">
      <c r="A17" s="128">
        <v>16</v>
      </c>
      <c r="B17" s="128" t="s">
        <v>8058</v>
      </c>
      <c r="C17" s="128" t="s">
        <v>8059</v>
      </c>
      <c r="D17" s="128" t="s">
        <v>8060</v>
      </c>
      <c r="E17" s="128" t="s">
        <v>8061</v>
      </c>
      <c r="F17" s="128" t="s">
        <v>1512</v>
      </c>
      <c r="G17" s="128" t="s">
        <v>1939</v>
      </c>
      <c r="H17" s="128" t="s">
        <v>8062</v>
      </c>
      <c r="I17" s="130" t="s">
        <v>8063</v>
      </c>
      <c r="J17" s="128" t="s">
        <v>8031</v>
      </c>
      <c r="K17" s="128" t="s">
        <v>8037</v>
      </c>
      <c r="L17" s="128">
        <v>2025</v>
      </c>
      <c r="M17" s="132">
        <f t="shared" ca="1" si="0"/>
        <v>45840</v>
      </c>
    </row>
    <row r="18" spans="1:13">
      <c r="A18" s="128">
        <v>17</v>
      </c>
      <c r="B18" s="128"/>
      <c r="C18" s="128" t="s">
        <v>8064</v>
      </c>
      <c r="D18" s="128" t="s">
        <v>8060</v>
      </c>
      <c r="E18" s="128" t="s">
        <v>8061</v>
      </c>
      <c r="F18" s="128" t="s">
        <v>1512</v>
      </c>
      <c r="G18" s="128" t="s">
        <v>1939</v>
      </c>
      <c r="H18" s="128" t="s">
        <v>8062</v>
      </c>
      <c r="I18" s="128"/>
      <c r="J18" s="128"/>
      <c r="K18" s="128"/>
      <c r="L18" s="128">
        <v>2025</v>
      </c>
      <c r="M18" s="132">
        <f t="shared" ca="1" si="0"/>
        <v>45710</v>
      </c>
    </row>
    <row r="19" spans="1:13">
      <c r="A19" s="128">
        <v>18</v>
      </c>
      <c r="B19" s="128"/>
      <c r="C19" s="128" t="s">
        <v>8065</v>
      </c>
      <c r="D19" s="128" t="s">
        <v>8060</v>
      </c>
      <c r="E19" s="128" t="s">
        <v>8061</v>
      </c>
      <c r="F19" s="128" t="s">
        <v>1512</v>
      </c>
      <c r="G19" s="128" t="s">
        <v>1939</v>
      </c>
      <c r="H19" s="128" t="s">
        <v>8062</v>
      </c>
      <c r="I19" s="128"/>
      <c r="J19" s="128"/>
      <c r="K19" s="128"/>
      <c r="L19" s="128">
        <v>2025</v>
      </c>
      <c r="M19" s="132">
        <f t="shared" ca="1" si="0"/>
        <v>45693</v>
      </c>
    </row>
    <row r="20" spans="1:13">
      <c r="A20" s="128">
        <v>19</v>
      </c>
      <c r="B20" s="128"/>
      <c r="C20" s="128" t="s">
        <v>8066</v>
      </c>
      <c r="D20" s="128" t="s">
        <v>8060</v>
      </c>
      <c r="E20" s="128" t="s">
        <v>8061</v>
      </c>
      <c r="F20" s="128" t="s">
        <v>1512</v>
      </c>
      <c r="G20" s="128" t="s">
        <v>1939</v>
      </c>
      <c r="H20" s="128" t="s">
        <v>8062</v>
      </c>
      <c r="I20" s="128"/>
      <c r="J20" s="128"/>
      <c r="K20" s="128"/>
      <c r="L20" s="128">
        <v>2025</v>
      </c>
      <c r="M20" s="132">
        <f t="shared" ca="1" si="0"/>
        <v>45819</v>
      </c>
    </row>
    <row r="21" spans="1:13">
      <c r="A21" s="128">
        <v>20</v>
      </c>
      <c r="B21" s="128" t="s">
        <v>8067</v>
      </c>
      <c r="C21" s="128" t="s">
        <v>1490</v>
      </c>
      <c r="D21" s="128" t="s">
        <v>1487</v>
      </c>
      <c r="E21" s="128" t="s">
        <v>8068</v>
      </c>
      <c r="F21" s="128" t="s">
        <v>1437</v>
      </c>
      <c r="G21" s="128" t="s">
        <v>1478</v>
      </c>
      <c r="H21" s="128" t="s">
        <v>8049</v>
      </c>
      <c r="I21" s="130" t="s">
        <v>8069</v>
      </c>
      <c r="J21" s="128" t="s">
        <v>8070</v>
      </c>
      <c r="K21" s="128" t="s">
        <v>8041</v>
      </c>
      <c r="L21" s="128">
        <v>2025</v>
      </c>
      <c r="M21" s="132">
        <f t="shared" ca="1" si="0"/>
        <v>45922</v>
      </c>
    </row>
    <row r="22" spans="1:13">
      <c r="A22" s="128">
        <v>21</v>
      </c>
      <c r="B22" s="128"/>
      <c r="C22" s="128" t="s">
        <v>1491</v>
      </c>
      <c r="D22" s="128" t="s">
        <v>1487</v>
      </c>
      <c r="E22" s="128" t="s">
        <v>8068</v>
      </c>
      <c r="F22" s="128" t="s">
        <v>1437</v>
      </c>
      <c r="G22" s="128" t="s">
        <v>1478</v>
      </c>
      <c r="H22" s="128" t="s">
        <v>8049</v>
      </c>
      <c r="I22" s="128"/>
      <c r="J22" s="128"/>
      <c r="K22" s="128"/>
      <c r="L22" s="128">
        <v>2025</v>
      </c>
      <c r="M22" s="132">
        <f t="shared" ca="1" si="0"/>
        <v>45842</v>
      </c>
    </row>
    <row r="23" spans="1:13">
      <c r="A23" s="128">
        <v>22</v>
      </c>
      <c r="B23" s="128" t="s">
        <v>8071</v>
      </c>
      <c r="C23" s="128" t="s">
        <v>733</v>
      </c>
      <c r="D23" s="128" t="s">
        <v>734</v>
      </c>
      <c r="E23" s="128" t="s">
        <v>8035</v>
      </c>
      <c r="F23" s="128" t="s">
        <v>1437</v>
      </c>
      <c r="G23" s="128" t="s">
        <v>1478</v>
      </c>
      <c r="H23" s="128" t="s">
        <v>8049</v>
      </c>
      <c r="I23" s="130" t="s">
        <v>8072</v>
      </c>
      <c r="J23" s="128" t="s">
        <v>8031</v>
      </c>
      <c r="K23" s="128" t="s">
        <v>8056</v>
      </c>
      <c r="L23" s="128">
        <v>2025</v>
      </c>
      <c r="M23" s="132">
        <f t="shared" ca="1" si="0"/>
        <v>45721</v>
      </c>
    </row>
    <row r="24" spans="1:13">
      <c r="A24" s="128">
        <v>23</v>
      </c>
      <c r="B24" s="128" t="s">
        <v>8073</v>
      </c>
      <c r="C24" s="128" t="s">
        <v>8074</v>
      </c>
      <c r="D24" s="128" t="s">
        <v>1468</v>
      </c>
      <c r="E24" s="128" t="s">
        <v>8035</v>
      </c>
      <c r="F24" s="128" t="s">
        <v>1329</v>
      </c>
      <c r="G24" s="128" t="s">
        <v>1328</v>
      </c>
      <c r="H24" s="128" t="s">
        <v>7557</v>
      </c>
      <c r="I24" s="130" t="s">
        <v>8075</v>
      </c>
      <c r="J24" s="128" t="s">
        <v>8076</v>
      </c>
      <c r="K24" s="128" t="s">
        <v>8037</v>
      </c>
      <c r="L24" s="128">
        <v>2025</v>
      </c>
      <c r="M24" s="132">
        <f t="shared" ca="1" si="0"/>
        <v>46013</v>
      </c>
    </row>
    <row r="25" spans="1:13">
      <c r="A25" s="128">
        <v>24</v>
      </c>
      <c r="B25" s="128"/>
      <c r="C25" s="128" t="s">
        <v>8077</v>
      </c>
      <c r="D25" s="128" t="s">
        <v>1445</v>
      </c>
      <c r="E25" s="128" t="s">
        <v>8035</v>
      </c>
      <c r="F25" s="128" t="s">
        <v>1329</v>
      </c>
      <c r="G25" s="128" t="s">
        <v>1328</v>
      </c>
      <c r="H25" s="128" t="s">
        <v>7557</v>
      </c>
      <c r="I25" s="128"/>
      <c r="J25" s="128"/>
      <c r="K25" s="128"/>
      <c r="L25" s="128">
        <v>2025</v>
      </c>
      <c r="M25" s="132">
        <f t="shared" ca="1" si="0"/>
        <v>45776</v>
      </c>
    </row>
    <row r="26" spans="1:13">
      <c r="A26" s="128">
        <v>25</v>
      </c>
      <c r="B26" s="128"/>
      <c r="C26" s="128" t="s">
        <v>8078</v>
      </c>
      <c r="D26" s="128" t="s">
        <v>1468</v>
      </c>
      <c r="E26" s="128" t="s">
        <v>8035</v>
      </c>
      <c r="F26" s="128" t="s">
        <v>1329</v>
      </c>
      <c r="G26" s="128" t="s">
        <v>1328</v>
      </c>
      <c r="H26" s="128" t="s">
        <v>7557</v>
      </c>
      <c r="I26" s="128"/>
      <c r="J26" s="128"/>
      <c r="K26" s="128"/>
      <c r="L26" s="128">
        <v>2025</v>
      </c>
      <c r="M26" s="132">
        <f t="shared" ca="1" si="0"/>
        <v>45898</v>
      </c>
    </row>
    <row r="27" spans="1:13">
      <c r="A27" s="128">
        <v>26</v>
      </c>
      <c r="B27" s="128"/>
      <c r="C27" s="128" t="s">
        <v>8079</v>
      </c>
      <c r="D27" s="128" t="s">
        <v>1468</v>
      </c>
      <c r="E27" s="128" t="s">
        <v>8035</v>
      </c>
      <c r="F27" s="128" t="s">
        <v>1329</v>
      </c>
      <c r="G27" s="128" t="s">
        <v>1328</v>
      </c>
      <c r="H27" s="128" t="s">
        <v>7557</v>
      </c>
      <c r="I27" s="128"/>
      <c r="J27" s="128"/>
      <c r="K27" s="128"/>
      <c r="L27" s="128">
        <v>2025</v>
      </c>
      <c r="M27" s="132">
        <f t="shared" ca="1" si="0"/>
        <v>45676</v>
      </c>
    </row>
    <row r="28" spans="1:13">
      <c r="A28" s="128">
        <v>27</v>
      </c>
      <c r="B28" s="128"/>
      <c r="C28" s="128" t="s">
        <v>8080</v>
      </c>
      <c r="D28" s="128" t="s">
        <v>1445</v>
      </c>
      <c r="E28" s="128" t="s">
        <v>8035</v>
      </c>
      <c r="F28" s="128" t="s">
        <v>1329</v>
      </c>
      <c r="G28" s="128" t="s">
        <v>1328</v>
      </c>
      <c r="H28" s="128" t="s">
        <v>7557</v>
      </c>
      <c r="I28" s="128"/>
      <c r="J28" s="128"/>
      <c r="K28" s="128"/>
      <c r="L28" s="128">
        <v>2025</v>
      </c>
      <c r="M28" s="132">
        <f t="shared" ca="1" si="0"/>
        <v>45888</v>
      </c>
    </row>
    <row r="29" spans="1:13">
      <c r="A29" s="128">
        <v>28</v>
      </c>
      <c r="B29" s="128" t="s">
        <v>8081</v>
      </c>
      <c r="C29" s="128" t="s">
        <v>773</v>
      </c>
      <c r="D29" s="128" t="s">
        <v>767</v>
      </c>
      <c r="E29" s="128" t="s">
        <v>8028</v>
      </c>
      <c r="F29" s="128" t="s">
        <v>1393</v>
      </c>
      <c r="G29" s="128" t="s">
        <v>2158</v>
      </c>
      <c r="H29" s="128" t="s">
        <v>8082</v>
      </c>
      <c r="I29" s="130" t="s">
        <v>8083</v>
      </c>
      <c r="J29" s="128" t="s">
        <v>8084</v>
      </c>
      <c r="K29" s="128" t="s">
        <v>8032</v>
      </c>
      <c r="L29" s="128">
        <v>2025</v>
      </c>
      <c r="M29" s="132">
        <f t="shared" ca="1" si="0"/>
        <v>45843</v>
      </c>
    </row>
    <row r="30" spans="1:13">
      <c r="A30" s="128">
        <v>29</v>
      </c>
      <c r="B30" s="128"/>
      <c r="C30" s="128" t="s">
        <v>775</v>
      </c>
      <c r="D30" s="128" t="s">
        <v>767</v>
      </c>
      <c r="E30" s="128" t="s">
        <v>8028</v>
      </c>
      <c r="F30" s="128" t="s">
        <v>1393</v>
      </c>
      <c r="G30" s="128" t="s">
        <v>2158</v>
      </c>
      <c r="H30" s="128" t="s">
        <v>8082</v>
      </c>
      <c r="I30" s="128"/>
      <c r="J30" s="128"/>
      <c r="K30" s="128"/>
      <c r="L30" s="128">
        <v>2025</v>
      </c>
      <c r="M30" s="132">
        <f t="shared" ca="1" si="0"/>
        <v>45671</v>
      </c>
    </row>
    <row r="31" spans="1:13">
      <c r="A31" s="128">
        <v>30</v>
      </c>
      <c r="B31" s="128"/>
      <c r="C31" s="128" t="s">
        <v>776</v>
      </c>
      <c r="D31" s="128" t="s">
        <v>767</v>
      </c>
      <c r="E31" s="128" t="s">
        <v>8028</v>
      </c>
      <c r="F31" s="128" t="s">
        <v>1393</v>
      </c>
      <c r="G31" s="128" t="s">
        <v>2158</v>
      </c>
      <c r="H31" s="128" t="s">
        <v>8082</v>
      </c>
      <c r="I31" s="128"/>
      <c r="J31" s="128"/>
      <c r="K31" s="128"/>
      <c r="L31" s="128">
        <v>2025</v>
      </c>
      <c r="M31" s="132">
        <f t="shared" ca="1" si="0"/>
        <v>45874</v>
      </c>
    </row>
    <row r="32" spans="1:13">
      <c r="A32" s="128">
        <v>31</v>
      </c>
      <c r="B32" s="128"/>
      <c r="C32" s="128" t="s">
        <v>777</v>
      </c>
      <c r="D32" s="128" t="s">
        <v>767</v>
      </c>
      <c r="E32" s="128" t="s">
        <v>8028</v>
      </c>
      <c r="F32" s="128" t="s">
        <v>1393</v>
      </c>
      <c r="G32" s="128" t="s">
        <v>2158</v>
      </c>
      <c r="H32" s="128" t="s">
        <v>8082</v>
      </c>
      <c r="I32" s="128"/>
      <c r="J32" s="128"/>
      <c r="K32" s="128"/>
      <c r="L32" s="128">
        <v>2025</v>
      </c>
      <c r="M32" s="132">
        <f t="shared" ca="1" si="0"/>
        <v>45691</v>
      </c>
    </row>
    <row r="33" spans="1:13">
      <c r="A33" s="128">
        <v>32</v>
      </c>
      <c r="B33" s="128"/>
      <c r="C33" s="128" t="s">
        <v>778</v>
      </c>
      <c r="D33" s="128" t="s">
        <v>767</v>
      </c>
      <c r="E33" s="128" t="s">
        <v>8028</v>
      </c>
      <c r="F33" s="128" t="s">
        <v>1393</v>
      </c>
      <c r="G33" s="128" t="s">
        <v>2158</v>
      </c>
      <c r="H33" s="128" t="s">
        <v>8082</v>
      </c>
      <c r="I33" s="128"/>
      <c r="J33" s="128"/>
      <c r="K33" s="128"/>
      <c r="L33" s="128">
        <v>2025</v>
      </c>
      <c r="M33" s="132">
        <f t="shared" ca="1" si="0"/>
        <v>45879</v>
      </c>
    </row>
    <row r="34" spans="1:13">
      <c r="A34" s="128">
        <v>33</v>
      </c>
      <c r="B34" s="128" t="s">
        <v>8085</v>
      </c>
      <c r="C34" s="128" t="s">
        <v>851</v>
      </c>
      <c r="D34" s="128" t="s">
        <v>783</v>
      </c>
      <c r="E34" s="128" t="s">
        <v>8061</v>
      </c>
      <c r="F34" s="128" t="s">
        <v>1393</v>
      </c>
      <c r="G34" s="128" t="s">
        <v>2158</v>
      </c>
      <c r="H34" s="128" t="s">
        <v>8082</v>
      </c>
      <c r="I34" s="130" t="s">
        <v>8086</v>
      </c>
      <c r="J34" s="128" t="s">
        <v>8087</v>
      </c>
      <c r="K34" s="128" t="s">
        <v>8056</v>
      </c>
      <c r="L34" s="128">
        <v>2025</v>
      </c>
      <c r="M34" s="132">
        <f t="shared" ca="1" si="0"/>
        <v>46002</v>
      </c>
    </row>
    <row r="35" spans="1:13">
      <c r="A35" s="128">
        <v>34</v>
      </c>
      <c r="B35" s="128"/>
      <c r="C35" s="128" t="s">
        <v>8088</v>
      </c>
      <c r="D35" s="128" t="s">
        <v>767</v>
      </c>
      <c r="E35" s="128" t="s">
        <v>8028</v>
      </c>
      <c r="F35" s="128" t="s">
        <v>1393</v>
      </c>
      <c r="G35" s="128" t="s">
        <v>2158</v>
      </c>
      <c r="H35" s="128" t="s">
        <v>8082</v>
      </c>
      <c r="I35" s="128"/>
      <c r="J35" s="128"/>
      <c r="K35" s="128"/>
      <c r="L35" s="128">
        <v>2025</v>
      </c>
      <c r="M35" s="132">
        <f t="shared" ca="1" si="0"/>
        <v>46015</v>
      </c>
    </row>
    <row r="36" spans="1:13">
      <c r="A36" s="128">
        <v>35</v>
      </c>
      <c r="B36" s="128"/>
      <c r="C36" s="128" t="s">
        <v>8089</v>
      </c>
      <c r="D36" s="128" t="s">
        <v>845</v>
      </c>
      <c r="E36" s="128" t="s">
        <v>8028</v>
      </c>
      <c r="F36" s="128" t="s">
        <v>1393</v>
      </c>
      <c r="G36" s="128" t="s">
        <v>2158</v>
      </c>
      <c r="H36" s="128" t="s">
        <v>8082</v>
      </c>
      <c r="I36" s="128"/>
      <c r="J36" s="128"/>
      <c r="K36" s="128"/>
      <c r="L36" s="128">
        <v>2025</v>
      </c>
      <c r="M36" s="132">
        <f t="shared" ca="1" si="0"/>
        <v>45897</v>
      </c>
    </row>
    <row r="37" spans="1:13">
      <c r="A37" s="128">
        <v>36</v>
      </c>
      <c r="B37" s="128"/>
      <c r="C37" s="128" t="s">
        <v>8090</v>
      </c>
      <c r="D37" s="128" t="s">
        <v>8091</v>
      </c>
      <c r="E37" s="128" t="s">
        <v>8035</v>
      </c>
      <c r="F37" s="128" t="s">
        <v>1352</v>
      </c>
      <c r="G37" s="128" t="s">
        <v>1975</v>
      </c>
      <c r="H37" s="128" t="s">
        <v>8092</v>
      </c>
      <c r="I37" s="128"/>
      <c r="J37" s="128"/>
      <c r="K37" s="128"/>
      <c r="L37" s="128">
        <v>2025</v>
      </c>
      <c r="M37" s="132">
        <f t="shared" ca="1" si="0"/>
        <v>45879</v>
      </c>
    </row>
    <row r="38" spans="1:13">
      <c r="A38" s="128">
        <v>37</v>
      </c>
      <c r="B38" s="128" t="s">
        <v>8093</v>
      </c>
      <c r="C38" s="128" t="s">
        <v>852</v>
      </c>
      <c r="D38" s="128" t="s">
        <v>767</v>
      </c>
      <c r="E38" s="128" t="s">
        <v>8028</v>
      </c>
      <c r="F38" s="128" t="s">
        <v>1393</v>
      </c>
      <c r="G38" s="128" t="s">
        <v>2158</v>
      </c>
      <c r="H38" s="128" t="s">
        <v>8082</v>
      </c>
      <c r="I38" s="130" t="s">
        <v>8094</v>
      </c>
      <c r="J38" s="128" t="s">
        <v>8087</v>
      </c>
      <c r="K38" s="128" t="s">
        <v>8056</v>
      </c>
      <c r="L38" s="128">
        <v>2025</v>
      </c>
      <c r="M38" s="132">
        <f t="shared" ca="1" si="0"/>
        <v>45986</v>
      </c>
    </row>
    <row r="39" spans="1:13">
      <c r="A39" s="128">
        <v>38</v>
      </c>
      <c r="B39" s="128"/>
      <c r="C39" s="128" t="s">
        <v>8095</v>
      </c>
      <c r="D39" s="128" t="s">
        <v>767</v>
      </c>
      <c r="E39" s="128" t="s">
        <v>8028</v>
      </c>
      <c r="F39" s="128" t="s">
        <v>1393</v>
      </c>
      <c r="G39" s="128" t="s">
        <v>2158</v>
      </c>
      <c r="H39" s="128" t="s">
        <v>8082</v>
      </c>
      <c r="I39" s="128"/>
      <c r="J39" s="128"/>
      <c r="K39" s="128"/>
      <c r="L39" s="128">
        <v>2025</v>
      </c>
      <c r="M39" s="132">
        <f t="shared" ca="1" si="0"/>
        <v>46016</v>
      </c>
    </row>
    <row r="40" spans="1:13">
      <c r="A40" s="128">
        <v>39</v>
      </c>
      <c r="B40" s="128"/>
      <c r="C40" s="128" t="s">
        <v>8096</v>
      </c>
      <c r="D40" s="128" t="s">
        <v>132</v>
      </c>
      <c r="E40" s="128" t="s">
        <v>8028</v>
      </c>
      <c r="F40" s="128" t="s">
        <v>1352</v>
      </c>
      <c r="G40" s="128" t="s">
        <v>1975</v>
      </c>
      <c r="H40" s="128" t="s">
        <v>8092</v>
      </c>
      <c r="I40" s="128"/>
      <c r="J40" s="128"/>
      <c r="K40" s="128"/>
      <c r="L40" s="128">
        <v>2025</v>
      </c>
      <c r="M40" s="132">
        <f t="shared" ca="1" si="0"/>
        <v>45981</v>
      </c>
    </row>
    <row r="41" spans="1:13">
      <c r="A41" s="128">
        <v>40</v>
      </c>
      <c r="B41" s="128"/>
      <c r="C41" s="128" t="s">
        <v>246</v>
      </c>
      <c r="D41" s="128" t="s">
        <v>132</v>
      </c>
      <c r="E41" s="128" t="s">
        <v>8028</v>
      </c>
      <c r="F41" s="128" t="s">
        <v>1352</v>
      </c>
      <c r="G41" s="128" t="s">
        <v>1975</v>
      </c>
      <c r="H41" s="128" t="s">
        <v>8092</v>
      </c>
      <c r="I41" s="128"/>
      <c r="J41" s="128"/>
      <c r="K41" s="128"/>
      <c r="L41" s="128">
        <v>2025</v>
      </c>
      <c r="M41" s="132">
        <f t="shared" ca="1" si="0"/>
        <v>45946</v>
      </c>
    </row>
    <row r="42" spans="1:13">
      <c r="A42" s="128">
        <v>41</v>
      </c>
      <c r="B42" s="128"/>
      <c r="C42" s="128" t="s">
        <v>253</v>
      </c>
      <c r="D42" s="128" t="s">
        <v>1182</v>
      </c>
      <c r="E42" s="128" t="s">
        <v>8061</v>
      </c>
      <c r="F42" s="128" t="s">
        <v>1512</v>
      </c>
      <c r="G42" s="128" t="s">
        <v>1939</v>
      </c>
      <c r="H42" s="128" t="s">
        <v>8062</v>
      </c>
      <c r="I42" s="128"/>
      <c r="J42" s="128"/>
      <c r="K42" s="128"/>
      <c r="L42" s="128">
        <v>2025</v>
      </c>
      <c r="M42" s="132">
        <f t="shared" ca="1" si="0"/>
        <v>45949</v>
      </c>
    </row>
    <row r="43" spans="1:13">
      <c r="A43" s="128">
        <v>42</v>
      </c>
      <c r="B43" s="128" t="s">
        <v>8097</v>
      </c>
      <c r="C43" s="128" t="s">
        <v>766</v>
      </c>
      <c r="D43" s="128" t="s">
        <v>767</v>
      </c>
      <c r="E43" s="128" t="s">
        <v>8028</v>
      </c>
      <c r="F43" s="128" t="s">
        <v>1393</v>
      </c>
      <c r="G43" s="128" t="s">
        <v>2158</v>
      </c>
      <c r="H43" s="128" t="s">
        <v>8082</v>
      </c>
      <c r="I43" s="130" t="s">
        <v>8098</v>
      </c>
      <c r="J43" s="128" t="s">
        <v>8099</v>
      </c>
      <c r="K43" s="128" t="s">
        <v>8041</v>
      </c>
      <c r="L43" s="128">
        <v>2025</v>
      </c>
      <c r="M43" s="132">
        <f t="shared" ca="1" si="0"/>
        <v>45798</v>
      </c>
    </row>
    <row r="44" spans="1:13">
      <c r="A44" s="128">
        <v>43</v>
      </c>
      <c r="B44" s="128" t="s">
        <v>8100</v>
      </c>
      <c r="C44" s="128" t="s">
        <v>8101</v>
      </c>
      <c r="D44" s="128" t="s">
        <v>8102</v>
      </c>
      <c r="E44" s="128" t="s">
        <v>8061</v>
      </c>
      <c r="F44" s="128" t="s">
        <v>1512</v>
      </c>
      <c r="G44" s="128" t="s">
        <v>1939</v>
      </c>
      <c r="H44" s="128" t="s">
        <v>8062</v>
      </c>
      <c r="I44" s="130" t="s">
        <v>8103</v>
      </c>
      <c r="J44" s="128" t="s">
        <v>8031</v>
      </c>
      <c r="K44" s="128" t="s">
        <v>8056</v>
      </c>
      <c r="L44" s="128">
        <v>2025</v>
      </c>
      <c r="M44" s="132">
        <f t="shared" ca="1" si="0"/>
        <v>45953</v>
      </c>
    </row>
    <row r="45" spans="1:13">
      <c r="A45" s="128">
        <v>44</v>
      </c>
      <c r="B45" s="128"/>
      <c r="C45" s="128" t="s">
        <v>8104</v>
      </c>
      <c r="D45" s="128" t="s">
        <v>8102</v>
      </c>
      <c r="E45" s="128" t="s">
        <v>8061</v>
      </c>
      <c r="F45" s="128" t="s">
        <v>1512</v>
      </c>
      <c r="G45" s="128" t="s">
        <v>1939</v>
      </c>
      <c r="H45" s="128" t="s">
        <v>8062</v>
      </c>
      <c r="I45" s="128"/>
      <c r="J45" s="128"/>
      <c r="K45" s="128"/>
      <c r="L45" s="128">
        <v>2025</v>
      </c>
      <c r="M45" s="132">
        <f t="shared" ca="1" si="0"/>
        <v>45963</v>
      </c>
    </row>
    <row r="46" spans="1:13">
      <c r="A46" s="128">
        <v>45</v>
      </c>
      <c r="B46" s="128"/>
      <c r="C46" s="128" t="s">
        <v>8105</v>
      </c>
      <c r="D46" s="128" t="s">
        <v>8102</v>
      </c>
      <c r="E46" s="128" t="s">
        <v>8061</v>
      </c>
      <c r="F46" s="128" t="s">
        <v>1512</v>
      </c>
      <c r="G46" s="128" t="s">
        <v>1939</v>
      </c>
      <c r="H46" s="128" t="s">
        <v>8062</v>
      </c>
      <c r="I46" s="128"/>
      <c r="J46" s="128"/>
      <c r="K46" s="128"/>
      <c r="L46" s="128">
        <v>2025</v>
      </c>
      <c r="M46" s="132">
        <f t="shared" ca="1" si="0"/>
        <v>45874</v>
      </c>
    </row>
    <row r="47" spans="1:13">
      <c r="A47" s="128">
        <v>46</v>
      </c>
      <c r="B47" s="128"/>
      <c r="C47" s="128" t="s">
        <v>8106</v>
      </c>
      <c r="D47" s="128" t="s">
        <v>8102</v>
      </c>
      <c r="E47" s="128" t="s">
        <v>8061</v>
      </c>
      <c r="F47" s="128" t="s">
        <v>1512</v>
      </c>
      <c r="G47" s="128" t="s">
        <v>1939</v>
      </c>
      <c r="H47" s="128" t="s">
        <v>8062</v>
      </c>
      <c r="I47" s="128"/>
      <c r="J47" s="128"/>
      <c r="K47" s="128"/>
      <c r="L47" s="128">
        <v>2025</v>
      </c>
      <c r="M47" s="132">
        <f t="shared" ca="1" si="0"/>
        <v>45764</v>
      </c>
    </row>
    <row r="48" spans="1:13">
      <c r="A48" s="128">
        <v>47</v>
      </c>
      <c r="B48" s="128"/>
      <c r="C48" s="128" t="s">
        <v>8107</v>
      </c>
      <c r="D48" s="128" t="s">
        <v>8102</v>
      </c>
      <c r="E48" s="128" t="s">
        <v>8061</v>
      </c>
      <c r="F48" s="128" t="s">
        <v>1512</v>
      </c>
      <c r="G48" s="128" t="s">
        <v>1939</v>
      </c>
      <c r="H48" s="128" t="s">
        <v>8062</v>
      </c>
      <c r="I48" s="128"/>
      <c r="J48" s="128"/>
      <c r="K48" s="128"/>
      <c r="L48" s="128">
        <v>2025</v>
      </c>
      <c r="M48" s="132">
        <f t="shared" ca="1" si="0"/>
        <v>45778</v>
      </c>
    </row>
    <row r="49" spans="1:13">
      <c r="A49" s="128">
        <v>48</v>
      </c>
      <c r="B49" s="128" t="s">
        <v>8108</v>
      </c>
      <c r="C49" s="128" t="s">
        <v>8109</v>
      </c>
      <c r="D49" s="128" t="s">
        <v>8110</v>
      </c>
      <c r="E49" s="128" t="s">
        <v>8061</v>
      </c>
      <c r="F49" s="128" t="s">
        <v>1512</v>
      </c>
      <c r="G49" s="128" t="s">
        <v>1939</v>
      </c>
      <c r="H49" s="128" t="s">
        <v>8062</v>
      </c>
      <c r="I49" s="130" t="s">
        <v>8111</v>
      </c>
      <c r="J49" s="128" t="s">
        <v>8031</v>
      </c>
      <c r="K49" s="128" t="s">
        <v>8041</v>
      </c>
      <c r="L49" s="128">
        <v>2025</v>
      </c>
      <c r="M49" s="132">
        <f t="shared" ca="1" si="0"/>
        <v>45762</v>
      </c>
    </row>
    <row r="50" spans="1:13">
      <c r="A50" s="128">
        <v>49</v>
      </c>
      <c r="B50" s="128"/>
      <c r="C50" s="128" t="s">
        <v>8112</v>
      </c>
      <c r="D50" s="128" t="s">
        <v>8110</v>
      </c>
      <c r="E50" s="128" t="s">
        <v>8061</v>
      </c>
      <c r="F50" s="128" t="s">
        <v>1512</v>
      </c>
      <c r="G50" s="128" t="s">
        <v>1939</v>
      </c>
      <c r="H50" s="128" t="s">
        <v>8062</v>
      </c>
      <c r="I50" s="128"/>
      <c r="J50" s="128"/>
      <c r="K50" s="128"/>
      <c r="L50" s="128">
        <v>2025</v>
      </c>
      <c r="M50" s="132">
        <f t="shared" ca="1" si="0"/>
        <v>45865</v>
      </c>
    </row>
    <row r="51" spans="1:13">
      <c r="A51" s="128">
        <v>50</v>
      </c>
      <c r="B51" s="128"/>
      <c r="C51" s="128" t="s">
        <v>8113</v>
      </c>
      <c r="D51" s="128" t="s">
        <v>8110</v>
      </c>
      <c r="E51" s="128" t="s">
        <v>8061</v>
      </c>
      <c r="F51" s="128" t="s">
        <v>1512</v>
      </c>
      <c r="G51" s="128" t="s">
        <v>1939</v>
      </c>
      <c r="H51" s="128" t="s">
        <v>8062</v>
      </c>
      <c r="I51" s="128"/>
      <c r="J51" s="128"/>
      <c r="K51" s="128"/>
      <c r="L51" s="128">
        <v>2025</v>
      </c>
      <c r="M51" s="132">
        <f t="shared" ca="1" si="0"/>
        <v>45687</v>
      </c>
    </row>
    <row r="52" spans="1:13">
      <c r="A52" s="128">
        <v>51</v>
      </c>
      <c r="B52" s="128"/>
      <c r="C52" s="128" t="s">
        <v>8114</v>
      </c>
      <c r="D52" s="128" t="s">
        <v>8110</v>
      </c>
      <c r="E52" s="128" t="s">
        <v>8061</v>
      </c>
      <c r="F52" s="128" t="s">
        <v>1512</v>
      </c>
      <c r="G52" s="128" t="s">
        <v>1939</v>
      </c>
      <c r="H52" s="128" t="s">
        <v>8062</v>
      </c>
      <c r="I52" s="128"/>
      <c r="J52" s="128"/>
      <c r="K52" s="128"/>
      <c r="L52" s="128">
        <v>2025</v>
      </c>
      <c r="M52" s="132">
        <f t="shared" ca="1" si="0"/>
        <v>45840</v>
      </c>
    </row>
    <row r="53" spans="1:13">
      <c r="A53" s="128">
        <v>52</v>
      </c>
      <c r="B53" s="128"/>
      <c r="C53" s="128" t="s">
        <v>8115</v>
      </c>
      <c r="D53" s="128" t="s">
        <v>8110</v>
      </c>
      <c r="E53" s="128" t="s">
        <v>8061</v>
      </c>
      <c r="F53" s="128" t="s">
        <v>1512</v>
      </c>
      <c r="G53" s="128" t="s">
        <v>1939</v>
      </c>
      <c r="H53" s="128" t="s">
        <v>8062</v>
      </c>
      <c r="I53" s="128"/>
      <c r="J53" s="128"/>
      <c r="K53" s="128"/>
      <c r="L53" s="128">
        <v>2025</v>
      </c>
      <c r="M53" s="132">
        <f t="shared" ca="1" si="0"/>
        <v>45987</v>
      </c>
    </row>
    <row r="54" spans="1:13">
      <c r="A54" s="128">
        <v>53</v>
      </c>
      <c r="B54" s="128" t="s">
        <v>8116</v>
      </c>
      <c r="C54" s="128" t="s">
        <v>2267</v>
      </c>
      <c r="D54" s="128" t="s">
        <v>2210</v>
      </c>
      <c r="E54" s="128" t="s">
        <v>8035</v>
      </c>
      <c r="F54" s="128" t="s">
        <v>1393</v>
      </c>
      <c r="G54" s="128" t="s">
        <v>2158</v>
      </c>
      <c r="H54" s="128" t="s">
        <v>8082</v>
      </c>
      <c r="I54" s="130" t="s">
        <v>8117</v>
      </c>
      <c r="J54" s="128" t="s">
        <v>8087</v>
      </c>
      <c r="K54" s="128" t="s">
        <v>8032</v>
      </c>
      <c r="L54" s="128">
        <v>2025</v>
      </c>
      <c r="M54" s="132">
        <f t="shared" ca="1" si="0"/>
        <v>45783</v>
      </c>
    </row>
    <row r="55" spans="1:13">
      <c r="A55" s="128">
        <v>54</v>
      </c>
      <c r="B55" s="128"/>
      <c r="C55" s="128" t="s">
        <v>2269</v>
      </c>
      <c r="D55" s="128" t="s">
        <v>2210</v>
      </c>
      <c r="E55" s="128" t="s">
        <v>8035</v>
      </c>
      <c r="F55" s="128" t="s">
        <v>1393</v>
      </c>
      <c r="G55" s="128" t="s">
        <v>2158</v>
      </c>
      <c r="H55" s="128" t="s">
        <v>8082</v>
      </c>
      <c r="I55" s="128"/>
      <c r="J55" s="128"/>
      <c r="K55" s="128"/>
      <c r="L55" s="128">
        <v>2025</v>
      </c>
      <c r="M55" s="132">
        <f t="shared" ca="1" si="0"/>
        <v>45783</v>
      </c>
    </row>
    <row r="56" spans="1:13">
      <c r="A56" s="128">
        <v>55</v>
      </c>
      <c r="B56" s="128"/>
      <c r="C56" s="128" t="s">
        <v>842</v>
      </c>
      <c r="D56" s="128" t="s">
        <v>785</v>
      </c>
      <c r="E56" s="128" t="s">
        <v>8035</v>
      </c>
      <c r="F56" s="128" t="s">
        <v>1393</v>
      </c>
      <c r="G56" s="128" t="s">
        <v>2158</v>
      </c>
      <c r="H56" s="128" t="s">
        <v>8082</v>
      </c>
      <c r="I56" s="128"/>
      <c r="J56" s="128"/>
      <c r="K56" s="128"/>
      <c r="L56" s="128">
        <v>2025</v>
      </c>
      <c r="M56" s="132">
        <f t="shared" ca="1" si="0"/>
        <v>46004</v>
      </c>
    </row>
    <row r="57" spans="1:13">
      <c r="A57" s="128">
        <v>56</v>
      </c>
      <c r="B57" s="128" t="s">
        <v>8118</v>
      </c>
      <c r="C57" s="128" t="s">
        <v>8119</v>
      </c>
      <c r="D57" s="128" t="s">
        <v>8110</v>
      </c>
      <c r="E57" s="128" t="s">
        <v>8061</v>
      </c>
      <c r="F57" s="128" t="s">
        <v>1512</v>
      </c>
      <c r="G57" s="128" t="s">
        <v>1939</v>
      </c>
      <c r="H57" s="128" t="s">
        <v>8062</v>
      </c>
      <c r="I57" s="130" t="s">
        <v>8120</v>
      </c>
      <c r="J57" s="128" t="s">
        <v>8031</v>
      </c>
      <c r="K57" s="128" t="s">
        <v>8041</v>
      </c>
      <c r="L57" s="128">
        <v>2025</v>
      </c>
      <c r="M57" s="132">
        <f t="shared" ca="1" si="0"/>
        <v>45775</v>
      </c>
    </row>
    <row r="58" spans="1:13">
      <c r="A58" s="128">
        <v>57</v>
      </c>
      <c r="B58" s="128"/>
      <c r="C58" s="128" t="s">
        <v>8121</v>
      </c>
      <c r="D58" s="128" t="s">
        <v>8110</v>
      </c>
      <c r="E58" s="128" t="s">
        <v>8061</v>
      </c>
      <c r="F58" s="128" t="s">
        <v>1512</v>
      </c>
      <c r="G58" s="128" t="s">
        <v>1939</v>
      </c>
      <c r="H58" s="128" t="s">
        <v>8062</v>
      </c>
      <c r="I58" s="128"/>
      <c r="J58" s="128"/>
      <c r="K58" s="128"/>
      <c r="L58" s="128">
        <v>2025</v>
      </c>
      <c r="M58" s="132">
        <f t="shared" ca="1" si="0"/>
        <v>45837</v>
      </c>
    </row>
    <row r="59" spans="1:13">
      <c r="A59" s="128">
        <v>58</v>
      </c>
      <c r="B59" s="128"/>
      <c r="C59" s="128" t="s">
        <v>8122</v>
      </c>
      <c r="D59" s="128" t="s">
        <v>8110</v>
      </c>
      <c r="E59" s="128" t="s">
        <v>8061</v>
      </c>
      <c r="F59" s="128" t="s">
        <v>1512</v>
      </c>
      <c r="G59" s="128" t="s">
        <v>1939</v>
      </c>
      <c r="H59" s="128" t="s">
        <v>8062</v>
      </c>
      <c r="I59" s="128"/>
      <c r="J59" s="128"/>
      <c r="K59" s="128"/>
      <c r="L59" s="128">
        <v>2025</v>
      </c>
      <c r="M59" s="132">
        <f t="shared" ca="1" si="0"/>
        <v>45722</v>
      </c>
    </row>
    <row r="60" spans="1:13">
      <c r="A60" s="128">
        <v>59</v>
      </c>
      <c r="B60" s="128"/>
      <c r="C60" s="128" t="s">
        <v>8123</v>
      </c>
      <c r="D60" s="128" t="s">
        <v>8110</v>
      </c>
      <c r="E60" s="128" t="s">
        <v>8061</v>
      </c>
      <c r="F60" s="128" t="s">
        <v>1512</v>
      </c>
      <c r="G60" s="128" t="s">
        <v>1939</v>
      </c>
      <c r="H60" s="128" t="s">
        <v>8062</v>
      </c>
      <c r="I60" s="128"/>
      <c r="J60" s="128"/>
      <c r="K60" s="128"/>
      <c r="L60" s="128">
        <v>2025</v>
      </c>
      <c r="M60" s="132">
        <f t="shared" ca="1" si="0"/>
        <v>45708</v>
      </c>
    </row>
    <row r="61" spans="1:13">
      <c r="A61" s="128">
        <v>60</v>
      </c>
      <c r="B61" s="128"/>
      <c r="C61" s="128" t="s">
        <v>8124</v>
      </c>
      <c r="D61" s="128" t="s">
        <v>8110</v>
      </c>
      <c r="E61" s="128" t="s">
        <v>8061</v>
      </c>
      <c r="F61" s="128" t="s">
        <v>1512</v>
      </c>
      <c r="G61" s="128" t="s">
        <v>1939</v>
      </c>
      <c r="H61" s="128" t="s">
        <v>8062</v>
      </c>
      <c r="I61" s="128"/>
      <c r="J61" s="128"/>
      <c r="K61" s="128"/>
      <c r="L61" s="128">
        <v>2025</v>
      </c>
      <c r="M61" s="132">
        <f t="shared" ca="1" si="0"/>
        <v>46021</v>
      </c>
    </row>
    <row r="62" spans="1:13">
      <c r="A62" s="128">
        <v>61</v>
      </c>
      <c r="B62" s="128"/>
      <c r="C62" s="128" t="s">
        <v>8125</v>
      </c>
      <c r="D62" s="128" t="s">
        <v>8102</v>
      </c>
      <c r="E62" s="128" t="s">
        <v>8061</v>
      </c>
      <c r="F62" s="128" t="s">
        <v>1512</v>
      </c>
      <c r="G62" s="128" t="s">
        <v>1939</v>
      </c>
      <c r="H62" s="128" t="s">
        <v>8062</v>
      </c>
      <c r="I62" s="128"/>
      <c r="J62" s="128"/>
      <c r="K62" s="128"/>
      <c r="L62" s="128">
        <v>2025</v>
      </c>
      <c r="M62" s="132">
        <f t="shared" ca="1" si="0"/>
        <v>45677</v>
      </c>
    </row>
    <row r="63" spans="1:13">
      <c r="A63" s="128">
        <v>62</v>
      </c>
      <c r="B63" s="128"/>
      <c r="C63" s="128" t="s">
        <v>8126</v>
      </c>
      <c r="D63" s="128" t="s">
        <v>8110</v>
      </c>
      <c r="E63" s="128" t="s">
        <v>8061</v>
      </c>
      <c r="F63" s="128" t="s">
        <v>1512</v>
      </c>
      <c r="G63" s="128" t="s">
        <v>1939</v>
      </c>
      <c r="H63" s="128" t="s">
        <v>8062</v>
      </c>
      <c r="I63" s="128"/>
      <c r="J63" s="128"/>
      <c r="K63" s="128"/>
      <c r="L63" s="128">
        <v>2025</v>
      </c>
      <c r="M63" s="132">
        <f t="shared" ca="1" si="0"/>
        <v>45665</v>
      </c>
    </row>
    <row r="64" spans="1:13">
      <c r="A64" s="128">
        <v>63</v>
      </c>
      <c r="B64" s="128" t="s">
        <v>8127</v>
      </c>
      <c r="C64" s="128" t="s">
        <v>8128</v>
      </c>
      <c r="D64" s="128" t="s">
        <v>8110</v>
      </c>
      <c r="E64" s="128" t="s">
        <v>8061</v>
      </c>
      <c r="F64" s="128" t="s">
        <v>1512</v>
      </c>
      <c r="G64" s="128" t="s">
        <v>1939</v>
      </c>
      <c r="H64" s="128" t="s">
        <v>8062</v>
      </c>
      <c r="I64" s="128" t="s">
        <v>8129</v>
      </c>
      <c r="J64" s="128" t="s">
        <v>8031</v>
      </c>
      <c r="K64" s="128" t="s">
        <v>8037</v>
      </c>
      <c r="L64" s="128">
        <v>2025</v>
      </c>
      <c r="M64" s="132">
        <f t="shared" ca="1" si="0"/>
        <v>45920</v>
      </c>
    </row>
    <row r="65" spans="1:13">
      <c r="A65" s="128">
        <v>64</v>
      </c>
      <c r="B65" s="128"/>
      <c r="C65" s="128" t="s">
        <v>8130</v>
      </c>
      <c r="D65" s="128" t="s">
        <v>8110</v>
      </c>
      <c r="E65" s="128" t="s">
        <v>8061</v>
      </c>
      <c r="F65" s="128" t="s">
        <v>1512</v>
      </c>
      <c r="G65" s="128" t="s">
        <v>1939</v>
      </c>
      <c r="H65" s="128" t="s">
        <v>8062</v>
      </c>
      <c r="I65" s="128"/>
      <c r="J65" s="128"/>
      <c r="K65" s="128"/>
      <c r="L65" s="128">
        <v>2025</v>
      </c>
      <c r="M65" s="132">
        <f t="shared" ca="1" si="0"/>
        <v>45695</v>
      </c>
    </row>
    <row r="66" spans="1:13">
      <c r="A66" s="128">
        <v>65</v>
      </c>
      <c r="B66" s="128"/>
      <c r="C66" s="128" t="s">
        <v>8131</v>
      </c>
      <c r="D66" s="128" t="s">
        <v>8110</v>
      </c>
      <c r="E66" s="128" t="s">
        <v>8061</v>
      </c>
      <c r="F66" s="128" t="s">
        <v>1512</v>
      </c>
      <c r="G66" s="128" t="s">
        <v>1939</v>
      </c>
      <c r="H66" s="128" t="s">
        <v>8062</v>
      </c>
      <c r="I66" s="128"/>
      <c r="J66" s="128"/>
      <c r="K66" s="128"/>
      <c r="L66" s="128">
        <v>2025</v>
      </c>
      <c r="M66" s="132">
        <f t="shared" ca="1" si="0"/>
        <v>45799</v>
      </c>
    </row>
    <row r="67" spans="1:13">
      <c r="A67" s="128">
        <v>66</v>
      </c>
      <c r="B67" s="128"/>
      <c r="C67" s="128" t="s">
        <v>8132</v>
      </c>
      <c r="D67" s="128" t="s">
        <v>8110</v>
      </c>
      <c r="E67" s="128" t="s">
        <v>8061</v>
      </c>
      <c r="F67" s="128" t="s">
        <v>1512</v>
      </c>
      <c r="G67" s="128" t="s">
        <v>1939</v>
      </c>
      <c r="H67" s="128" t="s">
        <v>8062</v>
      </c>
      <c r="I67" s="128"/>
      <c r="J67" s="128"/>
      <c r="K67" s="128"/>
      <c r="L67" s="128">
        <v>2025</v>
      </c>
      <c r="M67" s="132">
        <f t="shared" ca="1" si="0"/>
        <v>45808</v>
      </c>
    </row>
    <row r="68" spans="1:13">
      <c r="A68" s="128">
        <v>67</v>
      </c>
      <c r="B68" s="128"/>
      <c r="C68" s="128" t="s">
        <v>8133</v>
      </c>
      <c r="D68" s="128" t="s">
        <v>8110</v>
      </c>
      <c r="E68" s="128" t="s">
        <v>8061</v>
      </c>
      <c r="F68" s="128" t="s">
        <v>1512</v>
      </c>
      <c r="G68" s="128" t="s">
        <v>1939</v>
      </c>
      <c r="H68" s="128" t="s">
        <v>8062</v>
      </c>
      <c r="I68" s="128"/>
      <c r="J68" s="128"/>
      <c r="K68" s="128"/>
      <c r="L68" s="128">
        <v>2025</v>
      </c>
      <c r="M68" s="132">
        <f t="shared" ca="1" si="0"/>
        <v>45782</v>
      </c>
    </row>
    <row r="69" spans="1:13">
      <c r="A69" s="128">
        <v>68</v>
      </c>
      <c r="B69" s="128" t="s">
        <v>8134</v>
      </c>
      <c r="C69" s="128" t="s">
        <v>833</v>
      </c>
      <c r="D69" s="128" t="s">
        <v>141</v>
      </c>
      <c r="E69" s="128" t="s">
        <v>8028</v>
      </c>
      <c r="F69" s="128" t="s">
        <v>1352</v>
      </c>
      <c r="G69" s="128" t="s">
        <v>1975</v>
      </c>
      <c r="H69" s="128" t="s">
        <v>8092</v>
      </c>
      <c r="I69" s="130" t="s">
        <v>8135</v>
      </c>
      <c r="J69" s="128" t="s">
        <v>8084</v>
      </c>
      <c r="K69" s="128" t="s">
        <v>8032</v>
      </c>
      <c r="L69" s="128">
        <v>2025</v>
      </c>
      <c r="M69" s="132">
        <f t="shared" ca="1" si="0"/>
        <v>45718</v>
      </c>
    </row>
    <row r="70" spans="1:13">
      <c r="A70" s="128">
        <v>69</v>
      </c>
      <c r="B70" s="128"/>
      <c r="C70" s="128" t="s">
        <v>835</v>
      </c>
      <c r="D70" s="128" t="s">
        <v>273</v>
      </c>
      <c r="E70" s="128" t="s">
        <v>8061</v>
      </c>
      <c r="F70" s="128" t="s">
        <v>1352</v>
      </c>
      <c r="G70" s="128" t="s">
        <v>1975</v>
      </c>
      <c r="H70" s="128" t="s">
        <v>8092</v>
      </c>
      <c r="I70" s="128"/>
      <c r="J70" s="128"/>
      <c r="K70" s="128"/>
      <c r="L70" s="128">
        <v>2025</v>
      </c>
      <c r="M70" s="132">
        <f t="shared" ca="1" si="0"/>
        <v>45728</v>
      </c>
    </row>
    <row r="71" spans="1:13">
      <c r="A71" s="128">
        <v>70</v>
      </c>
      <c r="B71" s="128"/>
      <c r="C71" s="128" t="s">
        <v>836</v>
      </c>
      <c r="D71" s="128" t="s">
        <v>783</v>
      </c>
      <c r="E71" s="128" t="s">
        <v>8061</v>
      </c>
      <c r="F71" s="128" t="s">
        <v>1393</v>
      </c>
      <c r="G71" s="128" t="s">
        <v>2158</v>
      </c>
      <c r="H71" s="128" t="s">
        <v>8082</v>
      </c>
      <c r="I71" s="128"/>
      <c r="J71" s="128"/>
      <c r="K71" s="128"/>
      <c r="L71" s="128">
        <v>2025</v>
      </c>
      <c r="M71" s="132">
        <f t="shared" ca="1" si="0"/>
        <v>45971</v>
      </c>
    </row>
    <row r="72" spans="1:13">
      <c r="A72" s="128">
        <v>71</v>
      </c>
      <c r="B72" s="128"/>
      <c r="C72" s="128" t="s">
        <v>837</v>
      </c>
      <c r="D72" s="128" t="s">
        <v>8136</v>
      </c>
      <c r="E72" s="128" t="s">
        <v>8028</v>
      </c>
      <c r="F72" s="128" t="s">
        <v>1393</v>
      </c>
      <c r="G72" s="128" t="s">
        <v>2158</v>
      </c>
      <c r="H72" s="128" t="s">
        <v>8082</v>
      </c>
      <c r="I72" s="128"/>
      <c r="J72" s="128"/>
      <c r="K72" s="128"/>
      <c r="L72" s="128">
        <v>2025</v>
      </c>
      <c r="M72" s="132">
        <f t="shared" ca="1" si="0"/>
        <v>45668</v>
      </c>
    </row>
    <row r="73" spans="1:13">
      <c r="A73" s="128">
        <v>72</v>
      </c>
      <c r="B73" s="128" t="s">
        <v>8137</v>
      </c>
      <c r="C73" s="128" t="s">
        <v>8138</v>
      </c>
      <c r="D73" s="128" t="s">
        <v>2035</v>
      </c>
      <c r="E73" s="128" t="s">
        <v>8068</v>
      </c>
      <c r="F73" s="128" t="s">
        <v>1512</v>
      </c>
      <c r="G73" s="128" t="s">
        <v>1939</v>
      </c>
      <c r="H73" s="128" t="s">
        <v>8062</v>
      </c>
      <c r="I73" s="130" t="s">
        <v>8139</v>
      </c>
      <c r="J73" s="128" t="s">
        <v>8084</v>
      </c>
      <c r="K73" s="128" t="s">
        <v>8032</v>
      </c>
      <c r="L73" s="128">
        <v>2025</v>
      </c>
      <c r="M73" s="132">
        <f t="shared" ca="1" si="0"/>
        <v>45868</v>
      </c>
    </row>
    <row r="74" spans="1:13">
      <c r="A74" s="128">
        <v>73</v>
      </c>
      <c r="B74" s="128"/>
      <c r="C74" s="128" t="s">
        <v>73</v>
      </c>
      <c r="D74" s="128" t="s">
        <v>74</v>
      </c>
      <c r="E74" s="128" t="s">
        <v>8028</v>
      </c>
      <c r="F74" s="128" t="s">
        <v>1329</v>
      </c>
      <c r="G74" s="128" t="s">
        <v>1328</v>
      </c>
      <c r="H74" s="128" t="s">
        <v>7557</v>
      </c>
      <c r="I74" s="128"/>
      <c r="J74" s="128"/>
      <c r="K74" s="128"/>
      <c r="L74" s="128">
        <v>2025</v>
      </c>
      <c r="M74" s="132">
        <f t="shared" ca="1" si="0"/>
        <v>45827</v>
      </c>
    </row>
    <row r="75" spans="1:13">
      <c r="A75" s="128">
        <v>74</v>
      </c>
      <c r="B75" s="128"/>
      <c r="C75" s="128" t="s">
        <v>1347</v>
      </c>
      <c r="D75" s="128" t="s">
        <v>74</v>
      </c>
      <c r="E75" s="128" t="s">
        <v>8028</v>
      </c>
      <c r="F75" s="128" t="s">
        <v>1329</v>
      </c>
      <c r="G75" s="128" t="s">
        <v>1328</v>
      </c>
      <c r="H75" s="128" t="s">
        <v>7557</v>
      </c>
      <c r="I75" s="128"/>
      <c r="J75" s="128"/>
      <c r="K75" s="128"/>
      <c r="L75" s="128">
        <v>2025</v>
      </c>
      <c r="M75" s="132">
        <f t="shared" ca="1" si="0"/>
        <v>45962</v>
      </c>
    </row>
    <row r="76" spans="1:13">
      <c r="A76" s="128">
        <v>75</v>
      </c>
      <c r="B76" s="128"/>
      <c r="C76" s="128" t="s">
        <v>739</v>
      </c>
      <c r="D76" s="128" t="s">
        <v>2035</v>
      </c>
      <c r="E76" s="128" t="s">
        <v>8068</v>
      </c>
      <c r="F76" s="128" t="s">
        <v>1512</v>
      </c>
      <c r="G76" s="128" t="s">
        <v>1939</v>
      </c>
      <c r="H76" s="128" t="s">
        <v>8062</v>
      </c>
      <c r="I76" s="128"/>
      <c r="J76" s="128"/>
      <c r="K76" s="128"/>
      <c r="L76" s="128">
        <v>2025</v>
      </c>
      <c r="M76" s="132">
        <f t="shared" ca="1" si="0"/>
        <v>45870</v>
      </c>
    </row>
    <row r="77" spans="1:13">
      <c r="A77" s="128">
        <v>76</v>
      </c>
      <c r="B77" s="128" t="s">
        <v>8140</v>
      </c>
      <c r="C77" s="128" t="s">
        <v>8141</v>
      </c>
      <c r="D77" s="128" t="s">
        <v>74</v>
      </c>
      <c r="E77" s="128" t="s">
        <v>8028</v>
      </c>
      <c r="F77" s="128" t="s">
        <v>1329</v>
      </c>
      <c r="G77" s="128" t="s">
        <v>1328</v>
      </c>
      <c r="H77" s="128" t="s">
        <v>7557</v>
      </c>
      <c r="I77" s="130" t="s">
        <v>8142</v>
      </c>
      <c r="J77" s="128" t="s">
        <v>8084</v>
      </c>
      <c r="K77" s="128" t="s">
        <v>8056</v>
      </c>
      <c r="L77" s="128">
        <v>2025</v>
      </c>
      <c r="M77" s="132">
        <f t="shared" ca="1" si="0"/>
        <v>45910</v>
      </c>
    </row>
    <row r="78" spans="1:13">
      <c r="A78" s="128">
        <v>77</v>
      </c>
      <c r="B78" s="128"/>
      <c r="C78" s="128" t="s">
        <v>739</v>
      </c>
      <c r="D78" s="128" t="s">
        <v>2035</v>
      </c>
      <c r="E78" s="128" t="s">
        <v>8068</v>
      </c>
      <c r="F78" s="128" t="s">
        <v>1512</v>
      </c>
      <c r="G78" s="128" t="s">
        <v>1939</v>
      </c>
      <c r="H78" s="128" t="s">
        <v>8062</v>
      </c>
      <c r="I78" s="128"/>
      <c r="J78" s="128"/>
      <c r="K78" s="128"/>
      <c r="L78" s="128">
        <v>2025</v>
      </c>
      <c r="M78" s="132">
        <f t="shared" ca="1" si="0"/>
        <v>45900</v>
      </c>
    </row>
    <row r="79" spans="1:13">
      <c r="A79" s="128">
        <v>78</v>
      </c>
      <c r="B79" s="128"/>
      <c r="C79" s="128" t="s">
        <v>1347</v>
      </c>
      <c r="D79" s="128" t="s">
        <v>74</v>
      </c>
      <c r="E79" s="128" t="s">
        <v>8028</v>
      </c>
      <c r="F79" s="128" t="s">
        <v>1329</v>
      </c>
      <c r="G79" s="128" t="s">
        <v>1328</v>
      </c>
      <c r="H79" s="128" t="s">
        <v>7557</v>
      </c>
      <c r="I79" s="128"/>
      <c r="J79" s="128"/>
      <c r="K79" s="128"/>
      <c r="L79" s="128">
        <v>2025</v>
      </c>
      <c r="M79" s="132">
        <f t="shared" ca="1" si="0"/>
        <v>46019</v>
      </c>
    </row>
    <row r="80" spans="1:13">
      <c r="A80" s="128">
        <v>79</v>
      </c>
      <c r="B80" s="128"/>
      <c r="C80" s="128" t="s">
        <v>8143</v>
      </c>
      <c r="D80" s="128" t="s">
        <v>2035</v>
      </c>
      <c r="E80" s="128" t="s">
        <v>8068</v>
      </c>
      <c r="F80" s="128" t="s">
        <v>1512</v>
      </c>
      <c r="G80" s="128" t="s">
        <v>1939</v>
      </c>
      <c r="H80" s="128" t="s">
        <v>8062</v>
      </c>
      <c r="I80" s="128"/>
      <c r="J80" s="128"/>
      <c r="K80" s="128"/>
      <c r="L80" s="128">
        <v>2025</v>
      </c>
      <c r="M80" s="132">
        <f t="shared" ca="1" si="0"/>
        <v>45812</v>
      </c>
    </row>
    <row r="81" spans="1:13">
      <c r="A81" s="128">
        <v>80</v>
      </c>
      <c r="B81" s="128" t="s">
        <v>8144</v>
      </c>
      <c r="C81" s="128" t="s">
        <v>8145</v>
      </c>
      <c r="D81" s="128" t="s">
        <v>8102</v>
      </c>
      <c r="E81" s="128" t="s">
        <v>8061</v>
      </c>
      <c r="F81" s="128" t="s">
        <v>1512</v>
      </c>
      <c r="G81" s="128" t="s">
        <v>1939</v>
      </c>
      <c r="H81" s="128" t="s">
        <v>8062</v>
      </c>
      <c r="I81" s="130" t="s">
        <v>8146</v>
      </c>
      <c r="J81" s="128" t="s">
        <v>8031</v>
      </c>
      <c r="K81" s="128" t="s">
        <v>8056</v>
      </c>
      <c r="L81" s="128">
        <v>2025</v>
      </c>
      <c r="M81" s="132">
        <f t="shared" ca="1" si="0"/>
        <v>45689</v>
      </c>
    </row>
    <row r="82" spans="1:13">
      <c r="A82" s="128">
        <v>81</v>
      </c>
      <c r="B82" s="128"/>
      <c r="C82" s="128" t="s">
        <v>8147</v>
      </c>
      <c r="D82" s="128" t="s">
        <v>8102</v>
      </c>
      <c r="E82" s="128" t="s">
        <v>8061</v>
      </c>
      <c r="F82" s="128" t="s">
        <v>1512</v>
      </c>
      <c r="G82" s="128" t="s">
        <v>1939</v>
      </c>
      <c r="H82" s="128" t="s">
        <v>8062</v>
      </c>
      <c r="I82" s="128"/>
      <c r="J82" s="128"/>
      <c r="K82" s="128"/>
      <c r="L82" s="128">
        <v>2025</v>
      </c>
      <c r="M82" s="132">
        <f t="shared" ca="1" si="0"/>
        <v>45680</v>
      </c>
    </row>
    <row r="83" spans="1:13">
      <c r="A83" s="128">
        <v>82</v>
      </c>
      <c r="B83" s="128"/>
      <c r="C83" s="128" t="s">
        <v>1577</v>
      </c>
      <c r="D83" s="128" t="s">
        <v>8102</v>
      </c>
      <c r="E83" s="128" t="s">
        <v>8061</v>
      </c>
      <c r="F83" s="128" t="s">
        <v>1512</v>
      </c>
      <c r="G83" s="128" t="s">
        <v>1939</v>
      </c>
      <c r="H83" s="128" t="s">
        <v>8062</v>
      </c>
      <c r="I83" s="128"/>
      <c r="J83" s="128"/>
      <c r="K83" s="128"/>
      <c r="L83" s="128">
        <v>2025</v>
      </c>
      <c r="M83" s="132">
        <f t="shared" ca="1" si="0"/>
        <v>45976</v>
      </c>
    </row>
    <row r="84" spans="1:13">
      <c r="A84" s="128">
        <v>83</v>
      </c>
      <c r="B84" s="128"/>
      <c r="C84" s="128" t="s">
        <v>8148</v>
      </c>
      <c r="D84" s="128" t="s">
        <v>8102</v>
      </c>
      <c r="E84" s="128" t="s">
        <v>8061</v>
      </c>
      <c r="F84" s="128" t="s">
        <v>1512</v>
      </c>
      <c r="G84" s="128" t="s">
        <v>1939</v>
      </c>
      <c r="H84" s="128" t="s">
        <v>8062</v>
      </c>
      <c r="I84" s="128"/>
      <c r="J84" s="128"/>
      <c r="K84" s="128"/>
      <c r="L84" s="128">
        <v>2025</v>
      </c>
      <c r="M84" s="132">
        <f t="shared" ca="1" si="0"/>
        <v>46014</v>
      </c>
    </row>
    <row r="85" spans="1:13">
      <c r="A85" s="128">
        <v>84</v>
      </c>
      <c r="B85" s="128"/>
      <c r="C85" s="128" t="s">
        <v>8149</v>
      </c>
      <c r="D85" s="128" t="s">
        <v>8102</v>
      </c>
      <c r="E85" s="128" t="s">
        <v>8061</v>
      </c>
      <c r="F85" s="128" t="s">
        <v>1512</v>
      </c>
      <c r="G85" s="128" t="s">
        <v>1939</v>
      </c>
      <c r="H85" s="128" t="s">
        <v>8062</v>
      </c>
      <c r="I85" s="128"/>
      <c r="J85" s="128"/>
      <c r="K85" s="128"/>
      <c r="L85" s="128">
        <v>2025</v>
      </c>
      <c r="M85" s="132">
        <f t="shared" ca="1" si="0"/>
        <v>45684</v>
      </c>
    </row>
    <row r="86" spans="1:13">
      <c r="A86" s="128">
        <v>85</v>
      </c>
      <c r="B86" s="128" t="s">
        <v>8150</v>
      </c>
      <c r="C86" s="128" t="s">
        <v>2342</v>
      </c>
      <c r="D86" s="128" t="s">
        <v>2210</v>
      </c>
      <c r="E86" s="128" t="s">
        <v>8035</v>
      </c>
      <c r="F86" s="128" t="s">
        <v>1393</v>
      </c>
      <c r="G86" s="128" t="s">
        <v>2158</v>
      </c>
      <c r="H86" s="128" t="s">
        <v>8082</v>
      </c>
      <c r="I86" s="130" t="s">
        <v>8151</v>
      </c>
      <c r="J86" s="128" t="s">
        <v>8152</v>
      </c>
      <c r="K86" s="128" t="s">
        <v>8041</v>
      </c>
      <c r="L86" s="128">
        <v>2025</v>
      </c>
      <c r="M86" s="132">
        <f t="shared" ca="1" si="0"/>
        <v>45847</v>
      </c>
    </row>
    <row r="87" spans="1:13">
      <c r="A87" s="128">
        <v>86</v>
      </c>
      <c r="B87" s="128"/>
      <c r="C87" s="128" t="s">
        <v>2346</v>
      </c>
      <c r="D87" s="128" t="s">
        <v>2210</v>
      </c>
      <c r="E87" s="128" t="s">
        <v>8035</v>
      </c>
      <c r="F87" s="128" t="s">
        <v>1393</v>
      </c>
      <c r="G87" s="128" t="s">
        <v>2158</v>
      </c>
      <c r="H87" s="128" t="s">
        <v>8082</v>
      </c>
      <c r="I87" s="128"/>
      <c r="J87" s="128"/>
      <c r="K87" s="128"/>
      <c r="L87" s="128">
        <v>2025</v>
      </c>
      <c r="M87" s="132">
        <f t="shared" ca="1" si="0"/>
        <v>45846</v>
      </c>
    </row>
    <row r="88" spans="1:13">
      <c r="A88" s="128">
        <v>87</v>
      </c>
      <c r="B88" s="128" t="s">
        <v>8153</v>
      </c>
      <c r="C88" s="128" t="s">
        <v>826</v>
      </c>
      <c r="D88" s="128" t="s">
        <v>132</v>
      </c>
      <c r="E88" s="128" t="s">
        <v>8028</v>
      </c>
      <c r="F88" s="128" t="s">
        <v>1352</v>
      </c>
      <c r="G88" s="128" t="s">
        <v>1975</v>
      </c>
      <c r="H88" s="128" t="s">
        <v>8092</v>
      </c>
      <c r="I88" s="130" t="s">
        <v>8154</v>
      </c>
      <c r="J88" s="128" t="s">
        <v>8087</v>
      </c>
      <c r="K88" s="128" t="s">
        <v>8032</v>
      </c>
      <c r="L88" s="128">
        <v>2025</v>
      </c>
      <c r="M88" s="132">
        <f t="shared" ca="1" si="0"/>
        <v>45857</v>
      </c>
    </row>
    <row r="89" spans="1:13">
      <c r="A89" s="128">
        <v>88</v>
      </c>
      <c r="B89" s="128"/>
      <c r="C89" s="128" t="s">
        <v>829</v>
      </c>
      <c r="D89" s="128" t="s">
        <v>132</v>
      </c>
      <c r="E89" s="128" t="s">
        <v>8028</v>
      </c>
      <c r="F89" s="128" t="s">
        <v>1352</v>
      </c>
      <c r="G89" s="128" t="s">
        <v>1975</v>
      </c>
      <c r="H89" s="128" t="s">
        <v>8092</v>
      </c>
      <c r="I89" s="128"/>
      <c r="J89" s="128"/>
      <c r="K89" s="128"/>
      <c r="L89" s="128">
        <v>2025</v>
      </c>
      <c r="M89" s="132">
        <f t="shared" ca="1" si="0"/>
        <v>45999</v>
      </c>
    </row>
    <row r="90" spans="1:13">
      <c r="A90" s="128">
        <v>89</v>
      </c>
      <c r="B90" s="128"/>
      <c r="C90" s="128" t="s">
        <v>830</v>
      </c>
      <c r="D90" s="128" t="s">
        <v>132</v>
      </c>
      <c r="E90" s="128" t="s">
        <v>8028</v>
      </c>
      <c r="F90" s="128" t="s">
        <v>1352</v>
      </c>
      <c r="G90" s="128" t="s">
        <v>1975</v>
      </c>
      <c r="H90" s="128" t="s">
        <v>8092</v>
      </c>
      <c r="I90" s="128"/>
      <c r="J90" s="128"/>
      <c r="K90" s="128"/>
      <c r="L90" s="128">
        <v>2025</v>
      </c>
      <c r="M90" s="132">
        <f t="shared" ca="1" si="0"/>
        <v>46007</v>
      </c>
    </row>
    <row r="91" spans="1:13">
      <c r="A91" s="128">
        <v>90</v>
      </c>
      <c r="B91" s="128"/>
      <c r="C91" s="128" t="s">
        <v>828</v>
      </c>
      <c r="D91" s="128" t="s">
        <v>132</v>
      </c>
      <c r="E91" s="128" t="s">
        <v>8028</v>
      </c>
      <c r="F91" s="128" t="s">
        <v>1352</v>
      </c>
      <c r="G91" s="128" t="s">
        <v>1975</v>
      </c>
      <c r="H91" s="128" t="s">
        <v>8092</v>
      </c>
      <c r="I91" s="128"/>
      <c r="J91" s="128"/>
      <c r="K91" s="128"/>
      <c r="L91" s="128">
        <v>2025</v>
      </c>
      <c r="M91" s="132">
        <f t="shared" ca="1" si="0"/>
        <v>45900</v>
      </c>
    </row>
    <row r="92" spans="1:13">
      <c r="A92" s="128">
        <v>91</v>
      </c>
      <c r="B92" s="128" t="s">
        <v>8155</v>
      </c>
      <c r="C92" s="128" t="s">
        <v>8156</v>
      </c>
      <c r="D92" s="128" t="s">
        <v>8102</v>
      </c>
      <c r="E92" s="128" t="s">
        <v>8061</v>
      </c>
      <c r="F92" s="128" t="s">
        <v>1512</v>
      </c>
      <c r="G92" s="128" t="s">
        <v>1939</v>
      </c>
      <c r="H92" s="128" t="s">
        <v>8062</v>
      </c>
      <c r="I92" s="130" t="s">
        <v>8157</v>
      </c>
      <c r="J92" s="128" t="s">
        <v>8031</v>
      </c>
      <c r="K92" s="128" t="s">
        <v>8056</v>
      </c>
      <c r="L92" s="128">
        <v>2025</v>
      </c>
      <c r="M92" s="132">
        <f t="shared" ca="1" si="0"/>
        <v>45817</v>
      </c>
    </row>
    <row r="93" spans="1:13">
      <c r="A93" s="128">
        <v>92</v>
      </c>
      <c r="B93" s="128"/>
      <c r="C93" s="128" t="s">
        <v>8158</v>
      </c>
      <c r="D93" s="128" t="s">
        <v>8102</v>
      </c>
      <c r="E93" s="128" t="s">
        <v>8061</v>
      </c>
      <c r="F93" s="128" t="s">
        <v>1512</v>
      </c>
      <c r="G93" s="128" t="s">
        <v>1939</v>
      </c>
      <c r="H93" s="128" t="s">
        <v>8062</v>
      </c>
      <c r="I93" s="128"/>
      <c r="J93" s="128"/>
      <c r="K93" s="128"/>
      <c r="L93" s="128">
        <v>2025</v>
      </c>
      <c r="M93" s="132">
        <f t="shared" ca="1" si="0"/>
        <v>45928</v>
      </c>
    </row>
    <row r="94" spans="1:13">
      <c r="A94" s="128">
        <v>93</v>
      </c>
      <c r="B94" s="128"/>
      <c r="C94" s="128" t="s">
        <v>8159</v>
      </c>
      <c r="D94" s="128" t="s">
        <v>8160</v>
      </c>
      <c r="E94" s="128" t="s">
        <v>8061</v>
      </c>
      <c r="F94" s="128" t="s">
        <v>1512</v>
      </c>
      <c r="G94" s="128" t="s">
        <v>1939</v>
      </c>
      <c r="H94" s="128" t="s">
        <v>8062</v>
      </c>
      <c r="I94" s="128"/>
      <c r="J94" s="128"/>
      <c r="K94" s="128"/>
      <c r="L94" s="128">
        <v>2025</v>
      </c>
      <c r="M94" s="132">
        <f t="shared" ca="1" si="0"/>
        <v>45693</v>
      </c>
    </row>
    <row r="95" spans="1:13">
      <c r="A95" s="128">
        <v>94</v>
      </c>
      <c r="B95" s="128"/>
      <c r="C95" s="128" t="s">
        <v>8161</v>
      </c>
      <c r="D95" s="128" t="s">
        <v>483</v>
      </c>
      <c r="E95" s="128" t="s">
        <v>8035</v>
      </c>
      <c r="F95" s="128" t="s">
        <v>1512</v>
      </c>
      <c r="G95" s="128" t="s">
        <v>1939</v>
      </c>
      <c r="H95" s="128" t="s">
        <v>8062</v>
      </c>
      <c r="I95" s="128"/>
      <c r="J95" s="128"/>
      <c r="K95" s="128"/>
      <c r="L95" s="128">
        <v>2025</v>
      </c>
      <c r="M95" s="132">
        <f t="shared" ca="1" si="0"/>
        <v>45741</v>
      </c>
    </row>
    <row r="96" spans="1:13">
      <c r="A96" s="128">
        <v>95</v>
      </c>
      <c r="B96" s="128"/>
      <c r="C96" s="128" t="s">
        <v>8162</v>
      </c>
      <c r="D96" s="128" t="s">
        <v>2035</v>
      </c>
      <c r="E96" s="128" t="s">
        <v>8068</v>
      </c>
      <c r="F96" s="128" t="s">
        <v>1512</v>
      </c>
      <c r="G96" s="128" t="s">
        <v>1939</v>
      </c>
      <c r="H96" s="128" t="s">
        <v>8062</v>
      </c>
      <c r="I96" s="128"/>
      <c r="J96" s="128"/>
      <c r="K96" s="128"/>
      <c r="L96" s="128">
        <v>2025</v>
      </c>
      <c r="M96" s="132">
        <f t="shared" ca="1" si="0"/>
        <v>46006</v>
      </c>
    </row>
    <row r="97" spans="1:13">
      <c r="A97" s="128">
        <v>96</v>
      </c>
      <c r="B97" s="128" t="s">
        <v>8163</v>
      </c>
      <c r="C97" s="128" t="s">
        <v>8164</v>
      </c>
      <c r="D97" s="128" t="s">
        <v>8102</v>
      </c>
      <c r="E97" s="128" t="s">
        <v>8061</v>
      </c>
      <c r="F97" s="128" t="s">
        <v>1512</v>
      </c>
      <c r="G97" s="128" t="s">
        <v>1939</v>
      </c>
      <c r="H97" s="128" t="s">
        <v>8062</v>
      </c>
      <c r="I97" s="130" t="s">
        <v>8165</v>
      </c>
      <c r="J97" s="128" t="s">
        <v>8031</v>
      </c>
      <c r="K97" s="128" t="s">
        <v>8041</v>
      </c>
      <c r="L97" s="128">
        <v>2025</v>
      </c>
      <c r="M97" s="132">
        <f t="shared" ca="1" si="0"/>
        <v>45811</v>
      </c>
    </row>
    <row r="98" spans="1:13">
      <c r="A98" s="128">
        <v>97</v>
      </c>
      <c r="B98" s="128"/>
      <c r="C98" s="128" t="s">
        <v>8166</v>
      </c>
      <c r="D98" s="128" t="s">
        <v>8102</v>
      </c>
      <c r="E98" s="128" t="s">
        <v>8061</v>
      </c>
      <c r="F98" s="128" t="s">
        <v>1512</v>
      </c>
      <c r="G98" s="128" t="s">
        <v>1939</v>
      </c>
      <c r="H98" s="128" t="s">
        <v>8062</v>
      </c>
      <c r="I98" s="128"/>
      <c r="J98" s="128"/>
      <c r="K98" s="128"/>
      <c r="L98" s="128">
        <v>2025</v>
      </c>
      <c r="M98" s="132">
        <f t="shared" ca="1" si="0"/>
        <v>45991</v>
      </c>
    </row>
    <row r="99" spans="1:13">
      <c r="A99" s="128">
        <v>98</v>
      </c>
      <c r="B99" s="128"/>
      <c r="C99" s="128" t="s">
        <v>8167</v>
      </c>
      <c r="D99" s="128" t="s">
        <v>8102</v>
      </c>
      <c r="E99" s="128" t="s">
        <v>8061</v>
      </c>
      <c r="F99" s="128" t="s">
        <v>1512</v>
      </c>
      <c r="G99" s="128" t="s">
        <v>1939</v>
      </c>
      <c r="H99" s="128" t="s">
        <v>8062</v>
      </c>
      <c r="I99" s="128"/>
      <c r="J99" s="128"/>
      <c r="K99" s="128"/>
      <c r="L99" s="128">
        <v>2025</v>
      </c>
      <c r="M99" s="132">
        <f t="shared" ca="1" si="0"/>
        <v>45955</v>
      </c>
    </row>
    <row r="100" spans="1:13">
      <c r="A100" s="128">
        <v>99</v>
      </c>
      <c r="B100" s="128"/>
      <c r="C100" s="128" t="s">
        <v>8168</v>
      </c>
      <c r="D100" s="128" t="s">
        <v>8102</v>
      </c>
      <c r="E100" s="128" t="s">
        <v>8061</v>
      </c>
      <c r="F100" s="128" t="s">
        <v>1512</v>
      </c>
      <c r="G100" s="128" t="s">
        <v>1939</v>
      </c>
      <c r="H100" s="128" t="s">
        <v>8062</v>
      </c>
      <c r="I100" s="128"/>
      <c r="J100" s="128"/>
      <c r="K100" s="128"/>
      <c r="L100" s="128">
        <v>2025</v>
      </c>
      <c r="M100" s="132">
        <f t="shared" ca="1" si="0"/>
        <v>45692</v>
      </c>
    </row>
    <row r="101" spans="1:13">
      <c r="A101" s="128">
        <v>100</v>
      </c>
      <c r="B101" s="128" t="s">
        <v>8169</v>
      </c>
      <c r="C101" s="128" t="s">
        <v>789</v>
      </c>
      <c r="D101" s="128" t="s">
        <v>799</v>
      </c>
      <c r="E101" s="128" t="s">
        <v>8028</v>
      </c>
      <c r="F101" s="128" t="s">
        <v>1393</v>
      </c>
      <c r="G101" s="128" t="s">
        <v>2158</v>
      </c>
      <c r="H101" s="128" t="s">
        <v>8082</v>
      </c>
      <c r="I101" s="130" t="s">
        <v>8170</v>
      </c>
      <c r="J101" s="128" t="s">
        <v>8171</v>
      </c>
      <c r="K101" s="128" t="s">
        <v>8056</v>
      </c>
      <c r="L101" s="128">
        <v>2025</v>
      </c>
      <c r="M101" s="132">
        <f t="shared" ca="1" si="0"/>
        <v>45935</v>
      </c>
    </row>
    <row r="102" spans="1:13">
      <c r="A102" s="128">
        <v>101</v>
      </c>
      <c r="B102" s="128"/>
      <c r="C102" s="128" t="s">
        <v>8172</v>
      </c>
      <c r="D102" s="128" t="s">
        <v>799</v>
      </c>
      <c r="E102" s="128" t="s">
        <v>8028</v>
      </c>
      <c r="F102" s="128" t="s">
        <v>1393</v>
      </c>
      <c r="G102" s="128" t="s">
        <v>2158</v>
      </c>
      <c r="H102" s="128" t="s">
        <v>8082</v>
      </c>
      <c r="I102" s="128"/>
      <c r="J102" s="128"/>
      <c r="K102" s="128"/>
      <c r="L102" s="128">
        <v>2025</v>
      </c>
      <c r="M102" s="132">
        <f t="shared" ca="1" si="0"/>
        <v>45788</v>
      </c>
    </row>
    <row r="103" spans="1:13">
      <c r="A103" s="128">
        <v>102</v>
      </c>
      <c r="B103" s="128"/>
      <c r="C103" s="128" t="s">
        <v>8173</v>
      </c>
      <c r="D103" s="128" t="s">
        <v>799</v>
      </c>
      <c r="E103" s="128" t="s">
        <v>8028</v>
      </c>
      <c r="F103" s="128" t="s">
        <v>1393</v>
      </c>
      <c r="G103" s="128" t="s">
        <v>2158</v>
      </c>
      <c r="H103" s="128" t="s">
        <v>8082</v>
      </c>
      <c r="I103" s="128"/>
      <c r="J103" s="128"/>
      <c r="K103" s="128"/>
      <c r="L103" s="128">
        <v>2025</v>
      </c>
      <c r="M103" s="132">
        <f t="shared" ca="1" si="0"/>
        <v>45976</v>
      </c>
    </row>
    <row r="104" spans="1:13">
      <c r="A104" s="128">
        <v>103</v>
      </c>
      <c r="B104" s="128"/>
      <c r="C104" s="128" t="s">
        <v>809</v>
      </c>
      <c r="D104" s="128" t="s">
        <v>132</v>
      </c>
      <c r="E104" s="128" t="s">
        <v>8028</v>
      </c>
      <c r="F104" s="128" t="s">
        <v>1352</v>
      </c>
      <c r="G104" s="128" t="s">
        <v>1975</v>
      </c>
      <c r="H104" s="128" t="s">
        <v>8092</v>
      </c>
      <c r="I104" s="128"/>
      <c r="J104" s="128"/>
      <c r="K104" s="128"/>
      <c r="L104" s="128">
        <v>2025</v>
      </c>
      <c r="M104" s="132">
        <f t="shared" ca="1" si="0"/>
        <v>45659</v>
      </c>
    </row>
    <row r="105" spans="1:13">
      <c r="A105" s="128">
        <v>104</v>
      </c>
      <c r="B105" s="128" t="s">
        <v>8174</v>
      </c>
      <c r="C105" s="128" t="s">
        <v>866</v>
      </c>
      <c r="D105" s="128" t="s">
        <v>132</v>
      </c>
      <c r="E105" s="128" t="s">
        <v>8028</v>
      </c>
      <c r="F105" s="128" t="s">
        <v>1352</v>
      </c>
      <c r="G105" s="128" t="s">
        <v>1975</v>
      </c>
      <c r="H105" s="128" t="s">
        <v>8092</v>
      </c>
      <c r="I105" s="130" t="s">
        <v>8175</v>
      </c>
      <c r="J105" s="128" t="s">
        <v>8171</v>
      </c>
      <c r="K105" s="128" t="s">
        <v>8037</v>
      </c>
      <c r="L105" s="128">
        <v>2025</v>
      </c>
      <c r="M105" s="132">
        <f t="shared" ca="1" si="0"/>
        <v>45659</v>
      </c>
    </row>
    <row r="106" spans="1:13">
      <c r="A106" s="128">
        <v>105</v>
      </c>
      <c r="B106" s="128"/>
      <c r="C106" s="128" t="s">
        <v>869</v>
      </c>
      <c r="D106" s="128" t="s">
        <v>822</v>
      </c>
      <c r="E106" s="128" t="s">
        <v>8035</v>
      </c>
      <c r="F106" s="128" t="s">
        <v>1352</v>
      </c>
      <c r="G106" s="128" t="s">
        <v>1975</v>
      </c>
      <c r="H106" s="128" t="s">
        <v>8092</v>
      </c>
      <c r="I106" s="128"/>
      <c r="J106" s="128"/>
      <c r="K106" s="128"/>
      <c r="L106" s="128">
        <v>2025</v>
      </c>
      <c r="M106" s="132">
        <f t="shared" ca="1" si="0"/>
        <v>45974</v>
      </c>
    </row>
    <row r="107" spans="1:13">
      <c r="A107" s="128">
        <v>106</v>
      </c>
      <c r="B107" s="128" t="s">
        <v>8176</v>
      </c>
      <c r="C107" s="128" t="s">
        <v>8177</v>
      </c>
      <c r="D107" s="128" t="s">
        <v>473</v>
      </c>
      <c r="E107" s="128" t="s">
        <v>8028</v>
      </c>
      <c r="F107" s="128" t="s">
        <v>1512</v>
      </c>
      <c r="G107" s="128" t="s">
        <v>1939</v>
      </c>
      <c r="H107" s="128" t="s">
        <v>8062</v>
      </c>
      <c r="I107" s="130" t="s">
        <v>8178</v>
      </c>
      <c r="J107" s="128" t="s">
        <v>8031</v>
      </c>
      <c r="K107" s="128" t="s">
        <v>8037</v>
      </c>
      <c r="L107" s="128">
        <v>2025</v>
      </c>
      <c r="M107" s="132">
        <f t="shared" ca="1" si="0"/>
        <v>45812</v>
      </c>
    </row>
    <row r="108" spans="1:13">
      <c r="A108" s="128">
        <v>107</v>
      </c>
      <c r="B108" s="128"/>
      <c r="C108" s="128" t="s">
        <v>8179</v>
      </c>
      <c r="D108" s="128" t="s">
        <v>473</v>
      </c>
      <c r="E108" s="128" t="s">
        <v>8028</v>
      </c>
      <c r="F108" s="128" t="s">
        <v>1512</v>
      </c>
      <c r="G108" s="128" t="s">
        <v>1939</v>
      </c>
      <c r="H108" s="128" t="s">
        <v>8062</v>
      </c>
      <c r="I108" s="128"/>
      <c r="J108" s="128"/>
      <c r="K108" s="128"/>
      <c r="L108" s="128">
        <v>2025</v>
      </c>
      <c r="M108" s="132">
        <f t="shared" ca="1" si="0"/>
        <v>45992</v>
      </c>
    </row>
    <row r="109" spans="1:13">
      <c r="A109" s="128">
        <v>108</v>
      </c>
      <c r="B109" s="128"/>
      <c r="C109" s="128" t="s">
        <v>8166</v>
      </c>
      <c r="D109" s="128" t="s">
        <v>1439</v>
      </c>
      <c r="E109" s="128" t="s">
        <v>8028</v>
      </c>
      <c r="F109" s="128" t="s">
        <v>1329</v>
      </c>
      <c r="G109" s="128" t="s">
        <v>1328</v>
      </c>
      <c r="H109" s="128" t="s">
        <v>7557</v>
      </c>
      <c r="I109" s="128"/>
      <c r="J109" s="128"/>
      <c r="K109" s="128"/>
      <c r="L109" s="128">
        <v>2025</v>
      </c>
      <c r="M109" s="132">
        <f t="shared" ca="1" si="0"/>
        <v>45698</v>
      </c>
    </row>
    <row r="110" spans="1:13">
      <c r="A110" s="128">
        <v>109</v>
      </c>
      <c r="B110" s="128"/>
      <c r="C110" s="128" t="s">
        <v>2047</v>
      </c>
      <c r="D110" s="128" t="s">
        <v>483</v>
      </c>
      <c r="E110" s="128" t="s">
        <v>8035</v>
      </c>
      <c r="F110" s="128" t="s">
        <v>1512</v>
      </c>
      <c r="G110" s="128" t="s">
        <v>1939</v>
      </c>
      <c r="H110" s="128" t="s">
        <v>8062</v>
      </c>
      <c r="I110" s="128"/>
      <c r="J110" s="128"/>
      <c r="K110" s="128"/>
      <c r="L110" s="128">
        <v>2025</v>
      </c>
      <c r="M110" s="132">
        <f t="shared" ca="1" si="0"/>
        <v>45694</v>
      </c>
    </row>
    <row r="111" spans="1:13">
      <c r="A111" s="128">
        <v>110</v>
      </c>
      <c r="B111" s="128" t="s">
        <v>8180</v>
      </c>
      <c r="C111" s="128" t="s">
        <v>8181</v>
      </c>
      <c r="D111" s="128" t="s">
        <v>1482</v>
      </c>
      <c r="E111" s="128" t="s">
        <v>8068</v>
      </c>
      <c r="F111" s="128" t="s">
        <v>1437</v>
      </c>
      <c r="G111" s="128" t="s">
        <v>1478</v>
      </c>
      <c r="H111" s="128" t="s">
        <v>8049</v>
      </c>
      <c r="I111" s="130" t="s">
        <v>8182</v>
      </c>
      <c r="J111" s="128" t="s">
        <v>8031</v>
      </c>
      <c r="K111" s="128" t="s">
        <v>8032</v>
      </c>
      <c r="L111" s="128">
        <v>2025</v>
      </c>
      <c r="M111" s="132">
        <f t="shared" ca="1" si="0"/>
        <v>45666</v>
      </c>
    </row>
    <row r="112" spans="1:13">
      <c r="A112" s="128">
        <v>111</v>
      </c>
      <c r="B112" s="128"/>
      <c r="C112" s="128" t="s">
        <v>8183</v>
      </c>
      <c r="D112" s="128" t="s">
        <v>1482</v>
      </c>
      <c r="E112" s="128" t="s">
        <v>8068</v>
      </c>
      <c r="F112" s="128" t="s">
        <v>1437</v>
      </c>
      <c r="G112" s="128" t="s">
        <v>1478</v>
      </c>
      <c r="H112" s="128" t="s">
        <v>8049</v>
      </c>
      <c r="I112" s="128"/>
      <c r="J112" s="128"/>
      <c r="K112" s="128"/>
      <c r="L112" s="128">
        <v>2025</v>
      </c>
      <c r="M112" s="132">
        <f t="shared" ca="1" si="0"/>
        <v>45785</v>
      </c>
    </row>
    <row r="113" spans="1:13">
      <c r="A113" s="128">
        <v>112</v>
      </c>
      <c r="B113" s="128" t="s">
        <v>8184</v>
      </c>
      <c r="C113" s="128" t="s">
        <v>8185</v>
      </c>
      <c r="D113" s="128" t="s">
        <v>8186</v>
      </c>
      <c r="E113" s="128" t="s">
        <v>8035</v>
      </c>
      <c r="F113" s="128" t="s">
        <v>1512</v>
      </c>
      <c r="G113" s="128" t="s">
        <v>1939</v>
      </c>
      <c r="H113" s="128" t="s">
        <v>8062</v>
      </c>
      <c r="I113" s="130" t="s">
        <v>8187</v>
      </c>
      <c r="J113" s="128" t="s">
        <v>8031</v>
      </c>
      <c r="K113" s="128" t="s">
        <v>8041</v>
      </c>
      <c r="L113" s="128">
        <v>2025</v>
      </c>
      <c r="M113" s="132">
        <f t="shared" ca="1" si="0"/>
        <v>45928</v>
      </c>
    </row>
    <row r="114" spans="1:13">
      <c r="A114" s="128">
        <v>113</v>
      </c>
      <c r="B114" s="128"/>
      <c r="C114" s="128" t="s">
        <v>8188</v>
      </c>
      <c r="D114" s="128" t="s">
        <v>8186</v>
      </c>
      <c r="E114" s="128" t="s">
        <v>8035</v>
      </c>
      <c r="F114" s="128" t="s">
        <v>1512</v>
      </c>
      <c r="G114" s="128" t="s">
        <v>1939</v>
      </c>
      <c r="H114" s="128" t="s">
        <v>8062</v>
      </c>
      <c r="I114" s="128"/>
      <c r="J114" s="128"/>
      <c r="K114" s="128"/>
      <c r="L114" s="128">
        <v>2025</v>
      </c>
      <c r="M114" s="132">
        <f t="shared" ca="1" si="0"/>
        <v>45843</v>
      </c>
    </row>
    <row r="115" spans="1:13">
      <c r="A115" s="128">
        <v>114</v>
      </c>
      <c r="B115" s="128"/>
      <c r="C115" s="128" t="s">
        <v>8189</v>
      </c>
      <c r="D115" s="128" t="s">
        <v>8186</v>
      </c>
      <c r="E115" s="128" t="s">
        <v>8035</v>
      </c>
      <c r="F115" s="128" t="s">
        <v>1512</v>
      </c>
      <c r="G115" s="128" t="s">
        <v>1939</v>
      </c>
      <c r="H115" s="128" t="s">
        <v>8062</v>
      </c>
      <c r="I115" s="128"/>
      <c r="J115" s="128"/>
      <c r="K115" s="128"/>
      <c r="L115" s="128">
        <v>2025</v>
      </c>
      <c r="M115" s="132">
        <f t="shared" ca="1" si="0"/>
        <v>45829</v>
      </c>
    </row>
    <row r="116" spans="1:13">
      <c r="A116" s="128">
        <v>115</v>
      </c>
      <c r="B116" s="128"/>
      <c r="C116" s="128" t="s">
        <v>8190</v>
      </c>
      <c r="D116" s="128" t="s">
        <v>432</v>
      </c>
      <c r="E116" s="128" t="s">
        <v>8035</v>
      </c>
      <c r="F116" s="128" t="s">
        <v>1417</v>
      </c>
      <c r="G116" s="128" t="s">
        <v>2361</v>
      </c>
      <c r="H116" s="128" t="s">
        <v>8039</v>
      </c>
      <c r="I116" s="128"/>
      <c r="J116" s="128"/>
      <c r="K116" s="128"/>
      <c r="L116" s="128">
        <v>2025</v>
      </c>
      <c r="M116" s="132">
        <f t="shared" ca="1" si="0"/>
        <v>45767</v>
      </c>
    </row>
    <row r="117" spans="1:13">
      <c r="A117" s="128">
        <v>116</v>
      </c>
      <c r="B117" s="128"/>
      <c r="C117" s="128" t="s">
        <v>8191</v>
      </c>
      <c r="D117" s="128" t="s">
        <v>432</v>
      </c>
      <c r="E117" s="128" t="s">
        <v>8035</v>
      </c>
      <c r="F117" s="128" t="s">
        <v>1417</v>
      </c>
      <c r="G117" s="128" t="s">
        <v>2361</v>
      </c>
      <c r="H117" s="128" t="s">
        <v>8039</v>
      </c>
      <c r="I117" s="128"/>
      <c r="J117" s="128"/>
      <c r="K117" s="128"/>
      <c r="L117" s="128">
        <v>2025</v>
      </c>
      <c r="M117" s="132">
        <f t="shared" ca="1" si="0"/>
        <v>45806</v>
      </c>
    </row>
    <row r="118" spans="1:13">
      <c r="A118" s="128">
        <v>117</v>
      </c>
      <c r="B118" s="128" t="s">
        <v>8192</v>
      </c>
      <c r="C118" s="128" t="s">
        <v>8188</v>
      </c>
      <c r="D118" s="128" t="s">
        <v>8186</v>
      </c>
      <c r="E118" s="128" t="s">
        <v>8035</v>
      </c>
      <c r="F118" s="128" t="s">
        <v>1512</v>
      </c>
      <c r="G118" s="128" t="s">
        <v>1939</v>
      </c>
      <c r="H118" s="128" t="s">
        <v>8062</v>
      </c>
      <c r="I118" s="130" t="s">
        <v>8193</v>
      </c>
      <c r="J118" s="128" t="s">
        <v>8031</v>
      </c>
      <c r="K118" s="128" t="s">
        <v>8041</v>
      </c>
      <c r="L118" s="128">
        <v>2025</v>
      </c>
      <c r="M118" s="132">
        <f t="shared" ca="1" si="0"/>
        <v>45853</v>
      </c>
    </row>
    <row r="119" spans="1:13">
      <c r="A119" s="128">
        <v>118</v>
      </c>
      <c r="B119" s="128"/>
      <c r="C119" s="128" t="s">
        <v>8185</v>
      </c>
      <c r="D119" s="128" t="s">
        <v>8186</v>
      </c>
      <c r="E119" s="128" t="s">
        <v>8035</v>
      </c>
      <c r="F119" s="128" t="s">
        <v>1512</v>
      </c>
      <c r="G119" s="128" t="s">
        <v>1939</v>
      </c>
      <c r="H119" s="128" t="s">
        <v>8062</v>
      </c>
      <c r="I119" s="128"/>
      <c r="J119" s="128"/>
      <c r="K119" s="128"/>
      <c r="L119" s="128">
        <v>2025</v>
      </c>
      <c r="M119" s="132">
        <f t="shared" ca="1" si="0"/>
        <v>45902</v>
      </c>
    </row>
    <row r="120" spans="1:13">
      <c r="A120" s="128">
        <v>119</v>
      </c>
      <c r="B120" s="128"/>
      <c r="C120" s="128" t="s">
        <v>8189</v>
      </c>
      <c r="D120" s="128" t="s">
        <v>8186</v>
      </c>
      <c r="E120" s="128" t="s">
        <v>8035</v>
      </c>
      <c r="F120" s="128" t="s">
        <v>1512</v>
      </c>
      <c r="G120" s="128" t="s">
        <v>1939</v>
      </c>
      <c r="H120" s="128" t="s">
        <v>8062</v>
      </c>
      <c r="I120" s="128"/>
      <c r="J120" s="128"/>
      <c r="K120" s="128"/>
      <c r="L120" s="128">
        <v>2025</v>
      </c>
      <c r="M120" s="132">
        <f t="shared" ca="1" si="0"/>
        <v>45734</v>
      </c>
    </row>
    <row r="121" spans="1:13">
      <c r="A121" s="128">
        <v>120</v>
      </c>
      <c r="B121" s="128"/>
      <c r="C121" s="128" t="s">
        <v>8190</v>
      </c>
      <c r="D121" s="128" t="s">
        <v>432</v>
      </c>
      <c r="E121" s="128" t="s">
        <v>8035</v>
      </c>
      <c r="F121" s="128" t="s">
        <v>1417</v>
      </c>
      <c r="G121" s="128" t="s">
        <v>2361</v>
      </c>
      <c r="H121" s="128" t="s">
        <v>8039</v>
      </c>
      <c r="I121" s="128"/>
      <c r="J121" s="128"/>
      <c r="K121" s="128"/>
      <c r="L121" s="128">
        <v>2025</v>
      </c>
      <c r="M121" s="132">
        <f t="shared" ca="1" si="0"/>
        <v>45884</v>
      </c>
    </row>
    <row r="122" spans="1:13">
      <c r="A122" s="128">
        <v>121</v>
      </c>
      <c r="B122" s="128"/>
      <c r="C122" s="128" t="s">
        <v>8191</v>
      </c>
      <c r="D122" s="128" t="s">
        <v>432</v>
      </c>
      <c r="E122" s="128" t="s">
        <v>8035</v>
      </c>
      <c r="F122" s="128" t="s">
        <v>1417</v>
      </c>
      <c r="G122" s="128" t="s">
        <v>2361</v>
      </c>
      <c r="H122" s="128" t="s">
        <v>8039</v>
      </c>
      <c r="I122" s="128"/>
      <c r="J122" s="128"/>
      <c r="K122" s="128"/>
      <c r="L122" s="128">
        <v>2025</v>
      </c>
      <c r="M122" s="132">
        <f t="shared" ca="1" si="0"/>
        <v>45937</v>
      </c>
    </row>
    <row r="123" spans="1:13">
      <c r="A123" s="128">
        <v>122</v>
      </c>
      <c r="B123" s="128" t="s">
        <v>8194</v>
      </c>
      <c r="C123" s="128" t="s">
        <v>847</v>
      </c>
      <c r="D123" s="128" t="s">
        <v>848</v>
      </c>
      <c r="E123" s="128" t="s">
        <v>8061</v>
      </c>
      <c r="F123" s="128" t="s">
        <v>1393</v>
      </c>
      <c r="G123" s="128" t="s">
        <v>2158</v>
      </c>
      <c r="H123" s="128" t="s">
        <v>8082</v>
      </c>
      <c r="I123" s="130" t="s">
        <v>8195</v>
      </c>
      <c r="J123" s="128" t="s">
        <v>8196</v>
      </c>
      <c r="K123" s="128" t="s">
        <v>8032</v>
      </c>
      <c r="L123" s="128">
        <v>2025</v>
      </c>
      <c r="M123" s="132">
        <f t="shared" ca="1" si="0"/>
        <v>45736</v>
      </c>
    </row>
    <row r="124" spans="1:13">
      <c r="A124" s="128">
        <v>123</v>
      </c>
      <c r="B124" s="128"/>
      <c r="C124" s="128" t="s">
        <v>8197</v>
      </c>
      <c r="D124" s="128" t="s">
        <v>2191</v>
      </c>
      <c r="E124" s="128" t="s">
        <v>8068</v>
      </c>
      <c r="F124" s="128" t="s">
        <v>1393</v>
      </c>
      <c r="G124" s="128" t="s">
        <v>2158</v>
      </c>
      <c r="H124" s="128" t="s">
        <v>8082</v>
      </c>
      <c r="I124" s="128"/>
      <c r="J124" s="128"/>
      <c r="K124" s="128"/>
      <c r="L124" s="128">
        <v>2025</v>
      </c>
      <c r="M124" s="132">
        <f t="shared" ca="1" si="0"/>
        <v>45870</v>
      </c>
    </row>
    <row r="125" spans="1:13">
      <c r="A125" s="128">
        <v>124</v>
      </c>
      <c r="B125" s="128"/>
      <c r="C125" s="128" t="s">
        <v>8198</v>
      </c>
      <c r="D125" s="128" t="s">
        <v>2191</v>
      </c>
      <c r="E125" s="128" t="s">
        <v>8068</v>
      </c>
      <c r="F125" s="128" t="s">
        <v>1393</v>
      </c>
      <c r="G125" s="128" t="s">
        <v>2158</v>
      </c>
      <c r="H125" s="128" t="s">
        <v>8082</v>
      </c>
      <c r="I125" s="128"/>
      <c r="J125" s="128"/>
      <c r="K125" s="128"/>
      <c r="L125" s="128">
        <v>2025</v>
      </c>
      <c r="M125" s="132">
        <f t="shared" ca="1" si="0"/>
        <v>45744</v>
      </c>
    </row>
    <row r="126" spans="1:13">
      <c r="A126" s="128">
        <v>125</v>
      </c>
      <c r="B126" s="128"/>
      <c r="C126" s="128" t="s">
        <v>8199</v>
      </c>
      <c r="D126" s="128" t="s">
        <v>2191</v>
      </c>
      <c r="E126" s="128" t="s">
        <v>8068</v>
      </c>
      <c r="F126" s="128" t="s">
        <v>1393</v>
      </c>
      <c r="G126" s="128" t="s">
        <v>2158</v>
      </c>
      <c r="H126" s="128" t="s">
        <v>8082</v>
      </c>
      <c r="I126" s="128"/>
      <c r="J126" s="128"/>
      <c r="K126" s="128"/>
      <c r="L126" s="128">
        <v>2025</v>
      </c>
      <c r="M126" s="132">
        <f t="shared" ca="1" si="0"/>
        <v>45675</v>
      </c>
    </row>
    <row r="127" spans="1:13">
      <c r="A127" s="128">
        <v>126</v>
      </c>
      <c r="B127" s="128" t="s">
        <v>8200</v>
      </c>
      <c r="C127" s="128" t="s">
        <v>134</v>
      </c>
      <c r="D127" s="128" t="s">
        <v>132</v>
      </c>
      <c r="E127" s="128" t="s">
        <v>8028</v>
      </c>
      <c r="F127" s="128" t="s">
        <v>1352</v>
      </c>
      <c r="G127" s="128" t="s">
        <v>1975</v>
      </c>
      <c r="H127" s="128" t="s">
        <v>8092</v>
      </c>
      <c r="I127" s="130" t="s">
        <v>8201</v>
      </c>
      <c r="J127" s="128" t="s">
        <v>8202</v>
      </c>
      <c r="K127" s="128" t="s">
        <v>8056</v>
      </c>
      <c r="L127" s="128">
        <v>2025</v>
      </c>
      <c r="M127" s="132">
        <f t="shared" ca="1" si="0"/>
        <v>45754</v>
      </c>
    </row>
    <row r="128" spans="1:13">
      <c r="A128" s="128">
        <v>127</v>
      </c>
      <c r="B128" s="128"/>
      <c r="C128" s="128" t="s">
        <v>859</v>
      </c>
      <c r="D128" s="128" t="s">
        <v>132</v>
      </c>
      <c r="E128" s="128" t="s">
        <v>8028</v>
      </c>
      <c r="F128" s="128" t="s">
        <v>1352</v>
      </c>
      <c r="G128" s="128" t="s">
        <v>1975</v>
      </c>
      <c r="H128" s="128" t="s">
        <v>8092</v>
      </c>
      <c r="I128" s="128"/>
      <c r="J128" s="128"/>
      <c r="K128" s="128"/>
      <c r="L128" s="128">
        <v>2025</v>
      </c>
      <c r="M128" s="132">
        <f t="shared" ca="1" si="0"/>
        <v>45947</v>
      </c>
    </row>
    <row r="129" spans="1:13">
      <c r="A129" s="128">
        <v>128</v>
      </c>
      <c r="B129" s="128"/>
      <c r="C129" s="128" t="s">
        <v>136</v>
      </c>
      <c r="D129" s="128" t="s">
        <v>132</v>
      </c>
      <c r="E129" s="128" t="s">
        <v>8028</v>
      </c>
      <c r="F129" s="128" t="s">
        <v>1352</v>
      </c>
      <c r="G129" s="128" t="s">
        <v>1975</v>
      </c>
      <c r="H129" s="128" t="s">
        <v>8092</v>
      </c>
      <c r="I129" s="128"/>
      <c r="J129" s="128"/>
      <c r="K129" s="128"/>
      <c r="L129" s="128">
        <v>2025</v>
      </c>
      <c r="M129" s="132">
        <f t="shared" ca="1" si="0"/>
        <v>45972</v>
      </c>
    </row>
    <row r="130" spans="1:13">
      <c r="A130" s="128">
        <v>129</v>
      </c>
      <c r="B130" s="128" t="s">
        <v>8203</v>
      </c>
      <c r="C130" s="128" t="s">
        <v>8204</v>
      </c>
      <c r="D130" s="128" t="s">
        <v>8205</v>
      </c>
      <c r="E130" s="128" t="s">
        <v>8061</v>
      </c>
      <c r="F130" s="128" t="s">
        <v>1437</v>
      </c>
      <c r="G130" s="128" t="s">
        <v>1478</v>
      </c>
      <c r="H130" s="128" t="s">
        <v>8049</v>
      </c>
      <c r="I130" s="130" t="s">
        <v>8206</v>
      </c>
      <c r="J130" s="128" t="s">
        <v>8207</v>
      </c>
      <c r="K130" s="128" t="s">
        <v>8041</v>
      </c>
      <c r="L130" s="128">
        <v>2025</v>
      </c>
      <c r="M130" s="132">
        <f t="shared" ca="1" si="0"/>
        <v>45834</v>
      </c>
    </row>
    <row r="131" spans="1:13">
      <c r="A131" s="128">
        <v>130</v>
      </c>
      <c r="B131" s="128" t="s">
        <v>8208</v>
      </c>
      <c r="C131" s="128" t="s">
        <v>1628</v>
      </c>
      <c r="D131" s="128" t="s">
        <v>1629</v>
      </c>
      <c r="E131" s="128" t="s">
        <v>8068</v>
      </c>
      <c r="F131" s="128" t="s">
        <v>1437</v>
      </c>
      <c r="G131" s="128" t="s">
        <v>1478</v>
      </c>
      <c r="H131" s="128" t="s">
        <v>8049</v>
      </c>
      <c r="I131" s="130" t="s">
        <v>8209</v>
      </c>
      <c r="J131" s="128" t="s">
        <v>8152</v>
      </c>
      <c r="K131" s="128" t="s">
        <v>8037</v>
      </c>
      <c r="L131" s="128">
        <v>2025</v>
      </c>
      <c r="M131" s="132">
        <f t="shared" ca="1" si="0"/>
        <v>46019</v>
      </c>
    </row>
    <row r="132" spans="1:13">
      <c r="A132" s="128">
        <v>131</v>
      </c>
      <c r="B132" s="128"/>
      <c r="C132" s="128" t="s">
        <v>8210</v>
      </c>
      <c r="D132" s="128" t="s">
        <v>1629</v>
      </c>
      <c r="E132" s="128" t="s">
        <v>8068</v>
      </c>
      <c r="F132" s="128" t="s">
        <v>1437</v>
      </c>
      <c r="G132" s="128" t="s">
        <v>1478</v>
      </c>
      <c r="H132" s="128" t="s">
        <v>8049</v>
      </c>
      <c r="I132" s="128"/>
      <c r="J132" s="128"/>
      <c r="K132" s="128"/>
      <c r="L132" s="128">
        <v>2025</v>
      </c>
      <c r="M132" s="132">
        <f t="shared" ca="1" si="0"/>
        <v>45911</v>
      </c>
    </row>
    <row r="133" spans="1:13">
      <c r="A133" s="128">
        <v>132</v>
      </c>
      <c r="B133" s="128"/>
      <c r="C133" s="128" t="s">
        <v>8211</v>
      </c>
      <c r="D133" s="128" t="s">
        <v>1629</v>
      </c>
      <c r="E133" s="128" t="s">
        <v>8068</v>
      </c>
      <c r="F133" s="128" t="s">
        <v>1437</v>
      </c>
      <c r="G133" s="128" t="s">
        <v>1478</v>
      </c>
      <c r="H133" s="128" t="s">
        <v>8049</v>
      </c>
      <c r="I133" s="128"/>
      <c r="J133" s="128"/>
      <c r="K133" s="128"/>
      <c r="L133" s="128">
        <v>2025</v>
      </c>
      <c r="M133" s="132">
        <f t="shared" ca="1" si="0"/>
        <v>45940</v>
      </c>
    </row>
    <row r="134" spans="1:13">
      <c r="A134" s="128">
        <v>133</v>
      </c>
      <c r="B134" s="128" t="s">
        <v>8212</v>
      </c>
      <c r="C134" s="128" t="s">
        <v>8213</v>
      </c>
      <c r="D134" s="128" t="s">
        <v>1163</v>
      </c>
      <c r="E134" s="128" t="s">
        <v>8061</v>
      </c>
      <c r="F134" s="128" t="s">
        <v>1462</v>
      </c>
      <c r="G134" s="128" t="s">
        <v>1820</v>
      </c>
      <c r="H134" s="128" t="s">
        <v>8029</v>
      </c>
      <c r="I134" s="130" t="s">
        <v>8214</v>
      </c>
      <c r="J134" s="128" t="s">
        <v>6933</v>
      </c>
      <c r="K134" s="128" t="s">
        <v>8041</v>
      </c>
      <c r="L134" s="128">
        <v>2025</v>
      </c>
      <c r="M134" s="132">
        <f t="shared" ca="1" si="0"/>
        <v>45763</v>
      </c>
    </row>
    <row r="135" spans="1:13">
      <c r="A135" s="128">
        <v>134</v>
      </c>
      <c r="B135" s="128"/>
      <c r="C135" s="128" t="s">
        <v>1875</v>
      </c>
      <c r="D135" s="128" t="s">
        <v>1051</v>
      </c>
      <c r="E135" s="128" t="s">
        <v>8028</v>
      </c>
      <c r="F135" s="128" t="s">
        <v>1462</v>
      </c>
      <c r="G135" s="128" t="s">
        <v>1820</v>
      </c>
      <c r="H135" s="128" t="s">
        <v>8029</v>
      </c>
      <c r="I135" s="128"/>
      <c r="J135" s="128"/>
      <c r="K135" s="128"/>
      <c r="L135" s="128">
        <v>2025</v>
      </c>
      <c r="M135" s="132">
        <f t="shared" ca="1" si="0"/>
        <v>45743</v>
      </c>
    </row>
    <row r="136" spans="1:13">
      <c r="A136" s="128">
        <v>135</v>
      </c>
      <c r="B136" s="128"/>
      <c r="C136" s="128" t="s">
        <v>8215</v>
      </c>
      <c r="D136" s="128" t="s">
        <v>1163</v>
      </c>
      <c r="E136" s="128" t="s">
        <v>8061</v>
      </c>
      <c r="F136" s="128" t="s">
        <v>1462</v>
      </c>
      <c r="G136" s="128" t="s">
        <v>1820</v>
      </c>
      <c r="H136" s="128" t="s">
        <v>8029</v>
      </c>
      <c r="I136" s="128"/>
      <c r="J136" s="128"/>
      <c r="K136" s="128"/>
      <c r="L136" s="128">
        <v>2025</v>
      </c>
      <c r="M136" s="132">
        <f t="shared" ca="1" si="0"/>
        <v>45869</v>
      </c>
    </row>
    <row r="137" spans="1:13">
      <c r="A137" s="128">
        <v>136</v>
      </c>
      <c r="B137" s="128" t="s">
        <v>8216</v>
      </c>
      <c r="C137" s="128" t="s">
        <v>8217</v>
      </c>
      <c r="D137" s="128" t="s">
        <v>527</v>
      </c>
      <c r="E137" s="128" t="s">
        <v>8028</v>
      </c>
      <c r="F137" s="128" t="s">
        <v>1512</v>
      </c>
      <c r="G137" s="128" t="s">
        <v>1939</v>
      </c>
      <c r="H137" s="128" t="s">
        <v>8062</v>
      </c>
      <c r="I137" s="130" t="s">
        <v>8218</v>
      </c>
      <c r="J137" s="128" t="s">
        <v>6933</v>
      </c>
      <c r="K137" s="128" t="s">
        <v>8037</v>
      </c>
      <c r="L137" s="128">
        <v>2025</v>
      </c>
      <c r="M137" s="132">
        <f t="shared" ca="1" si="0"/>
        <v>45995</v>
      </c>
    </row>
    <row r="138" spans="1:13">
      <c r="A138" s="128">
        <v>137</v>
      </c>
      <c r="B138" s="128"/>
      <c r="C138" s="128" t="s">
        <v>8219</v>
      </c>
      <c r="D138" s="128" t="s">
        <v>527</v>
      </c>
      <c r="E138" s="128" t="s">
        <v>8028</v>
      </c>
      <c r="F138" s="128" t="s">
        <v>1512</v>
      </c>
      <c r="G138" s="128" t="s">
        <v>1939</v>
      </c>
      <c r="H138" s="128" t="s">
        <v>8062</v>
      </c>
      <c r="I138" s="128"/>
      <c r="J138" s="128"/>
      <c r="K138" s="128"/>
      <c r="L138" s="128">
        <v>2025</v>
      </c>
      <c r="M138" s="132">
        <f t="shared" ca="1" si="0"/>
        <v>45801</v>
      </c>
    </row>
    <row r="139" spans="1:13">
      <c r="A139" s="128">
        <v>138</v>
      </c>
      <c r="B139" s="128"/>
      <c r="C139" s="128" t="s">
        <v>8220</v>
      </c>
      <c r="D139" s="128" t="s">
        <v>527</v>
      </c>
      <c r="E139" s="128" t="s">
        <v>8028</v>
      </c>
      <c r="F139" s="128" t="s">
        <v>1512</v>
      </c>
      <c r="G139" s="128" t="s">
        <v>1939</v>
      </c>
      <c r="H139" s="128" t="s">
        <v>8062</v>
      </c>
      <c r="I139" s="128"/>
      <c r="J139" s="128"/>
      <c r="K139" s="128"/>
      <c r="L139" s="128">
        <v>2025</v>
      </c>
      <c r="M139" s="132">
        <f t="shared" ca="1" si="0"/>
        <v>45758</v>
      </c>
    </row>
    <row r="140" spans="1:13">
      <c r="A140" s="128">
        <v>139</v>
      </c>
      <c r="B140" s="128"/>
      <c r="C140" s="128" t="s">
        <v>531</v>
      </c>
      <c r="D140" s="128" t="s">
        <v>527</v>
      </c>
      <c r="E140" s="128" t="s">
        <v>8028</v>
      </c>
      <c r="F140" s="128" t="s">
        <v>1512</v>
      </c>
      <c r="G140" s="128" t="s">
        <v>1939</v>
      </c>
      <c r="H140" s="128" t="s">
        <v>8062</v>
      </c>
      <c r="I140" s="128"/>
      <c r="J140" s="128"/>
      <c r="K140" s="128"/>
      <c r="L140" s="128">
        <v>2025</v>
      </c>
      <c r="M140" s="132">
        <f t="shared" ca="1" si="0"/>
        <v>45959</v>
      </c>
    </row>
    <row r="141" spans="1:13">
      <c r="A141" s="128">
        <v>140</v>
      </c>
      <c r="B141" s="128" t="s">
        <v>8221</v>
      </c>
      <c r="C141" s="128" t="s">
        <v>889</v>
      </c>
      <c r="D141" s="128" t="s">
        <v>785</v>
      </c>
      <c r="E141" s="128" t="s">
        <v>8035</v>
      </c>
      <c r="F141" s="128" t="s">
        <v>1393</v>
      </c>
      <c r="G141" s="128" t="s">
        <v>2158</v>
      </c>
      <c r="H141" s="128" t="s">
        <v>8082</v>
      </c>
      <c r="I141" s="130" t="s">
        <v>8222</v>
      </c>
      <c r="J141" s="128" t="s">
        <v>8152</v>
      </c>
      <c r="K141" s="128" t="s">
        <v>8032</v>
      </c>
      <c r="L141" s="128">
        <v>2025</v>
      </c>
      <c r="M141" s="132">
        <f t="shared" ca="1" si="0"/>
        <v>45983</v>
      </c>
    </row>
    <row r="142" spans="1:13">
      <c r="A142" s="128">
        <v>141</v>
      </c>
      <c r="B142" s="128"/>
      <c r="C142" s="128" t="s">
        <v>2356</v>
      </c>
      <c r="D142" s="128" t="s">
        <v>2226</v>
      </c>
      <c r="E142" s="128" t="s">
        <v>8068</v>
      </c>
      <c r="F142" s="128" t="s">
        <v>1393</v>
      </c>
      <c r="G142" s="128" t="s">
        <v>2158</v>
      </c>
      <c r="H142" s="128" t="s">
        <v>8082</v>
      </c>
      <c r="I142" s="128"/>
      <c r="J142" s="128"/>
      <c r="K142" s="128"/>
      <c r="L142" s="128">
        <v>2025</v>
      </c>
      <c r="M142" s="132">
        <f t="shared" ca="1" si="0"/>
        <v>45753</v>
      </c>
    </row>
    <row r="143" spans="1:13">
      <c r="A143" s="128">
        <v>142</v>
      </c>
      <c r="B143" s="128"/>
      <c r="C143" s="128" t="s">
        <v>2311</v>
      </c>
      <c r="D143" s="128" t="s">
        <v>2226</v>
      </c>
      <c r="E143" s="128" t="s">
        <v>8068</v>
      </c>
      <c r="F143" s="128" t="s">
        <v>1393</v>
      </c>
      <c r="G143" s="128" t="s">
        <v>2158</v>
      </c>
      <c r="H143" s="128" t="s">
        <v>8082</v>
      </c>
      <c r="I143" s="128"/>
      <c r="J143" s="128"/>
      <c r="K143" s="128"/>
      <c r="L143" s="128">
        <v>2025</v>
      </c>
      <c r="M143" s="132">
        <f t="shared" ca="1" si="0"/>
        <v>45684</v>
      </c>
    </row>
    <row r="144" spans="1:13">
      <c r="A144" s="128">
        <v>143</v>
      </c>
      <c r="B144" s="128"/>
      <c r="C144" s="128" t="s">
        <v>2194</v>
      </c>
      <c r="D144" s="128" t="s">
        <v>2191</v>
      </c>
      <c r="E144" s="128" t="s">
        <v>8068</v>
      </c>
      <c r="F144" s="128" t="s">
        <v>1393</v>
      </c>
      <c r="G144" s="128" t="s">
        <v>2158</v>
      </c>
      <c r="H144" s="128" t="s">
        <v>8082</v>
      </c>
      <c r="I144" s="128"/>
      <c r="J144" s="128"/>
      <c r="K144" s="128"/>
      <c r="L144" s="128">
        <v>2025</v>
      </c>
      <c r="M144" s="132">
        <f t="shared" ca="1" si="0"/>
        <v>45742</v>
      </c>
    </row>
    <row r="145" spans="1:13">
      <c r="A145" s="128">
        <v>144</v>
      </c>
      <c r="B145" s="128"/>
      <c r="C145" s="128" t="s">
        <v>8223</v>
      </c>
      <c r="D145" s="128" t="s">
        <v>2172</v>
      </c>
      <c r="E145" s="128" t="s">
        <v>8068</v>
      </c>
      <c r="F145" s="128" t="s">
        <v>1393</v>
      </c>
      <c r="G145" s="128" t="s">
        <v>2158</v>
      </c>
      <c r="H145" s="128" t="s">
        <v>8082</v>
      </c>
      <c r="I145" s="128"/>
      <c r="J145" s="128"/>
      <c r="K145" s="128"/>
      <c r="L145" s="128">
        <v>2025</v>
      </c>
      <c r="M145" s="132">
        <f t="shared" ca="1" si="0"/>
        <v>45709</v>
      </c>
    </row>
    <row r="146" spans="1:13">
      <c r="A146" s="128">
        <v>145</v>
      </c>
      <c r="B146" s="128" t="s">
        <v>8224</v>
      </c>
      <c r="C146" s="128" t="s">
        <v>8225</v>
      </c>
      <c r="D146" s="128" t="s">
        <v>659</v>
      </c>
      <c r="E146" s="128" t="s">
        <v>8035</v>
      </c>
      <c r="F146" s="128" t="s">
        <v>1437</v>
      </c>
      <c r="G146" s="128" t="s">
        <v>1478</v>
      </c>
      <c r="H146" s="128" t="s">
        <v>8049</v>
      </c>
      <c r="I146" s="130" t="s">
        <v>8226</v>
      </c>
      <c r="J146" s="128" t="s">
        <v>8227</v>
      </c>
      <c r="K146" s="128" t="s">
        <v>8032</v>
      </c>
      <c r="L146" s="128">
        <v>2025</v>
      </c>
      <c r="M146" s="132">
        <f t="shared" ca="1" si="0"/>
        <v>45983</v>
      </c>
    </row>
    <row r="147" spans="1:13">
      <c r="A147" s="128">
        <v>146</v>
      </c>
      <c r="B147" s="128"/>
      <c r="C147" s="128" t="s">
        <v>665</v>
      </c>
      <c r="D147" s="128" t="s">
        <v>666</v>
      </c>
      <c r="E147" s="128" t="s">
        <v>8035</v>
      </c>
      <c r="F147" s="128" t="s">
        <v>1437</v>
      </c>
      <c r="G147" s="128" t="s">
        <v>1478</v>
      </c>
      <c r="H147" s="128" t="s">
        <v>8049</v>
      </c>
      <c r="I147" s="128"/>
      <c r="J147" s="128"/>
      <c r="K147" s="128"/>
      <c r="L147" s="128">
        <v>2025</v>
      </c>
      <c r="M147" s="132">
        <f t="shared" ca="1" si="0"/>
        <v>45863</v>
      </c>
    </row>
    <row r="148" spans="1:13">
      <c r="A148" s="128">
        <v>147</v>
      </c>
      <c r="B148" s="128"/>
      <c r="C148" s="128" t="s">
        <v>733</v>
      </c>
      <c r="D148" s="128" t="s">
        <v>734</v>
      </c>
      <c r="E148" s="128" t="s">
        <v>8035</v>
      </c>
      <c r="F148" s="128" t="s">
        <v>1437</v>
      </c>
      <c r="G148" s="128" t="s">
        <v>1478</v>
      </c>
      <c r="H148" s="128" t="s">
        <v>8049</v>
      </c>
      <c r="I148" s="128"/>
      <c r="J148" s="128"/>
      <c r="K148" s="128"/>
      <c r="L148" s="128">
        <v>2025</v>
      </c>
      <c r="M148" s="132">
        <f t="shared" ca="1" si="0"/>
        <v>45955</v>
      </c>
    </row>
    <row r="149" spans="1:13">
      <c r="A149" s="128">
        <v>148</v>
      </c>
      <c r="B149" s="128"/>
      <c r="C149" s="128" t="s">
        <v>658</v>
      </c>
      <c r="D149" s="128" t="s">
        <v>659</v>
      </c>
      <c r="E149" s="128" t="s">
        <v>8035</v>
      </c>
      <c r="F149" s="128" t="s">
        <v>1437</v>
      </c>
      <c r="G149" s="128" t="s">
        <v>1478</v>
      </c>
      <c r="H149" s="128" t="s">
        <v>8049</v>
      </c>
      <c r="I149" s="128"/>
      <c r="J149" s="128"/>
      <c r="K149" s="128"/>
      <c r="L149" s="128">
        <v>2025</v>
      </c>
      <c r="M149" s="132">
        <f t="shared" ca="1" si="0"/>
        <v>45933</v>
      </c>
    </row>
    <row r="150" spans="1:13">
      <c r="A150" s="128">
        <v>149</v>
      </c>
      <c r="B150" s="128" t="s">
        <v>8228</v>
      </c>
      <c r="C150" s="128" t="s">
        <v>808</v>
      </c>
      <c r="D150" s="128" t="s">
        <v>132</v>
      </c>
      <c r="E150" s="128" t="s">
        <v>8028</v>
      </c>
      <c r="F150" s="128" t="s">
        <v>1352</v>
      </c>
      <c r="G150" s="128" t="s">
        <v>1975</v>
      </c>
      <c r="H150" s="128" t="s">
        <v>8092</v>
      </c>
      <c r="I150" s="130" t="s">
        <v>8229</v>
      </c>
      <c r="J150" s="128" t="s">
        <v>8152</v>
      </c>
      <c r="K150" s="128" t="s">
        <v>8056</v>
      </c>
      <c r="L150" s="128">
        <v>2025</v>
      </c>
      <c r="M150" s="132">
        <f t="shared" ca="1" si="0"/>
        <v>45731</v>
      </c>
    </row>
    <row r="151" spans="1:13">
      <c r="A151" s="128">
        <v>150</v>
      </c>
      <c r="B151" s="128"/>
      <c r="C151" s="128" t="s">
        <v>809</v>
      </c>
      <c r="D151" s="128" t="s">
        <v>132</v>
      </c>
      <c r="E151" s="128" t="s">
        <v>8028</v>
      </c>
      <c r="F151" s="128" t="s">
        <v>1352</v>
      </c>
      <c r="G151" s="128" t="s">
        <v>1975</v>
      </c>
      <c r="H151" s="128" t="s">
        <v>8092</v>
      </c>
      <c r="I151" s="128"/>
      <c r="J151" s="128"/>
      <c r="K151" s="128"/>
      <c r="L151" s="128">
        <v>2025</v>
      </c>
      <c r="M151" s="132">
        <f t="shared" ca="1" si="0"/>
        <v>45709</v>
      </c>
    </row>
    <row r="152" spans="1:13">
      <c r="A152" s="128">
        <v>151</v>
      </c>
      <c r="B152" s="128"/>
      <c r="C152" s="128" t="s">
        <v>810</v>
      </c>
      <c r="D152" s="128" t="s">
        <v>132</v>
      </c>
      <c r="E152" s="128" t="s">
        <v>8028</v>
      </c>
      <c r="F152" s="128" t="s">
        <v>1352</v>
      </c>
      <c r="G152" s="128" t="s">
        <v>1975</v>
      </c>
      <c r="H152" s="128" t="s">
        <v>8092</v>
      </c>
      <c r="I152" s="128"/>
      <c r="J152" s="128"/>
      <c r="K152" s="128"/>
      <c r="L152" s="128">
        <v>2025</v>
      </c>
      <c r="M152" s="132">
        <f t="shared" ca="1" si="0"/>
        <v>45854</v>
      </c>
    </row>
    <row r="153" spans="1:13">
      <c r="A153" s="128">
        <v>152</v>
      </c>
      <c r="B153" s="128" t="s">
        <v>8230</v>
      </c>
      <c r="C153" s="128" t="s">
        <v>2355</v>
      </c>
      <c r="D153" s="128" t="s">
        <v>2210</v>
      </c>
      <c r="E153" s="128" t="s">
        <v>8035</v>
      </c>
      <c r="F153" s="128" t="s">
        <v>1393</v>
      </c>
      <c r="G153" s="128" t="s">
        <v>2158</v>
      </c>
      <c r="H153" s="128" t="s">
        <v>8082</v>
      </c>
      <c r="I153" s="130" t="s">
        <v>8231</v>
      </c>
      <c r="J153" s="128" t="s">
        <v>8152</v>
      </c>
      <c r="K153" s="128" t="s">
        <v>8041</v>
      </c>
      <c r="L153" s="128">
        <v>2025</v>
      </c>
      <c r="M153" s="132">
        <f t="shared" ca="1" si="0"/>
        <v>45761</v>
      </c>
    </row>
    <row r="154" spans="1:13">
      <c r="A154" s="128">
        <v>153</v>
      </c>
      <c r="B154" s="128"/>
      <c r="C154" s="128" t="s">
        <v>882</v>
      </c>
      <c r="D154" s="128" t="s">
        <v>785</v>
      </c>
      <c r="E154" s="128" t="s">
        <v>8035</v>
      </c>
      <c r="F154" s="128" t="s">
        <v>1393</v>
      </c>
      <c r="G154" s="128" t="s">
        <v>2158</v>
      </c>
      <c r="H154" s="128" t="s">
        <v>8082</v>
      </c>
      <c r="I154" s="128"/>
      <c r="J154" s="128"/>
      <c r="K154" s="128"/>
      <c r="L154" s="128">
        <v>2025</v>
      </c>
      <c r="M154" s="132">
        <f t="shared" ca="1" si="0"/>
        <v>45903</v>
      </c>
    </row>
    <row r="155" spans="1:13">
      <c r="A155" s="128">
        <v>154</v>
      </c>
      <c r="B155" s="128"/>
      <c r="C155" s="128" t="s">
        <v>881</v>
      </c>
      <c r="D155" s="128" t="s">
        <v>785</v>
      </c>
      <c r="E155" s="128" t="s">
        <v>8035</v>
      </c>
      <c r="F155" s="128" t="s">
        <v>1393</v>
      </c>
      <c r="G155" s="128" t="s">
        <v>2158</v>
      </c>
      <c r="H155" s="128" t="s">
        <v>8082</v>
      </c>
      <c r="I155" s="128"/>
      <c r="J155" s="128"/>
      <c r="K155" s="128"/>
      <c r="L155" s="128">
        <v>2025</v>
      </c>
      <c r="M155" s="132">
        <f t="shared" ca="1" si="0"/>
        <v>45720</v>
      </c>
    </row>
    <row r="156" spans="1:13">
      <c r="A156" s="128">
        <v>155</v>
      </c>
      <c r="B156" s="128"/>
      <c r="C156" s="128" t="s">
        <v>872</v>
      </c>
      <c r="D156" s="128" t="s">
        <v>141</v>
      </c>
      <c r="E156" s="128" t="s">
        <v>8028</v>
      </c>
      <c r="F156" s="128" t="s">
        <v>1352</v>
      </c>
      <c r="G156" s="128" t="s">
        <v>1975</v>
      </c>
      <c r="H156" s="128" t="s">
        <v>8092</v>
      </c>
      <c r="I156" s="128"/>
      <c r="J156" s="128"/>
      <c r="K156" s="128"/>
      <c r="L156" s="128">
        <v>2025</v>
      </c>
      <c r="M156" s="132">
        <f t="shared" ca="1" si="0"/>
        <v>45894</v>
      </c>
    </row>
    <row r="157" spans="1:13">
      <c r="A157" s="128">
        <v>156</v>
      </c>
      <c r="B157" s="128" t="s">
        <v>8232</v>
      </c>
      <c r="C157" s="128" t="s">
        <v>1900</v>
      </c>
      <c r="D157" s="128" t="s">
        <v>1879</v>
      </c>
      <c r="E157" s="128" t="s">
        <v>8068</v>
      </c>
      <c r="F157" s="128" t="s">
        <v>1462</v>
      </c>
      <c r="G157" s="128" t="s">
        <v>1820</v>
      </c>
      <c r="H157" s="128" t="s">
        <v>8029</v>
      </c>
      <c r="I157" s="130" t="s">
        <v>8233</v>
      </c>
      <c r="J157" s="128" t="s">
        <v>8227</v>
      </c>
      <c r="K157" s="128" t="s">
        <v>8032</v>
      </c>
      <c r="L157" s="128">
        <v>2025</v>
      </c>
      <c r="M157" s="132">
        <f t="shared" ca="1" si="0"/>
        <v>45762</v>
      </c>
    </row>
    <row r="158" spans="1:13">
      <c r="A158" s="128">
        <v>157</v>
      </c>
      <c r="B158" s="128"/>
      <c r="C158" s="128" t="s">
        <v>1899</v>
      </c>
      <c r="D158" s="128" t="s">
        <v>1879</v>
      </c>
      <c r="E158" s="128" t="s">
        <v>8068</v>
      </c>
      <c r="F158" s="128" t="s">
        <v>1462</v>
      </c>
      <c r="G158" s="128" t="s">
        <v>1820</v>
      </c>
      <c r="H158" s="128" t="s">
        <v>8029</v>
      </c>
      <c r="I158" s="128"/>
      <c r="J158" s="128"/>
      <c r="K158" s="128"/>
      <c r="L158" s="128">
        <v>2025</v>
      </c>
      <c r="M158" s="132">
        <f t="shared" ca="1" si="0"/>
        <v>45683</v>
      </c>
    </row>
    <row r="159" spans="1:13">
      <c r="A159" s="128">
        <v>158</v>
      </c>
      <c r="B159" s="128"/>
      <c r="C159" s="128" t="s">
        <v>1901</v>
      </c>
      <c r="D159" s="128" t="s">
        <v>1879</v>
      </c>
      <c r="E159" s="128" t="s">
        <v>8068</v>
      </c>
      <c r="F159" s="128" t="s">
        <v>1462</v>
      </c>
      <c r="G159" s="128" t="s">
        <v>1820</v>
      </c>
      <c r="H159" s="128" t="s">
        <v>8029</v>
      </c>
      <c r="I159" s="128"/>
      <c r="J159" s="128"/>
      <c r="K159" s="128"/>
      <c r="L159" s="128">
        <v>2025</v>
      </c>
      <c r="M159" s="132">
        <f t="shared" ca="1" si="0"/>
        <v>45765</v>
      </c>
    </row>
    <row r="160" spans="1:13">
      <c r="A160" s="128">
        <v>159</v>
      </c>
      <c r="B160" s="128"/>
      <c r="C160" s="128" t="s">
        <v>8234</v>
      </c>
      <c r="D160" s="128" t="s">
        <v>1879</v>
      </c>
      <c r="E160" s="128" t="s">
        <v>8068</v>
      </c>
      <c r="F160" s="128" t="s">
        <v>1462</v>
      </c>
      <c r="G160" s="128" t="s">
        <v>1820</v>
      </c>
      <c r="H160" s="128" t="s">
        <v>8029</v>
      </c>
      <c r="I160" s="128"/>
      <c r="J160" s="128"/>
      <c r="K160" s="128"/>
      <c r="L160" s="128">
        <v>2025</v>
      </c>
      <c r="M160" s="132">
        <f t="shared" ca="1" si="0"/>
        <v>45974</v>
      </c>
    </row>
    <row r="161" spans="1:13">
      <c r="A161" s="128">
        <v>160</v>
      </c>
      <c r="B161" s="128"/>
      <c r="C161" s="128" t="s">
        <v>1902</v>
      </c>
      <c r="D161" s="128" t="s">
        <v>1879</v>
      </c>
      <c r="E161" s="128" t="s">
        <v>8068</v>
      </c>
      <c r="F161" s="128" t="s">
        <v>1462</v>
      </c>
      <c r="G161" s="128" t="s">
        <v>1820</v>
      </c>
      <c r="H161" s="128" t="s">
        <v>8029</v>
      </c>
      <c r="I161" s="128"/>
      <c r="J161" s="128"/>
      <c r="K161" s="128"/>
      <c r="L161" s="128">
        <v>2025</v>
      </c>
      <c r="M161" s="132">
        <f t="shared" ca="1" si="0"/>
        <v>45710</v>
      </c>
    </row>
    <row r="162" spans="1:13">
      <c r="A162" s="128">
        <v>161</v>
      </c>
      <c r="B162" s="128" t="s">
        <v>8235</v>
      </c>
      <c r="C162" s="128" t="s">
        <v>2269</v>
      </c>
      <c r="D162" s="128" t="s">
        <v>2210</v>
      </c>
      <c r="E162" s="128" t="s">
        <v>8035</v>
      </c>
      <c r="F162" s="128" t="s">
        <v>1393</v>
      </c>
      <c r="G162" s="128" t="s">
        <v>2158</v>
      </c>
      <c r="H162" s="128" t="s">
        <v>8082</v>
      </c>
      <c r="I162" s="130" t="s">
        <v>8236</v>
      </c>
      <c r="J162" s="128" t="s">
        <v>8152</v>
      </c>
      <c r="K162" s="128" t="s">
        <v>8056</v>
      </c>
      <c r="L162" s="128">
        <v>2025</v>
      </c>
      <c r="M162" s="132">
        <f t="shared" ca="1" si="0"/>
        <v>45952</v>
      </c>
    </row>
    <row r="163" spans="1:13">
      <c r="A163" s="128">
        <v>162</v>
      </c>
      <c r="B163" s="128"/>
      <c r="C163" s="128" t="s">
        <v>2267</v>
      </c>
      <c r="D163" s="128" t="s">
        <v>2210</v>
      </c>
      <c r="E163" s="128" t="s">
        <v>8035</v>
      </c>
      <c r="F163" s="128" t="s">
        <v>1393</v>
      </c>
      <c r="G163" s="128" t="s">
        <v>2158</v>
      </c>
      <c r="H163" s="128" t="s">
        <v>8082</v>
      </c>
      <c r="I163" s="128"/>
      <c r="J163" s="128"/>
      <c r="K163" s="128"/>
      <c r="L163" s="128">
        <v>2025</v>
      </c>
      <c r="M163" s="132">
        <f t="shared" ca="1" si="0"/>
        <v>45666</v>
      </c>
    </row>
    <row r="164" spans="1:13">
      <c r="A164" s="128">
        <v>163</v>
      </c>
      <c r="B164" s="128" t="s">
        <v>8237</v>
      </c>
      <c r="C164" s="128" t="s">
        <v>170</v>
      </c>
      <c r="D164" s="128" t="s">
        <v>141</v>
      </c>
      <c r="E164" s="128" t="s">
        <v>8028</v>
      </c>
      <c r="F164" s="128" t="s">
        <v>1352</v>
      </c>
      <c r="G164" s="128" t="s">
        <v>1975</v>
      </c>
      <c r="H164" s="128" t="s">
        <v>8092</v>
      </c>
      <c r="I164" s="130" t="s">
        <v>8238</v>
      </c>
      <c r="J164" s="128" t="s">
        <v>8152</v>
      </c>
      <c r="K164" s="128" t="s">
        <v>8032</v>
      </c>
      <c r="L164" s="128">
        <v>2025</v>
      </c>
      <c r="M164" s="132">
        <f t="shared" ca="1" si="0"/>
        <v>45816</v>
      </c>
    </row>
    <row r="165" spans="1:13">
      <c r="A165" s="128">
        <v>164</v>
      </c>
      <c r="B165" s="128"/>
      <c r="C165" s="128" t="s">
        <v>300</v>
      </c>
      <c r="D165" s="128" t="s">
        <v>141</v>
      </c>
      <c r="E165" s="128" t="s">
        <v>8028</v>
      </c>
      <c r="F165" s="128" t="s">
        <v>1352</v>
      </c>
      <c r="G165" s="128" t="s">
        <v>1975</v>
      </c>
      <c r="H165" s="128" t="s">
        <v>8092</v>
      </c>
      <c r="I165" s="128"/>
      <c r="J165" s="128"/>
      <c r="K165" s="128"/>
      <c r="L165" s="128">
        <v>2025</v>
      </c>
      <c r="M165" s="132">
        <f t="shared" ca="1" si="0"/>
        <v>45787</v>
      </c>
    </row>
    <row r="166" spans="1:13">
      <c r="A166" s="128">
        <v>165</v>
      </c>
      <c r="B166" s="128"/>
      <c r="C166" s="128" t="s">
        <v>344</v>
      </c>
      <c r="D166" s="128" t="s">
        <v>141</v>
      </c>
      <c r="E166" s="128" t="s">
        <v>8028</v>
      </c>
      <c r="F166" s="128" t="s">
        <v>1352</v>
      </c>
      <c r="G166" s="128" t="s">
        <v>1975</v>
      </c>
      <c r="H166" s="128" t="s">
        <v>8092</v>
      </c>
      <c r="I166" s="128"/>
      <c r="J166" s="128"/>
      <c r="K166" s="128"/>
      <c r="L166" s="128">
        <v>2025</v>
      </c>
      <c r="M166" s="132">
        <f t="shared" ca="1" si="0"/>
        <v>45849</v>
      </c>
    </row>
    <row r="167" spans="1:13">
      <c r="A167" s="128">
        <v>166</v>
      </c>
      <c r="B167" s="128"/>
      <c r="C167" s="128" t="s">
        <v>301</v>
      </c>
      <c r="D167" s="128" t="s">
        <v>141</v>
      </c>
      <c r="E167" s="128" t="s">
        <v>8028</v>
      </c>
      <c r="F167" s="128" t="s">
        <v>1352</v>
      </c>
      <c r="G167" s="128" t="s">
        <v>1975</v>
      </c>
      <c r="H167" s="128" t="s">
        <v>8092</v>
      </c>
      <c r="I167" s="128"/>
      <c r="J167" s="128"/>
      <c r="K167" s="128"/>
      <c r="L167" s="128">
        <v>2025</v>
      </c>
      <c r="M167" s="132">
        <f t="shared" ca="1" si="0"/>
        <v>45870</v>
      </c>
    </row>
    <row r="168" spans="1:13">
      <c r="A168" s="128">
        <v>167</v>
      </c>
      <c r="B168" s="128"/>
      <c r="C168" s="128" t="s">
        <v>299</v>
      </c>
      <c r="D168" s="128" t="s">
        <v>141</v>
      </c>
      <c r="E168" s="128" t="s">
        <v>8028</v>
      </c>
      <c r="F168" s="128" t="s">
        <v>1352</v>
      </c>
      <c r="G168" s="128" t="s">
        <v>1975</v>
      </c>
      <c r="H168" s="128" t="s">
        <v>8092</v>
      </c>
      <c r="I168" s="128"/>
      <c r="J168" s="128"/>
      <c r="K168" s="128"/>
      <c r="L168" s="128">
        <v>2025</v>
      </c>
      <c r="M168" s="132">
        <f t="shared" ca="1" si="0"/>
        <v>45868</v>
      </c>
    </row>
    <row r="169" spans="1:13">
      <c r="A169" s="128">
        <v>168</v>
      </c>
      <c r="B169" s="128" t="s">
        <v>8239</v>
      </c>
      <c r="C169" s="128" t="s">
        <v>787</v>
      </c>
      <c r="D169" s="128" t="s">
        <v>785</v>
      </c>
      <c r="E169" s="128" t="s">
        <v>8035</v>
      </c>
      <c r="F169" s="128" t="s">
        <v>1393</v>
      </c>
      <c r="G169" s="128" t="s">
        <v>2158</v>
      </c>
      <c r="H169" s="128" t="s">
        <v>8082</v>
      </c>
      <c r="I169" s="130" t="s">
        <v>8240</v>
      </c>
      <c r="J169" s="128" t="s">
        <v>8241</v>
      </c>
      <c r="K169" s="128" t="s">
        <v>8056</v>
      </c>
      <c r="L169" s="128">
        <v>2025</v>
      </c>
      <c r="M169" s="132">
        <f t="shared" ca="1" si="0"/>
        <v>45930</v>
      </c>
    </row>
    <row r="170" spans="1:13">
      <c r="A170" s="128">
        <v>169</v>
      </c>
      <c r="B170" s="128"/>
      <c r="C170" s="128" t="s">
        <v>786</v>
      </c>
      <c r="D170" s="128" t="s">
        <v>785</v>
      </c>
      <c r="E170" s="128" t="s">
        <v>8035</v>
      </c>
      <c r="F170" s="128" t="s">
        <v>1393</v>
      </c>
      <c r="G170" s="128" t="s">
        <v>2158</v>
      </c>
      <c r="H170" s="128" t="s">
        <v>8082</v>
      </c>
      <c r="I170" s="128"/>
      <c r="J170" s="128"/>
      <c r="K170" s="128"/>
      <c r="L170" s="128">
        <v>2025</v>
      </c>
      <c r="M170" s="132">
        <f t="shared" ca="1" si="0"/>
        <v>45895</v>
      </c>
    </row>
    <row r="171" spans="1:13">
      <c r="A171" s="128">
        <v>170</v>
      </c>
      <c r="B171" s="128"/>
      <c r="C171" s="128" t="s">
        <v>784</v>
      </c>
      <c r="D171" s="128" t="s">
        <v>785</v>
      </c>
      <c r="E171" s="128" t="s">
        <v>8035</v>
      </c>
      <c r="F171" s="128" t="s">
        <v>1393</v>
      </c>
      <c r="G171" s="128" t="s">
        <v>2158</v>
      </c>
      <c r="H171" s="128" t="s">
        <v>8082</v>
      </c>
      <c r="I171" s="128"/>
      <c r="J171" s="128"/>
      <c r="K171" s="128"/>
      <c r="L171" s="128">
        <v>2025</v>
      </c>
      <c r="M171" s="132">
        <f t="shared" ca="1" si="0"/>
        <v>45844</v>
      </c>
    </row>
    <row r="172" spans="1:13">
      <c r="A172" s="128">
        <v>171</v>
      </c>
      <c r="B172" s="128"/>
      <c r="C172" s="128" t="s">
        <v>2216</v>
      </c>
      <c r="D172" s="128" t="s">
        <v>785</v>
      </c>
      <c r="E172" s="128" t="s">
        <v>8035</v>
      </c>
      <c r="F172" s="128" t="s">
        <v>1393</v>
      </c>
      <c r="G172" s="128" t="s">
        <v>2158</v>
      </c>
      <c r="H172" s="128" t="s">
        <v>8082</v>
      </c>
      <c r="I172" s="128"/>
      <c r="J172" s="128"/>
      <c r="K172" s="128"/>
      <c r="L172" s="128">
        <v>2025</v>
      </c>
      <c r="M172" s="132">
        <f t="shared" ca="1" si="0"/>
        <v>45766</v>
      </c>
    </row>
    <row r="173" spans="1:13">
      <c r="A173" s="128">
        <v>172</v>
      </c>
      <c r="B173" s="128" t="s">
        <v>8242</v>
      </c>
      <c r="C173" s="128" t="s">
        <v>8243</v>
      </c>
      <c r="D173" s="128" t="s">
        <v>8244</v>
      </c>
      <c r="E173" s="128" t="s">
        <v>8245</v>
      </c>
      <c r="F173" s="128" t="s">
        <v>1393</v>
      </c>
      <c r="G173" s="128" t="s">
        <v>2158</v>
      </c>
      <c r="H173" s="128" t="s">
        <v>8082</v>
      </c>
      <c r="I173" s="130" t="s">
        <v>8246</v>
      </c>
      <c r="J173" s="128" t="s">
        <v>8247</v>
      </c>
      <c r="K173" s="128" t="s">
        <v>8041</v>
      </c>
      <c r="L173" s="128">
        <v>2025</v>
      </c>
      <c r="M173" s="132">
        <f t="shared" ca="1" si="0"/>
        <v>45782</v>
      </c>
    </row>
    <row r="174" spans="1:13">
      <c r="A174" s="128">
        <v>173</v>
      </c>
      <c r="B174" s="128"/>
      <c r="C174" s="128" t="s">
        <v>870</v>
      </c>
      <c r="D174" s="128" t="s">
        <v>132</v>
      </c>
      <c r="E174" s="128" t="s">
        <v>8028</v>
      </c>
      <c r="F174" s="128" t="s">
        <v>1352</v>
      </c>
      <c r="G174" s="128" t="s">
        <v>1975</v>
      </c>
      <c r="H174" s="128" t="s">
        <v>8092</v>
      </c>
      <c r="I174" s="128"/>
      <c r="J174" s="128"/>
      <c r="K174" s="128"/>
      <c r="L174" s="128">
        <v>2025</v>
      </c>
      <c r="M174" s="132">
        <f t="shared" ca="1" si="0"/>
        <v>45723</v>
      </c>
    </row>
    <row r="175" spans="1:13">
      <c r="A175" s="128">
        <v>174</v>
      </c>
      <c r="B175" s="128"/>
      <c r="C175" s="128" t="s">
        <v>865</v>
      </c>
      <c r="D175" s="128" t="s">
        <v>132</v>
      </c>
      <c r="E175" s="128">
        <v>22</v>
      </c>
      <c r="F175" s="128" t="s">
        <v>1352</v>
      </c>
      <c r="G175" s="128" t="s">
        <v>1975</v>
      </c>
      <c r="H175" s="128" t="s">
        <v>8092</v>
      </c>
      <c r="I175" s="128"/>
      <c r="J175" s="128"/>
      <c r="K175" s="128"/>
      <c r="L175" s="128">
        <v>2025</v>
      </c>
      <c r="M175" s="132">
        <f t="shared" ca="1" si="0"/>
        <v>45760</v>
      </c>
    </row>
    <row r="176" spans="1:13">
      <c r="A176" s="128">
        <v>175</v>
      </c>
      <c r="B176" s="128"/>
      <c r="C176" s="128" t="s">
        <v>875</v>
      </c>
      <c r="D176" s="128" t="s">
        <v>783</v>
      </c>
      <c r="E176" s="128" t="s">
        <v>8061</v>
      </c>
      <c r="F176" s="128" t="s">
        <v>1393</v>
      </c>
      <c r="G176" s="128" t="s">
        <v>2158</v>
      </c>
      <c r="H176" s="128" t="s">
        <v>8082</v>
      </c>
      <c r="I176" s="128"/>
      <c r="J176" s="128"/>
      <c r="K176" s="128"/>
      <c r="L176" s="128">
        <v>2025</v>
      </c>
      <c r="M176" s="132">
        <f t="shared" ca="1" si="0"/>
        <v>45803</v>
      </c>
    </row>
    <row r="177" spans="1:13">
      <c r="A177" s="128">
        <v>176</v>
      </c>
      <c r="B177" s="128"/>
      <c r="C177" s="128" t="s">
        <v>2230</v>
      </c>
      <c r="D177" s="128" t="s">
        <v>2172</v>
      </c>
      <c r="E177" s="128" t="s">
        <v>8068</v>
      </c>
      <c r="F177" s="128" t="s">
        <v>1393</v>
      </c>
      <c r="G177" s="128" t="s">
        <v>2158</v>
      </c>
      <c r="H177" s="128" t="s">
        <v>8082</v>
      </c>
      <c r="I177" s="128"/>
      <c r="J177" s="128"/>
      <c r="K177" s="128"/>
      <c r="L177" s="128">
        <v>2025</v>
      </c>
      <c r="M177" s="132">
        <f t="shared" ca="1" si="0"/>
        <v>45701</v>
      </c>
    </row>
    <row r="178" spans="1:13">
      <c r="A178" s="128">
        <v>177</v>
      </c>
      <c r="B178" s="128" t="s">
        <v>8248</v>
      </c>
      <c r="C178" s="128" t="s">
        <v>842</v>
      </c>
      <c r="D178" s="128" t="s">
        <v>785</v>
      </c>
      <c r="E178" s="128" t="s">
        <v>8035</v>
      </c>
      <c r="F178" s="128" t="s">
        <v>1393</v>
      </c>
      <c r="G178" s="128" t="s">
        <v>2158</v>
      </c>
      <c r="H178" s="128" t="s">
        <v>8082</v>
      </c>
      <c r="I178" s="130" t="s">
        <v>8249</v>
      </c>
      <c r="J178" s="128" t="s">
        <v>8247</v>
      </c>
      <c r="K178" s="128" t="s">
        <v>8056</v>
      </c>
      <c r="L178" s="128">
        <v>2025</v>
      </c>
      <c r="M178" s="132">
        <f t="shared" ca="1" si="0"/>
        <v>45758</v>
      </c>
    </row>
    <row r="179" spans="1:13">
      <c r="A179" s="128">
        <v>178</v>
      </c>
      <c r="B179" s="128"/>
      <c r="C179" s="128" t="s">
        <v>839</v>
      </c>
      <c r="D179" s="128" t="s">
        <v>767</v>
      </c>
      <c r="E179" s="128" t="s">
        <v>8028</v>
      </c>
      <c r="F179" s="128" t="s">
        <v>1393</v>
      </c>
      <c r="G179" s="128" t="s">
        <v>2158</v>
      </c>
      <c r="H179" s="128" t="s">
        <v>8082</v>
      </c>
      <c r="I179" s="128"/>
      <c r="J179" s="128"/>
      <c r="K179" s="128"/>
      <c r="L179" s="128">
        <v>2025</v>
      </c>
      <c r="M179" s="132">
        <f t="shared" ca="1" si="0"/>
        <v>45740</v>
      </c>
    </row>
    <row r="180" spans="1:13">
      <c r="A180" s="128">
        <v>179</v>
      </c>
      <c r="B180" s="128"/>
      <c r="C180" s="128" t="s">
        <v>789</v>
      </c>
      <c r="D180" s="128" t="s">
        <v>799</v>
      </c>
      <c r="E180" s="128" t="s">
        <v>8028</v>
      </c>
      <c r="F180" s="128" t="s">
        <v>1393</v>
      </c>
      <c r="G180" s="128" t="s">
        <v>2158</v>
      </c>
      <c r="H180" s="128" t="s">
        <v>8082</v>
      </c>
      <c r="I180" s="128"/>
      <c r="J180" s="128"/>
      <c r="K180" s="128"/>
      <c r="L180" s="128">
        <v>2025</v>
      </c>
      <c r="M180" s="132">
        <f t="shared" ca="1" si="0"/>
        <v>45759</v>
      </c>
    </row>
    <row r="181" spans="1:13">
      <c r="A181" s="128">
        <v>180</v>
      </c>
      <c r="B181" s="128" t="s">
        <v>8250</v>
      </c>
      <c r="C181" s="128" t="s">
        <v>8251</v>
      </c>
      <c r="D181" s="128" t="s">
        <v>781</v>
      </c>
      <c r="E181" s="128" t="s">
        <v>8061</v>
      </c>
      <c r="F181" s="128" t="s">
        <v>1393</v>
      </c>
      <c r="G181" s="128" t="s">
        <v>2158</v>
      </c>
      <c r="H181" s="128" t="s">
        <v>8082</v>
      </c>
      <c r="I181" s="130" t="s">
        <v>8252</v>
      </c>
      <c r="J181" s="128" t="s">
        <v>8247</v>
      </c>
      <c r="K181" s="128" t="s">
        <v>8037</v>
      </c>
      <c r="L181" s="128">
        <v>2025</v>
      </c>
      <c r="M181" s="132">
        <f t="shared" ca="1" si="0"/>
        <v>45833</v>
      </c>
    </row>
    <row r="182" spans="1:13">
      <c r="A182" s="128">
        <v>181</v>
      </c>
      <c r="B182" s="128"/>
      <c r="C182" s="128" t="s">
        <v>8253</v>
      </c>
      <c r="D182" s="128" t="s">
        <v>781</v>
      </c>
      <c r="E182" s="128" t="s">
        <v>8061</v>
      </c>
      <c r="F182" s="128" t="s">
        <v>1393</v>
      </c>
      <c r="G182" s="128" t="s">
        <v>2158</v>
      </c>
      <c r="H182" s="128" t="s">
        <v>8082</v>
      </c>
      <c r="I182" s="128"/>
      <c r="J182" s="128"/>
      <c r="K182" s="128"/>
      <c r="L182" s="128">
        <v>2025</v>
      </c>
      <c r="M182" s="132">
        <f t="shared" ca="1" si="0"/>
        <v>45879</v>
      </c>
    </row>
    <row r="183" spans="1:13">
      <c r="A183" s="128">
        <v>182</v>
      </c>
      <c r="B183" s="128"/>
      <c r="C183" s="128" t="s">
        <v>8254</v>
      </c>
      <c r="D183" s="128" t="s">
        <v>785</v>
      </c>
      <c r="E183" s="128" t="s">
        <v>8035</v>
      </c>
      <c r="F183" s="128" t="s">
        <v>1393</v>
      </c>
      <c r="G183" s="128" t="s">
        <v>2158</v>
      </c>
      <c r="H183" s="128" t="s">
        <v>8082</v>
      </c>
      <c r="I183" s="128"/>
      <c r="J183" s="128"/>
      <c r="K183" s="128"/>
      <c r="L183" s="128">
        <v>2025</v>
      </c>
      <c r="M183" s="132">
        <f t="shared" ca="1" si="0"/>
        <v>45689</v>
      </c>
    </row>
    <row r="184" spans="1:13">
      <c r="A184" s="128">
        <v>183</v>
      </c>
      <c r="B184" s="128"/>
      <c r="C184" s="128" t="s">
        <v>2262</v>
      </c>
      <c r="D184" s="128" t="s">
        <v>785</v>
      </c>
      <c r="E184" s="128" t="s">
        <v>8035</v>
      </c>
      <c r="F184" s="128" t="s">
        <v>1393</v>
      </c>
      <c r="G184" s="128" t="s">
        <v>2158</v>
      </c>
      <c r="H184" s="128" t="s">
        <v>8082</v>
      </c>
      <c r="I184" s="128"/>
      <c r="J184" s="128"/>
      <c r="K184" s="128"/>
      <c r="L184" s="128">
        <v>2025</v>
      </c>
      <c r="M184" s="132">
        <f t="shared" ca="1" si="0"/>
        <v>45718</v>
      </c>
    </row>
    <row r="185" spans="1:13">
      <c r="A185" s="128">
        <v>184</v>
      </c>
      <c r="B185" s="128"/>
      <c r="C185" s="128" t="s">
        <v>241</v>
      </c>
      <c r="D185" s="128" t="s">
        <v>2172</v>
      </c>
      <c r="E185" s="128" t="s">
        <v>8068</v>
      </c>
      <c r="F185" s="128" t="s">
        <v>1393</v>
      </c>
      <c r="G185" s="128" t="s">
        <v>2158</v>
      </c>
      <c r="H185" s="128" t="s">
        <v>8082</v>
      </c>
      <c r="I185" s="128"/>
      <c r="J185" s="128"/>
      <c r="K185" s="128"/>
      <c r="L185" s="128">
        <v>2025</v>
      </c>
      <c r="M185" s="132">
        <f t="shared" ca="1" si="0"/>
        <v>45773</v>
      </c>
    </row>
    <row r="186" spans="1:13">
      <c r="A186" s="128">
        <v>185</v>
      </c>
      <c r="B186" s="128" t="s">
        <v>8255</v>
      </c>
      <c r="C186" s="128" t="s">
        <v>2127</v>
      </c>
      <c r="D186" s="128" t="s">
        <v>8186</v>
      </c>
      <c r="E186" s="128" t="s">
        <v>8035</v>
      </c>
      <c r="F186" s="128" t="s">
        <v>1512</v>
      </c>
      <c r="G186" s="128" t="s">
        <v>1939</v>
      </c>
      <c r="H186" s="128" t="s">
        <v>8062</v>
      </c>
      <c r="I186" s="130" t="s">
        <v>8256</v>
      </c>
      <c r="J186" s="128" t="s">
        <v>8257</v>
      </c>
      <c r="K186" s="128" t="s">
        <v>8056</v>
      </c>
      <c r="L186" s="128">
        <v>2025</v>
      </c>
      <c r="M186" s="132">
        <f t="shared" ca="1" si="0"/>
        <v>45879</v>
      </c>
    </row>
    <row r="187" spans="1:13">
      <c r="A187" s="128">
        <v>186</v>
      </c>
      <c r="B187" s="128"/>
      <c r="C187" s="128" t="s">
        <v>8258</v>
      </c>
      <c r="D187" s="128" t="s">
        <v>511</v>
      </c>
      <c r="E187" s="128" t="s">
        <v>8035</v>
      </c>
      <c r="F187" s="128" t="s">
        <v>1512</v>
      </c>
      <c r="G187" s="128" t="s">
        <v>1939</v>
      </c>
      <c r="H187" s="128" t="s">
        <v>8062</v>
      </c>
      <c r="I187" s="128"/>
      <c r="J187" s="128"/>
      <c r="K187" s="128"/>
      <c r="L187" s="128">
        <v>2025</v>
      </c>
      <c r="M187" s="132">
        <f t="shared" ca="1" si="0"/>
        <v>45901</v>
      </c>
    </row>
    <row r="188" spans="1:13">
      <c r="A188" s="128">
        <v>187</v>
      </c>
      <c r="B188" s="128"/>
      <c r="C188" s="128" t="s">
        <v>761</v>
      </c>
      <c r="D188" s="128" t="s">
        <v>1211</v>
      </c>
      <c r="E188" s="128" t="s">
        <v>8035</v>
      </c>
      <c r="F188" s="128" t="s">
        <v>1512</v>
      </c>
      <c r="G188" s="128" t="s">
        <v>1939</v>
      </c>
      <c r="H188" s="128" t="s">
        <v>8062</v>
      </c>
      <c r="I188" s="128"/>
      <c r="J188" s="128"/>
      <c r="K188" s="128"/>
      <c r="L188" s="128">
        <v>2025</v>
      </c>
      <c r="M188" s="132">
        <f t="shared" ca="1" si="0"/>
        <v>45733</v>
      </c>
    </row>
    <row r="189" spans="1:13">
      <c r="A189" s="128">
        <v>188</v>
      </c>
      <c r="B189" s="128"/>
      <c r="C189" s="128" t="s">
        <v>8259</v>
      </c>
      <c r="D189" s="128" t="s">
        <v>8260</v>
      </c>
      <c r="E189" s="128" t="s">
        <v>8068</v>
      </c>
      <c r="F189" s="128" t="s">
        <v>1512</v>
      </c>
      <c r="G189" s="128" t="s">
        <v>1939</v>
      </c>
      <c r="H189" s="128" t="s">
        <v>8062</v>
      </c>
      <c r="I189" s="128"/>
      <c r="J189" s="128"/>
      <c r="K189" s="128"/>
      <c r="L189" s="128">
        <v>2025</v>
      </c>
      <c r="M189" s="132">
        <f t="shared" ca="1" si="0"/>
        <v>45829</v>
      </c>
    </row>
    <row r="190" spans="1:13">
      <c r="A190" s="128">
        <v>189</v>
      </c>
      <c r="B190" s="128" t="s">
        <v>8261</v>
      </c>
      <c r="C190" s="128" t="s">
        <v>510</v>
      </c>
      <c r="D190" s="128" t="s">
        <v>511</v>
      </c>
      <c r="E190" s="128" t="s">
        <v>8035</v>
      </c>
      <c r="F190" s="128" t="s">
        <v>1512</v>
      </c>
      <c r="G190" s="128" t="s">
        <v>1939</v>
      </c>
      <c r="H190" s="128" t="s">
        <v>8062</v>
      </c>
      <c r="I190" s="130" t="s">
        <v>8262</v>
      </c>
      <c r="J190" s="128" t="s">
        <v>8031</v>
      </c>
      <c r="K190" s="128" t="s">
        <v>8041</v>
      </c>
      <c r="L190" s="128">
        <v>2025</v>
      </c>
      <c r="M190" s="132">
        <f t="shared" ca="1" si="0"/>
        <v>45920</v>
      </c>
    </row>
    <row r="191" spans="1:13">
      <c r="A191" s="128">
        <v>190</v>
      </c>
      <c r="B191" s="128"/>
      <c r="C191" s="128" t="s">
        <v>518</v>
      </c>
      <c r="D191" s="128" t="s">
        <v>511</v>
      </c>
      <c r="E191" s="128" t="s">
        <v>8035</v>
      </c>
      <c r="F191" s="128" t="s">
        <v>1512</v>
      </c>
      <c r="G191" s="128" t="s">
        <v>1939</v>
      </c>
      <c r="H191" s="128" t="s">
        <v>8062</v>
      </c>
      <c r="I191" s="128"/>
      <c r="J191" s="128"/>
      <c r="K191" s="128"/>
      <c r="L191" s="128">
        <v>2025</v>
      </c>
      <c r="M191" s="132">
        <f t="shared" ca="1" si="0"/>
        <v>45845</v>
      </c>
    </row>
    <row r="192" spans="1:13">
      <c r="A192" s="128">
        <v>191</v>
      </c>
      <c r="B192" s="128"/>
      <c r="C192" s="128" t="s">
        <v>516</v>
      </c>
      <c r="D192" s="128" t="s">
        <v>511</v>
      </c>
      <c r="E192" s="128" t="s">
        <v>8035</v>
      </c>
      <c r="F192" s="128" t="s">
        <v>1512</v>
      </c>
      <c r="G192" s="128" t="s">
        <v>1939</v>
      </c>
      <c r="H192" s="128" t="s">
        <v>8062</v>
      </c>
      <c r="I192" s="128"/>
      <c r="J192" s="128"/>
      <c r="K192" s="128"/>
      <c r="L192" s="128">
        <v>2025</v>
      </c>
      <c r="M192" s="132">
        <f t="shared" ca="1" si="0"/>
        <v>45769</v>
      </c>
    </row>
    <row r="193" spans="1:13">
      <c r="A193" s="128">
        <v>192</v>
      </c>
      <c r="B193" s="128" t="s">
        <v>8263</v>
      </c>
      <c r="C193" s="128" t="s">
        <v>516</v>
      </c>
      <c r="D193" s="128" t="s">
        <v>511</v>
      </c>
      <c r="E193" s="128" t="s">
        <v>8035</v>
      </c>
      <c r="F193" s="128" t="s">
        <v>1512</v>
      </c>
      <c r="G193" s="128" t="s">
        <v>1939</v>
      </c>
      <c r="H193" s="128" t="s">
        <v>8062</v>
      </c>
      <c r="I193" s="130" t="s">
        <v>8264</v>
      </c>
      <c r="J193" s="128" t="s">
        <v>8265</v>
      </c>
      <c r="K193" s="128" t="s">
        <v>8041</v>
      </c>
      <c r="L193" s="128">
        <v>2025</v>
      </c>
      <c r="M193" s="132">
        <f t="shared" ca="1" si="0"/>
        <v>45849</v>
      </c>
    </row>
    <row r="194" spans="1:13">
      <c r="A194" s="128">
        <v>193</v>
      </c>
      <c r="B194" s="128"/>
      <c r="C194" s="128" t="s">
        <v>8266</v>
      </c>
      <c r="D194" s="128" t="s">
        <v>511</v>
      </c>
      <c r="E194" s="128" t="s">
        <v>8035</v>
      </c>
      <c r="F194" s="128" t="s">
        <v>1512</v>
      </c>
      <c r="G194" s="128" t="s">
        <v>1939</v>
      </c>
      <c r="H194" s="128" t="s">
        <v>8062</v>
      </c>
      <c r="I194" s="128"/>
      <c r="J194" s="128"/>
      <c r="K194" s="128"/>
      <c r="L194" s="128">
        <v>2025</v>
      </c>
      <c r="M194" s="132">
        <f t="shared" ca="1" si="0"/>
        <v>45837</v>
      </c>
    </row>
    <row r="195" spans="1:13">
      <c r="A195" s="128">
        <v>194</v>
      </c>
      <c r="B195" s="128"/>
      <c r="C195" s="128" t="s">
        <v>8267</v>
      </c>
      <c r="D195" s="128" t="s">
        <v>511</v>
      </c>
      <c r="E195" s="128" t="s">
        <v>8035</v>
      </c>
      <c r="F195" s="128" t="s">
        <v>1512</v>
      </c>
      <c r="G195" s="128" t="s">
        <v>1939</v>
      </c>
      <c r="H195" s="128" t="s">
        <v>8062</v>
      </c>
      <c r="I195" s="128"/>
      <c r="J195" s="128"/>
      <c r="K195" s="128"/>
      <c r="L195" s="128">
        <v>2025</v>
      </c>
      <c r="M195" s="132">
        <f t="shared" ca="1" si="0"/>
        <v>45694</v>
      </c>
    </row>
    <row r="196" spans="1:13">
      <c r="A196" s="128">
        <v>195</v>
      </c>
      <c r="B196" s="128" t="s">
        <v>8268</v>
      </c>
      <c r="C196" s="128" t="s">
        <v>1180</v>
      </c>
      <c r="D196" s="128" t="s">
        <v>1177</v>
      </c>
      <c r="E196" s="128" t="s">
        <v>8035</v>
      </c>
      <c r="F196" s="128" t="s">
        <v>1512</v>
      </c>
      <c r="G196" s="128" t="s">
        <v>1939</v>
      </c>
      <c r="H196" s="128" t="s">
        <v>8062</v>
      </c>
      <c r="I196" s="130" t="s">
        <v>8269</v>
      </c>
      <c r="J196" s="128" t="s">
        <v>8265</v>
      </c>
      <c r="K196" s="128" t="s">
        <v>8037</v>
      </c>
      <c r="L196" s="128">
        <v>2025</v>
      </c>
      <c r="M196" s="132">
        <f t="shared" ca="1" si="0"/>
        <v>45912</v>
      </c>
    </row>
    <row r="197" spans="1:13">
      <c r="A197" s="128">
        <v>196</v>
      </c>
      <c r="B197" s="128"/>
      <c r="C197" s="128" t="s">
        <v>614</v>
      </c>
      <c r="D197" s="128" t="s">
        <v>563</v>
      </c>
      <c r="E197" s="128" t="s">
        <v>8035</v>
      </c>
      <c r="F197" s="128" t="s">
        <v>1512</v>
      </c>
      <c r="G197" s="128" t="s">
        <v>1939</v>
      </c>
      <c r="H197" s="128" t="s">
        <v>8062</v>
      </c>
      <c r="I197" s="128"/>
      <c r="J197" s="128"/>
      <c r="K197" s="128"/>
      <c r="L197" s="128">
        <v>2025</v>
      </c>
      <c r="M197" s="132">
        <f t="shared" ca="1" si="0"/>
        <v>45988</v>
      </c>
    </row>
    <row r="198" spans="1:13">
      <c r="A198" s="128">
        <v>197</v>
      </c>
      <c r="B198" s="128"/>
      <c r="C198" s="128" t="s">
        <v>569</v>
      </c>
      <c r="D198" s="128" t="s">
        <v>563</v>
      </c>
      <c r="E198" s="128" t="s">
        <v>8035</v>
      </c>
      <c r="F198" s="128" t="s">
        <v>1512</v>
      </c>
      <c r="G198" s="128" t="s">
        <v>1939</v>
      </c>
      <c r="H198" s="128" t="s">
        <v>8062</v>
      </c>
      <c r="I198" s="128"/>
      <c r="J198" s="128"/>
      <c r="K198" s="128"/>
      <c r="L198" s="128">
        <v>2025</v>
      </c>
      <c r="M198" s="132">
        <f t="shared" ca="1" si="0"/>
        <v>45739</v>
      </c>
    </row>
    <row r="199" spans="1:13">
      <c r="A199" s="128">
        <v>198</v>
      </c>
      <c r="B199" s="128"/>
      <c r="C199" s="128" t="s">
        <v>616</v>
      </c>
      <c r="D199" s="128" t="s">
        <v>563</v>
      </c>
      <c r="E199" s="128" t="s">
        <v>8035</v>
      </c>
      <c r="F199" s="128" t="s">
        <v>1512</v>
      </c>
      <c r="G199" s="128" t="s">
        <v>1939</v>
      </c>
      <c r="H199" s="128" t="s">
        <v>8062</v>
      </c>
      <c r="I199" s="128"/>
      <c r="J199" s="128"/>
      <c r="K199" s="128"/>
      <c r="L199" s="128">
        <v>2025</v>
      </c>
      <c r="M199" s="132">
        <f t="shared" ca="1" si="0"/>
        <v>45956</v>
      </c>
    </row>
    <row r="200" spans="1:13">
      <c r="A200" s="128">
        <v>199</v>
      </c>
      <c r="B200" s="128" t="s">
        <v>8270</v>
      </c>
      <c r="C200" s="128" t="s">
        <v>120</v>
      </c>
      <c r="D200" s="128" t="s">
        <v>121</v>
      </c>
      <c r="E200" s="128" t="s">
        <v>8028</v>
      </c>
      <c r="F200" s="128" t="s">
        <v>1352</v>
      </c>
      <c r="G200" s="128" t="s">
        <v>1975</v>
      </c>
      <c r="H200" s="128" t="s">
        <v>8092</v>
      </c>
      <c r="I200" s="128" t="s">
        <v>8271</v>
      </c>
      <c r="J200" s="128" t="s">
        <v>8265</v>
      </c>
      <c r="K200" s="128" t="s">
        <v>8032</v>
      </c>
      <c r="L200" s="128">
        <v>2025</v>
      </c>
      <c r="M200" s="132">
        <f t="shared" ca="1" si="0"/>
        <v>45704</v>
      </c>
    </row>
    <row r="201" spans="1:13">
      <c r="A201" s="128">
        <v>200</v>
      </c>
      <c r="B201" s="128"/>
      <c r="C201" s="128" t="s">
        <v>124</v>
      </c>
      <c r="D201" s="128" t="s">
        <v>125</v>
      </c>
      <c r="E201" s="128" t="s">
        <v>8035</v>
      </c>
      <c r="F201" s="128" t="s">
        <v>1352</v>
      </c>
      <c r="G201" s="128" t="s">
        <v>1975</v>
      </c>
      <c r="H201" s="128" t="s">
        <v>8092</v>
      </c>
      <c r="I201" s="128"/>
      <c r="J201" s="128"/>
      <c r="K201" s="128"/>
      <c r="L201" s="128">
        <v>2025</v>
      </c>
      <c r="M201" s="132">
        <f t="shared" ca="1" si="0"/>
        <v>45682</v>
      </c>
    </row>
    <row r="202" spans="1:13">
      <c r="A202" s="128">
        <v>201</v>
      </c>
      <c r="B202" s="128"/>
      <c r="C202" s="128" t="s">
        <v>126</v>
      </c>
      <c r="D202" s="128" t="s">
        <v>125</v>
      </c>
      <c r="E202" s="128" t="s">
        <v>8035</v>
      </c>
      <c r="F202" s="128" t="s">
        <v>1352</v>
      </c>
      <c r="G202" s="128" t="s">
        <v>1975</v>
      </c>
      <c r="H202" s="128" t="s">
        <v>8092</v>
      </c>
      <c r="I202" s="128"/>
      <c r="J202" s="128"/>
      <c r="K202" s="128"/>
      <c r="L202" s="128">
        <v>2025</v>
      </c>
      <c r="M202" s="132">
        <f t="shared" ca="1" si="0"/>
        <v>46016</v>
      </c>
    </row>
    <row r="203" spans="1:13">
      <c r="A203" s="128">
        <v>202</v>
      </c>
      <c r="B203" s="128"/>
      <c r="C203" s="128" t="s">
        <v>127</v>
      </c>
      <c r="D203" s="128" t="s">
        <v>125</v>
      </c>
      <c r="E203" s="128" t="s">
        <v>8035</v>
      </c>
      <c r="F203" s="128" t="s">
        <v>1352</v>
      </c>
      <c r="G203" s="128" t="s">
        <v>1975</v>
      </c>
      <c r="H203" s="128" t="s">
        <v>8092</v>
      </c>
      <c r="I203" s="128"/>
      <c r="J203" s="128"/>
      <c r="K203" s="128"/>
      <c r="L203" s="128">
        <v>2025</v>
      </c>
      <c r="M203" s="132">
        <f t="shared" ca="1" si="0"/>
        <v>45835</v>
      </c>
    </row>
    <row r="204" spans="1:13">
      <c r="A204" s="128">
        <v>203</v>
      </c>
      <c r="B204" s="128"/>
      <c r="C204" s="128" t="s">
        <v>128</v>
      </c>
      <c r="D204" s="128" t="s">
        <v>129</v>
      </c>
      <c r="E204" s="128" t="s">
        <v>8061</v>
      </c>
      <c r="F204" s="128" t="s">
        <v>1352</v>
      </c>
      <c r="G204" s="128" t="s">
        <v>1975</v>
      </c>
      <c r="H204" s="128" t="s">
        <v>8092</v>
      </c>
      <c r="I204" s="128"/>
      <c r="J204" s="128"/>
      <c r="K204" s="128"/>
      <c r="L204" s="128">
        <v>2025</v>
      </c>
      <c r="M204" s="132">
        <f t="shared" ca="1" si="0"/>
        <v>45681</v>
      </c>
    </row>
    <row r="205" spans="1:13">
      <c r="A205" s="128">
        <v>204</v>
      </c>
      <c r="B205" s="128" t="s">
        <v>8272</v>
      </c>
      <c r="C205" s="128" t="s">
        <v>8273</v>
      </c>
      <c r="D205" s="128" t="s">
        <v>8060</v>
      </c>
      <c r="E205" s="128" t="s">
        <v>8061</v>
      </c>
      <c r="F205" s="128" t="s">
        <v>1512</v>
      </c>
      <c r="G205" s="128" t="s">
        <v>1939</v>
      </c>
      <c r="H205" s="128" t="s">
        <v>8062</v>
      </c>
      <c r="I205" s="130" t="s">
        <v>8274</v>
      </c>
      <c r="J205" s="128" t="s">
        <v>8265</v>
      </c>
      <c r="K205" s="128" t="s">
        <v>8037</v>
      </c>
      <c r="L205" s="128">
        <v>2025</v>
      </c>
      <c r="M205" s="132">
        <f t="shared" ca="1" si="0"/>
        <v>45800</v>
      </c>
    </row>
    <row r="206" spans="1:13">
      <c r="A206" s="128">
        <v>205</v>
      </c>
      <c r="B206" s="128"/>
      <c r="C206" s="128" t="s">
        <v>8275</v>
      </c>
      <c r="D206" s="128" t="s">
        <v>8060</v>
      </c>
      <c r="E206" s="128" t="s">
        <v>8061</v>
      </c>
      <c r="F206" s="128" t="s">
        <v>1512</v>
      </c>
      <c r="G206" s="128" t="s">
        <v>1939</v>
      </c>
      <c r="H206" s="128" t="s">
        <v>8062</v>
      </c>
      <c r="I206" s="128"/>
      <c r="J206" s="128"/>
      <c r="K206" s="128"/>
      <c r="L206" s="128">
        <v>2025</v>
      </c>
      <c r="M206" s="132">
        <f t="shared" ca="1" si="0"/>
        <v>45809</v>
      </c>
    </row>
    <row r="207" spans="1:13">
      <c r="A207" s="128">
        <v>206</v>
      </c>
      <c r="B207" s="128"/>
      <c r="C207" s="128" t="s">
        <v>8276</v>
      </c>
      <c r="D207" s="128" t="s">
        <v>8060</v>
      </c>
      <c r="E207" s="128" t="s">
        <v>8061</v>
      </c>
      <c r="F207" s="128" t="s">
        <v>1512</v>
      </c>
      <c r="G207" s="128" t="s">
        <v>1939</v>
      </c>
      <c r="H207" s="128" t="s">
        <v>8062</v>
      </c>
      <c r="I207" s="128"/>
      <c r="J207" s="128"/>
      <c r="K207" s="128"/>
      <c r="L207" s="128">
        <v>2025</v>
      </c>
      <c r="M207" s="132">
        <f t="shared" ca="1" si="0"/>
        <v>45681</v>
      </c>
    </row>
    <row r="208" spans="1:13">
      <c r="A208" s="128">
        <v>207</v>
      </c>
      <c r="B208" s="128"/>
      <c r="C208" s="128" t="s">
        <v>8277</v>
      </c>
      <c r="D208" s="128" t="s">
        <v>8060</v>
      </c>
      <c r="E208" s="128" t="s">
        <v>8061</v>
      </c>
      <c r="F208" s="128" t="s">
        <v>1512</v>
      </c>
      <c r="G208" s="128" t="s">
        <v>1939</v>
      </c>
      <c r="H208" s="128" t="s">
        <v>8062</v>
      </c>
      <c r="I208" s="128"/>
      <c r="J208" s="128"/>
      <c r="K208" s="128"/>
      <c r="L208" s="128">
        <v>2025</v>
      </c>
      <c r="M208" s="132">
        <f t="shared" ca="1" si="0"/>
        <v>45950</v>
      </c>
    </row>
    <row r="209" spans="1:13">
      <c r="A209" s="128">
        <v>208</v>
      </c>
      <c r="B209" s="128" t="s">
        <v>8278</v>
      </c>
      <c r="C209" s="128" t="s">
        <v>877</v>
      </c>
      <c r="D209" s="128" t="s">
        <v>785</v>
      </c>
      <c r="E209" s="128" t="s">
        <v>8035</v>
      </c>
      <c r="F209" s="128" t="s">
        <v>1393</v>
      </c>
      <c r="G209" s="128" t="s">
        <v>2158</v>
      </c>
      <c r="H209" s="128" t="s">
        <v>8082</v>
      </c>
      <c r="I209" s="130" t="s">
        <v>8279</v>
      </c>
      <c r="J209" s="128" t="s">
        <v>8152</v>
      </c>
      <c r="K209" s="128" t="s">
        <v>8041</v>
      </c>
      <c r="L209" s="128">
        <v>2025</v>
      </c>
      <c r="M209" s="132">
        <f t="shared" ca="1" si="0"/>
        <v>45674</v>
      </c>
    </row>
    <row r="210" spans="1:13">
      <c r="A210" s="128">
        <v>209</v>
      </c>
      <c r="B210" s="128"/>
      <c r="C210" s="128" t="s">
        <v>876</v>
      </c>
      <c r="D210" s="128" t="s">
        <v>785</v>
      </c>
      <c r="E210" s="128" t="s">
        <v>8035</v>
      </c>
      <c r="F210" s="128" t="s">
        <v>1393</v>
      </c>
      <c r="G210" s="128" t="s">
        <v>2158</v>
      </c>
      <c r="H210" s="128" t="s">
        <v>8082</v>
      </c>
      <c r="I210" s="128"/>
      <c r="J210" s="128"/>
      <c r="K210" s="128"/>
      <c r="L210" s="128">
        <v>2025</v>
      </c>
      <c r="M210" s="132">
        <f t="shared" ca="1" si="0"/>
        <v>45911</v>
      </c>
    </row>
    <row r="211" spans="1:13">
      <c r="A211" s="128">
        <v>210</v>
      </c>
      <c r="B211" s="128" t="s">
        <v>8280</v>
      </c>
      <c r="C211" s="128" t="s">
        <v>128</v>
      </c>
      <c r="D211" s="128" t="s">
        <v>129</v>
      </c>
      <c r="E211" s="128" t="s">
        <v>8061</v>
      </c>
      <c r="F211" s="128" t="s">
        <v>1352</v>
      </c>
      <c r="G211" s="128" t="s">
        <v>1975</v>
      </c>
      <c r="H211" s="128" t="s">
        <v>8092</v>
      </c>
      <c r="I211" s="128" t="s">
        <v>8281</v>
      </c>
      <c r="J211" s="128" t="s">
        <v>8152</v>
      </c>
      <c r="K211" s="128" t="s">
        <v>8032</v>
      </c>
      <c r="L211" s="128">
        <v>2025</v>
      </c>
      <c r="M211" s="132">
        <f t="shared" ca="1" si="0"/>
        <v>45750</v>
      </c>
    </row>
    <row r="212" spans="1:13">
      <c r="A212" s="128">
        <v>211</v>
      </c>
      <c r="B212" s="128"/>
      <c r="C212" s="128" t="s">
        <v>120</v>
      </c>
      <c r="D212" s="128" t="s">
        <v>121</v>
      </c>
      <c r="E212" s="128" t="s">
        <v>8028</v>
      </c>
      <c r="F212" s="128" t="s">
        <v>1352</v>
      </c>
      <c r="G212" s="128" t="s">
        <v>1975</v>
      </c>
      <c r="H212" s="128" t="s">
        <v>8092</v>
      </c>
      <c r="I212" s="128"/>
      <c r="J212" s="128"/>
      <c r="K212" s="128"/>
      <c r="L212" s="128">
        <v>2025</v>
      </c>
      <c r="M212" s="132">
        <f t="shared" ca="1" si="0"/>
        <v>45871</v>
      </c>
    </row>
    <row r="213" spans="1:13">
      <c r="A213" s="128">
        <v>212</v>
      </c>
      <c r="B213" s="128"/>
      <c r="C213" s="128" t="s">
        <v>124</v>
      </c>
      <c r="D213" s="128" t="s">
        <v>125</v>
      </c>
      <c r="E213" s="128" t="s">
        <v>8035</v>
      </c>
      <c r="F213" s="128" t="s">
        <v>1352</v>
      </c>
      <c r="G213" s="128" t="s">
        <v>1975</v>
      </c>
      <c r="H213" s="128" t="s">
        <v>8092</v>
      </c>
      <c r="I213" s="128"/>
      <c r="J213" s="128"/>
      <c r="K213" s="128"/>
      <c r="L213" s="128">
        <v>2025</v>
      </c>
      <c r="M213" s="132">
        <f t="shared" ca="1" si="0"/>
        <v>45890</v>
      </c>
    </row>
    <row r="214" spans="1:13">
      <c r="A214" s="128">
        <v>213</v>
      </c>
      <c r="B214" s="128"/>
      <c r="C214" s="128" t="s">
        <v>126</v>
      </c>
      <c r="D214" s="128" t="s">
        <v>125</v>
      </c>
      <c r="E214" s="128" t="s">
        <v>8035</v>
      </c>
      <c r="F214" s="128" t="s">
        <v>1352</v>
      </c>
      <c r="G214" s="128" t="s">
        <v>1975</v>
      </c>
      <c r="H214" s="128" t="s">
        <v>8092</v>
      </c>
      <c r="I214" s="128"/>
      <c r="J214" s="128"/>
      <c r="K214" s="128"/>
      <c r="L214" s="128">
        <v>2025</v>
      </c>
      <c r="M214" s="132">
        <f t="shared" ca="1" si="0"/>
        <v>45966</v>
      </c>
    </row>
    <row r="215" spans="1:13">
      <c r="A215" s="128">
        <v>214</v>
      </c>
      <c r="B215" s="128"/>
      <c r="C215" s="128" t="s">
        <v>127</v>
      </c>
      <c r="D215" s="128" t="s">
        <v>125</v>
      </c>
      <c r="E215" s="128" t="s">
        <v>8035</v>
      </c>
      <c r="F215" s="128" t="s">
        <v>1352</v>
      </c>
      <c r="G215" s="128" t="s">
        <v>1975</v>
      </c>
      <c r="H215" s="128" t="s">
        <v>8092</v>
      </c>
      <c r="I215" s="128"/>
      <c r="J215" s="128"/>
      <c r="K215" s="128"/>
      <c r="L215" s="128">
        <v>2025</v>
      </c>
      <c r="M215" s="132">
        <f t="shared" ca="1" si="0"/>
        <v>45794</v>
      </c>
    </row>
    <row r="216" spans="1:13">
      <c r="A216" s="128">
        <v>215</v>
      </c>
      <c r="B216" s="128" t="s">
        <v>8282</v>
      </c>
      <c r="C216" s="128" t="s">
        <v>8283</v>
      </c>
      <c r="D216" s="128" t="s">
        <v>8060</v>
      </c>
      <c r="E216" s="128" t="s">
        <v>8061</v>
      </c>
      <c r="F216" s="128" t="s">
        <v>1512</v>
      </c>
      <c r="G216" s="128" t="s">
        <v>1939</v>
      </c>
      <c r="H216" s="128" t="s">
        <v>8062</v>
      </c>
      <c r="I216" s="130" t="s">
        <v>8284</v>
      </c>
      <c r="J216" s="128" t="s">
        <v>6933</v>
      </c>
      <c r="K216" s="128" t="s">
        <v>8037</v>
      </c>
      <c r="L216" s="128">
        <v>2025</v>
      </c>
      <c r="M216" s="132">
        <f t="shared" ca="1" si="0"/>
        <v>45730</v>
      </c>
    </row>
    <row r="217" spans="1:13">
      <c r="A217" s="128">
        <v>216</v>
      </c>
      <c r="B217" s="128"/>
      <c r="C217" s="128" t="s">
        <v>8285</v>
      </c>
      <c r="D217" s="128" t="s">
        <v>8060</v>
      </c>
      <c r="E217" s="128" t="s">
        <v>8061</v>
      </c>
      <c r="F217" s="128" t="s">
        <v>1512</v>
      </c>
      <c r="G217" s="128" t="s">
        <v>1939</v>
      </c>
      <c r="H217" s="128" t="s">
        <v>8062</v>
      </c>
      <c r="I217" s="128"/>
      <c r="J217" s="128"/>
      <c r="K217" s="128"/>
      <c r="L217" s="128">
        <v>2025</v>
      </c>
      <c r="M217" s="132">
        <f t="shared" ca="1" si="0"/>
        <v>45896</v>
      </c>
    </row>
    <row r="218" spans="1:13">
      <c r="A218" s="128">
        <v>217</v>
      </c>
      <c r="B218" s="128"/>
      <c r="C218" s="128" t="s">
        <v>8286</v>
      </c>
      <c r="D218" s="128" t="s">
        <v>8060</v>
      </c>
      <c r="E218" s="128" t="s">
        <v>8061</v>
      </c>
      <c r="F218" s="128" t="s">
        <v>1512</v>
      </c>
      <c r="G218" s="128" t="s">
        <v>1939</v>
      </c>
      <c r="H218" s="128" t="s">
        <v>8062</v>
      </c>
      <c r="I218" s="128"/>
      <c r="J218" s="128"/>
      <c r="K218" s="128"/>
      <c r="L218" s="128">
        <v>2025</v>
      </c>
      <c r="M218" s="132">
        <f t="shared" ca="1" si="0"/>
        <v>45926</v>
      </c>
    </row>
    <row r="219" spans="1:13">
      <c r="A219" s="128">
        <v>218</v>
      </c>
      <c r="B219" s="128"/>
      <c r="C219" s="128" t="s">
        <v>8287</v>
      </c>
      <c r="D219" s="128" t="s">
        <v>8060</v>
      </c>
      <c r="E219" s="128" t="s">
        <v>8061</v>
      </c>
      <c r="F219" s="128" t="s">
        <v>1512</v>
      </c>
      <c r="G219" s="128" t="s">
        <v>1939</v>
      </c>
      <c r="H219" s="128" t="s">
        <v>8062</v>
      </c>
      <c r="I219" s="128"/>
      <c r="J219" s="128"/>
      <c r="K219" s="128"/>
      <c r="L219" s="128">
        <v>2025</v>
      </c>
      <c r="M219" s="132">
        <f t="shared" ca="1" si="0"/>
        <v>45979</v>
      </c>
    </row>
    <row r="220" spans="1:13">
      <c r="A220" s="128">
        <v>219</v>
      </c>
      <c r="B220" s="128"/>
      <c r="C220" s="128" t="s">
        <v>8288</v>
      </c>
      <c r="D220" s="128" t="s">
        <v>8060</v>
      </c>
      <c r="E220" s="128" t="s">
        <v>8061</v>
      </c>
      <c r="F220" s="128" t="s">
        <v>1512</v>
      </c>
      <c r="G220" s="128" t="s">
        <v>1939</v>
      </c>
      <c r="H220" s="128" t="s">
        <v>8062</v>
      </c>
      <c r="I220" s="128"/>
      <c r="J220" s="128"/>
      <c r="K220" s="128"/>
      <c r="L220" s="128">
        <v>2025</v>
      </c>
      <c r="M220" s="132">
        <f t="shared" ca="1" si="0"/>
        <v>45888</v>
      </c>
    </row>
    <row r="221" spans="1:13">
      <c r="M221" s="9"/>
    </row>
    <row r="222" spans="1:13">
      <c r="M222" s="9"/>
    </row>
    <row r="223" spans="1:13">
      <c r="M223" s="9"/>
    </row>
    <row r="224" spans="1:13">
      <c r="M224" s="9"/>
    </row>
    <row r="225" spans="13:13">
      <c r="M225" s="9"/>
    </row>
    <row r="226" spans="13:13">
      <c r="M226" s="9"/>
    </row>
    <row r="227" spans="13:13">
      <c r="M227" s="9"/>
    </row>
    <row r="228" spans="13:13">
      <c r="M228" s="9"/>
    </row>
    <row r="229" spans="13:13">
      <c r="M229" s="9"/>
    </row>
    <row r="230" spans="13:13">
      <c r="M230" s="9"/>
    </row>
    <row r="231" spans="13:13">
      <c r="M231" s="9"/>
    </row>
    <row r="232" spans="13:13">
      <c r="M232" s="9"/>
    </row>
    <row r="233" spans="13:13">
      <c r="M233" s="9"/>
    </row>
    <row r="234" spans="13:13">
      <c r="M234" s="9"/>
    </row>
    <row r="235" spans="13:13">
      <c r="M235" s="9"/>
    </row>
    <row r="236" spans="13:13">
      <c r="M236" s="9"/>
    </row>
    <row r="237" spans="13:13">
      <c r="M237" s="9"/>
    </row>
    <row r="238" spans="13:13">
      <c r="M238" s="9"/>
    </row>
    <row r="239" spans="13:13">
      <c r="M239" s="9"/>
    </row>
    <row r="240" spans="13:13">
      <c r="M240" s="9"/>
    </row>
    <row r="241" spans="13:13">
      <c r="M241" s="9"/>
    </row>
    <row r="242" spans="13:13">
      <c r="M242" s="9"/>
    </row>
    <row r="243" spans="13:13">
      <c r="M243" s="9"/>
    </row>
    <row r="244" spans="13:13">
      <c r="M244" s="9"/>
    </row>
    <row r="245" spans="13:13">
      <c r="M245" s="9"/>
    </row>
    <row r="246" spans="13:13">
      <c r="M246" s="9"/>
    </row>
    <row r="247" spans="13:13">
      <c r="M247" s="9"/>
    </row>
    <row r="248" spans="13:13">
      <c r="M248" s="9"/>
    </row>
    <row r="249" spans="13:13">
      <c r="M249" s="9"/>
    </row>
    <row r="250" spans="13:13">
      <c r="M250" s="9"/>
    </row>
    <row r="251" spans="13:13">
      <c r="M251" s="9"/>
    </row>
    <row r="252" spans="13:13">
      <c r="M252" s="9"/>
    </row>
    <row r="253" spans="13:13">
      <c r="M253" s="9"/>
    </row>
    <row r="254" spans="13:13">
      <c r="M254" s="9"/>
    </row>
    <row r="255" spans="13:13">
      <c r="M255" s="9"/>
    </row>
    <row r="256" spans="13:13">
      <c r="M256" s="9"/>
    </row>
    <row r="257" spans="13:13">
      <c r="M257" s="9"/>
    </row>
    <row r="258" spans="13:13">
      <c r="M258" s="9"/>
    </row>
    <row r="259" spans="13:13">
      <c r="M259" s="9"/>
    </row>
    <row r="260" spans="13:13">
      <c r="M260" s="9"/>
    </row>
    <row r="261" spans="13:13">
      <c r="M261" s="9"/>
    </row>
    <row r="262" spans="13:13">
      <c r="M262" s="9"/>
    </row>
    <row r="263" spans="13:13">
      <c r="M263" s="9"/>
    </row>
    <row r="264" spans="13:13">
      <c r="M264" s="9"/>
    </row>
    <row r="265" spans="13:13">
      <c r="M265" s="9"/>
    </row>
    <row r="266" spans="13:13">
      <c r="M266" s="9"/>
    </row>
    <row r="267" spans="13:13">
      <c r="M267" s="9"/>
    </row>
    <row r="268" spans="13:13">
      <c r="M268" s="9"/>
    </row>
    <row r="269" spans="13:13">
      <c r="M269" s="9"/>
    </row>
    <row r="270" spans="13:13">
      <c r="M270" s="9"/>
    </row>
    <row r="271" spans="13:13">
      <c r="M271" s="9"/>
    </row>
    <row r="272" spans="13:13">
      <c r="M272" s="9"/>
    </row>
    <row r="273" spans="13:13">
      <c r="M273" s="9"/>
    </row>
    <row r="274" spans="13:13">
      <c r="M274" s="9"/>
    </row>
    <row r="275" spans="13:13">
      <c r="M275" s="9"/>
    </row>
    <row r="276" spans="13:13">
      <c r="M276" s="9"/>
    </row>
    <row r="277" spans="13:13">
      <c r="M277" s="9"/>
    </row>
    <row r="278" spans="13:13">
      <c r="M278" s="9"/>
    </row>
    <row r="279" spans="13:13">
      <c r="M279" s="9"/>
    </row>
    <row r="280" spans="13:13">
      <c r="M280" s="9"/>
    </row>
    <row r="281" spans="13:13">
      <c r="M281" s="9"/>
    </row>
    <row r="282" spans="13:13">
      <c r="M282" s="9"/>
    </row>
    <row r="283" spans="13:13">
      <c r="M283" s="9"/>
    </row>
    <row r="284" spans="13:13">
      <c r="M284" s="9"/>
    </row>
    <row r="285" spans="13:13">
      <c r="M285" s="9"/>
    </row>
    <row r="286" spans="13:13">
      <c r="M286" s="9"/>
    </row>
    <row r="287" spans="13:13">
      <c r="M287" s="9"/>
    </row>
    <row r="288" spans="13:13">
      <c r="M288" s="9"/>
    </row>
    <row r="289" spans="13:13">
      <c r="M289" s="9"/>
    </row>
    <row r="290" spans="13:13">
      <c r="M290" s="9"/>
    </row>
    <row r="291" spans="13:13">
      <c r="M291" s="9"/>
    </row>
    <row r="292" spans="13:13">
      <c r="M292" s="9"/>
    </row>
    <row r="293" spans="13:13">
      <c r="M293" s="9"/>
    </row>
    <row r="294" spans="13:13">
      <c r="M294" s="9"/>
    </row>
    <row r="295" spans="13:13">
      <c r="M295" s="9"/>
    </row>
    <row r="296" spans="13:13">
      <c r="M296" s="9"/>
    </row>
    <row r="297" spans="13:13">
      <c r="M297" s="9"/>
    </row>
    <row r="298" spans="13:13">
      <c r="M298" s="9"/>
    </row>
    <row r="299" spans="13:13">
      <c r="M299" s="9"/>
    </row>
    <row r="300" spans="13:13">
      <c r="M300" s="9"/>
    </row>
    <row r="301" spans="13:13">
      <c r="M301" s="9"/>
    </row>
    <row r="302" spans="13:13">
      <c r="M302" s="9"/>
    </row>
    <row r="303" spans="13:13">
      <c r="M303" s="9"/>
    </row>
    <row r="304" spans="13:13">
      <c r="M304" s="9"/>
    </row>
    <row r="305" spans="13:13">
      <c r="M305" s="9"/>
    </row>
    <row r="306" spans="13:13">
      <c r="M306" s="9"/>
    </row>
    <row r="307" spans="13:13">
      <c r="M307" s="9"/>
    </row>
    <row r="308" spans="13:13">
      <c r="M308" s="9"/>
    </row>
    <row r="309" spans="13:13">
      <c r="M309" s="9"/>
    </row>
    <row r="310" spans="13:13">
      <c r="M310" s="9"/>
    </row>
    <row r="311" spans="13:13">
      <c r="M311" s="9"/>
    </row>
    <row r="312" spans="13:13">
      <c r="M312" s="9"/>
    </row>
    <row r="313" spans="13:13">
      <c r="M313" s="9"/>
    </row>
    <row r="314" spans="13:13">
      <c r="M314" s="9"/>
    </row>
    <row r="315" spans="13:13">
      <c r="M315" s="9"/>
    </row>
    <row r="316" spans="13:13">
      <c r="M316" s="9"/>
    </row>
    <row r="317" spans="13:13">
      <c r="M317" s="9"/>
    </row>
    <row r="318" spans="13:13">
      <c r="M318" s="9"/>
    </row>
    <row r="319" spans="13:13">
      <c r="M319" s="9"/>
    </row>
    <row r="320" spans="13:13">
      <c r="M320" s="9"/>
    </row>
    <row r="321" spans="13:13">
      <c r="M321" s="9"/>
    </row>
    <row r="322" spans="13:13">
      <c r="M322" s="9"/>
    </row>
    <row r="323" spans="13:13">
      <c r="M323" s="9"/>
    </row>
    <row r="324" spans="13:13">
      <c r="M324" s="9"/>
    </row>
    <row r="325" spans="13:13">
      <c r="M325" s="9"/>
    </row>
    <row r="326" spans="13:13">
      <c r="M326" s="9"/>
    </row>
    <row r="327" spans="13:13">
      <c r="M327" s="9"/>
    </row>
    <row r="328" spans="13:13">
      <c r="M328" s="9"/>
    </row>
    <row r="329" spans="13:13">
      <c r="M329" s="9"/>
    </row>
    <row r="330" spans="13:13">
      <c r="M330" s="9"/>
    </row>
    <row r="331" spans="13:13">
      <c r="M331" s="9"/>
    </row>
    <row r="332" spans="13:13">
      <c r="M332" s="9"/>
    </row>
    <row r="333" spans="13:13">
      <c r="M333" s="9"/>
    </row>
    <row r="334" spans="13:13">
      <c r="M334" s="9"/>
    </row>
    <row r="335" spans="13:13">
      <c r="M335" s="9"/>
    </row>
    <row r="336" spans="13:13">
      <c r="M336" s="9"/>
    </row>
    <row r="337" spans="13:13">
      <c r="M337" s="9"/>
    </row>
    <row r="338" spans="13:13">
      <c r="M338" s="9"/>
    </row>
    <row r="339" spans="13:13">
      <c r="M339" s="9"/>
    </row>
    <row r="340" spans="13:13">
      <c r="M340" s="9"/>
    </row>
    <row r="341" spans="13:13">
      <c r="M341" s="9"/>
    </row>
    <row r="342" spans="13:13">
      <c r="M342" s="9"/>
    </row>
    <row r="343" spans="13:13">
      <c r="M343" s="9"/>
    </row>
    <row r="344" spans="13:13">
      <c r="M344" s="9"/>
    </row>
    <row r="345" spans="13:13">
      <c r="M345" s="9"/>
    </row>
    <row r="346" spans="13:13">
      <c r="M346" s="9"/>
    </row>
    <row r="347" spans="13:13">
      <c r="M347" s="9"/>
    </row>
    <row r="348" spans="13:13">
      <c r="M348" s="9"/>
    </row>
    <row r="349" spans="13:13">
      <c r="M349" s="9"/>
    </row>
    <row r="350" spans="13:13">
      <c r="M350" s="9"/>
    </row>
    <row r="351" spans="13:13">
      <c r="M351" s="9"/>
    </row>
    <row r="352" spans="13:13">
      <c r="M352" s="9"/>
    </row>
    <row r="353" spans="13:13">
      <c r="M353" s="9"/>
    </row>
    <row r="354" spans="13:13">
      <c r="M354" s="9"/>
    </row>
    <row r="355" spans="13:13">
      <c r="M355" s="9"/>
    </row>
    <row r="356" spans="13:13">
      <c r="M356" s="9"/>
    </row>
    <row r="357" spans="13:13">
      <c r="M357" s="9"/>
    </row>
    <row r="358" spans="13:13">
      <c r="M358" s="9"/>
    </row>
    <row r="359" spans="13:13">
      <c r="M359" s="9"/>
    </row>
    <row r="360" spans="13:13">
      <c r="M360" s="9"/>
    </row>
    <row r="361" spans="13:13">
      <c r="M361" s="9"/>
    </row>
    <row r="362" spans="13:13">
      <c r="M362" s="9"/>
    </row>
    <row r="363" spans="13:13">
      <c r="M363" s="9"/>
    </row>
    <row r="364" spans="13:13">
      <c r="M364" s="9"/>
    </row>
    <row r="365" spans="13:13">
      <c r="M365" s="9"/>
    </row>
    <row r="366" spans="13:13">
      <c r="M366" s="9"/>
    </row>
    <row r="367" spans="13:13">
      <c r="M367" s="9"/>
    </row>
    <row r="368" spans="13:13">
      <c r="M368" s="9"/>
    </row>
    <row r="369" spans="13:13">
      <c r="M369" s="9"/>
    </row>
    <row r="370" spans="13:13">
      <c r="M370" s="9"/>
    </row>
    <row r="371" spans="13:13">
      <c r="M371" s="9"/>
    </row>
    <row r="372" spans="13:13">
      <c r="M372" s="9"/>
    </row>
    <row r="373" spans="13:13">
      <c r="M373" s="9"/>
    </row>
    <row r="374" spans="13:13">
      <c r="M374" s="9"/>
    </row>
    <row r="375" spans="13:13">
      <c r="M375" s="9"/>
    </row>
    <row r="376" spans="13:13">
      <c r="M376" s="9"/>
    </row>
    <row r="377" spans="13:13">
      <c r="M377" s="9"/>
    </row>
    <row r="378" spans="13:13">
      <c r="M378" s="9"/>
    </row>
    <row r="379" spans="13:13">
      <c r="M379" s="9"/>
    </row>
    <row r="380" spans="13:13">
      <c r="M380" s="9"/>
    </row>
    <row r="381" spans="13:13">
      <c r="M381" s="9"/>
    </row>
    <row r="382" spans="13:13">
      <c r="M382" s="9"/>
    </row>
    <row r="383" spans="13:13">
      <c r="M383" s="9"/>
    </row>
    <row r="384" spans="13:13">
      <c r="M384" s="9"/>
    </row>
    <row r="385" spans="13:13">
      <c r="M385" s="9"/>
    </row>
    <row r="386" spans="13:13">
      <c r="M386" s="9"/>
    </row>
    <row r="387" spans="13:13">
      <c r="M387" s="9"/>
    </row>
    <row r="388" spans="13:13">
      <c r="M388" s="9"/>
    </row>
    <row r="389" spans="13:13">
      <c r="M389" s="9"/>
    </row>
    <row r="390" spans="13:13">
      <c r="M390" s="9"/>
    </row>
    <row r="391" spans="13:13">
      <c r="M391" s="9"/>
    </row>
    <row r="392" spans="13:13">
      <c r="M392" s="9"/>
    </row>
    <row r="393" spans="13:13">
      <c r="M393" s="9"/>
    </row>
    <row r="394" spans="13:13">
      <c r="M394" s="9"/>
    </row>
    <row r="395" spans="13:13">
      <c r="M395" s="9"/>
    </row>
    <row r="396" spans="13:13">
      <c r="M396" s="9"/>
    </row>
    <row r="397" spans="13:13">
      <c r="M397" s="9"/>
    </row>
    <row r="398" spans="13:13">
      <c r="M398" s="9"/>
    </row>
    <row r="399" spans="13:13">
      <c r="M399" s="9"/>
    </row>
    <row r="400" spans="13:13">
      <c r="M400" s="9"/>
    </row>
    <row r="401" spans="13:13">
      <c r="M401" s="9"/>
    </row>
    <row r="402" spans="13:13">
      <c r="M402" s="9"/>
    </row>
    <row r="403" spans="13:13">
      <c r="M403" s="9"/>
    </row>
    <row r="404" spans="13:13">
      <c r="M404" s="9"/>
    </row>
    <row r="405" spans="13:13">
      <c r="M405" s="9"/>
    </row>
    <row r="406" spans="13:13">
      <c r="M406" s="9"/>
    </row>
    <row r="407" spans="13:13">
      <c r="M407" s="9"/>
    </row>
    <row r="408" spans="13:13">
      <c r="M408" s="9"/>
    </row>
    <row r="409" spans="13:13">
      <c r="M409" s="9"/>
    </row>
    <row r="410" spans="13:13">
      <c r="M410" s="9"/>
    </row>
    <row r="411" spans="13:13">
      <c r="M411" s="9"/>
    </row>
    <row r="412" spans="13:13">
      <c r="M412" s="9"/>
    </row>
    <row r="413" spans="13:13">
      <c r="M413" s="9"/>
    </row>
    <row r="414" spans="13:13">
      <c r="M414" s="9"/>
    </row>
    <row r="415" spans="13:13">
      <c r="M415" s="9"/>
    </row>
    <row r="416" spans="13:13">
      <c r="M416" s="9"/>
    </row>
    <row r="417" spans="13:13">
      <c r="M417" s="9"/>
    </row>
    <row r="418" spans="13:13">
      <c r="M418" s="9"/>
    </row>
    <row r="419" spans="13:13">
      <c r="M419" s="9"/>
    </row>
    <row r="420" spans="13:13">
      <c r="M420" s="9"/>
    </row>
    <row r="421" spans="13:13">
      <c r="M421" s="9"/>
    </row>
    <row r="422" spans="13:13">
      <c r="M422" s="9"/>
    </row>
    <row r="423" spans="13:13">
      <c r="M423" s="9"/>
    </row>
    <row r="424" spans="13:13">
      <c r="M424" s="9"/>
    </row>
    <row r="425" spans="13:13">
      <c r="M425" s="9"/>
    </row>
    <row r="426" spans="13:13">
      <c r="M426" s="9"/>
    </row>
    <row r="427" spans="13:13">
      <c r="M427" s="9"/>
    </row>
    <row r="428" spans="13:13">
      <c r="M428" s="9"/>
    </row>
    <row r="429" spans="13:13">
      <c r="M429" s="9"/>
    </row>
    <row r="430" spans="13:13">
      <c r="M430" s="9"/>
    </row>
    <row r="431" spans="13:13">
      <c r="M431" s="9"/>
    </row>
    <row r="432" spans="13:13">
      <c r="M432" s="9"/>
    </row>
    <row r="433" spans="13:13">
      <c r="M433" s="9"/>
    </row>
    <row r="434" spans="13:13">
      <c r="M434" s="9"/>
    </row>
    <row r="435" spans="13:13">
      <c r="M435" s="9"/>
    </row>
    <row r="436" spans="13:13">
      <c r="M436" s="9"/>
    </row>
    <row r="437" spans="13:13">
      <c r="M437" s="9"/>
    </row>
    <row r="438" spans="13:13">
      <c r="M438" s="9"/>
    </row>
    <row r="439" spans="13:13">
      <c r="M439" s="9"/>
    </row>
    <row r="440" spans="13:13">
      <c r="M440" s="9"/>
    </row>
    <row r="441" spans="13:13">
      <c r="M441" s="9"/>
    </row>
    <row r="442" spans="13:13">
      <c r="M442" s="9"/>
    </row>
    <row r="443" spans="13:13">
      <c r="M443" s="9"/>
    </row>
    <row r="444" spans="13:13">
      <c r="M444" s="9"/>
    </row>
    <row r="445" spans="13:13">
      <c r="M445" s="9"/>
    </row>
    <row r="446" spans="13:13">
      <c r="M446" s="9"/>
    </row>
    <row r="447" spans="13:13">
      <c r="M447" s="9"/>
    </row>
    <row r="448" spans="13:13">
      <c r="M448" s="9"/>
    </row>
    <row r="449" spans="13:13">
      <c r="M449" s="9"/>
    </row>
    <row r="450" spans="13:13">
      <c r="M450" s="9"/>
    </row>
    <row r="451" spans="13:13">
      <c r="M451" s="9"/>
    </row>
    <row r="452" spans="13:13">
      <c r="M452" s="9"/>
    </row>
    <row r="453" spans="13:13">
      <c r="M453" s="9"/>
    </row>
    <row r="454" spans="13:13">
      <c r="M454" s="9"/>
    </row>
    <row r="455" spans="13:13">
      <c r="M455" s="9"/>
    </row>
    <row r="456" spans="13:13">
      <c r="M456" s="9"/>
    </row>
    <row r="457" spans="13:13">
      <c r="M457" s="9"/>
    </row>
    <row r="458" spans="13:13">
      <c r="M458" s="9"/>
    </row>
    <row r="459" spans="13:13">
      <c r="M459" s="9"/>
    </row>
    <row r="460" spans="13:13">
      <c r="M460" s="9"/>
    </row>
    <row r="461" spans="13:13">
      <c r="M461" s="9"/>
    </row>
    <row r="462" spans="13:13">
      <c r="M462" s="9"/>
    </row>
    <row r="463" spans="13:13">
      <c r="M463" s="9"/>
    </row>
    <row r="464" spans="13:13">
      <c r="M464" s="9"/>
    </row>
    <row r="465" spans="13:13">
      <c r="M465" s="9"/>
    </row>
    <row r="466" spans="13:13">
      <c r="M466" s="9"/>
    </row>
    <row r="467" spans="13:13">
      <c r="M467" s="9"/>
    </row>
    <row r="468" spans="13:13">
      <c r="M468" s="9"/>
    </row>
    <row r="469" spans="13:13">
      <c r="M469" s="9"/>
    </row>
    <row r="470" spans="13:13">
      <c r="M470" s="9"/>
    </row>
    <row r="471" spans="13:13">
      <c r="M471" s="9"/>
    </row>
    <row r="472" spans="13:13">
      <c r="M472" s="9"/>
    </row>
    <row r="473" spans="13:13">
      <c r="M473" s="9"/>
    </row>
    <row r="474" spans="13:13">
      <c r="M474" s="9"/>
    </row>
    <row r="475" spans="13:13">
      <c r="M475" s="9"/>
    </row>
    <row r="476" spans="13:13">
      <c r="M476" s="9"/>
    </row>
    <row r="477" spans="13:13">
      <c r="M477" s="9"/>
    </row>
    <row r="478" spans="13:13">
      <c r="M478" s="9"/>
    </row>
    <row r="479" spans="13:13">
      <c r="M479" s="9"/>
    </row>
    <row r="480" spans="13:13">
      <c r="M480" s="9"/>
    </row>
    <row r="481" spans="13:13">
      <c r="M481" s="9"/>
    </row>
    <row r="482" spans="13:13">
      <c r="M482" s="9"/>
    </row>
    <row r="483" spans="13:13">
      <c r="M483" s="9"/>
    </row>
    <row r="484" spans="13:13">
      <c r="M484" s="9"/>
    </row>
    <row r="485" spans="13:13">
      <c r="M485" s="9"/>
    </row>
    <row r="486" spans="13:13">
      <c r="M486" s="9"/>
    </row>
    <row r="487" spans="13:13">
      <c r="M487" s="9"/>
    </row>
    <row r="488" spans="13:13">
      <c r="M488" s="9"/>
    </row>
    <row r="489" spans="13:13">
      <c r="M489" s="9"/>
    </row>
    <row r="490" spans="13:13">
      <c r="M490" s="9"/>
    </row>
    <row r="491" spans="13:13">
      <c r="M491" s="9"/>
    </row>
    <row r="492" spans="13:13">
      <c r="M492" s="9"/>
    </row>
    <row r="493" spans="13:13">
      <c r="M493" s="9"/>
    </row>
    <row r="494" spans="13:13">
      <c r="M494" s="9"/>
    </row>
    <row r="495" spans="13:13">
      <c r="M495" s="9"/>
    </row>
    <row r="496" spans="13:13">
      <c r="M496" s="9"/>
    </row>
    <row r="497" spans="13:13">
      <c r="M497" s="9"/>
    </row>
    <row r="498" spans="13:13">
      <c r="M498" s="9"/>
    </row>
    <row r="499" spans="13:13">
      <c r="M499" s="9"/>
    </row>
    <row r="500" spans="13:13">
      <c r="M500" s="9"/>
    </row>
    <row r="501" spans="13:13">
      <c r="M501" s="9"/>
    </row>
    <row r="502" spans="13:13">
      <c r="M502" s="9"/>
    </row>
    <row r="503" spans="13:13">
      <c r="M503" s="9"/>
    </row>
    <row r="504" spans="13:13">
      <c r="M504" s="9"/>
    </row>
    <row r="505" spans="13:13">
      <c r="M505" s="9"/>
    </row>
    <row r="506" spans="13:13">
      <c r="M506" s="9"/>
    </row>
    <row r="507" spans="13:13">
      <c r="M507" s="9"/>
    </row>
    <row r="508" spans="13:13">
      <c r="M508" s="9"/>
    </row>
    <row r="509" spans="13:13">
      <c r="M509" s="9"/>
    </row>
    <row r="510" spans="13:13">
      <c r="M510" s="9"/>
    </row>
    <row r="511" spans="13:13">
      <c r="M511" s="9"/>
    </row>
    <row r="512" spans="13:13">
      <c r="M512" s="9"/>
    </row>
    <row r="513" spans="13:13">
      <c r="M513" s="9"/>
    </row>
    <row r="514" spans="13:13">
      <c r="M514" s="9"/>
    </row>
    <row r="515" spans="13:13">
      <c r="M515" s="9"/>
    </row>
    <row r="516" spans="13:13">
      <c r="M516" s="9"/>
    </row>
    <row r="517" spans="13:13">
      <c r="M517" s="9"/>
    </row>
    <row r="518" spans="13:13">
      <c r="M518" s="9"/>
    </row>
    <row r="519" spans="13:13">
      <c r="M519" s="9"/>
    </row>
    <row r="520" spans="13:13">
      <c r="M520" s="9"/>
    </row>
    <row r="521" spans="13:13">
      <c r="M521" s="9"/>
    </row>
    <row r="522" spans="13:13">
      <c r="M522" s="9"/>
    </row>
    <row r="523" spans="13:13">
      <c r="M523" s="9"/>
    </row>
    <row r="524" spans="13:13">
      <c r="M524" s="9"/>
    </row>
    <row r="525" spans="13:13">
      <c r="M525" s="9"/>
    </row>
    <row r="526" spans="13:13">
      <c r="M526" s="9"/>
    </row>
    <row r="527" spans="13:13">
      <c r="M527" s="9"/>
    </row>
    <row r="528" spans="13:13">
      <c r="M528" s="9"/>
    </row>
    <row r="529" spans="13:13">
      <c r="M529" s="9"/>
    </row>
    <row r="530" spans="13:13">
      <c r="M530" s="9"/>
    </row>
    <row r="531" spans="13:13">
      <c r="M531" s="9"/>
    </row>
    <row r="532" spans="13:13">
      <c r="M532" s="9"/>
    </row>
    <row r="533" spans="13:13">
      <c r="M533" s="9"/>
    </row>
    <row r="534" spans="13:13">
      <c r="M534" s="9"/>
    </row>
    <row r="535" spans="13:13">
      <c r="M535" s="9"/>
    </row>
    <row r="536" spans="13:13">
      <c r="M536" s="9"/>
    </row>
    <row r="537" spans="13:13">
      <c r="M537" s="9"/>
    </row>
    <row r="538" spans="13:13">
      <c r="M538" s="9"/>
    </row>
    <row r="539" spans="13:13">
      <c r="M539" s="9"/>
    </row>
    <row r="540" spans="13:13">
      <c r="M540" s="9"/>
    </row>
    <row r="541" spans="13:13">
      <c r="M541" s="9"/>
    </row>
    <row r="542" spans="13:13">
      <c r="M542" s="9"/>
    </row>
    <row r="543" spans="13:13">
      <c r="M543" s="9"/>
    </row>
    <row r="544" spans="13:13">
      <c r="M544" s="9"/>
    </row>
    <row r="545" spans="13:13">
      <c r="M545" s="9"/>
    </row>
    <row r="546" spans="13:13">
      <c r="M546" s="9"/>
    </row>
    <row r="547" spans="13:13">
      <c r="M547" s="9"/>
    </row>
    <row r="548" spans="13:13">
      <c r="M548" s="9"/>
    </row>
    <row r="549" spans="13:13">
      <c r="M549" s="9"/>
    </row>
    <row r="550" spans="13:13">
      <c r="M550" s="9"/>
    </row>
    <row r="551" spans="13:13">
      <c r="M551" s="9"/>
    </row>
    <row r="552" spans="13:13">
      <c r="M552" s="9"/>
    </row>
    <row r="553" spans="13:13">
      <c r="M553" s="9"/>
    </row>
    <row r="554" spans="13:13">
      <c r="M554" s="9"/>
    </row>
    <row r="555" spans="13:13">
      <c r="M555" s="9"/>
    </row>
    <row r="556" spans="13:13">
      <c r="M556" s="9"/>
    </row>
    <row r="557" spans="13:13">
      <c r="M557" s="9"/>
    </row>
    <row r="558" spans="13:13">
      <c r="M558" s="9"/>
    </row>
    <row r="559" spans="13:13">
      <c r="M559" s="9"/>
    </row>
    <row r="560" spans="13:13">
      <c r="M560" s="9"/>
    </row>
    <row r="561" spans="13:13">
      <c r="M561" s="9"/>
    </row>
    <row r="562" spans="13:13">
      <c r="M562" s="9"/>
    </row>
    <row r="563" spans="13:13">
      <c r="M563" s="9"/>
    </row>
    <row r="564" spans="13:13">
      <c r="M564" s="9"/>
    </row>
    <row r="565" spans="13:13">
      <c r="M565" s="9"/>
    </row>
    <row r="566" spans="13:13">
      <c r="M566" s="9"/>
    </row>
    <row r="567" spans="13:13">
      <c r="M567" s="9"/>
    </row>
    <row r="568" spans="13:13">
      <c r="M568" s="9"/>
    </row>
    <row r="569" spans="13:13">
      <c r="M569" s="9"/>
    </row>
    <row r="570" spans="13:13">
      <c r="M570" s="9"/>
    </row>
    <row r="571" spans="13:13">
      <c r="M571" s="9"/>
    </row>
    <row r="572" spans="13:13">
      <c r="M572" s="9"/>
    </row>
    <row r="573" spans="13:13">
      <c r="M573" s="9"/>
    </row>
    <row r="574" spans="13:13">
      <c r="M574" s="9"/>
    </row>
    <row r="575" spans="13:13">
      <c r="M575" s="9"/>
    </row>
    <row r="576" spans="13:13">
      <c r="M576" s="9"/>
    </row>
    <row r="577" spans="13:13">
      <c r="M577" s="9"/>
    </row>
    <row r="578" spans="13:13">
      <c r="M578" s="9"/>
    </row>
    <row r="579" spans="13:13">
      <c r="M579" s="9"/>
    </row>
    <row r="580" spans="13:13">
      <c r="M580" s="9"/>
    </row>
    <row r="581" spans="13:13">
      <c r="M581" s="9"/>
    </row>
    <row r="582" spans="13:13">
      <c r="M582" s="9"/>
    </row>
    <row r="583" spans="13:13">
      <c r="M583" s="9"/>
    </row>
    <row r="584" spans="13:13">
      <c r="M584" s="9"/>
    </row>
    <row r="585" spans="13:13">
      <c r="M585" s="9"/>
    </row>
    <row r="586" spans="13:13">
      <c r="M586" s="9"/>
    </row>
    <row r="587" spans="13:13">
      <c r="M587" s="9"/>
    </row>
    <row r="588" spans="13:13">
      <c r="M588" s="9"/>
    </row>
    <row r="589" spans="13:13">
      <c r="M589" s="9"/>
    </row>
    <row r="590" spans="13:13">
      <c r="M590" s="9"/>
    </row>
    <row r="591" spans="13:13">
      <c r="M591" s="9"/>
    </row>
    <row r="592" spans="13:13">
      <c r="M592" s="9"/>
    </row>
    <row r="593" spans="13:13">
      <c r="M593" s="9"/>
    </row>
    <row r="594" spans="13:13">
      <c r="M594" s="9"/>
    </row>
    <row r="595" spans="13:13">
      <c r="M595" s="9"/>
    </row>
    <row r="596" spans="13:13">
      <c r="M596" s="9"/>
    </row>
    <row r="597" spans="13:13">
      <c r="M597" s="9"/>
    </row>
    <row r="598" spans="13:13">
      <c r="M598" s="9"/>
    </row>
    <row r="599" spans="13:13">
      <c r="M599" s="9"/>
    </row>
    <row r="600" spans="13:13">
      <c r="M600" s="9"/>
    </row>
    <row r="601" spans="13:13">
      <c r="M601" s="9"/>
    </row>
    <row r="602" spans="13:13">
      <c r="M602" s="9"/>
    </row>
    <row r="603" spans="13:13">
      <c r="M603" s="9"/>
    </row>
    <row r="604" spans="13:13">
      <c r="M604" s="9"/>
    </row>
    <row r="605" spans="13:13">
      <c r="M605" s="9"/>
    </row>
    <row r="606" spans="13:13">
      <c r="M606" s="9"/>
    </row>
    <row r="607" spans="13:13">
      <c r="M607" s="9"/>
    </row>
    <row r="608" spans="13:13">
      <c r="M608" s="9"/>
    </row>
    <row r="609" spans="13:13">
      <c r="M609" s="9"/>
    </row>
    <row r="610" spans="13:13">
      <c r="M610" s="9"/>
    </row>
    <row r="611" spans="13:13">
      <c r="M611" s="9"/>
    </row>
    <row r="612" spans="13:13">
      <c r="M612" s="9"/>
    </row>
    <row r="613" spans="13:13">
      <c r="M613" s="9"/>
    </row>
    <row r="614" spans="13:13">
      <c r="M614" s="9"/>
    </row>
    <row r="615" spans="13:13">
      <c r="M615" s="9"/>
    </row>
    <row r="616" spans="13:13">
      <c r="M616" s="9"/>
    </row>
    <row r="617" spans="13:13">
      <c r="M617" s="9"/>
    </row>
    <row r="618" spans="13:13">
      <c r="M618" s="9"/>
    </row>
    <row r="619" spans="13:13">
      <c r="M619" s="9"/>
    </row>
    <row r="620" spans="13:13">
      <c r="M620" s="9"/>
    </row>
    <row r="621" spans="13:13">
      <c r="M621" s="9"/>
    </row>
    <row r="622" spans="13:13">
      <c r="M622" s="9"/>
    </row>
    <row r="623" spans="13:13">
      <c r="M623" s="9"/>
    </row>
    <row r="624" spans="13:13">
      <c r="M624" s="9"/>
    </row>
    <row r="625" spans="13:13">
      <c r="M625" s="9"/>
    </row>
    <row r="626" spans="13:13">
      <c r="M626" s="9"/>
    </row>
    <row r="627" spans="13:13">
      <c r="M627" s="9"/>
    </row>
    <row r="628" spans="13:13">
      <c r="M628" s="9"/>
    </row>
    <row r="629" spans="13:13">
      <c r="M629" s="9"/>
    </row>
    <row r="630" spans="13:13">
      <c r="M630" s="9"/>
    </row>
    <row r="631" spans="13:13">
      <c r="M631" s="9"/>
    </row>
    <row r="632" spans="13:13">
      <c r="M632" s="9"/>
    </row>
    <row r="633" spans="13:13">
      <c r="M633" s="9"/>
    </row>
    <row r="634" spans="13:13">
      <c r="M634" s="9"/>
    </row>
    <row r="635" spans="13:13">
      <c r="M635" s="9"/>
    </row>
    <row r="636" spans="13:13">
      <c r="M636" s="9"/>
    </row>
    <row r="637" spans="13:13">
      <c r="M637" s="9"/>
    </row>
    <row r="638" spans="13:13">
      <c r="M638" s="9"/>
    </row>
    <row r="639" spans="13:13">
      <c r="M639" s="9"/>
    </row>
    <row r="640" spans="13:13">
      <c r="M640" s="9"/>
    </row>
    <row r="641" spans="13:13">
      <c r="M641" s="9"/>
    </row>
    <row r="642" spans="13:13">
      <c r="M642" s="9"/>
    </row>
    <row r="643" spans="13:13">
      <c r="M643" s="9"/>
    </row>
    <row r="644" spans="13:13">
      <c r="M644" s="9"/>
    </row>
    <row r="645" spans="13:13">
      <c r="M645" s="9"/>
    </row>
    <row r="646" spans="13:13">
      <c r="M646" s="9"/>
    </row>
    <row r="647" spans="13:13">
      <c r="M647" s="9"/>
    </row>
    <row r="648" spans="13:13">
      <c r="M648" s="9"/>
    </row>
    <row r="649" spans="13:13">
      <c r="M649" s="9"/>
    </row>
    <row r="650" spans="13:13">
      <c r="M650" s="9"/>
    </row>
    <row r="651" spans="13:13">
      <c r="M651" s="9"/>
    </row>
    <row r="652" spans="13:13">
      <c r="M652" s="9"/>
    </row>
    <row r="653" spans="13:13">
      <c r="M653" s="9"/>
    </row>
    <row r="654" spans="13:13">
      <c r="M654" s="9"/>
    </row>
    <row r="655" spans="13:13">
      <c r="M655" s="9"/>
    </row>
    <row r="656" spans="13:13">
      <c r="M656" s="9"/>
    </row>
    <row r="657" spans="13:13">
      <c r="M657" s="9"/>
    </row>
    <row r="658" spans="13:13">
      <c r="M658" s="9"/>
    </row>
    <row r="659" spans="13:13">
      <c r="M659" s="9"/>
    </row>
    <row r="660" spans="13:13">
      <c r="M660" s="9"/>
    </row>
    <row r="661" spans="13:13">
      <c r="M661" s="9"/>
    </row>
    <row r="662" spans="13:13">
      <c r="M662" s="9"/>
    </row>
    <row r="663" spans="13:13">
      <c r="M663" s="9"/>
    </row>
    <row r="664" spans="13:13">
      <c r="M664" s="9"/>
    </row>
    <row r="665" spans="13:13">
      <c r="M665" s="9"/>
    </row>
    <row r="666" spans="13:13">
      <c r="M666" s="9"/>
    </row>
    <row r="667" spans="13:13">
      <c r="M667" s="9"/>
    </row>
    <row r="668" spans="13:13">
      <c r="M668" s="9"/>
    </row>
    <row r="669" spans="13:13">
      <c r="M669" s="9"/>
    </row>
    <row r="670" spans="13:13">
      <c r="M670" s="9"/>
    </row>
    <row r="671" spans="13:13">
      <c r="M671" s="9"/>
    </row>
    <row r="672" spans="13:13">
      <c r="M672" s="9"/>
    </row>
    <row r="673" spans="13:13">
      <c r="M673" s="9"/>
    </row>
    <row r="674" spans="13:13">
      <c r="M674" s="9"/>
    </row>
    <row r="675" spans="13:13">
      <c r="M675" s="9"/>
    </row>
    <row r="676" spans="13:13">
      <c r="M676" s="9"/>
    </row>
    <row r="677" spans="13:13">
      <c r="M677" s="9"/>
    </row>
    <row r="678" spans="13:13">
      <c r="M678" s="9"/>
    </row>
    <row r="679" spans="13:13">
      <c r="M679" s="9"/>
    </row>
    <row r="680" spans="13:13">
      <c r="M680" s="9"/>
    </row>
    <row r="681" spans="13:13">
      <c r="M681" s="9"/>
    </row>
    <row r="682" spans="13:13">
      <c r="M682" s="9"/>
    </row>
    <row r="683" spans="13:13">
      <c r="M683" s="9"/>
    </row>
    <row r="684" spans="13:13">
      <c r="M684" s="9"/>
    </row>
    <row r="685" spans="13:13">
      <c r="M685" s="9"/>
    </row>
    <row r="686" spans="13:13">
      <c r="M686" s="9"/>
    </row>
    <row r="687" spans="13:13">
      <c r="M687" s="9"/>
    </row>
    <row r="688" spans="13:13">
      <c r="M688" s="9"/>
    </row>
    <row r="689" spans="13:13">
      <c r="M689" s="9"/>
    </row>
    <row r="690" spans="13:13">
      <c r="M690" s="9"/>
    </row>
    <row r="691" spans="13:13">
      <c r="M691" s="9"/>
    </row>
    <row r="692" spans="13:13">
      <c r="M692" s="9"/>
    </row>
    <row r="693" spans="13:13">
      <c r="M693" s="9"/>
    </row>
    <row r="694" spans="13:13">
      <c r="M694" s="9"/>
    </row>
    <row r="695" spans="13:13">
      <c r="M695" s="9"/>
    </row>
    <row r="696" spans="13:13">
      <c r="M696" s="9"/>
    </row>
    <row r="697" spans="13:13">
      <c r="M697" s="9"/>
    </row>
    <row r="698" spans="13:13">
      <c r="M698" s="9"/>
    </row>
    <row r="699" spans="13:13">
      <c r="M699" s="9"/>
    </row>
    <row r="700" spans="13:13">
      <c r="M700" s="9"/>
    </row>
    <row r="701" spans="13:13">
      <c r="M701" s="9"/>
    </row>
    <row r="702" spans="13:13">
      <c r="M702" s="9"/>
    </row>
    <row r="703" spans="13:13">
      <c r="M703" s="9"/>
    </row>
    <row r="704" spans="13:13">
      <c r="M704" s="9"/>
    </row>
    <row r="705" spans="13:13">
      <c r="M705" s="9"/>
    </row>
    <row r="706" spans="13:13">
      <c r="M706" s="9"/>
    </row>
    <row r="707" spans="13:13">
      <c r="M707" s="9"/>
    </row>
    <row r="708" spans="13:13">
      <c r="M708" s="9"/>
    </row>
    <row r="709" spans="13:13">
      <c r="M709" s="9"/>
    </row>
    <row r="710" spans="13:13">
      <c r="M710" s="9"/>
    </row>
    <row r="711" spans="13:13">
      <c r="M711" s="9"/>
    </row>
    <row r="712" spans="13:13">
      <c r="M712" s="9"/>
    </row>
    <row r="713" spans="13:13">
      <c r="M713" s="9"/>
    </row>
    <row r="714" spans="13:13">
      <c r="M714" s="9"/>
    </row>
    <row r="715" spans="13:13">
      <c r="M715" s="9"/>
    </row>
    <row r="716" spans="13:13">
      <c r="M716" s="9"/>
    </row>
    <row r="717" spans="13:13">
      <c r="M717" s="9"/>
    </row>
    <row r="718" spans="13:13">
      <c r="M718" s="9"/>
    </row>
    <row r="719" spans="13:13">
      <c r="M719" s="9"/>
    </row>
    <row r="720" spans="13:13">
      <c r="M720" s="9"/>
    </row>
    <row r="721" spans="13:13">
      <c r="M721" s="9"/>
    </row>
    <row r="722" spans="13:13">
      <c r="M722" s="9"/>
    </row>
    <row r="723" spans="13:13">
      <c r="M723" s="9"/>
    </row>
    <row r="724" spans="13:13">
      <c r="M724" s="9"/>
    </row>
    <row r="725" spans="13:13">
      <c r="M725" s="9"/>
    </row>
    <row r="726" spans="13:13">
      <c r="M726" s="9"/>
    </row>
    <row r="727" spans="13:13">
      <c r="M727" s="9"/>
    </row>
    <row r="728" spans="13:13">
      <c r="M728" s="9"/>
    </row>
    <row r="729" spans="13:13">
      <c r="M729" s="9"/>
    </row>
    <row r="730" spans="13:13">
      <c r="M730" s="9"/>
    </row>
    <row r="731" spans="13:13">
      <c r="M731" s="9"/>
    </row>
    <row r="732" spans="13:13">
      <c r="M732" s="9"/>
    </row>
    <row r="733" spans="13:13">
      <c r="M733" s="9"/>
    </row>
    <row r="734" spans="13:13">
      <c r="M734" s="9"/>
    </row>
    <row r="735" spans="13:13">
      <c r="M735" s="9"/>
    </row>
    <row r="736" spans="13:13">
      <c r="M736" s="9"/>
    </row>
    <row r="737" spans="13:13">
      <c r="M737" s="9"/>
    </row>
    <row r="738" spans="13:13">
      <c r="M738" s="9"/>
    </row>
    <row r="739" spans="13:13">
      <c r="M739" s="9"/>
    </row>
    <row r="740" spans="13:13">
      <c r="M740" s="9"/>
    </row>
    <row r="741" spans="13:13">
      <c r="M741" s="9"/>
    </row>
    <row r="742" spans="13:13">
      <c r="M742" s="9"/>
    </row>
    <row r="743" spans="13:13">
      <c r="M743" s="9"/>
    </row>
    <row r="744" spans="13:13">
      <c r="M744" s="9"/>
    </row>
    <row r="745" spans="13:13">
      <c r="M745" s="9"/>
    </row>
    <row r="746" spans="13:13">
      <c r="M746" s="9"/>
    </row>
    <row r="747" spans="13:13">
      <c r="M747" s="9"/>
    </row>
    <row r="748" spans="13:13">
      <c r="M748" s="9"/>
    </row>
    <row r="749" spans="13:13">
      <c r="M749" s="9"/>
    </row>
    <row r="750" spans="13:13">
      <c r="M750" s="9"/>
    </row>
    <row r="751" spans="13:13">
      <c r="M751" s="9"/>
    </row>
    <row r="752" spans="13:13">
      <c r="M752" s="9"/>
    </row>
    <row r="753" spans="13:13">
      <c r="M753" s="9"/>
    </row>
    <row r="754" spans="13:13">
      <c r="M754" s="9"/>
    </row>
    <row r="755" spans="13:13">
      <c r="M755" s="9"/>
    </row>
    <row r="756" spans="13:13">
      <c r="M756" s="9"/>
    </row>
    <row r="757" spans="13:13">
      <c r="M757" s="9"/>
    </row>
    <row r="758" spans="13:13">
      <c r="M758" s="9"/>
    </row>
    <row r="759" spans="13:13">
      <c r="M759" s="9"/>
    </row>
    <row r="760" spans="13:13">
      <c r="M760" s="9"/>
    </row>
    <row r="761" spans="13:13">
      <c r="M761" s="9"/>
    </row>
    <row r="762" spans="13:13">
      <c r="M762" s="9"/>
    </row>
    <row r="763" spans="13:13">
      <c r="M763" s="9"/>
    </row>
    <row r="764" spans="13:13">
      <c r="M764" s="9"/>
    </row>
    <row r="765" spans="13:13">
      <c r="M765" s="9"/>
    </row>
    <row r="766" spans="13:13">
      <c r="M766" s="9"/>
    </row>
    <row r="767" spans="13:13">
      <c r="M767" s="9"/>
    </row>
    <row r="768" spans="13:13">
      <c r="M768" s="9"/>
    </row>
    <row r="769" spans="13:13">
      <c r="M769" s="9"/>
    </row>
    <row r="770" spans="13:13">
      <c r="M770" s="9"/>
    </row>
    <row r="771" spans="13:13">
      <c r="M771" s="9"/>
    </row>
    <row r="772" spans="13:13">
      <c r="M772" s="9"/>
    </row>
    <row r="773" spans="13:13">
      <c r="M773" s="9"/>
    </row>
    <row r="774" spans="13:13">
      <c r="M774" s="9"/>
    </row>
    <row r="775" spans="13:13">
      <c r="M775" s="9"/>
    </row>
    <row r="776" spans="13:13">
      <c r="M776" s="9"/>
    </row>
    <row r="777" spans="13:13">
      <c r="M777" s="9"/>
    </row>
    <row r="778" spans="13:13">
      <c r="M778" s="9"/>
    </row>
    <row r="779" spans="13:13">
      <c r="M779" s="9"/>
    </row>
    <row r="780" spans="13:13">
      <c r="M780" s="9"/>
    </row>
    <row r="781" spans="13:13">
      <c r="M781" s="9"/>
    </row>
    <row r="782" spans="13:13">
      <c r="M782" s="9"/>
    </row>
    <row r="783" spans="13:13">
      <c r="M783" s="9"/>
    </row>
    <row r="784" spans="13:13">
      <c r="M784" s="9"/>
    </row>
    <row r="785" spans="13:13">
      <c r="M785" s="9"/>
    </row>
    <row r="786" spans="13:13">
      <c r="M786" s="9"/>
    </row>
    <row r="787" spans="13:13">
      <c r="M787" s="9"/>
    </row>
    <row r="788" spans="13:13">
      <c r="M788" s="9"/>
    </row>
    <row r="789" spans="13:13">
      <c r="M789" s="9"/>
    </row>
    <row r="790" spans="13:13">
      <c r="M790" s="9"/>
    </row>
    <row r="791" spans="13:13">
      <c r="M791" s="9"/>
    </row>
    <row r="792" spans="13:13">
      <c r="M792" s="9"/>
    </row>
    <row r="793" spans="13:13">
      <c r="M793" s="9"/>
    </row>
    <row r="794" spans="13:13">
      <c r="M794" s="9"/>
    </row>
    <row r="795" spans="13:13">
      <c r="M795" s="9"/>
    </row>
    <row r="796" spans="13:13">
      <c r="M796" s="9"/>
    </row>
    <row r="797" spans="13:13">
      <c r="M797" s="9"/>
    </row>
    <row r="798" spans="13:13">
      <c r="M798" s="9"/>
    </row>
    <row r="799" spans="13:13">
      <c r="M799" s="9"/>
    </row>
    <row r="800" spans="13:13">
      <c r="M800" s="9"/>
    </row>
    <row r="801" spans="13:13">
      <c r="M801" s="9"/>
    </row>
    <row r="802" spans="13:13">
      <c r="M802" s="9"/>
    </row>
    <row r="803" spans="13:13">
      <c r="M803" s="9"/>
    </row>
    <row r="804" spans="13:13">
      <c r="M804" s="9"/>
    </row>
    <row r="805" spans="13:13">
      <c r="M805" s="9"/>
    </row>
    <row r="806" spans="13:13">
      <c r="M806" s="9"/>
    </row>
    <row r="807" spans="13:13">
      <c r="M807" s="9"/>
    </row>
    <row r="808" spans="13:13">
      <c r="M808" s="9"/>
    </row>
    <row r="809" spans="13:13">
      <c r="M809" s="9"/>
    </row>
    <row r="810" spans="13:13">
      <c r="M810" s="9"/>
    </row>
    <row r="811" spans="13:13">
      <c r="M811" s="9"/>
    </row>
    <row r="812" spans="13:13">
      <c r="M812" s="9"/>
    </row>
    <row r="813" spans="13:13">
      <c r="M813" s="9"/>
    </row>
    <row r="814" spans="13:13">
      <c r="M814" s="9"/>
    </row>
    <row r="815" spans="13:13">
      <c r="M815" s="9"/>
    </row>
    <row r="816" spans="13:13">
      <c r="M816" s="9"/>
    </row>
    <row r="817" spans="13:13">
      <c r="M817" s="9"/>
    </row>
    <row r="818" spans="13:13">
      <c r="M818" s="9"/>
    </row>
    <row r="819" spans="13:13">
      <c r="M819" s="9"/>
    </row>
    <row r="820" spans="13:13">
      <c r="M820" s="9"/>
    </row>
    <row r="821" spans="13:13">
      <c r="M821" s="9"/>
    </row>
    <row r="822" spans="13:13">
      <c r="M822" s="9"/>
    </row>
    <row r="823" spans="13:13">
      <c r="M823" s="9"/>
    </row>
    <row r="824" spans="13:13">
      <c r="M824" s="9"/>
    </row>
    <row r="825" spans="13:13">
      <c r="M825" s="9"/>
    </row>
    <row r="826" spans="13:13">
      <c r="M826" s="9"/>
    </row>
    <row r="827" spans="13:13">
      <c r="M827" s="9"/>
    </row>
    <row r="828" spans="13:13">
      <c r="M828" s="9"/>
    </row>
    <row r="829" spans="13:13">
      <c r="M829" s="9"/>
    </row>
    <row r="830" spans="13:13">
      <c r="M830" s="9"/>
    </row>
    <row r="831" spans="13:13">
      <c r="M831" s="9"/>
    </row>
    <row r="832" spans="13:13">
      <c r="M832" s="9"/>
    </row>
    <row r="833" spans="13:13">
      <c r="M833" s="9"/>
    </row>
    <row r="834" spans="13:13">
      <c r="M834" s="9"/>
    </row>
    <row r="835" spans="13:13">
      <c r="M835" s="9"/>
    </row>
    <row r="836" spans="13:13">
      <c r="M836" s="9"/>
    </row>
    <row r="837" spans="13:13">
      <c r="M837" s="9"/>
    </row>
    <row r="838" spans="13:13">
      <c r="M838" s="9"/>
    </row>
    <row r="839" spans="13:13">
      <c r="M839" s="9"/>
    </row>
    <row r="840" spans="13:13">
      <c r="M840" s="9"/>
    </row>
    <row r="841" spans="13:13">
      <c r="M841" s="9"/>
    </row>
    <row r="842" spans="13:13">
      <c r="M842" s="9"/>
    </row>
    <row r="843" spans="13:13">
      <c r="M843" s="9"/>
    </row>
    <row r="844" spans="13:13">
      <c r="M844" s="9"/>
    </row>
    <row r="845" spans="13:13">
      <c r="M845" s="9"/>
    </row>
    <row r="846" spans="13:13">
      <c r="M846" s="9"/>
    </row>
    <row r="847" spans="13:13">
      <c r="M847" s="9"/>
    </row>
    <row r="848" spans="13:13">
      <c r="M848" s="9"/>
    </row>
    <row r="849" spans="13:13">
      <c r="M849" s="9"/>
    </row>
    <row r="850" spans="13:13">
      <c r="M850" s="9"/>
    </row>
    <row r="851" spans="13:13">
      <c r="M851" s="9"/>
    </row>
    <row r="852" spans="13:13">
      <c r="M852" s="9"/>
    </row>
    <row r="853" spans="13:13">
      <c r="M853" s="9"/>
    </row>
    <row r="854" spans="13:13">
      <c r="M854" s="9"/>
    </row>
    <row r="855" spans="13:13">
      <c r="M855" s="9"/>
    </row>
    <row r="856" spans="13:13">
      <c r="M856" s="9"/>
    </row>
    <row r="857" spans="13:13">
      <c r="M857" s="9"/>
    </row>
    <row r="858" spans="13:13">
      <c r="M858" s="9"/>
    </row>
    <row r="859" spans="13:13">
      <c r="M859" s="9"/>
    </row>
    <row r="860" spans="13:13">
      <c r="M860" s="9"/>
    </row>
    <row r="861" spans="13:13">
      <c r="M861" s="9"/>
    </row>
    <row r="862" spans="13:13">
      <c r="M862" s="9"/>
    </row>
    <row r="863" spans="13:13">
      <c r="M863" s="9"/>
    </row>
    <row r="864" spans="13:13">
      <c r="M864" s="9"/>
    </row>
    <row r="865" spans="13:13">
      <c r="M865" s="9"/>
    </row>
    <row r="866" spans="13:13">
      <c r="M866" s="9"/>
    </row>
    <row r="867" spans="13:13">
      <c r="M867" s="9"/>
    </row>
    <row r="868" spans="13:13">
      <c r="M868" s="9"/>
    </row>
    <row r="869" spans="13:13">
      <c r="M869" s="9"/>
    </row>
    <row r="870" spans="13:13">
      <c r="M870" s="9"/>
    </row>
    <row r="871" spans="13:13">
      <c r="M871" s="9"/>
    </row>
    <row r="872" spans="13:13">
      <c r="M872" s="9"/>
    </row>
    <row r="873" spans="13:13">
      <c r="M873" s="9"/>
    </row>
    <row r="874" spans="13:13">
      <c r="M874" s="9"/>
    </row>
    <row r="875" spans="13:13">
      <c r="M875" s="9"/>
    </row>
    <row r="876" spans="13:13">
      <c r="M876" s="9"/>
    </row>
    <row r="877" spans="13:13">
      <c r="M877" s="9"/>
    </row>
    <row r="878" spans="13:13">
      <c r="M878" s="9"/>
    </row>
    <row r="879" spans="13:13">
      <c r="M879" s="9"/>
    </row>
    <row r="880" spans="13:13">
      <c r="M880" s="9"/>
    </row>
    <row r="881" spans="13:13">
      <c r="M881" s="9"/>
    </row>
    <row r="882" spans="13:13">
      <c r="M882" s="9"/>
    </row>
    <row r="883" spans="13:13">
      <c r="M883" s="9"/>
    </row>
    <row r="884" spans="13:13">
      <c r="M884" s="9"/>
    </row>
    <row r="885" spans="13:13">
      <c r="M885" s="9"/>
    </row>
    <row r="886" spans="13:13">
      <c r="M886" s="9"/>
    </row>
    <row r="887" spans="13:13">
      <c r="M887" s="9"/>
    </row>
    <row r="888" spans="13:13">
      <c r="M888" s="9"/>
    </row>
    <row r="889" spans="13:13">
      <c r="M889" s="9"/>
    </row>
    <row r="890" spans="13:13">
      <c r="M890" s="9"/>
    </row>
    <row r="891" spans="13:13">
      <c r="M891" s="9"/>
    </row>
    <row r="892" spans="13:13">
      <c r="M892" s="9"/>
    </row>
    <row r="893" spans="13:13">
      <c r="M893" s="9"/>
    </row>
    <row r="894" spans="13:13">
      <c r="M894" s="9"/>
    </row>
    <row r="895" spans="13:13">
      <c r="M895" s="9"/>
    </row>
    <row r="896" spans="13:13">
      <c r="M896" s="9"/>
    </row>
    <row r="897" spans="13:13">
      <c r="M897" s="9"/>
    </row>
    <row r="898" spans="13:13">
      <c r="M898" s="9"/>
    </row>
    <row r="899" spans="13:13">
      <c r="M899" s="9"/>
    </row>
    <row r="900" spans="13:13">
      <c r="M900" s="9"/>
    </row>
    <row r="901" spans="13:13">
      <c r="M901" s="9"/>
    </row>
    <row r="902" spans="13:13">
      <c r="M902" s="9"/>
    </row>
    <row r="903" spans="13:13">
      <c r="M903" s="9"/>
    </row>
    <row r="904" spans="13:13">
      <c r="M904" s="9"/>
    </row>
    <row r="905" spans="13:13">
      <c r="M905" s="9"/>
    </row>
    <row r="906" spans="13:13">
      <c r="M906" s="9"/>
    </row>
    <row r="907" spans="13:13">
      <c r="M907" s="9"/>
    </row>
    <row r="908" spans="13:13">
      <c r="M908" s="9"/>
    </row>
    <row r="909" spans="13:13">
      <c r="M909" s="9"/>
    </row>
    <row r="910" spans="13:13">
      <c r="M910" s="9"/>
    </row>
    <row r="911" spans="13:13">
      <c r="M911" s="9"/>
    </row>
    <row r="912" spans="13:13">
      <c r="M912" s="9"/>
    </row>
    <row r="913" spans="13:13">
      <c r="M913" s="9"/>
    </row>
    <row r="914" spans="13:13">
      <c r="M914" s="9"/>
    </row>
    <row r="915" spans="13:13">
      <c r="M915" s="9"/>
    </row>
    <row r="916" spans="13:13">
      <c r="M916" s="9"/>
    </row>
    <row r="917" spans="13:13">
      <c r="M917" s="9"/>
    </row>
    <row r="918" spans="13:13">
      <c r="M918" s="9"/>
    </row>
    <row r="919" spans="13:13">
      <c r="M919" s="9"/>
    </row>
    <row r="920" spans="13:13">
      <c r="M920" s="9"/>
    </row>
    <row r="921" spans="13:13">
      <c r="M921" s="9"/>
    </row>
    <row r="922" spans="13:13">
      <c r="M922" s="9"/>
    </row>
    <row r="923" spans="13:13">
      <c r="M923" s="9"/>
    </row>
    <row r="924" spans="13:13">
      <c r="M924" s="9"/>
    </row>
    <row r="925" spans="13:13">
      <c r="M925" s="9"/>
    </row>
    <row r="926" spans="13:13">
      <c r="M926" s="9"/>
    </row>
    <row r="927" spans="13:13">
      <c r="M927" s="9"/>
    </row>
    <row r="928" spans="13:13">
      <c r="M928" s="9"/>
    </row>
    <row r="929" spans="13:13">
      <c r="M929" s="9"/>
    </row>
    <row r="930" spans="13:13">
      <c r="M930" s="9"/>
    </row>
    <row r="931" spans="13:13">
      <c r="M931" s="9"/>
    </row>
    <row r="932" spans="13:13">
      <c r="M932" s="9"/>
    </row>
    <row r="933" spans="13:13">
      <c r="M933" s="9"/>
    </row>
    <row r="934" spans="13:13">
      <c r="M934" s="9"/>
    </row>
    <row r="935" spans="13:13">
      <c r="M935" s="9"/>
    </row>
    <row r="936" spans="13:13">
      <c r="M936" s="9"/>
    </row>
    <row r="937" spans="13:13">
      <c r="M937" s="9"/>
    </row>
    <row r="938" spans="13:13">
      <c r="M938" s="9"/>
    </row>
    <row r="939" spans="13:13">
      <c r="M939" s="9"/>
    </row>
    <row r="940" spans="13:13">
      <c r="M940" s="9"/>
    </row>
    <row r="941" spans="13:13">
      <c r="M941" s="9"/>
    </row>
    <row r="942" spans="13:13">
      <c r="M942" s="9"/>
    </row>
    <row r="943" spans="13:13">
      <c r="M943" s="9"/>
    </row>
    <row r="944" spans="13:13">
      <c r="M944" s="9"/>
    </row>
    <row r="945" spans="13:13">
      <c r="M945" s="9"/>
    </row>
    <row r="946" spans="13:13">
      <c r="M946" s="9"/>
    </row>
    <row r="947" spans="13:13">
      <c r="M947" s="9"/>
    </row>
    <row r="948" spans="13:13">
      <c r="M948" s="9"/>
    </row>
    <row r="949" spans="13:13">
      <c r="M949" s="9"/>
    </row>
    <row r="950" spans="13:13">
      <c r="M950" s="9"/>
    </row>
    <row r="951" spans="13:13">
      <c r="M951" s="9"/>
    </row>
    <row r="952" spans="13:13">
      <c r="M952" s="9"/>
    </row>
    <row r="953" spans="13:13">
      <c r="M953" s="9"/>
    </row>
    <row r="954" spans="13:13">
      <c r="M954" s="9"/>
    </row>
    <row r="955" spans="13:13">
      <c r="M955" s="9"/>
    </row>
    <row r="956" spans="13:13">
      <c r="M956" s="9"/>
    </row>
    <row r="957" spans="13:13">
      <c r="M957" s="9"/>
    </row>
    <row r="958" spans="13:13">
      <c r="M958" s="9"/>
    </row>
    <row r="959" spans="13:13">
      <c r="M959" s="9"/>
    </row>
    <row r="960" spans="13:13">
      <c r="M960" s="9"/>
    </row>
    <row r="961" spans="13:13">
      <c r="M961" s="9"/>
    </row>
    <row r="962" spans="13:13">
      <c r="M962" s="9"/>
    </row>
    <row r="963" spans="13:13">
      <c r="M963" s="9"/>
    </row>
    <row r="964" spans="13:13">
      <c r="M964" s="9"/>
    </row>
    <row r="965" spans="13:13">
      <c r="M965" s="9"/>
    </row>
    <row r="966" spans="13:13">
      <c r="M966" s="9"/>
    </row>
    <row r="967" spans="13:13">
      <c r="M967" s="9"/>
    </row>
    <row r="968" spans="13:13">
      <c r="M968" s="9"/>
    </row>
    <row r="969" spans="13:13">
      <c r="M969" s="9"/>
    </row>
    <row r="970" spans="13:13">
      <c r="M970" s="9"/>
    </row>
    <row r="971" spans="13:13">
      <c r="M971" s="9"/>
    </row>
    <row r="972" spans="13:13">
      <c r="M972" s="9"/>
    </row>
    <row r="973" spans="13:13">
      <c r="M973" s="9"/>
    </row>
    <row r="974" spans="13:13">
      <c r="M974" s="9"/>
    </row>
    <row r="975" spans="13:13">
      <c r="M975" s="9"/>
    </row>
    <row r="976" spans="13:13">
      <c r="M976" s="9"/>
    </row>
    <row r="977" spans="13:13">
      <c r="M977" s="9"/>
    </row>
    <row r="978" spans="13:13">
      <c r="M978" s="9"/>
    </row>
    <row r="979" spans="13:13">
      <c r="M979" s="9"/>
    </row>
    <row r="980" spans="13:13">
      <c r="M980" s="9"/>
    </row>
    <row r="981" spans="13:13">
      <c r="M981" s="9"/>
    </row>
    <row r="982" spans="13:13">
      <c r="M982" s="9"/>
    </row>
    <row r="983" spans="13:13">
      <c r="M983" s="9"/>
    </row>
    <row r="984" spans="13:13">
      <c r="M984" s="9"/>
    </row>
    <row r="985" spans="13:13">
      <c r="M985" s="9"/>
    </row>
    <row r="986" spans="13:13">
      <c r="M986" s="9"/>
    </row>
    <row r="987" spans="13:13">
      <c r="M987" s="9"/>
    </row>
    <row r="988" spans="13:13">
      <c r="M988" s="9"/>
    </row>
    <row r="989" spans="13:13">
      <c r="M989" s="9"/>
    </row>
    <row r="990" spans="13:13">
      <c r="M990" s="9"/>
    </row>
    <row r="991" spans="13:13">
      <c r="M991" s="9"/>
    </row>
    <row r="992" spans="13:13">
      <c r="M992" s="9"/>
    </row>
    <row r="993" spans="13:13">
      <c r="M993" s="9"/>
    </row>
    <row r="994" spans="13:13">
      <c r="M994" s="9"/>
    </row>
    <row r="995" spans="13:13">
      <c r="M995" s="9"/>
    </row>
    <row r="996" spans="13:13">
      <c r="M996" s="9"/>
    </row>
    <row r="997" spans="13:13">
      <c r="M997" s="9"/>
    </row>
    <row r="998" spans="13:13">
      <c r="M998" s="9"/>
    </row>
    <row r="999" spans="13:13">
      <c r="M999" s="9"/>
    </row>
    <row r="1000" spans="13:13">
      <c r="M1000" s="9"/>
    </row>
  </sheetData>
  <autoFilter ref="A1:N22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0"/>
  <sheetViews>
    <sheetView workbookViewId="0"/>
  </sheetViews>
  <sheetFormatPr defaultColWidth="12.6640625" defaultRowHeight="15.75" customHeight="1"/>
  <cols>
    <col min="2" max="2" width="22.44140625" customWidth="1"/>
    <col min="6" max="6" width="24.88671875" customWidth="1"/>
    <col min="7" max="7" width="21" customWidth="1"/>
    <col min="8" max="10" width="26" customWidth="1"/>
    <col min="11" max="11" width="28.21875" customWidth="1"/>
  </cols>
  <sheetData>
    <row r="1" spans="1:14" ht="15.75" customHeight="1">
      <c r="A1" s="133" t="s">
        <v>2638</v>
      </c>
      <c r="B1" s="133" t="s">
        <v>1</v>
      </c>
      <c r="C1" s="133" t="s">
        <v>8289</v>
      </c>
      <c r="D1" s="133" t="s">
        <v>4902</v>
      </c>
      <c r="E1" s="133" t="s">
        <v>8290</v>
      </c>
      <c r="F1" s="133" t="s">
        <v>8291</v>
      </c>
      <c r="G1" s="133" t="s">
        <v>8292</v>
      </c>
      <c r="H1" s="134" t="s">
        <v>2648</v>
      </c>
      <c r="I1" s="134" t="s">
        <v>10</v>
      </c>
      <c r="J1" s="133" t="s">
        <v>8021</v>
      </c>
      <c r="K1" s="135" t="s">
        <v>8293</v>
      </c>
      <c r="L1" s="133" t="s">
        <v>8294</v>
      </c>
      <c r="M1" s="133" t="s">
        <v>8295</v>
      </c>
      <c r="N1" s="136" t="s">
        <v>4895</v>
      </c>
    </row>
    <row r="2" spans="1:14" ht="15.75" customHeight="1">
      <c r="A2" s="137">
        <v>1</v>
      </c>
      <c r="B2" s="133" t="s">
        <v>8296</v>
      </c>
      <c r="C2" s="133" t="s">
        <v>6933</v>
      </c>
      <c r="D2" s="133" t="s">
        <v>8297</v>
      </c>
      <c r="E2" s="133" t="s">
        <v>4901</v>
      </c>
      <c r="F2" s="133" t="s">
        <v>8298</v>
      </c>
      <c r="G2" s="133"/>
      <c r="H2" s="138" t="s">
        <v>1939</v>
      </c>
      <c r="I2" s="138" t="s">
        <v>1512</v>
      </c>
      <c r="J2" s="133" t="s">
        <v>8299</v>
      </c>
      <c r="K2" s="135" t="s">
        <v>8300</v>
      </c>
      <c r="L2" s="133" t="s">
        <v>8301</v>
      </c>
      <c r="M2" s="133" t="s">
        <v>8302</v>
      </c>
      <c r="N2" s="136">
        <v>2026</v>
      </c>
    </row>
    <row r="3" spans="1:14" ht="15.75" customHeight="1">
      <c r="A3" s="133"/>
      <c r="B3" s="133"/>
      <c r="C3" s="133"/>
      <c r="D3" s="133" t="s">
        <v>8303</v>
      </c>
      <c r="E3" s="133" t="s">
        <v>4902</v>
      </c>
      <c r="F3" s="133"/>
      <c r="G3" s="133"/>
      <c r="H3" s="138" t="s">
        <v>1939</v>
      </c>
      <c r="I3" s="138" t="s">
        <v>1514</v>
      </c>
      <c r="J3" s="133" t="s">
        <v>8299</v>
      </c>
      <c r="K3" s="135"/>
      <c r="L3" s="133"/>
      <c r="M3" s="133"/>
      <c r="N3" s="136">
        <v>2026</v>
      </c>
    </row>
    <row r="4" spans="1:14" ht="15.75" customHeight="1">
      <c r="A4" s="133"/>
      <c r="B4" s="133"/>
      <c r="C4" s="133"/>
      <c r="D4" s="133" t="s">
        <v>8304</v>
      </c>
      <c r="E4" s="133" t="s">
        <v>4902</v>
      </c>
      <c r="F4" s="133"/>
      <c r="G4" s="133"/>
      <c r="H4" s="138" t="s">
        <v>1939</v>
      </c>
      <c r="I4" s="138" t="s">
        <v>1516</v>
      </c>
      <c r="J4" s="133" t="s">
        <v>8299</v>
      </c>
      <c r="K4" s="135"/>
      <c r="L4" s="133"/>
      <c r="M4" s="133"/>
      <c r="N4" s="136">
        <v>2026</v>
      </c>
    </row>
    <row r="5" spans="1:14" ht="15.75" customHeight="1">
      <c r="A5" s="133"/>
      <c r="B5" s="133"/>
      <c r="C5" s="133"/>
      <c r="D5" s="133" t="s">
        <v>8305</v>
      </c>
      <c r="E5" s="133" t="s">
        <v>4902</v>
      </c>
      <c r="F5" s="133"/>
      <c r="G5" s="133"/>
      <c r="H5" s="138" t="s">
        <v>1939</v>
      </c>
      <c r="I5" s="138" t="s">
        <v>1518</v>
      </c>
      <c r="J5" s="133" t="s">
        <v>8299</v>
      </c>
      <c r="K5" s="135"/>
      <c r="L5" s="133"/>
      <c r="M5" s="133"/>
      <c r="N5" s="136">
        <v>2026</v>
      </c>
    </row>
    <row r="6" spans="1:14" ht="15.75" customHeight="1">
      <c r="A6" s="137">
        <v>2</v>
      </c>
      <c r="B6" s="133" t="s">
        <v>8306</v>
      </c>
      <c r="C6" s="133" t="s">
        <v>8307</v>
      </c>
      <c r="D6" s="133" t="s">
        <v>1476</v>
      </c>
      <c r="E6" s="133" t="s">
        <v>4901</v>
      </c>
      <c r="F6" s="133" t="s">
        <v>8308</v>
      </c>
      <c r="G6" s="133"/>
      <c r="H6" s="138" t="s">
        <v>1478</v>
      </c>
      <c r="I6" s="138" t="s">
        <v>1437</v>
      </c>
      <c r="J6" s="133" t="s">
        <v>8309</v>
      </c>
      <c r="K6" s="135" t="s">
        <v>8310</v>
      </c>
      <c r="L6" s="133" t="s">
        <v>8311</v>
      </c>
      <c r="M6" s="133"/>
      <c r="N6" s="136">
        <v>2026</v>
      </c>
    </row>
    <row r="7" spans="1:14" ht="15.75" customHeight="1">
      <c r="A7" s="133"/>
      <c r="B7" s="133"/>
      <c r="C7" s="133"/>
      <c r="D7" s="133" t="s">
        <v>8312</v>
      </c>
      <c r="E7" s="133" t="s">
        <v>4902</v>
      </c>
      <c r="F7" s="133"/>
      <c r="G7" s="133"/>
      <c r="H7" s="138" t="s">
        <v>1478</v>
      </c>
      <c r="I7" s="138" t="s">
        <v>1437</v>
      </c>
      <c r="J7" s="133" t="s">
        <v>8309</v>
      </c>
      <c r="K7" s="135"/>
      <c r="L7" s="133"/>
      <c r="M7" s="133"/>
      <c r="N7" s="136">
        <v>2026</v>
      </c>
    </row>
    <row r="8" spans="1:14" ht="15.75" customHeight="1">
      <c r="A8" s="133"/>
      <c r="B8" s="133"/>
      <c r="C8" s="133"/>
      <c r="D8" s="133" t="s">
        <v>8313</v>
      </c>
      <c r="E8" s="133" t="s">
        <v>4902</v>
      </c>
      <c r="F8" s="133"/>
      <c r="G8" s="133"/>
      <c r="H8" s="138" t="s">
        <v>1478</v>
      </c>
      <c r="I8" s="138" t="s">
        <v>1437</v>
      </c>
      <c r="J8" s="133" t="s">
        <v>8309</v>
      </c>
      <c r="K8" s="135"/>
      <c r="L8" s="133"/>
      <c r="M8" s="133"/>
      <c r="N8" s="136">
        <v>2026</v>
      </c>
    </row>
    <row r="9" spans="1:14" ht="15.75" customHeight="1">
      <c r="A9" s="137">
        <v>3</v>
      </c>
      <c r="B9" s="133" t="s">
        <v>8314</v>
      </c>
      <c r="C9" s="133" t="s">
        <v>6933</v>
      </c>
      <c r="D9" s="133" t="s">
        <v>8315</v>
      </c>
      <c r="E9" s="133" t="s">
        <v>4901</v>
      </c>
      <c r="F9" s="133" t="s">
        <v>8316</v>
      </c>
      <c r="G9" s="133" t="s">
        <v>8317</v>
      </c>
      <c r="H9" s="138" t="s">
        <v>1939</v>
      </c>
      <c r="I9" s="138" t="s">
        <v>1512</v>
      </c>
      <c r="J9" s="133" t="s">
        <v>8299</v>
      </c>
      <c r="K9" s="135" t="s">
        <v>8318</v>
      </c>
      <c r="L9" s="133" t="s">
        <v>8319</v>
      </c>
      <c r="M9" s="133"/>
      <c r="N9" s="136">
        <v>2026</v>
      </c>
    </row>
    <row r="10" spans="1:14" ht="15.75" customHeight="1">
      <c r="A10" s="133"/>
      <c r="B10" s="133"/>
      <c r="C10" s="133"/>
      <c r="D10" s="133" t="s">
        <v>8320</v>
      </c>
      <c r="E10" s="133" t="s">
        <v>4902</v>
      </c>
      <c r="F10" s="133"/>
      <c r="G10" s="133"/>
      <c r="H10" s="138" t="s">
        <v>1939</v>
      </c>
      <c r="I10" s="138" t="s">
        <v>1512</v>
      </c>
      <c r="J10" s="133" t="s">
        <v>8299</v>
      </c>
      <c r="K10" s="135"/>
      <c r="L10" s="133"/>
      <c r="M10" s="133"/>
      <c r="N10" s="136">
        <v>2026</v>
      </c>
    </row>
    <row r="11" spans="1:14" ht="15.75" customHeight="1">
      <c r="A11" s="133"/>
      <c r="B11" s="133"/>
      <c r="C11" s="133"/>
      <c r="D11" s="133" t="s">
        <v>8321</v>
      </c>
      <c r="E11" s="133" t="s">
        <v>4902</v>
      </c>
      <c r="F11" s="133"/>
      <c r="G11" s="133"/>
      <c r="H11" s="138" t="s">
        <v>1939</v>
      </c>
      <c r="I11" s="138" t="s">
        <v>1512</v>
      </c>
      <c r="J11" s="133" t="s">
        <v>8299</v>
      </c>
      <c r="K11" s="135"/>
      <c r="L11" s="133"/>
      <c r="M11" s="133"/>
      <c r="N11" s="136">
        <v>2026</v>
      </c>
    </row>
    <row r="12" spans="1:14" ht="15.75" customHeight="1">
      <c r="A12" s="133"/>
      <c r="B12" s="133"/>
      <c r="C12" s="133"/>
      <c r="D12" s="133" t="s">
        <v>8322</v>
      </c>
      <c r="E12" s="133" t="s">
        <v>4902</v>
      </c>
      <c r="F12" s="133"/>
      <c r="G12" s="133"/>
      <c r="H12" s="138" t="s">
        <v>1939</v>
      </c>
      <c r="I12" s="138" t="s">
        <v>1512</v>
      </c>
      <c r="J12" s="133" t="s">
        <v>8299</v>
      </c>
      <c r="K12" s="135"/>
      <c r="L12" s="133"/>
      <c r="M12" s="133"/>
      <c r="N12" s="136">
        <v>2026</v>
      </c>
    </row>
    <row r="13" spans="1:14" ht="15.75" customHeight="1">
      <c r="A13" s="133"/>
      <c r="B13" s="133"/>
      <c r="C13" s="133"/>
      <c r="D13" s="133" t="s">
        <v>8323</v>
      </c>
      <c r="E13" s="133" t="s">
        <v>4902</v>
      </c>
      <c r="F13" s="133"/>
      <c r="G13" s="133"/>
      <c r="H13" s="138" t="s">
        <v>1939</v>
      </c>
      <c r="I13" s="138" t="s">
        <v>1512</v>
      </c>
      <c r="J13" s="133" t="s">
        <v>8299</v>
      </c>
      <c r="K13" s="135"/>
      <c r="L13" s="133"/>
      <c r="M13" s="133"/>
      <c r="N13" s="136">
        <v>2026</v>
      </c>
    </row>
    <row r="14" spans="1:14" ht="15.75" customHeight="1">
      <c r="A14" s="137">
        <v>4</v>
      </c>
      <c r="B14" s="133" t="s">
        <v>8324</v>
      </c>
      <c r="C14" s="133" t="s">
        <v>8307</v>
      </c>
      <c r="D14" s="133" t="s">
        <v>8325</v>
      </c>
      <c r="E14" s="133" t="s">
        <v>4901</v>
      </c>
      <c r="F14" s="133" t="s">
        <v>1273</v>
      </c>
      <c r="G14" s="133"/>
      <c r="H14" s="138" t="s">
        <v>1478</v>
      </c>
      <c r="I14" s="138" t="s">
        <v>1437</v>
      </c>
      <c r="J14" s="133" t="s">
        <v>8309</v>
      </c>
      <c r="K14" s="135" t="s">
        <v>8326</v>
      </c>
      <c r="L14" s="133" t="s">
        <v>8327</v>
      </c>
      <c r="M14" s="133"/>
      <c r="N14" s="136">
        <v>2026</v>
      </c>
    </row>
    <row r="15" spans="1:14" ht="15.75" customHeight="1">
      <c r="A15" s="133"/>
      <c r="B15" s="133"/>
      <c r="C15" s="133"/>
      <c r="D15" s="133" t="s">
        <v>8328</v>
      </c>
      <c r="E15" s="133" t="s">
        <v>4902</v>
      </c>
      <c r="F15" s="133"/>
      <c r="G15" s="133"/>
      <c r="H15" s="138" t="s">
        <v>1478</v>
      </c>
      <c r="I15" s="138" t="s">
        <v>1437</v>
      </c>
      <c r="J15" s="133" t="s">
        <v>8309</v>
      </c>
      <c r="K15" s="135"/>
      <c r="L15" s="133"/>
      <c r="M15" s="133"/>
      <c r="N15" s="136">
        <v>2026</v>
      </c>
    </row>
    <row r="16" spans="1:14" ht="15.75" customHeight="1">
      <c r="A16" s="133"/>
      <c r="B16" s="133"/>
      <c r="C16" s="133"/>
      <c r="D16" s="133" t="s">
        <v>8329</v>
      </c>
      <c r="E16" s="133" t="s">
        <v>4902</v>
      </c>
      <c r="F16" s="133"/>
      <c r="G16" s="133"/>
      <c r="H16" s="138" t="s">
        <v>1478</v>
      </c>
      <c r="I16" s="138" t="s">
        <v>1437</v>
      </c>
      <c r="J16" s="133" t="s">
        <v>8309</v>
      </c>
      <c r="K16" s="135"/>
      <c r="L16" s="133"/>
      <c r="M16" s="133"/>
      <c r="N16" s="136">
        <v>2026</v>
      </c>
    </row>
    <row r="17" spans="1:14" ht="15.75" customHeight="1">
      <c r="A17" s="137">
        <v>5</v>
      </c>
      <c r="B17" s="133" t="s">
        <v>8330</v>
      </c>
      <c r="C17" s="133" t="s">
        <v>8331</v>
      </c>
      <c r="D17" s="133" t="s">
        <v>344</v>
      </c>
      <c r="E17" s="133" t="s">
        <v>4901</v>
      </c>
      <c r="F17" s="133" t="s">
        <v>141</v>
      </c>
      <c r="G17" s="133"/>
      <c r="H17" s="138" t="s">
        <v>1975</v>
      </c>
      <c r="I17" s="138" t="s">
        <v>1352</v>
      </c>
      <c r="J17" s="133" t="s">
        <v>8092</v>
      </c>
      <c r="K17" s="135" t="s">
        <v>8332</v>
      </c>
      <c r="L17" s="133" t="s">
        <v>8333</v>
      </c>
      <c r="M17" s="133" t="s">
        <v>8334</v>
      </c>
      <c r="N17" s="136">
        <v>2026</v>
      </c>
    </row>
    <row r="18" spans="1:14" ht="15.75" customHeight="1">
      <c r="A18" s="133"/>
      <c r="B18" s="133"/>
      <c r="C18" s="133"/>
      <c r="D18" s="133" t="s">
        <v>345</v>
      </c>
      <c r="E18" s="133" t="s">
        <v>4902</v>
      </c>
      <c r="F18" s="133"/>
      <c r="G18" s="133"/>
      <c r="H18" s="138" t="s">
        <v>1975</v>
      </c>
      <c r="I18" s="138" t="s">
        <v>1352</v>
      </c>
      <c r="J18" s="133" t="s">
        <v>8092</v>
      </c>
      <c r="K18" s="135"/>
      <c r="L18" s="133"/>
      <c r="M18" s="133"/>
      <c r="N18" s="136">
        <v>2026</v>
      </c>
    </row>
    <row r="19" spans="1:14" ht="15.75" customHeight="1">
      <c r="A19" s="133"/>
      <c r="B19" s="133"/>
      <c r="C19" s="133"/>
      <c r="D19" s="133" t="s">
        <v>346</v>
      </c>
      <c r="E19" s="133" t="s">
        <v>4902</v>
      </c>
      <c r="F19" s="133"/>
      <c r="G19" s="133"/>
      <c r="H19" s="138" t="s">
        <v>1975</v>
      </c>
      <c r="I19" s="138" t="s">
        <v>1352</v>
      </c>
      <c r="J19" s="133" t="s">
        <v>8092</v>
      </c>
      <c r="K19" s="135"/>
      <c r="L19" s="133"/>
      <c r="M19" s="133"/>
      <c r="N19" s="136">
        <v>2026</v>
      </c>
    </row>
    <row r="20" spans="1:14" ht="15.75" customHeight="1">
      <c r="A20" s="137">
        <v>6</v>
      </c>
      <c r="B20" s="133" t="s">
        <v>8335</v>
      </c>
      <c r="C20" s="133" t="s">
        <v>8307</v>
      </c>
      <c r="D20" s="133" t="s">
        <v>8336</v>
      </c>
      <c r="E20" s="133" t="s">
        <v>4901</v>
      </c>
      <c r="F20" s="133" t="s">
        <v>8337</v>
      </c>
      <c r="G20" s="133"/>
      <c r="H20" s="138" t="s">
        <v>2361</v>
      </c>
      <c r="I20" s="138" t="s">
        <v>1417</v>
      </c>
      <c r="J20" s="133" t="s">
        <v>8338</v>
      </c>
      <c r="K20" s="135" t="s">
        <v>8339</v>
      </c>
      <c r="L20" s="133" t="s">
        <v>8340</v>
      </c>
      <c r="M20" s="133"/>
      <c r="N20" s="136">
        <v>2026</v>
      </c>
    </row>
    <row r="21" spans="1:14" ht="15.75" customHeight="1">
      <c r="A21" s="133"/>
      <c r="B21" s="133"/>
      <c r="C21" s="133"/>
      <c r="D21" s="133" t="s">
        <v>8341</v>
      </c>
      <c r="E21" s="133" t="s">
        <v>4902</v>
      </c>
      <c r="F21" s="133"/>
      <c r="G21" s="133"/>
      <c r="H21" s="138" t="s">
        <v>2361</v>
      </c>
      <c r="I21" s="138" t="s">
        <v>1417</v>
      </c>
      <c r="J21" s="133" t="s">
        <v>8338</v>
      </c>
      <c r="K21" s="135"/>
      <c r="L21" s="133"/>
      <c r="M21" s="133"/>
      <c r="N21" s="136">
        <v>2026</v>
      </c>
    </row>
    <row r="22" spans="1:14" ht="15.75" customHeight="1">
      <c r="A22" s="133"/>
      <c r="B22" s="133"/>
      <c r="C22" s="133"/>
      <c r="D22" s="133" t="s">
        <v>8342</v>
      </c>
      <c r="E22" s="133" t="s">
        <v>4902</v>
      </c>
      <c r="F22" s="133" t="s">
        <v>8343</v>
      </c>
      <c r="G22" s="133"/>
      <c r="H22" s="138" t="s">
        <v>2361</v>
      </c>
      <c r="I22" s="138" t="s">
        <v>1417</v>
      </c>
      <c r="J22" s="133" t="s">
        <v>8338</v>
      </c>
      <c r="K22" s="135"/>
      <c r="L22" s="133"/>
      <c r="M22" s="133"/>
      <c r="N22" s="136">
        <v>2026</v>
      </c>
    </row>
    <row r="23" spans="1:14" ht="15.75" customHeight="1">
      <c r="A23" s="133"/>
      <c r="B23" s="133"/>
      <c r="C23" s="133"/>
      <c r="D23" s="133" t="s">
        <v>8344</v>
      </c>
      <c r="E23" s="133" t="s">
        <v>4902</v>
      </c>
      <c r="F23" s="133" t="s">
        <v>8343</v>
      </c>
      <c r="G23" s="133"/>
      <c r="H23" s="138" t="s">
        <v>2361</v>
      </c>
      <c r="I23" s="138" t="s">
        <v>1417</v>
      </c>
      <c r="J23" s="133" t="s">
        <v>8338</v>
      </c>
      <c r="K23" s="135"/>
      <c r="L23" s="133"/>
      <c r="M23" s="133"/>
      <c r="N23" s="136">
        <v>2026</v>
      </c>
    </row>
    <row r="24" spans="1:14" ht="15.75" customHeight="1">
      <c r="A24" s="133"/>
      <c r="B24" s="133"/>
      <c r="C24" s="133"/>
      <c r="D24" s="133" t="s">
        <v>8345</v>
      </c>
      <c r="E24" s="133" t="s">
        <v>4902</v>
      </c>
      <c r="F24" s="133" t="s">
        <v>8346</v>
      </c>
      <c r="G24" s="133"/>
      <c r="H24" s="138" t="s">
        <v>2361</v>
      </c>
      <c r="I24" s="138" t="s">
        <v>1417</v>
      </c>
      <c r="J24" s="133" t="s">
        <v>8338</v>
      </c>
      <c r="K24" s="135"/>
      <c r="L24" s="133"/>
      <c r="M24" s="133"/>
      <c r="N24" s="136">
        <v>2026</v>
      </c>
    </row>
    <row r="25" spans="1:14" ht="15.75" customHeight="1">
      <c r="A25" s="137">
        <v>7</v>
      </c>
      <c r="B25" s="133" t="s">
        <v>8347</v>
      </c>
      <c r="C25" s="133" t="s">
        <v>8348</v>
      </c>
      <c r="D25" s="133" t="s">
        <v>2546</v>
      </c>
      <c r="E25" s="133" t="s">
        <v>4901</v>
      </c>
      <c r="F25" s="133" t="s">
        <v>815</v>
      </c>
      <c r="G25" s="133" t="s">
        <v>8349</v>
      </c>
      <c r="H25" s="138" t="s">
        <v>1975</v>
      </c>
      <c r="I25" s="138" t="s">
        <v>1352</v>
      </c>
      <c r="J25" s="133" t="s">
        <v>8092</v>
      </c>
      <c r="K25" s="135" t="s">
        <v>8350</v>
      </c>
      <c r="L25" s="133" t="s">
        <v>8351</v>
      </c>
      <c r="M25" s="133"/>
      <c r="N25" s="136">
        <v>2026</v>
      </c>
    </row>
    <row r="26" spans="1:14" ht="15.75" customHeight="1">
      <c r="A26" s="133"/>
      <c r="B26" s="133"/>
      <c r="C26" s="133"/>
      <c r="D26" s="133" t="s">
        <v>2547</v>
      </c>
      <c r="E26" s="133" t="s">
        <v>4902</v>
      </c>
      <c r="F26" s="133"/>
      <c r="G26" s="133"/>
      <c r="H26" s="138" t="s">
        <v>1975</v>
      </c>
      <c r="I26" s="138" t="s">
        <v>1352</v>
      </c>
      <c r="J26" s="133" t="s">
        <v>8092</v>
      </c>
      <c r="K26" s="135"/>
      <c r="L26" s="133"/>
      <c r="M26" s="133"/>
      <c r="N26" s="136">
        <v>2026</v>
      </c>
    </row>
    <row r="27" spans="1:14" ht="15.75" customHeight="1">
      <c r="A27" s="133"/>
      <c r="B27" s="133"/>
      <c r="C27" s="133"/>
      <c r="D27" s="133" t="s">
        <v>869</v>
      </c>
      <c r="E27" s="133" t="s">
        <v>4902</v>
      </c>
      <c r="F27" s="133"/>
      <c r="G27" s="133"/>
      <c r="H27" s="138" t="s">
        <v>1975</v>
      </c>
      <c r="I27" s="138" t="s">
        <v>1352</v>
      </c>
      <c r="J27" s="133" t="s">
        <v>8092</v>
      </c>
      <c r="K27" s="135"/>
      <c r="L27" s="133"/>
      <c r="M27" s="133"/>
      <c r="N27" s="136">
        <v>2026</v>
      </c>
    </row>
    <row r="28" spans="1:14" ht="15.75" customHeight="1">
      <c r="A28" s="137">
        <v>8</v>
      </c>
      <c r="B28" s="133" t="s">
        <v>8352</v>
      </c>
      <c r="C28" s="133" t="s">
        <v>8353</v>
      </c>
      <c r="D28" s="133" t="s">
        <v>8354</v>
      </c>
      <c r="E28" s="133" t="s">
        <v>4901</v>
      </c>
      <c r="F28" s="133" t="s">
        <v>8298</v>
      </c>
      <c r="G28" s="133" t="s">
        <v>8355</v>
      </c>
      <c r="H28" s="138" t="s">
        <v>1939</v>
      </c>
      <c r="I28" s="138" t="s">
        <v>1512</v>
      </c>
      <c r="J28" s="133" t="s">
        <v>8299</v>
      </c>
      <c r="K28" s="135" t="s">
        <v>8356</v>
      </c>
      <c r="L28" s="133" t="s">
        <v>8357</v>
      </c>
      <c r="M28" s="133"/>
      <c r="N28" s="136">
        <v>2026</v>
      </c>
    </row>
    <row r="29" spans="1:14" ht="15.75" customHeight="1">
      <c r="A29" s="133"/>
      <c r="B29" s="133"/>
      <c r="C29" s="133"/>
      <c r="D29" s="133" t="s">
        <v>8358</v>
      </c>
      <c r="E29" s="133" t="s">
        <v>4902</v>
      </c>
      <c r="F29" s="133"/>
      <c r="G29" s="133"/>
      <c r="H29" s="138" t="s">
        <v>1939</v>
      </c>
      <c r="I29" s="138" t="s">
        <v>1512</v>
      </c>
      <c r="J29" s="133" t="s">
        <v>8299</v>
      </c>
      <c r="K29" s="135"/>
      <c r="L29" s="133"/>
      <c r="M29" s="133"/>
      <c r="N29" s="136">
        <v>2026</v>
      </c>
    </row>
    <row r="30" spans="1:14" ht="15.75" customHeight="1">
      <c r="A30" s="133"/>
      <c r="B30" s="133"/>
      <c r="C30" s="133"/>
      <c r="D30" s="133" t="s">
        <v>8359</v>
      </c>
      <c r="E30" s="133" t="s">
        <v>4902</v>
      </c>
      <c r="F30" s="133"/>
      <c r="G30" s="133"/>
      <c r="H30" s="138" t="s">
        <v>1939</v>
      </c>
      <c r="I30" s="138" t="s">
        <v>1512</v>
      </c>
      <c r="J30" s="133" t="s">
        <v>8299</v>
      </c>
      <c r="K30" s="135"/>
      <c r="L30" s="133"/>
      <c r="M30" s="133"/>
      <c r="N30" s="136">
        <v>2026</v>
      </c>
    </row>
    <row r="31" spans="1:14" ht="15.75" customHeight="1">
      <c r="A31" s="133"/>
      <c r="B31" s="133"/>
      <c r="C31" s="133"/>
      <c r="D31" s="133" t="s">
        <v>8360</v>
      </c>
      <c r="E31" s="133" t="s">
        <v>4902</v>
      </c>
      <c r="F31" s="133"/>
      <c r="G31" s="133"/>
      <c r="H31" s="138" t="s">
        <v>1939</v>
      </c>
      <c r="I31" s="138" t="s">
        <v>1512</v>
      </c>
      <c r="J31" s="133" t="s">
        <v>8299</v>
      </c>
      <c r="K31" s="135"/>
      <c r="L31" s="133"/>
      <c r="M31" s="133"/>
      <c r="N31" s="136">
        <v>2026</v>
      </c>
    </row>
    <row r="32" spans="1:14" ht="15.75" customHeight="1">
      <c r="A32" s="133"/>
      <c r="B32" s="133"/>
      <c r="C32" s="133"/>
      <c r="D32" s="133" t="s">
        <v>8361</v>
      </c>
      <c r="E32" s="133" t="s">
        <v>4902</v>
      </c>
      <c r="F32" s="133"/>
      <c r="G32" s="133"/>
      <c r="H32" s="138" t="s">
        <v>1939</v>
      </c>
      <c r="I32" s="138" t="s">
        <v>1512</v>
      </c>
      <c r="J32" s="133" t="s">
        <v>8299</v>
      </c>
      <c r="K32" s="135"/>
      <c r="L32" s="133"/>
      <c r="M32" s="133"/>
      <c r="N32" s="136">
        <v>2026</v>
      </c>
    </row>
    <row r="33" spans="1:14" ht="14.4">
      <c r="A33" s="137">
        <v>9</v>
      </c>
      <c r="B33" s="133" t="s">
        <v>8362</v>
      </c>
      <c r="C33" s="133" t="s">
        <v>8363</v>
      </c>
      <c r="D33" s="133" t="s">
        <v>8364</v>
      </c>
      <c r="E33" s="133" t="s">
        <v>4901</v>
      </c>
      <c r="F33" s="133" t="s">
        <v>8298</v>
      </c>
      <c r="G33" s="133"/>
      <c r="H33" s="138" t="s">
        <v>1939</v>
      </c>
      <c r="I33" s="138" t="s">
        <v>1512</v>
      </c>
      <c r="J33" s="133" t="s">
        <v>8299</v>
      </c>
      <c r="K33" s="135"/>
      <c r="L33" s="133" t="s">
        <v>8365</v>
      </c>
      <c r="M33" s="133"/>
      <c r="N33" s="136">
        <v>2026</v>
      </c>
    </row>
    <row r="34" spans="1:14" ht="14.4">
      <c r="A34" s="133"/>
      <c r="B34" s="133"/>
      <c r="C34" s="133"/>
      <c r="D34" s="133" t="s">
        <v>8366</v>
      </c>
      <c r="E34" s="133" t="s">
        <v>4902</v>
      </c>
      <c r="F34" s="133"/>
      <c r="G34" s="133"/>
      <c r="H34" s="138" t="s">
        <v>1939</v>
      </c>
      <c r="I34" s="138" t="s">
        <v>1512</v>
      </c>
      <c r="J34" s="133" t="s">
        <v>8299</v>
      </c>
      <c r="K34" s="135"/>
      <c r="L34" s="133"/>
      <c r="M34" s="133"/>
      <c r="N34" s="136">
        <v>2026</v>
      </c>
    </row>
    <row r="35" spans="1:14" ht="14.4">
      <c r="A35" s="133"/>
      <c r="B35" s="133"/>
      <c r="C35" s="133"/>
      <c r="D35" s="133" t="s">
        <v>8367</v>
      </c>
      <c r="E35" s="133" t="s">
        <v>4902</v>
      </c>
      <c r="F35" s="133"/>
      <c r="G35" s="133"/>
      <c r="H35" s="138" t="s">
        <v>1939</v>
      </c>
      <c r="I35" s="138" t="s">
        <v>1512</v>
      </c>
      <c r="J35" s="133" t="s">
        <v>8299</v>
      </c>
      <c r="K35" s="135"/>
      <c r="L35" s="133"/>
      <c r="M35" s="133"/>
      <c r="N35" s="136">
        <v>2026</v>
      </c>
    </row>
    <row r="36" spans="1:14" ht="14.4">
      <c r="A36" s="133"/>
      <c r="B36" s="133"/>
      <c r="C36" s="133"/>
      <c r="D36" s="133" t="s">
        <v>8368</v>
      </c>
      <c r="E36" s="133" t="s">
        <v>4902</v>
      </c>
      <c r="F36" s="133"/>
      <c r="G36" s="133"/>
      <c r="H36" s="138" t="s">
        <v>1939</v>
      </c>
      <c r="I36" s="138" t="s">
        <v>1512</v>
      </c>
      <c r="J36" s="133" t="s">
        <v>8299</v>
      </c>
      <c r="K36" s="135"/>
      <c r="L36" s="133"/>
      <c r="M36" s="133"/>
      <c r="N36" s="136">
        <v>2026</v>
      </c>
    </row>
    <row r="37" spans="1:14" ht="14.4">
      <c r="A37" s="133"/>
      <c r="B37" s="133"/>
      <c r="C37" s="133"/>
      <c r="D37" s="133" t="s">
        <v>8369</v>
      </c>
      <c r="E37" s="133" t="s">
        <v>4902</v>
      </c>
      <c r="F37" s="133"/>
      <c r="G37" s="133"/>
      <c r="H37" s="138" t="s">
        <v>1939</v>
      </c>
      <c r="I37" s="138" t="s">
        <v>1512</v>
      </c>
      <c r="J37" s="133" t="s">
        <v>8299</v>
      </c>
      <c r="K37" s="135"/>
      <c r="L37" s="133"/>
      <c r="M37" s="133"/>
      <c r="N37" s="136">
        <v>2026</v>
      </c>
    </row>
    <row r="38" spans="1:14" ht="14.4">
      <c r="A38" s="137">
        <v>10</v>
      </c>
      <c r="B38" s="133" t="s">
        <v>8370</v>
      </c>
      <c r="C38" s="133" t="s">
        <v>8371</v>
      </c>
      <c r="D38" s="133" t="s">
        <v>8372</v>
      </c>
      <c r="E38" s="133" t="s">
        <v>4901</v>
      </c>
      <c r="F38" s="133" t="s">
        <v>8316</v>
      </c>
      <c r="G38" s="133" t="s">
        <v>8317</v>
      </c>
      <c r="H38" s="138" t="s">
        <v>1939</v>
      </c>
      <c r="I38" s="138" t="s">
        <v>1512</v>
      </c>
      <c r="J38" s="133" t="s">
        <v>8299</v>
      </c>
      <c r="K38" s="135" t="s">
        <v>8373</v>
      </c>
      <c r="L38" s="133" t="s">
        <v>8374</v>
      </c>
      <c r="M38" s="133"/>
      <c r="N38" s="136">
        <v>2026</v>
      </c>
    </row>
    <row r="39" spans="1:14" ht="14.4">
      <c r="A39" s="133"/>
      <c r="B39" s="133"/>
      <c r="C39" s="133"/>
      <c r="D39" s="133" t="s">
        <v>1234</v>
      </c>
      <c r="E39" s="133" t="s">
        <v>4902</v>
      </c>
      <c r="F39" s="133"/>
      <c r="G39" s="133"/>
      <c r="H39" s="138" t="s">
        <v>1939</v>
      </c>
      <c r="I39" s="138" t="s">
        <v>1512</v>
      </c>
      <c r="J39" s="133" t="s">
        <v>8299</v>
      </c>
      <c r="K39" s="135"/>
      <c r="L39" s="133"/>
      <c r="M39" s="133"/>
      <c r="N39" s="136">
        <v>2026</v>
      </c>
    </row>
    <row r="40" spans="1:14" ht="14.4">
      <c r="A40" s="133"/>
      <c r="B40" s="133"/>
      <c r="C40" s="133"/>
      <c r="D40" s="133" t="s">
        <v>8375</v>
      </c>
      <c r="E40" s="133" t="s">
        <v>4902</v>
      </c>
      <c r="F40" s="133"/>
      <c r="G40" s="133"/>
      <c r="H40" s="138" t="s">
        <v>1939</v>
      </c>
      <c r="I40" s="138" t="s">
        <v>1512</v>
      </c>
      <c r="J40" s="133" t="s">
        <v>8299</v>
      </c>
      <c r="K40" s="135"/>
      <c r="L40" s="133"/>
      <c r="M40" s="133"/>
      <c r="N40" s="136">
        <v>2026</v>
      </c>
    </row>
    <row r="41" spans="1:14" ht="14.4">
      <c r="A41" s="133"/>
      <c r="B41" s="133"/>
      <c r="C41" s="133"/>
      <c r="D41" s="133" t="s">
        <v>8376</v>
      </c>
      <c r="E41" s="133" t="s">
        <v>4902</v>
      </c>
      <c r="F41" s="133"/>
      <c r="G41" s="133"/>
      <c r="H41" s="138" t="s">
        <v>1939</v>
      </c>
      <c r="I41" s="138" t="s">
        <v>1512</v>
      </c>
      <c r="J41" s="133" t="s">
        <v>8299</v>
      </c>
      <c r="K41" s="135"/>
      <c r="L41" s="133"/>
      <c r="M41" s="133"/>
      <c r="N41" s="136">
        <v>2026</v>
      </c>
    </row>
    <row r="42" spans="1:14" ht="14.4">
      <c r="A42" s="137">
        <v>11</v>
      </c>
      <c r="B42" s="133" t="s">
        <v>8377</v>
      </c>
      <c r="C42" s="133" t="s">
        <v>6933</v>
      </c>
      <c r="D42" s="133" t="s">
        <v>8378</v>
      </c>
      <c r="E42" s="133" t="s">
        <v>4901</v>
      </c>
      <c r="F42" s="133" t="s">
        <v>8298</v>
      </c>
      <c r="G42" s="133" t="s">
        <v>8355</v>
      </c>
      <c r="H42" s="138" t="s">
        <v>1939</v>
      </c>
      <c r="I42" s="138" t="s">
        <v>1512</v>
      </c>
      <c r="J42" s="133" t="s">
        <v>8299</v>
      </c>
      <c r="K42" s="135" t="s">
        <v>8379</v>
      </c>
      <c r="L42" s="133" t="s">
        <v>8380</v>
      </c>
      <c r="M42" s="133" t="s">
        <v>8334</v>
      </c>
      <c r="N42" s="136">
        <v>2026</v>
      </c>
    </row>
    <row r="43" spans="1:14" ht="14.4">
      <c r="A43" s="133"/>
      <c r="B43" s="133"/>
      <c r="C43" s="133"/>
      <c r="D43" s="133" t="s">
        <v>8381</v>
      </c>
      <c r="E43" s="133" t="s">
        <v>4902</v>
      </c>
      <c r="F43" s="133"/>
      <c r="G43" s="133"/>
      <c r="H43" s="138" t="s">
        <v>1939</v>
      </c>
      <c r="I43" s="138" t="s">
        <v>1512</v>
      </c>
      <c r="J43" s="133" t="s">
        <v>8299</v>
      </c>
      <c r="K43" s="135"/>
      <c r="L43" s="133"/>
      <c r="M43" s="133"/>
      <c r="N43" s="136">
        <v>2026</v>
      </c>
    </row>
    <row r="44" spans="1:14" ht="14.4">
      <c r="A44" s="133"/>
      <c r="B44" s="133"/>
      <c r="C44" s="133"/>
      <c r="D44" s="133" t="s">
        <v>8382</v>
      </c>
      <c r="E44" s="133" t="s">
        <v>4902</v>
      </c>
      <c r="F44" s="133"/>
      <c r="G44" s="133"/>
      <c r="H44" s="138" t="s">
        <v>1939</v>
      </c>
      <c r="I44" s="138" t="s">
        <v>1512</v>
      </c>
      <c r="J44" s="133" t="s">
        <v>8299</v>
      </c>
      <c r="K44" s="135"/>
      <c r="L44" s="133"/>
      <c r="M44" s="133"/>
      <c r="N44" s="136">
        <v>2026</v>
      </c>
    </row>
    <row r="45" spans="1:14" ht="14.4">
      <c r="A45" s="133"/>
      <c r="B45" s="133"/>
      <c r="C45" s="133"/>
      <c r="D45" s="133" t="s">
        <v>8383</v>
      </c>
      <c r="E45" s="133" t="s">
        <v>4902</v>
      </c>
      <c r="F45" s="133"/>
      <c r="G45" s="133"/>
      <c r="H45" s="138" t="s">
        <v>1939</v>
      </c>
      <c r="I45" s="138" t="s">
        <v>1512</v>
      </c>
      <c r="J45" s="133" t="s">
        <v>8299</v>
      </c>
      <c r="K45" s="135"/>
      <c r="L45" s="133"/>
      <c r="M45" s="133"/>
      <c r="N45" s="136">
        <v>2026</v>
      </c>
    </row>
    <row r="46" spans="1:14" ht="14.4">
      <c r="A46" s="133"/>
      <c r="B46" s="133"/>
      <c r="C46" s="133"/>
      <c r="D46" s="133" t="s">
        <v>8384</v>
      </c>
      <c r="E46" s="133" t="s">
        <v>4902</v>
      </c>
      <c r="F46" s="133"/>
      <c r="G46" s="133"/>
      <c r="H46" s="138" t="s">
        <v>1939</v>
      </c>
      <c r="I46" s="138" t="s">
        <v>1512</v>
      </c>
      <c r="J46" s="133" t="s">
        <v>8299</v>
      </c>
      <c r="K46" s="135"/>
      <c r="L46" s="133"/>
      <c r="M46" s="133"/>
      <c r="N46" s="136">
        <v>2026</v>
      </c>
    </row>
    <row r="47" spans="1:14" ht="14.4">
      <c r="A47" s="137">
        <v>12</v>
      </c>
      <c r="B47" s="133" t="s">
        <v>8385</v>
      </c>
      <c r="C47" s="133" t="s">
        <v>8348</v>
      </c>
      <c r="D47" s="133" t="s">
        <v>8181</v>
      </c>
      <c r="E47" s="133" t="s">
        <v>4901</v>
      </c>
      <c r="F47" s="133" t="s">
        <v>1482</v>
      </c>
      <c r="G47" s="133"/>
      <c r="H47" s="138" t="s">
        <v>1478</v>
      </c>
      <c r="I47" s="138" t="s">
        <v>1437</v>
      </c>
      <c r="J47" s="133" t="s">
        <v>8386</v>
      </c>
      <c r="K47" s="135"/>
      <c r="L47" s="133" t="s">
        <v>8387</v>
      </c>
      <c r="M47" s="133"/>
      <c r="N47" s="136">
        <v>2026</v>
      </c>
    </row>
    <row r="48" spans="1:14" ht="14.4">
      <c r="A48" s="133"/>
      <c r="B48" s="133"/>
      <c r="C48" s="133"/>
      <c r="D48" s="133" t="s">
        <v>8183</v>
      </c>
      <c r="E48" s="133" t="s">
        <v>4902</v>
      </c>
      <c r="F48" s="133"/>
      <c r="G48" s="133"/>
      <c r="H48" s="138" t="s">
        <v>1478</v>
      </c>
      <c r="I48" s="138" t="s">
        <v>1437</v>
      </c>
      <c r="J48" s="133" t="s">
        <v>8386</v>
      </c>
      <c r="K48" s="135"/>
      <c r="L48" s="133"/>
      <c r="M48" s="133"/>
      <c r="N48" s="136">
        <v>2026</v>
      </c>
    </row>
    <row r="49" spans="1:14" ht="14.4">
      <c r="A49" s="133"/>
      <c r="B49" s="133"/>
      <c r="C49" s="133"/>
      <c r="D49" s="133" t="s">
        <v>8388</v>
      </c>
      <c r="E49" s="133" t="s">
        <v>4902</v>
      </c>
      <c r="F49" s="133"/>
      <c r="G49" s="133"/>
      <c r="H49" s="138" t="s">
        <v>1478</v>
      </c>
      <c r="I49" s="138" t="s">
        <v>1437</v>
      </c>
      <c r="J49" s="133" t="s">
        <v>8386</v>
      </c>
      <c r="K49" s="135"/>
      <c r="L49" s="133"/>
      <c r="M49" s="133"/>
      <c r="N49" s="136">
        <v>2026</v>
      </c>
    </row>
    <row r="50" spans="1:14" ht="14.4">
      <c r="A50" s="137">
        <v>13</v>
      </c>
      <c r="B50" s="133" t="s">
        <v>8389</v>
      </c>
      <c r="C50" s="133" t="s">
        <v>7645</v>
      </c>
      <c r="D50" s="133" t="s">
        <v>8390</v>
      </c>
      <c r="E50" s="133" t="s">
        <v>4901</v>
      </c>
      <c r="F50" s="133" t="s">
        <v>2418</v>
      </c>
      <c r="G50" s="133" t="s">
        <v>8391</v>
      </c>
      <c r="H50" s="138" t="s">
        <v>2361</v>
      </c>
      <c r="I50" s="138" t="s">
        <v>1417</v>
      </c>
      <c r="J50" s="133" t="s">
        <v>8338</v>
      </c>
      <c r="K50" s="135" t="s">
        <v>8392</v>
      </c>
      <c r="L50" s="133" t="s">
        <v>8393</v>
      </c>
      <c r="M50" s="133"/>
      <c r="N50" s="136">
        <v>2026</v>
      </c>
    </row>
    <row r="51" spans="1:14" ht="14.4">
      <c r="A51" s="133"/>
      <c r="B51" s="133"/>
      <c r="C51" s="133"/>
      <c r="D51" s="133" t="s">
        <v>8394</v>
      </c>
      <c r="E51" s="133" t="s">
        <v>4902</v>
      </c>
      <c r="F51" s="133"/>
      <c r="G51" s="133"/>
      <c r="H51" s="138" t="s">
        <v>2361</v>
      </c>
      <c r="I51" s="138" t="s">
        <v>1417</v>
      </c>
      <c r="J51" s="133" t="s">
        <v>8338</v>
      </c>
      <c r="K51" s="135"/>
      <c r="L51" s="133"/>
      <c r="M51" s="133"/>
      <c r="N51" s="136">
        <v>2026</v>
      </c>
    </row>
    <row r="52" spans="1:14" ht="14.4">
      <c r="A52" s="133"/>
      <c r="B52" s="133"/>
      <c r="C52" s="133"/>
      <c r="D52" s="133" t="s">
        <v>8395</v>
      </c>
      <c r="E52" s="133" t="s">
        <v>4902</v>
      </c>
      <c r="F52" s="133"/>
      <c r="G52" s="133"/>
      <c r="H52" s="138" t="s">
        <v>2361</v>
      </c>
      <c r="I52" s="138" t="s">
        <v>1417</v>
      </c>
      <c r="J52" s="133" t="s">
        <v>8338</v>
      </c>
      <c r="K52" s="135"/>
      <c r="L52" s="133"/>
      <c r="M52" s="133"/>
      <c r="N52" s="136">
        <v>2026</v>
      </c>
    </row>
    <row r="53" spans="1:14" ht="14.4">
      <c r="A53" s="133"/>
      <c r="B53" s="133"/>
      <c r="C53" s="133"/>
      <c r="D53" s="133" t="s">
        <v>414</v>
      </c>
      <c r="E53" s="133" t="s">
        <v>4902</v>
      </c>
      <c r="F53" s="133"/>
      <c r="G53" s="133"/>
      <c r="H53" s="138" t="s">
        <v>2361</v>
      </c>
      <c r="I53" s="138" t="s">
        <v>1417</v>
      </c>
      <c r="J53" s="133" t="s">
        <v>8338</v>
      </c>
      <c r="K53" s="135"/>
      <c r="L53" s="133"/>
      <c r="M53" s="133"/>
      <c r="N53" s="136">
        <v>2026</v>
      </c>
    </row>
    <row r="54" spans="1:14" ht="14.4">
      <c r="A54" s="137">
        <v>14</v>
      </c>
      <c r="B54" s="133" t="s">
        <v>8396</v>
      </c>
      <c r="C54" s="133" t="s">
        <v>8397</v>
      </c>
      <c r="D54" s="133" t="s">
        <v>841</v>
      </c>
      <c r="E54" s="133" t="s">
        <v>4901</v>
      </c>
      <c r="F54" s="133" t="s">
        <v>785</v>
      </c>
      <c r="G54" s="133"/>
      <c r="H54" s="138" t="s">
        <v>2158</v>
      </c>
      <c r="I54" s="138" t="s">
        <v>1393</v>
      </c>
      <c r="J54" s="133" t="s">
        <v>8398</v>
      </c>
      <c r="K54" s="135" t="s">
        <v>8399</v>
      </c>
      <c r="L54" s="133" t="s">
        <v>8400</v>
      </c>
      <c r="M54" s="133" t="s">
        <v>8334</v>
      </c>
      <c r="N54" s="136">
        <v>2026</v>
      </c>
    </row>
    <row r="55" spans="1:14" ht="14.4">
      <c r="A55" s="133"/>
      <c r="B55" s="133"/>
      <c r="C55" s="133"/>
      <c r="D55" s="133" t="s">
        <v>8401</v>
      </c>
      <c r="E55" s="133" t="s">
        <v>4902</v>
      </c>
      <c r="F55" s="133"/>
      <c r="G55" s="133"/>
      <c r="H55" s="138" t="s">
        <v>2158</v>
      </c>
      <c r="I55" s="138" t="s">
        <v>1393</v>
      </c>
      <c r="J55" s="133" t="s">
        <v>8398</v>
      </c>
      <c r="K55" s="135"/>
      <c r="L55" s="133"/>
      <c r="M55" s="133"/>
      <c r="N55" s="136">
        <v>2026</v>
      </c>
    </row>
    <row r="56" spans="1:14" ht="14.4">
      <c r="A56" s="133"/>
      <c r="B56" s="133"/>
      <c r="C56" s="133"/>
      <c r="D56" s="133" t="s">
        <v>2260</v>
      </c>
      <c r="E56" s="133" t="s">
        <v>4902</v>
      </c>
      <c r="F56" s="133"/>
      <c r="G56" s="133"/>
      <c r="H56" s="138" t="s">
        <v>2158</v>
      </c>
      <c r="I56" s="138" t="s">
        <v>1393</v>
      </c>
      <c r="J56" s="133" t="s">
        <v>8398</v>
      </c>
      <c r="K56" s="135"/>
      <c r="L56" s="133"/>
      <c r="M56" s="133"/>
      <c r="N56" s="136">
        <v>2026</v>
      </c>
    </row>
    <row r="57" spans="1:14" ht="14.4">
      <c r="A57" s="133"/>
      <c r="B57" s="133"/>
      <c r="C57" s="133"/>
      <c r="D57" s="133" t="s">
        <v>8402</v>
      </c>
      <c r="E57" s="133" t="s">
        <v>4902</v>
      </c>
      <c r="F57" s="133"/>
      <c r="G57" s="133"/>
      <c r="H57" s="138" t="s">
        <v>2158</v>
      </c>
      <c r="I57" s="138" t="s">
        <v>1393</v>
      </c>
      <c r="J57" s="133" t="s">
        <v>8398</v>
      </c>
      <c r="K57" s="135"/>
      <c r="L57" s="133"/>
      <c r="M57" s="133"/>
      <c r="N57" s="136">
        <v>2026</v>
      </c>
    </row>
    <row r="58" spans="1:14" ht="14.4">
      <c r="A58" s="133"/>
      <c r="B58" s="133"/>
      <c r="C58" s="133"/>
      <c r="D58" s="133" t="s">
        <v>8403</v>
      </c>
      <c r="E58" s="133" t="s">
        <v>4902</v>
      </c>
      <c r="F58" s="133"/>
      <c r="G58" s="133"/>
      <c r="H58" s="138" t="s">
        <v>2158</v>
      </c>
      <c r="I58" s="138" t="s">
        <v>1393</v>
      </c>
      <c r="J58" s="133" t="s">
        <v>8398</v>
      </c>
      <c r="K58" s="135"/>
      <c r="L58" s="133"/>
      <c r="M58" s="133"/>
      <c r="N58" s="136">
        <v>2026</v>
      </c>
    </row>
    <row r="59" spans="1:14" ht="14.4">
      <c r="A59" s="137">
        <v>15</v>
      </c>
      <c r="B59" s="133" t="s">
        <v>8404</v>
      </c>
      <c r="C59" s="133" t="s">
        <v>8405</v>
      </c>
      <c r="D59" s="133" t="s">
        <v>8406</v>
      </c>
      <c r="E59" s="133" t="s">
        <v>4901</v>
      </c>
      <c r="F59" s="133" t="s">
        <v>1973</v>
      </c>
      <c r="G59" s="133"/>
      <c r="H59" s="138" t="s">
        <v>1975</v>
      </c>
      <c r="I59" s="138" t="s">
        <v>1352</v>
      </c>
      <c r="J59" s="133" t="s">
        <v>8092</v>
      </c>
      <c r="K59" s="135" t="s">
        <v>8407</v>
      </c>
      <c r="L59" s="133" t="s">
        <v>8408</v>
      </c>
      <c r="M59" s="133" t="s">
        <v>8407</v>
      </c>
      <c r="N59" s="136">
        <v>2026</v>
      </c>
    </row>
    <row r="60" spans="1:14" ht="14.4">
      <c r="A60" s="133"/>
      <c r="B60" s="133"/>
      <c r="C60" s="133"/>
      <c r="D60" s="133" t="s">
        <v>8409</v>
      </c>
      <c r="E60" s="133" t="s">
        <v>4902</v>
      </c>
      <c r="F60" s="133"/>
      <c r="G60" s="133"/>
      <c r="H60" s="138" t="s">
        <v>1975</v>
      </c>
      <c r="I60" s="138" t="s">
        <v>1352</v>
      </c>
      <c r="J60" s="133" t="s">
        <v>8092</v>
      </c>
      <c r="K60" s="135"/>
      <c r="L60" s="133"/>
      <c r="M60" s="133"/>
      <c r="N60" s="136">
        <v>2026</v>
      </c>
    </row>
    <row r="61" spans="1:14" ht="14.4">
      <c r="A61" s="133"/>
      <c r="B61" s="133"/>
      <c r="C61" s="133"/>
      <c r="D61" s="133" t="s">
        <v>8410</v>
      </c>
      <c r="E61" s="133" t="s">
        <v>4902</v>
      </c>
      <c r="F61" s="133"/>
      <c r="G61" s="133"/>
      <c r="H61" s="138" t="s">
        <v>1975</v>
      </c>
      <c r="I61" s="138" t="s">
        <v>1352</v>
      </c>
      <c r="J61" s="133" t="s">
        <v>8092</v>
      </c>
      <c r="K61" s="135"/>
      <c r="L61" s="133"/>
      <c r="M61" s="133"/>
      <c r="N61" s="136">
        <v>2026</v>
      </c>
    </row>
    <row r="62" spans="1:14" ht="14.4">
      <c r="A62" s="133"/>
      <c r="B62" s="133"/>
      <c r="C62" s="133"/>
      <c r="D62" s="133" t="s">
        <v>8411</v>
      </c>
      <c r="E62" s="133" t="s">
        <v>4902</v>
      </c>
      <c r="F62" s="133"/>
      <c r="G62" s="133"/>
      <c r="H62" s="138" t="s">
        <v>1975</v>
      </c>
      <c r="I62" s="138" t="s">
        <v>1352</v>
      </c>
      <c r="J62" s="133" t="s">
        <v>8092</v>
      </c>
      <c r="K62" s="135"/>
      <c r="L62" s="133"/>
      <c r="M62" s="133"/>
      <c r="N62" s="136">
        <v>2026</v>
      </c>
    </row>
    <row r="63" spans="1:14" ht="14.4">
      <c r="A63" s="133"/>
      <c r="B63" s="133"/>
      <c r="C63" s="133"/>
      <c r="D63" s="133" t="s">
        <v>8412</v>
      </c>
      <c r="E63" s="133" t="s">
        <v>4902</v>
      </c>
      <c r="F63" s="133"/>
      <c r="G63" s="133"/>
      <c r="H63" s="138" t="s">
        <v>1975</v>
      </c>
      <c r="I63" s="138" t="s">
        <v>1352</v>
      </c>
      <c r="J63" s="133" t="s">
        <v>8092</v>
      </c>
      <c r="K63" s="135"/>
      <c r="L63" s="133"/>
      <c r="M63" s="133"/>
      <c r="N63" s="136">
        <v>2026</v>
      </c>
    </row>
    <row r="64" spans="1:14" ht="14.4">
      <c r="A64" s="137">
        <v>16</v>
      </c>
      <c r="B64" s="133" t="s">
        <v>8413</v>
      </c>
      <c r="C64" s="133" t="s">
        <v>8363</v>
      </c>
      <c r="D64" s="133" t="s">
        <v>8414</v>
      </c>
      <c r="E64" s="133" t="s">
        <v>4901</v>
      </c>
      <c r="F64" s="133" t="s">
        <v>8316</v>
      </c>
      <c r="G64" s="133" t="s">
        <v>8317</v>
      </c>
      <c r="H64" s="138" t="s">
        <v>1939</v>
      </c>
      <c r="I64" s="138" t="s">
        <v>1512</v>
      </c>
      <c r="J64" s="133" t="s">
        <v>8299</v>
      </c>
      <c r="K64" s="135" t="s">
        <v>8415</v>
      </c>
      <c r="L64" s="133" t="s">
        <v>8416</v>
      </c>
      <c r="M64" s="133"/>
      <c r="N64" s="136">
        <v>2026</v>
      </c>
    </row>
    <row r="65" spans="1:14" ht="14.4">
      <c r="A65" s="133"/>
      <c r="B65" s="133"/>
      <c r="C65" s="133"/>
      <c r="D65" s="133" t="s">
        <v>8417</v>
      </c>
      <c r="E65" s="133" t="s">
        <v>4902</v>
      </c>
      <c r="F65" s="133"/>
      <c r="G65" s="133"/>
      <c r="H65" s="138" t="s">
        <v>1939</v>
      </c>
      <c r="I65" s="138" t="s">
        <v>1512</v>
      </c>
      <c r="J65" s="133" t="s">
        <v>8299</v>
      </c>
      <c r="K65" s="135"/>
      <c r="L65" s="133"/>
      <c r="M65" s="133"/>
      <c r="N65" s="136">
        <v>2026</v>
      </c>
    </row>
    <row r="66" spans="1:14" ht="14.4">
      <c r="A66" s="133"/>
      <c r="B66" s="133"/>
      <c r="C66" s="133"/>
      <c r="D66" s="133" t="s">
        <v>8418</v>
      </c>
      <c r="E66" s="133" t="s">
        <v>4902</v>
      </c>
      <c r="F66" s="133"/>
      <c r="G66" s="133"/>
      <c r="H66" s="138" t="s">
        <v>1939</v>
      </c>
      <c r="I66" s="138" t="s">
        <v>1512</v>
      </c>
      <c r="J66" s="133" t="s">
        <v>8299</v>
      </c>
      <c r="K66" s="135"/>
      <c r="L66" s="133"/>
      <c r="M66" s="133"/>
      <c r="N66" s="136">
        <v>2026</v>
      </c>
    </row>
    <row r="67" spans="1:14" ht="14.4">
      <c r="A67" s="133"/>
      <c r="B67" s="133"/>
      <c r="C67" s="133"/>
      <c r="D67" s="133" t="s">
        <v>8419</v>
      </c>
      <c r="E67" s="133" t="s">
        <v>4902</v>
      </c>
      <c r="F67" s="133"/>
      <c r="G67" s="133"/>
      <c r="H67" s="138" t="s">
        <v>1939</v>
      </c>
      <c r="I67" s="138" t="s">
        <v>1512</v>
      </c>
      <c r="J67" s="133" t="s">
        <v>8299</v>
      </c>
      <c r="K67" s="135"/>
      <c r="L67" s="133"/>
      <c r="M67" s="133"/>
      <c r="N67" s="136">
        <v>2026</v>
      </c>
    </row>
    <row r="68" spans="1:14" ht="14.4">
      <c r="A68" s="133"/>
      <c r="B68" s="133"/>
      <c r="C68" s="133"/>
      <c r="D68" s="133" t="s">
        <v>8420</v>
      </c>
      <c r="E68" s="133" t="s">
        <v>4902</v>
      </c>
      <c r="F68" s="133"/>
      <c r="G68" s="133"/>
      <c r="H68" s="138" t="s">
        <v>1939</v>
      </c>
      <c r="I68" s="138" t="s">
        <v>1512</v>
      </c>
      <c r="J68" s="133" t="s">
        <v>8299</v>
      </c>
      <c r="K68" s="135"/>
      <c r="L68" s="133"/>
      <c r="M68" s="133"/>
      <c r="N68" s="136">
        <v>2026</v>
      </c>
    </row>
    <row r="69" spans="1:14" ht="14.4">
      <c r="A69" s="137">
        <v>17</v>
      </c>
      <c r="B69" s="133" t="s">
        <v>8421</v>
      </c>
      <c r="C69" s="133" t="s">
        <v>6933</v>
      </c>
      <c r="D69" s="133" t="s">
        <v>8422</v>
      </c>
      <c r="E69" s="133" t="s">
        <v>4901</v>
      </c>
      <c r="F69" s="133" t="s">
        <v>8316</v>
      </c>
      <c r="G69" s="133" t="s">
        <v>8317</v>
      </c>
      <c r="H69" s="138" t="s">
        <v>1939</v>
      </c>
      <c r="I69" s="138" t="s">
        <v>1512</v>
      </c>
      <c r="J69" s="133" t="s">
        <v>8299</v>
      </c>
      <c r="K69" s="135" t="s">
        <v>8423</v>
      </c>
      <c r="L69" s="133" t="s">
        <v>8424</v>
      </c>
      <c r="M69" s="133"/>
      <c r="N69" s="136">
        <v>2026</v>
      </c>
    </row>
    <row r="70" spans="1:14" ht="14.4">
      <c r="A70" s="133"/>
      <c r="B70" s="133"/>
      <c r="C70" s="133"/>
      <c r="D70" s="133" t="s">
        <v>8425</v>
      </c>
      <c r="E70" s="133" t="s">
        <v>4902</v>
      </c>
      <c r="F70" s="133"/>
      <c r="G70" s="133"/>
      <c r="H70" s="138" t="s">
        <v>1939</v>
      </c>
      <c r="I70" s="138" t="s">
        <v>1512</v>
      </c>
      <c r="J70" s="133" t="s">
        <v>8299</v>
      </c>
      <c r="K70" s="135"/>
      <c r="L70" s="133"/>
      <c r="M70" s="133"/>
      <c r="N70" s="136">
        <v>2026</v>
      </c>
    </row>
    <row r="71" spans="1:14" ht="14.4">
      <c r="A71" s="133"/>
      <c r="B71" s="133"/>
      <c r="C71" s="133"/>
      <c r="D71" s="133" t="s">
        <v>540</v>
      </c>
      <c r="E71" s="133" t="s">
        <v>4902</v>
      </c>
      <c r="F71" s="133"/>
      <c r="G71" s="133"/>
      <c r="H71" s="138" t="s">
        <v>1939</v>
      </c>
      <c r="I71" s="138" t="s">
        <v>1512</v>
      </c>
      <c r="J71" s="133" t="s">
        <v>8299</v>
      </c>
      <c r="K71" s="135"/>
      <c r="L71" s="133"/>
      <c r="M71" s="133"/>
      <c r="N71" s="136">
        <v>2026</v>
      </c>
    </row>
    <row r="72" spans="1:14" ht="14.4">
      <c r="A72" s="133"/>
      <c r="B72" s="133"/>
      <c r="C72" s="133"/>
      <c r="D72" s="133" t="s">
        <v>514</v>
      </c>
      <c r="E72" s="133" t="s">
        <v>4902</v>
      </c>
      <c r="F72" s="133"/>
      <c r="G72" s="133"/>
      <c r="H72" s="138" t="s">
        <v>1939</v>
      </c>
      <c r="I72" s="138" t="s">
        <v>1512</v>
      </c>
      <c r="J72" s="133" t="s">
        <v>8299</v>
      </c>
      <c r="K72" s="135"/>
      <c r="L72" s="133"/>
      <c r="M72" s="133"/>
      <c r="N72" s="136">
        <v>2026</v>
      </c>
    </row>
    <row r="73" spans="1:14" ht="14.4">
      <c r="A73" s="133"/>
      <c r="B73" s="133"/>
      <c r="C73" s="133"/>
      <c r="D73" s="133" t="s">
        <v>8426</v>
      </c>
      <c r="E73" s="133" t="s">
        <v>4902</v>
      </c>
      <c r="F73" s="133"/>
      <c r="G73" s="133"/>
      <c r="H73" s="138" t="s">
        <v>1939</v>
      </c>
      <c r="I73" s="138" t="s">
        <v>1512</v>
      </c>
      <c r="J73" s="133" t="s">
        <v>8299</v>
      </c>
      <c r="K73" s="135"/>
      <c r="L73" s="133"/>
      <c r="M73" s="133"/>
      <c r="N73" s="136">
        <v>2026</v>
      </c>
    </row>
    <row r="74" spans="1:14" ht="14.4">
      <c r="A74" s="137">
        <v>18</v>
      </c>
      <c r="B74" s="133" t="s">
        <v>8427</v>
      </c>
      <c r="C74" s="133" t="s">
        <v>8348</v>
      </c>
      <c r="D74" s="133" t="s">
        <v>209</v>
      </c>
      <c r="E74" s="133" t="s">
        <v>4901</v>
      </c>
      <c r="F74" s="133" t="s">
        <v>173</v>
      </c>
      <c r="G74" s="133" t="s">
        <v>235</v>
      </c>
      <c r="H74" s="138" t="s">
        <v>1975</v>
      </c>
      <c r="I74" s="138" t="s">
        <v>1352</v>
      </c>
      <c r="J74" s="133" t="s">
        <v>8092</v>
      </c>
      <c r="K74" s="135" t="s">
        <v>8428</v>
      </c>
      <c r="L74" s="133" t="s">
        <v>8429</v>
      </c>
      <c r="M74" s="133"/>
      <c r="N74" s="136">
        <v>2026</v>
      </c>
    </row>
    <row r="75" spans="1:14" ht="14.4">
      <c r="A75" s="133"/>
      <c r="B75" s="133"/>
      <c r="C75" s="133"/>
      <c r="D75" s="133" t="s">
        <v>237</v>
      </c>
      <c r="E75" s="133" t="s">
        <v>4902</v>
      </c>
      <c r="F75" s="133"/>
      <c r="G75" s="133"/>
      <c r="H75" s="138" t="s">
        <v>1975</v>
      </c>
      <c r="I75" s="138" t="s">
        <v>1352</v>
      </c>
      <c r="J75" s="133" t="s">
        <v>8092</v>
      </c>
      <c r="K75" s="135"/>
      <c r="L75" s="133"/>
      <c r="M75" s="133"/>
      <c r="N75" s="136">
        <v>2026</v>
      </c>
    </row>
    <row r="76" spans="1:14" ht="14.4">
      <c r="A76" s="133"/>
      <c r="B76" s="133"/>
      <c r="C76" s="133"/>
      <c r="D76" s="133" t="s">
        <v>2549</v>
      </c>
      <c r="E76" s="133" t="s">
        <v>4902</v>
      </c>
      <c r="F76" s="133"/>
      <c r="G76" s="133"/>
      <c r="H76" s="138" t="s">
        <v>1975</v>
      </c>
      <c r="I76" s="138" t="s">
        <v>1352</v>
      </c>
      <c r="J76" s="133" t="s">
        <v>8092</v>
      </c>
      <c r="K76" s="135"/>
      <c r="L76" s="133"/>
      <c r="M76" s="133"/>
      <c r="N76" s="136">
        <v>2026</v>
      </c>
    </row>
    <row r="77" spans="1:14" ht="14.4">
      <c r="A77" s="133"/>
      <c r="B77" s="133"/>
      <c r="C77" s="133"/>
      <c r="D77" s="133" t="s">
        <v>2550</v>
      </c>
      <c r="E77" s="133" t="s">
        <v>4902</v>
      </c>
      <c r="F77" s="133"/>
      <c r="G77" s="133"/>
      <c r="H77" s="138" t="s">
        <v>1975</v>
      </c>
      <c r="I77" s="138" t="s">
        <v>1352</v>
      </c>
      <c r="J77" s="133" t="s">
        <v>8092</v>
      </c>
      <c r="K77" s="135"/>
      <c r="L77" s="133"/>
      <c r="M77" s="133"/>
      <c r="N77" s="136">
        <v>2026</v>
      </c>
    </row>
    <row r="78" spans="1:14" ht="14.4">
      <c r="A78" s="133"/>
      <c r="B78" s="133"/>
      <c r="C78" s="133"/>
      <c r="D78" s="133" t="s">
        <v>761</v>
      </c>
      <c r="E78" s="133" t="s">
        <v>4902</v>
      </c>
      <c r="F78" s="133"/>
      <c r="G78" s="133"/>
      <c r="H78" s="138" t="s">
        <v>1975</v>
      </c>
      <c r="I78" s="138" t="s">
        <v>1352</v>
      </c>
      <c r="J78" s="133" t="s">
        <v>8092</v>
      </c>
      <c r="K78" s="135"/>
      <c r="L78" s="133"/>
      <c r="M78" s="133"/>
      <c r="N78" s="136">
        <v>2026</v>
      </c>
    </row>
    <row r="79" spans="1:14" ht="14.4">
      <c r="A79" s="137">
        <v>19</v>
      </c>
      <c r="B79" s="133" t="s">
        <v>8430</v>
      </c>
      <c r="C79" s="133" t="s">
        <v>6933</v>
      </c>
      <c r="D79" s="133" t="s">
        <v>1936</v>
      </c>
      <c r="E79" s="133" t="s">
        <v>4901</v>
      </c>
      <c r="F79" s="133" t="s">
        <v>1937</v>
      </c>
      <c r="G79" s="133"/>
      <c r="H79" s="138" t="s">
        <v>1939</v>
      </c>
      <c r="I79" s="138" t="s">
        <v>1512</v>
      </c>
      <c r="J79" s="133" t="s">
        <v>8299</v>
      </c>
      <c r="K79" s="135" t="s">
        <v>8431</v>
      </c>
      <c r="L79" s="133" t="s">
        <v>8432</v>
      </c>
      <c r="M79" s="133"/>
      <c r="N79" s="136">
        <v>2026</v>
      </c>
    </row>
    <row r="80" spans="1:14" ht="14.4">
      <c r="A80" s="133"/>
      <c r="B80" s="133"/>
      <c r="C80" s="133"/>
      <c r="D80" s="133" t="s">
        <v>8433</v>
      </c>
      <c r="E80" s="133" t="s">
        <v>4902</v>
      </c>
      <c r="F80" s="133"/>
      <c r="G80" s="133"/>
      <c r="H80" s="138" t="s">
        <v>1939</v>
      </c>
      <c r="I80" s="138" t="s">
        <v>1512</v>
      </c>
      <c r="J80" s="133" t="s">
        <v>8299</v>
      </c>
      <c r="K80" s="135"/>
      <c r="L80" s="133"/>
      <c r="M80" s="133"/>
      <c r="N80" s="136">
        <v>2026</v>
      </c>
    </row>
    <row r="81" spans="1:14" ht="14.4">
      <c r="A81" s="133"/>
      <c r="B81" s="133"/>
      <c r="C81" s="133"/>
      <c r="D81" s="133" t="s">
        <v>421</v>
      </c>
      <c r="E81" s="133" t="s">
        <v>4902</v>
      </c>
      <c r="F81" s="133"/>
      <c r="G81" s="133"/>
      <c r="H81" s="138" t="s">
        <v>1939</v>
      </c>
      <c r="I81" s="138" t="s">
        <v>1512</v>
      </c>
      <c r="J81" s="133" t="s">
        <v>8299</v>
      </c>
      <c r="K81" s="135"/>
      <c r="L81" s="133"/>
      <c r="M81" s="133"/>
      <c r="N81" s="136">
        <v>2026</v>
      </c>
    </row>
    <row r="82" spans="1:14" ht="14.4">
      <c r="A82" s="133"/>
      <c r="B82" s="133"/>
      <c r="C82" s="133"/>
      <c r="D82" s="133" t="s">
        <v>8434</v>
      </c>
      <c r="E82" s="133" t="s">
        <v>4902</v>
      </c>
      <c r="F82" s="133"/>
      <c r="G82" s="133"/>
      <c r="H82" s="138" t="s">
        <v>1939</v>
      </c>
      <c r="I82" s="138" t="s">
        <v>1512</v>
      </c>
      <c r="J82" s="133" t="s">
        <v>8299</v>
      </c>
      <c r="K82" s="135"/>
      <c r="L82" s="133"/>
      <c r="M82" s="133"/>
      <c r="N82" s="136">
        <v>2026</v>
      </c>
    </row>
    <row r="83" spans="1:14" ht="14.4">
      <c r="A83" s="133"/>
      <c r="B83" s="133"/>
      <c r="C83" s="133"/>
      <c r="D83" s="133" t="s">
        <v>1304</v>
      </c>
      <c r="E83" s="133" t="s">
        <v>4902</v>
      </c>
      <c r="F83" s="133"/>
      <c r="G83" s="133"/>
      <c r="H83" s="138" t="s">
        <v>1939</v>
      </c>
      <c r="I83" s="138" t="s">
        <v>1512</v>
      </c>
      <c r="J83" s="133" t="s">
        <v>8299</v>
      </c>
      <c r="K83" s="135"/>
      <c r="L83" s="133"/>
      <c r="M83" s="133"/>
      <c r="N83" s="136">
        <v>2026</v>
      </c>
    </row>
    <row r="84" spans="1:14" ht="14.4">
      <c r="A84" s="137">
        <v>20</v>
      </c>
      <c r="B84" s="133" t="s">
        <v>8435</v>
      </c>
      <c r="C84" s="133" t="s">
        <v>7645</v>
      </c>
      <c r="D84" s="133" t="s">
        <v>8436</v>
      </c>
      <c r="E84" s="133" t="s">
        <v>4901</v>
      </c>
      <c r="F84" s="133" t="s">
        <v>8437</v>
      </c>
      <c r="G84" s="133" t="s">
        <v>8438</v>
      </c>
      <c r="H84" s="138" t="s">
        <v>2606</v>
      </c>
      <c r="I84" s="138" t="s">
        <v>1370</v>
      </c>
      <c r="J84" s="133" t="s">
        <v>8439</v>
      </c>
      <c r="K84" s="135" t="s">
        <v>8440</v>
      </c>
      <c r="L84" s="133" t="s">
        <v>8441</v>
      </c>
      <c r="M84" s="133"/>
      <c r="N84" s="136">
        <v>2026</v>
      </c>
    </row>
    <row r="85" spans="1:14" ht="14.4">
      <c r="A85" s="133"/>
      <c r="B85" s="133"/>
      <c r="C85" s="133"/>
      <c r="D85" s="133" t="s">
        <v>8442</v>
      </c>
      <c r="E85" s="133" t="s">
        <v>4902</v>
      </c>
      <c r="F85" s="133"/>
      <c r="G85" s="133"/>
      <c r="H85" s="138" t="s">
        <v>2606</v>
      </c>
      <c r="I85" s="138" t="s">
        <v>1370</v>
      </c>
      <c r="J85" s="133" t="s">
        <v>8439</v>
      </c>
      <c r="K85" s="135"/>
      <c r="L85" s="133"/>
      <c r="M85" s="133"/>
      <c r="N85" s="136">
        <v>2026</v>
      </c>
    </row>
    <row r="86" spans="1:14" ht="14.4">
      <c r="A86" s="133"/>
      <c r="B86" s="133"/>
      <c r="C86" s="133"/>
      <c r="D86" s="133" t="s">
        <v>8443</v>
      </c>
      <c r="E86" s="133" t="s">
        <v>4902</v>
      </c>
      <c r="F86" s="133"/>
      <c r="G86" s="133"/>
      <c r="H86" s="138" t="s">
        <v>2606</v>
      </c>
      <c r="I86" s="138" t="s">
        <v>1370</v>
      </c>
      <c r="J86" s="133" t="s">
        <v>8439</v>
      </c>
      <c r="K86" s="135"/>
      <c r="L86" s="133"/>
      <c r="M86" s="133"/>
      <c r="N86" s="136">
        <v>2026</v>
      </c>
    </row>
    <row r="87" spans="1:14" ht="14.4">
      <c r="A87" s="133"/>
      <c r="B87" s="133"/>
      <c r="C87" s="133"/>
      <c r="D87" s="133" t="s">
        <v>8444</v>
      </c>
      <c r="E87" s="133" t="s">
        <v>4902</v>
      </c>
      <c r="F87" s="133"/>
      <c r="G87" s="133"/>
      <c r="H87" s="138" t="s">
        <v>2606</v>
      </c>
      <c r="I87" s="138" t="s">
        <v>1370</v>
      </c>
      <c r="J87" s="133" t="s">
        <v>8439</v>
      </c>
      <c r="K87" s="135"/>
      <c r="L87" s="133"/>
      <c r="M87" s="133"/>
      <c r="N87" s="136">
        <v>2026</v>
      </c>
    </row>
    <row r="88" spans="1:14" ht="14.4">
      <c r="A88" s="133"/>
      <c r="B88" s="133"/>
      <c r="C88" s="133"/>
      <c r="D88" s="133" t="s">
        <v>8445</v>
      </c>
      <c r="E88" s="133" t="s">
        <v>4902</v>
      </c>
      <c r="F88" s="133"/>
      <c r="G88" s="133"/>
      <c r="H88" s="138" t="s">
        <v>2606</v>
      </c>
      <c r="I88" s="138" t="s">
        <v>1370</v>
      </c>
      <c r="J88" s="133" t="s">
        <v>8439</v>
      </c>
      <c r="K88" s="135"/>
      <c r="L88" s="133"/>
      <c r="M88" s="133"/>
      <c r="N88" s="136">
        <v>2026</v>
      </c>
    </row>
    <row r="89" spans="1:14" ht="14.4">
      <c r="A89" s="137">
        <v>21</v>
      </c>
      <c r="B89" s="133" t="s">
        <v>8446</v>
      </c>
      <c r="C89" s="133" t="s">
        <v>8447</v>
      </c>
      <c r="D89" s="133" t="s">
        <v>8448</v>
      </c>
      <c r="E89" s="133" t="s">
        <v>4901</v>
      </c>
      <c r="F89" s="133" t="s">
        <v>785</v>
      </c>
      <c r="G89" s="133" t="s">
        <v>792</v>
      </c>
      <c r="H89" s="138" t="s">
        <v>2158</v>
      </c>
      <c r="I89" s="138" t="s">
        <v>1393</v>
      </c>
      <c r="J89" s="133" t="s">
        <v>8398</v>
      </c>
      <c r="K89" s="135" t="s">
        <v>8449</v>
      </c>
      <c r="L89" s="133" t="s">
        <v>8450</v>
      </c>
      <c r="M89" s="133"/>
      <c r="N89" s="136">
        <v>2026</v>
      </c>
    </row>
    <row r="90" spans="1:14" ht="14.4">
      <c r="A90" s="133"/>
      <c r="B90" s="133"/>
      <c r="C90" s="133"/>
      <c r="D90" s="133" t="s">
        <v>798</v>
      </c>
      <c r="E90" s="133" t="s">
        <v>4902</v>
      </c>
      <c r="F90" s="133"/>
      <c r="G90" s="133"/>
      <c r="H90" s="138" t="s">
        <v>2158</v>
      </c>
      <c r="I90" s="138" t="s">
        <v>1393</v>
      </c>
      <c r="J90" s="133" t="s">
        <v>8398</v>
      </c>
      <c r="K90" s="135"/>
      <c r="L90" s="133"/>
      <c r="M90" s="133"/>
      <c r="N90" s="136">
        <v>2026</v>
      </c>
    </row>
    <row r="91" spans="1:14" ht="14.4">
      <c r="A91" s="133"/>
      <c r="B91" s="133"/>
      <c r="C91" s="133"/>
      <c r="D91" s="133" t="s">
        <v>2255</v>
      </c>
      <c r="E91" s="133" t="s">
        <v>4902</v>
      </c>
      <c r="F91" s="133"/>
      <c r="G91" s="133"/>
      <c r="H91" s="138" t="s">
        <v>2158</v>
      </c>
      <c r="I91" s="138" t="s">
        <v>1393</v>
      </c>
      <c r="J91" s="133" t="s">
        <v>8398</v>
      </c>
      <c r="K91" s="135"/>
      <c r="L91" s="133"/>
      <c r="M91" s="133"/>
      <c r="N91" s="136">
        <v>2026</v>
      </c>
    </row>
    <row r="92" spans="1:14" ht="14.4">
      <c r="A92" s="137">
        <v>22</v>
      </c>
      <c r="B92" s="133" t="s">
        <v>8451</v>
      </c>
      <c r="C92" s="133" t="s">
        <v>6933</v>
      </c>
      <c r="D92" s="133" t="s">
        <v>8452</v>
      </c>
      <c r="E92" s="133" t="s">
        <v>4901</v>
      </c>
      <c r="F92" s="133" t="s">
        <v>8298</v>
      </c>
      <c r="G92" s="133" t="s">
        <v>8317</v>
      </c>
      <c r="H92" s="138" t="s">
        <v>1939</v>
      </c>
      <c r="I92" s="138" t="s">
        <v>1512</v>
      </c>
      <c r="J92" s="133" t="s">
        <v>8299</v>
      </c>
      <c r="K92" s="135" t="s">
        <v>8453</v>
      </c>
      <c r="L92" s="133" t="s">
        <v>8454</v>
      </c>
      <c r="M92" s="133"/>
      <c r="N92" s="136">
        <v>2026</v>
      </c>
    </row>
    <row r="93" spans="1:14" ht="14.4">
      <c r="A93" s="133"/>
      <c r="B93" s="133"/>
      <c r="C93" s="133"/>
      <c r="D93" s="133" t="s">
        <v>8455</v>
      </c>
      <c r="E93" s="133" t="s">
        <v>4902</v>
      </c>
      <c r="F93" s="133"/>
      <c r="G93" s="133"/>
      <c r="H93" s="138" t="s">
        <v>1939</v>
      </c>
      <c r="I93" s="138" t="s">
        <v>1512</v>
      </c>
      <c r="J93" s="133" t="s">
        <v>8299</v>
      </c>
      <c r="K93" s="135"/>
      <c r="L93" s="133"/>
      <c r="M93" s="133"/>
      <c r="N93" s="136">
        <v>2026</v>
      </c>
    </row>
    <row r="94" spans="1:14" ht="14.4">
      <c r="A94" s="133"/>
      <c r="B94" s="133"/>
      <c r="C94" s="133"/>
      <c r="D94" s="133" t="s">
        <v>8456</v>
      </c>
      <c r="E94" s="133" t="s">
        <v>4902</v>
      </c>
      <c r="F94" s="133"/>
      <c r="G94" s="133"/>
      <c r="H94" s="138" t="s">
        <v>1939</v>
      </c>
      <c r="I94" s="138" t="s">
        <v>1512</v>
      </c>
      <c r="J94" s="133" t="s">
        <v>8299</v>
      </c>
      <c r="K94" s="135"/>
      <c r="L94" s="133"/>
      <c r="M94" s="133"/>
      <c r="N94" s="136">
        <v>2026</v>
      </c>
    </row>
    <row r="95" spans="1:14" ht="14.4">
      <c r="A95" s="133"/>
      <c r="B95" s="133"/>
      <c r="C95" s="133"/>
      <c r="D95" s="133" t="s">
        <v>8457</v>
      </c>
      <c r="E95" s="133" t="s">
        <v>4902</v>
      </c>
      <c r="F95" s="133"/>
      <c r="G95" s="133"/>
      <c r="H95" s="138" t="s">
        <v>1939</v>
      </c>
      <c r="I95" s="138" t="s">
        <v>1512</v>
      </c>
      <c r="J95" s="133" t="s">
        <v>8299</v>
      </c>
      <c r="K95" s="135"/>
      <c r="L95" s="133"/>
      <c r="M95" s="133"/>
      <c r="N95" s="136">
        <v>2026</v>
      </c>
    </row>
    <row r="96" spans="1:14" ht="14.4">
      <c r="A96" s="133"/>
      <c r="B96" s="133"/>
      <c r="C96" s="133"/>
      <c r="D96" s="133" t="s">
        <v>8458</v>
      </c>
      <c r="E96" s="133" t="s">
        <v>4902</v>
      </c>
      <c r="F96" s="133"/>
      <c r="G96" s="133"/>
      <c r="H96" s="138" t="s">
        <v>1939</v>
      </c>
      <c r="I96" s="138" t="s">
        <v>1512</v>
      </c>
      <c r="J96" s="133" t="s">
        <v>8299</v>
      </c>
      <c r="K96" s="135"/>
      <c r="L96" s="133"/>
      <c r="M96" s="133"/>
      <c r="N96" s="136">
        <v>2026</v>
      </c>
    </row>
    <row r="97" spans="1:14" ht="14.4">
      <c r="A97" s="137">
        <v>23</v>
      </c>
      <c r="B97" s="133" t="s">
        <v>8459</v>
      </c>
      <c r="C97" s="133" t="s">
        <v>8460</v>
      </c>
      <c r="D97" s="133" t="s">
        <v>8461</v>
      </c>
      <c r="E97" s="133" t="s">
        <v>4901</v>
      </c>
      <c r="F97" s="133" t="s">
        <v>2418</v>
      </c>
      <c r="G97" s="133"/>
      <c r="H97" s="138" t="s">
        <v>2361</v>
      </c>
      <c r="I97" s="138" t="s">
        <v>1417</v>
      </c>
      <c r="J97" s="133" t="s">
        <v>8338</v>
      </c>
      <c r="K97" s="135"/>
      <c r="L97" s="133" t="s">
        <v>8462</v>
      </c>
      <c r="M97" s="133" t="s">
        <v>8334</v>
      </c>
      <c r="N97" s="136">
        <v>2026</v>
      </c>
    </row>
    <row r="98" spans="1:14" ht="14.4">
      <c r="A98" s="133"/>
      <c r="B98" s="133"/>
      <c r="C98" s="133"/>
      <c r="D98" s="133" t="s">
        <v>8463</v>
      </c>
      <c r="E98" s="133" t="s">
        <v>4902</v>
      </c>
      <c r="F98" s="133"/>
      <c r="G98" s="133"/>
      <c r="H98" s="138" t="s">
        <v>2361</v>
      </c>
      <c r="I98" s="138" t="s">
        <v>1417</v>
      </c>
      <c r="J98" s="133" t="s">
        <v>8338</v>
      </c>
      <c r="K98" s="135"/>
      <c r="L98" s="133"/>
      <c r="M98" s="133"/>
      <c r="N98" s="136">
        <v>2026</v>
      </c>
    </row>
    <row r="99" spans="1:14" ht="14.4">
      <c r="A99" s="133"/>
      <c r="B99" s="133"/>
      <c r="C99" s="133"/>
      <c r="D99" s="133" t="s">
        <v>8464</v>
      </c>
      <c r="E99" s="133" t="s">
        <v>4902</v>
      </c>
      <c r="F99" s="133"/>
      <c r="G99" s="133"/>
      <c r="H99" s="138" t="s">
        <v>2361</v>
      </c>
      <c r="I99" s="138" t="s">
        <v>1417</v>
      </c>
      <c r="J99" s="133" t="s">
        <v>8338</v>
      </c>
      <c r="K99" s="135"/>
      <c r="L99" s="133"/>
      <c r="M99" s="133"/>
      <c r="N99" s="136">
        <v>2026</v>
      </c>
    </row>
    <row r="100" spans="1:14" ht="14.4">
      <c r="A100" s="133"/>
      <c r="B100" s="133"/>
      <c r="C100" s="133"/>
      <c r="D100" s="133" t="s">
        <v>8465</v>
      </c>
      <c r="E100" s="133" t="s">
        <v>4902</v>
      </c>
      <c r="F100" s="133"/>
      <c r="G100" s="133"/>
      <c r="H100" s="138" t="s">
        <v>2361</v>
      </c>
      <c r="I100" s="138" t="s">
        <v>1417</v>
      </c>
      <c r="J100" s="133" t="s">
        <v>8338</v>
      </c>
      <c r="K100" s="135"/>
      <c r="L100" s="133"/>
      <c r="M100" s="133"/>
      <c r="N100" s="136">
        <v>2026</v>
      </c>
    </row>
    <row r="101" spans="1:14" ht="14.4">
      <c r="A101" s="133"/>
      <c r="B101" s="133"/>
      <c r="C101" s="133"/>
      <c r="D101" s="133" t="s">
        <v>8466</v>
      </c>
      <c r="E101" s="133" t="s">
        <v>4902</v>
      </c>
      <c r="F101" s="133"/>
      <c r="G101" s="133"/>
      <c r="H101" s="138" t="s">
        <v>2361</v>
      </c>
      <c r="I101" s="138" t="s">
        <v>1417</v>
      </c>
      <c r="J101" s="133" t="s">
        <v>8338</v>
      </c>
      <c r="K101" s="135"/>
      <c r="L101" s="133"/>
      <c r="M101" s="133"/>
      <c r="N101" s="136">
        <v>2026</v>
      </c>
    </row>
    <row r="102" spans="1:14" ht="14.4">
      <c r="A102" s="137">
        <v>24</v>
      </c>
      <c r="B102" s="133" t="s">
        <v>8467</v>
      </c>
      <c r="C102" s="133" t="s">
        <v>8397</v>
      </c>
      <c r="D102" s="133" t="s">
        <v>170</v>
      </c>
      <c r="E102" s="133" t="s">
        <v>4901</v>
      </c>
      <c r="F102" s="133" t="s">
        <v>141</v>
      </c>
      <c r="G102" s="133"/>
      <c r="H102" s="138" t="s">
        <v>1975</v>
      </c>
      <c r="I102" s="138" t="s">
        <v>1352</v>
      </c>
      <c r="J102" s="133" t="s">
        <v>8092</v>
      </c>
      <c r="K102" s="135" t="s">
        <v>8468</v>
      </c>
      <c r="L102" s="133" t="s">
        <v>8469</v>
      </c>
      <c r="M102" s="133" t="s">
        <v>8334</v>
      </c>
      <c r="N102" s="136">
        <v>2026</v>
      </c>
    </row>
    <row r="103" spans="1:14" ht="14.4">
      <c r="A103" s="133"/>
      <c r="B103" s="133"/>
      <c r="C103" s="133"/>
      <c r="D103" s="133" t="s">
        <v>344</v>
      </c>
      <c r="E103" s="133" t="s">
        <v>4902</v>
      </c>
      <c r="F103" s="133"/>
      <c r="G103" s="133"/>
      <c r="H103" s="138" t="s">
        <v>1975</v>
      </c>
      <c r="I103" s="138" t="s">
        <v>1352</v>
      </c>
      <c r="J103" s="133" t="s">
        <v>8092</v>
      </c>
      <c r="K103" s="135"/>
      <c r="L103" s="133"/>
      <c r="M103" s="133"/>
      <c r="N103" s="136">
        <v>2026</v>
      </c>
    </row>
    <row r="104" spans="1:14" ht="14.4">
      <c r="A104" s="133"/>
      <c r="B104" s="133"/>
      <c r="C104" s="133"/>
      <c r="D104" s="133" t="s">
        <v>301</v>
      </c>
      <c r="E104" s="133" t="s">
        <v>4902</v>
      </c>
      <c r="F104" s="133"/>
      <c r="G104" s="133"/>
      <c r="H104" s="138" t="s">
        <v>1975</v>
      </c>
      <c r="I104" s="138" t="s">
        <v>1352</v>
      </c>
      <c r="J104" s="133" t="s">
        <v>8092</v>
      </c>
      <c r="K104" s="135"/>
      <c r="L104" s="133"/>
      <c r="M104" s="133"/>
      <c r="N104" s="136">
        <v>2026</v>
      </c>
    </row>
    <row r="105" spans="1:14" ht="14.4">
      <c r="A105" s="137">
        <v>25</v>
      </c>
      <c r="B105" s="133" t="s">
        <v>8470</v>
      </c>
      <c r="C105" s="133" t="s">
        <v>8471</v>
      </c>
      <c r="D105" s="133" t="s">
        <v>1149</v>
      </c>
      <c r="E105" s="133" t="s">
        <v>4901</v>
      </c>
      <c r="F105" s="133" t="s">
        <v>1016</v>
      </c>
      <c r="G105" s="133"/>
      <c r="H105" s="138" t="s">
        <v>1820</v>
      </c>
      <c r="I105" s="138" t="s">
        <v>1462</v>
      </c>
      <c r="J105" s="133" t="s">
        <v>1819</v>
      </c>
      <c r="K105" s="135" t="s">
        <v>8472</v>
      </c>
      <c r="L105" s="133" t="s">
        <v>8473</v>
      </c>
      <c r="M105" s="133" t="s">
        <v>8334</v>
      </c>
      <c r="N105" s="136">
        <v>2026</v>
      </c>
    </row>
    <row r="106" spans="1:14" ht="14.4">
      <c r="A106" s="133"/>
      <c r="B106" s="133"/>
      <c r="C106" s="133"/>
      <c r="D106" s="133" t="s">
        <v>1150</v>
      </c>
      <c r="E106" s="133" t="s">
        <v>4902</v>
      </c>
      <c r="F106" s="133"/>
      <c r="G106" s="133"/>
      <c r="H106" s="138" t="s">
        <v>1820</v>
      </c>
      <c r="I106" s="138" t="s">
        <v>1462</v>
      </c>
      <c r="J106" s="133" t="s">
        <v>1819</v>
      </c>
      <c r="K106" s="135"/>
      <c r="L106" s="133"/>
      <c r="M106" s="133"/>
      <c r="N106" s="136">
        <v>2026</v>
      </c>
    </row>
    <row r="107" spans="1:14" ht="14.4">
      <c r="A107" s="133"/>
      <c r="B107" s="133"/>
      <c r="C107" s="133"/>
      <c r="D107" s="133" t="s">
        <v>8474</v>
      </c>
      <c r="E107" s="133" t="s">
        <v>4902</v>
      </c>
      <c r="F107" s="133"/>
      <c r="G107" s="133"/>
      <c r="H107" s="138" t="s">
        <v>1820</v>
      </c>
      <c r="I107" s="138" t="s">
        <v>1462</v>
      </c>
      <c r="J107" s="133" t="s">
        <v>1819</v>
      </c>
      <c r="K107" s="135"/>
      <c r="L107" s="133"/>
      <c r="M107" s="133"/>
      <c r="N107" s="136">
        <v>2026</v>
      </c>
    </row>
    <row r="108" spans="1:14" ht="14.4">
      <c r="A108" s="133"/>
      <c r="B108" s="133"/>
      <c r="C108" s="133"/>
      <c r="D108" s="133" t="s">
        <v>2262</v>
      </c>
      <c r="E108" s="133" t="s">
        <v>4902</v>
      </c>
      <c r="F108" s="133"/>
      <c r="G108" s="133"/>
      <c r="H108" s="138" t="s">
        <v>1820</v>
      </c>
      <c r="I108" s="138" t="s">
        <v>1462</v>
      </c>
      <c r="J108" s="133" t="s">
        <v>1819</v>
      </c>
      <c r="K108" s="135"/>
      <c r="L108" s="133"/>
      <c r="M108" s="133"/>
      <c r="N108" s="136">
        <v>2026</v>
      </c>
    </row>
    <row r="109" spans="1:14" ht="14.4">
      <c r="A109" s="137">
        <v>26</v>
      </c>
      <c r="B109" s="133" t="s">
        <v>8475</v>
      </c>
      <c r="C109" s="133" t="s">
        <v>8460</v>
      </c>
      <c r="D109" s="133" t="s">
        <v>514</v>
      </c>
      <c r="E109" s="133" t="s">
        <v>4901</v>
      </c>
      <c r="F109" s="133" t="s">
        <v>2418</v>
      </c>
      <c r="G109" s="133" t="s">
        <v>8476</v>
      </c>
      <c r="H109" s="138" t="s">
        <v>2361</v>
      </c>
      <c r="I109" s="138" t="s">
        <v>1417</v>
      </c>
      <c r="J109" s="133" t="s">
        <v>8338</v>
      </c>
      <c r="K109" s="135" t="s">
        <v>8477</v>
      </c>
      <c r="L109" s="133" t="s">
        <v>8478</v>
      </c>
      <c r="M109" s="133" t="s">
        <v>8334</v>
      </c>
      <c r="N109" s="136">
        <v>2026</v>
      </c>
    </row>
    <row r="110" spans="1:14" ht="14.4">
      <c r="A110" s="133"/>
      <c r="B110" s="133"/>
      <c r="C110" s="133"/>
      <c r="D110" s="133" t="s">
        <v>8479</v>
      </c>
      <c r="E110" s="133" t="s">
        <v>4902</v>
      </c>
      <c r="F110" s="133"/>
      <c r="G110" s="133"/>
      <c r="H110" s="138" t="s">
        <v>2361</v>
      </c>
      <c r="I110" s="138" t="s">
        <v>1417</v>
      </c>
      <c r="J110" s="133" t="s">
        <v>8338</v>
      </c>
      <c r="K110" s="135"/>
      <c r="L110" s="133"/>
      <c r="M110" s="133"/>
      <c r="N110" s="136">
        <v>2026</v>
      </c>
    </row>
    <row r="111" spans="1:14" ht="14.4">
      <c r="A111" s="133"/>
      <c r="B111" s="133"/>
      <c r="C111" s="133"/>
      <c r="D111" s="133" t="s">
        <v>8480</v>
      </c>
      <c r="E111" s="133" t="s">
        <v>4902</v>
      </c>
      <c r="F111" s="133"/>
      <c r="G111" s="133"/>
      <c r="H111" s="138" t="s">
        <v>2361</v>
      </c>
      <c r="I111" s="138" t="s">
        <v>1417</v>
      </c>
      <c r="J111" s="133" t="s">
        <v>8338</v>
      </c>
      <c r="K111" s="135"/>
      <c r="L111" s="133"/>
      <c r="M111" s="133"/>
      <c r="N111" s="136">
        <v>2026</v>
      </c>
    </row>
    <row r="112" spans="1:14" ht="14.4">
      <c r="A112" s="133"/>
      <c r="B112" s="133"/>
      <c r="C112" s="133"/>
      <c r="D112" s="133" t="s">
        <v>8481</v>
      </c>
      <c r="E112" s="133" t="s">
        <v>4902</v>
      </c>
      <c r="F112" s="133"/>
      <c r="G112" s="133"/>
      <c r="H112" s="138" t="s">
        <v>2361</v>
      </c>
      <c r="I112" s="138" t="s">
        <v>1417</v>
      </c>
      <c r="J112" s="133" t="s">
        <v>8338</v>
      </c>
      <c r="K112" s="135"/>
      <c r="L112" s="133"/>
      <c r="M112" s="133"/>
      <c r="N112" s="136">
        <v>2026</v>
      </c>
    </row>
    <row r="113" spans="1:14" ht="14.4">
      <c r="A113" s="133"/>
      <c r="B113" s="133"/>
      <c r="C113" s="133"/>
      <c r="D113" s="133" t="s">
        <v>8482</v>
      </c>
      <c r="E113" s="133" t="s">
        <v>4902</v>
      </c>
      <c r="F113" s="133"/>
      <c r="G113" s="133"/>
      <c r="H113" s="138" t="s">
        <v>2361</v>
      </c>
      <c r="I113" s="138" t="s">
        <v>1417</v>
      </c>
      <c r="J113" s="133" t="s">
        <v>8338</v>
      </c>
      <c r="K113" s="135"/>
      <c r="L113" s="133"/>
      <c r="M113" s="133"/>
      <c r="N113" s="136">
        <v>2026</v>
      </c>
    </row>
    <row r="114" spans="1:14" ht="14.4">
      <c r="A114" s="137">
        <v>27</v>
      </c>
      <c r="B114" s="133" t="s">
        <v>8483</v>
      </c>
      <c r="C114" s="133" t="s">
        <v>8484</v>
      </c>
      <c r="D114" s="133" t="s">
        <v>8485</v>
      </c>
      <c r="E114" s="133" t="s">
        <v>4901</v>
      </c>
      <c r="F114" s="133" t="s">
        <v>2226</v>
      </c>
      <c r="G114" s="133" t="s">
        <v>774</v>
      </c>
      <c r="H114" s="138" t="s">
        <v>2158</v>
      </c>
      <c r="I114" s="138" t="s">
        <v>1393</v>
      </c>
      <c r="J114" s="133" t="s">
        <v>8398</v>
      </c>
      <c r="K114" s="135" t="s">
        <v>8486</v>
      </c>
      <c r="L114" s="133" t="s">
        <v>8487</v>
      </c>
      <c r="M114" s="133"/>
      <c r="N114" s="136">
        <v>2026</v>
      </c>
    </row>
    <row r="115" spans="1:14" ht="14.4">
      <c r="A115" s="133"/>
      <c r="B115" s="133"/>
      <c r="C115" s="133"/>
      <c r="D115" s="133" t="s">
        <v>8488</v>
      </c>
      <c r="E115" s="133" t="s">
        <v>4902</v>
      </c>
      <c r="F115" s="133"/>
      <c r="G115" s="133"/>
      <c r="H115" s="138" t="s">
        <v>2158</v>
      </c>
      <c r="I115" s="138" t="s">
        <v>1393</v>
      </c>
      <c r="J115" s="133" t="s">
        <v>8398</v>
      </c>
      <c r="K115" s="135"/>
      <c r="L115" s="133"/>
      <c r="M115" s="133"/>
      <c r="N115" s="136">
        <v>2026</v>
      </c>
    </row>
    <row r="116" spans="1:14" ht="14.4">
      <c r="A116" s="133"/>
      <c r="B116" s="133"/>
      <c r="C116" s="133"/>
      <c r="D116" s="133" t="s">
        <v>8489</v>
      </c>
      <c r="E116" s="133" t="s">
        <v>4902</v>
      </c>
      <c r="F116" s="133"/>
      <c r="G116" s="133"/>
      <c r="H116" s="138" t="s">
        <v>2158</v>
      </c>
      <c r="I116" s="138" t="s">
        <v>1393</v>
      </c>
      <c r="J116" s="133" t="s">
        <v>8398</v>
      </c>
      <c r="K116" s="135"/>
      <c r="L116" s="133"/>
      <c r="M116" s="133"/>
      <c r="N116" s="136">
        <v>2026</v>
      </c>
    </row>
    <row r="117" spans="1:14" ht="14.4">
      <c r="A117" s="137">
        <v>28</v>
      </c>
      <c r="B117" s="133" t="s">
        <v>8490</v>
      </c>
      <c r="C117" s="133" t="s">
        <v>8331</v>
      </c>
      <c r="D117" s="133" t="s">
        <v>2156</v>
      </c>
      <c r="E117" s="133" t="s">
        <v>4901</v>
      </c>
      <c r="F117" s="133" t="s">
        <v>785</v>
      </c>
      <c r="G117" s="133"/>
      <c r="H117" s="138" t="s">
        <v>2158</v>
      </c>
      <c r="I117" s="138" t="s">
        <v>1393</v>
      </c>
      <c r="J117" s="133" t="s">
        <v>8398</v>
      </c>
      <c r="K117" s="135" t="s">
        <v>8491</v>
      </c>
      <c r="L117" s="133" t="s">
        <v>8492</v>
      </c>
      <c r="M117" s="133"/>
      <c r="N117" s="136">
        <v>2026</v>
      </c>
    </row>
    <row r="118" spans="1:14" ht="14.4">
      <c r="A118" s="133"/>
      <c r="B118" s="133"/>
      <c r="C118" s="133"/>
      <c r="D118" s="133" t="s">
        <v>2159</v>
      </c>
      <c r="E118" s="133" t="s">
        <v>4902</v>
      </c>
      <c r="F118" s="133"/>
      <c r="G118" s="133"/>
      <c r="H118" s="138" t="s">
        <v>2158</v>
      </c>
      <c r="I118" s="138" t="s">
        <v>1393</v>
      </c>
      <c r="J118" s="133" t="s">
        <v>8398</v>
      </c>
      <c r="K118" s="135"/>
      <c r="L118" s="133"/>
      <c r="M118" s="133"/>
      <c r="N118" s="136">
        <v>2026</v>
      </c>
    </row>
    <row r="119" spans="1:14" ht="14.4">
      <c r="A119" s="133"/>
      <c r="B119" s="133"/>
      <c r="C119" s="133"/>
      <c r="D119" s="133" t="s">
        <v>881</v>
      </c>
      <c r="E119" s="133" t="s">
        <v>4902</v>
      </c>
      <c r="F119" s="133"/>
      <c r="G119" s="133"/>
      <c r="H119" s="138" t="s">
        <v>2158</v>
      </c>
      <c r="I119" s="138" t="s">
        <v>1393</v>
      </c>
      <c r="J119" s="133" t="s">
        <v>8398</v>
      </c>
      <c r="K119" s="135"/>
      <c r="L119" s="133"/>
      <c r="M119" s="133"/>
      <c r="N119" s="136">
        <v>2026</v>
      </c>
    </row>
    <row r="120" spans="1:14" ht="14.4">
      <c r="A120" s="133"/>
      <c r="B120" s="133"/>
      <c r="C120" s="133"/>
      <c r="D120" s="133" t="s">
        <v>882</v>
      </c>
      <c r="E120" s="133" t="s">
        <v>4902</v>
      </c>
      <c r="F120" s="133"/>
      <c r="G120" s="133"/>
      <c r="H120" s="138" t="s">
        <v>2158</v>
      </c>
      <c r="I120" s="138" t="s">
        <v>1393</v>
      </c>
      <c r="J120" s="133" t="s">
        <v>8398</v>
      </c>
      <c r="K120" s="135"/>
      <c r="L120" s="133"/>
      <c r="M120" s="133"/>
      <c r="N120" s="136">
        <v>2026</v>
      </c>
    </row>
    <row r="121" spans="1:14" ht="14.4">
      <c r="A121" s="133"/>
      <c r="B121" s="133"/>
      <c r="C121" s="133"/>
      <c r="D121" s="133" t="s">
        <v>2328</v>
      </c>
      <c r="E121" s="133" t="s">
        <v>4902</v>
      </c>
      <c r="F121" s="133"/>
      <c r="G121" s="133"/>
      <c r="H121" s="138" t="s">
        <v>2158</v>
      </c>
      <c r="I121" s="138" t="s">
        <v>1393</v>
      </c>
      <c r="J121" s="133" t="s">
        <v>8398</v>
      </c>
      <c r="K121" s="135"/>
      <c r="L121" s="133"/>
      <c r="M121" s="133"/>
      <c r="N121" s="136">
        <v>2026</v>
      </c>
    </row>
    <row r="122" spans="1:14" ht="14.4">
      <c r="A122" s="137">
        <v>29</v>
      </c>
      <c r="B122" s="133" t="s">
        <v>8493</v>
      </c>
      <c r="C122" s="133" t="s">
        <v>8363</v>
      </c>
      <c r="D122" s="133" t="s">
        <v>8494</v>
      </c>
      <c r="E122" s="133" t="s">
        <v>4901</v>
      </c>
      <c r="F122" s="133" t="s">
        <v>8495</v>
      </c>
      <c r="G122" s="133" t="s">
        <v>8496</v>
      </c>
      <c r="H122" s="138" t="s">
        <v>2361</v>
      </c>
      <c r="I122" s="138" t="s">
        <v>1417</v>
      </c>
      <c r="J122" s="133" t="s">
        <v>8338</v>
      </c>
      <c r="K122" s="135" t="s">
        <v>8497</v>
      </c>
      <c r="L122" s="133" t="s">
        <v>8498</v>
      </c>
      <c r="M122" s="133"/>
      <c r="N122" s="136">
        <v>2026</v>
      </c>
    </row>
    <row r="123" spans="1:14" ht="14.4">
      <c r="A123" s="133"/>
      <c r="B123" s="133"/>
      <c r="C123" s="133"/>
      <c r="D123" s="133" t="s">
        <v>8499</v>
      </c>
      <c r="E123" s="133" t="s">
        <v>4902</v>
      </c>
      <c r="F123" s="133"/>
      <c r="G123" s="133"/>
      <c r="H123" s="138" t="s">
        <v>2361</v>
      </c>
      <c r="I123" s="138" t="s">
        <v>1417</v>
      </c>
      <c r="J123" s="133" t="s">
        <v>8338</v>
      </c>
      <c r="K123" s="135"/>
      <c r="L123" s="133"/>
      <c r="M123" s="133"/>
      <c r="N123" s="136">
        <v>2026</v>
      </c>
    </row>
    <row r="124" spans="1:14" ht="14.4">
      <c r="A124" s="133"/>
      <c r="B124" s="133"/>
      <c r="C124" s="133"/>
      <c r="D124" s="133" t="s">
        <v>1298</v>
      </c>
      <c r="E124" s="133" t="s">
        <v>4902</v>
      </c>
      <c r="F124" s="133"/>
      <c r="G124" s="133"/>
      <c r="H124" s="138" t="s">
        <v>2361</v>
      </c>
      <c r="I124" s="138" t="s">
        <v>1417</v>
      </c>
      <c r="J124" s="133" t="s">
        <v>8338</v>
      </c>
      <c r="K124" s="135"/>
      <c r="L124" s="133"/>
      <c r="M124" s="133"/>
      <c r="N124" s="136">
        <v>2026</v>
      </c>
    </row>
    <row r="125" spans="1:14" ht="14.4">
      <c r="A125" s="133"/>
      <c r="B125" s="133"/>
      <c r="C125" s="133"/>
      <c r="D125" s="133" t="s">
        <v>8500</v>
      </c>
      <c r="E125" s="133" t="s">
        <v>4902</v>
      </c>
      <c r="F125" s="133"/>
      <c r="G125" s="133"/>
      <c r="H125" s="138" t="s">
        <v>2361</v>
      </c>
      <c r="I125" s="138" t="s">
        <v>1417</v>
      </c>
      <c r="J125" s="133" t="s">
        <v>8338</v>
      </c>
      <c r="K125" s="135"/>
      <c r="L125" s="133"/>
      <c r="M125" s="133"/>
      <c r="N125" s="136">
        <v>2026</v>
      </c>
    </row>
    <row r="126" spans="1:14" ht="14.4">
      <c r="A126" s="137">
        <v>30</v>
      </c>
      <c r="B126" s="133" t="s">
        <v>8501</v>
      </c>
      <c r="C126" s="133" t="s">
        <v>8502</v>
      </c>
      <c r="D126" s="133" t="s">
        <v>8503</v>
      </c>
      <c r="E126" s="133" t="s">
        <v>4901</v>
      </c>
      <c r="F126" s="133" t="s">
        <v>8495</v>
      </c>
      <c r="G126" s="133" t="s">
        <v>8391</v>
      </c>
      <c r="H126" s="138" t="s">
        <v>2361</v>
      </c>
      <c r="I126" s="138" t="s">
        <v>1417</v>
      </c>
      <c r="J126" s="133" t="s">
        <v>8338</v>
      </c>
      <c r="K126" s="135" t="s">
        <v>8504</v>
      </c>
      <c r="L126" s="133" t="s">
        <v>8505</v>
      </c>
      <c r="M126" s="133" t="s">
        <v>8302</v>
      </c>
      <c r="N126" s="136">
        <v>2026</v>
      </c>
    </row>
    <row r="127" spans="1:14" ht="14.4">
      <c r="A127" s="133"/>
      <c r="B127" s="133"/>
      <c r="C127" s="133"/>
      <c r="D127" s="133" t="s">
        <v>8506</v>
      </c>
      <c r="E127" s="133" t="s">
        <v>4902</v>
      </c>
      <c r="F127" s="133"/>
      <c r="G127" s="133"/>
      <c r="H127" s="138" t="s">
        <v>2361</v>
      </c>
      <c r="I127" s="138" t="s">
        <v>1417</v>
      </c>
      <c r="J127" s="133" t="s">
        <v>8338</v>
      </c>
      <c r="K127" s="135"/>
      <c r="L127" s="133"/>
      <c r="M127" s="133"/>
      <c r="N127" s="136">
        <v>2026</v>
      </c>
    </row>
    <row r="128" spans="1:14" ht="14.4">
      <c r="A128" s="133"/>
      <c r="B128" s="133"/>
      <c r="C128" s="133"/>
      <c r="D128" s="133" t="s">
        <v>8507</v>
      </c>
      <c r="E128" s="133" t="s">
        <v>4902</v>
      </c>
      <c r="F128" s="133"/>
      <c r="G128" s="133"/>
      <c r="H128" s="138" t="s">
        <v>2361</v>
      </c>
      <c r="I128" s="138" t="s">
        <v>1417</v>
      </c>
      <c r="J128" s="133" t="s">
        <v>8338</v>
      </c>
      <c r="K128" s="135"/>
      <c r="L128" s="133"/>
      <c r="M128" s="133"/>
      <c r="N128" s="136">
        <v>2026</v>
      </c>
    </row>
    <row r="129" spans="1:14" ht="14.4">
      <c r="A129" s="133"/>
      <c r="B129" s="133"/>
      <c r="C129" s="133"/>
      <c r="D129" s="133" t="s">
        <v>2259</v>
      </c>
      <c r="E129" s="133" t="s">
        <v>4902</v>
      </c>
      <c r="F129" s="133"/>
      <c r="G129" s="133"/>
      <c r="H129" s="138" t="s">
        <v>2361</v>
      </c>
      <c r="I129" s="138" t="s">
        <v>1417</v>
      </c>
      <c r="J129" s="133" t="s">
        <v>8338</v>
      </c>
      <c r="K129" s="135"/>
      <c r="L129" s="133"/>
      <c r="M129" s="133"/>
      <c r="N129" s="136">
        <v>2026</v>
      </c>
    </row>
    <row r="130" spans="1:14" ht="14.4">
      <c r="A130" s="137">
        <v>31</v>
      </c>
      <c r="B130" s="133" t="s">
        <v>8508</v>
      </c>
      <c r="C130" s="133" t="s">
        <v>8227</v>
      </c>
      <c r="D130" s="133" t="s">
        <v>1900</v>
      </c>
      <c r="E130" s="133" t="s">
        <v>4901</v>
      </c>
      <c r="F130" s="133" t="s">
        <v>1879</v>
      </c>
      <c r="G130" s="133"/>
      <c r="H130" s="138" t="s">
        <v>1820</v>
      </c>
      <c r="I130" s="138" t="s">
        <v>1462</v>
      </c>
      <c r="J130" s="133" t="s">
        <v>1819</v>
      </c>
      <c r="K130" s="135" t="s">
        <v>8509</v>
      </c>
      <c r="L130" s="133" t="s">
        <v>8510</v>
      </c>
      <c r="M130" s="133"/>
      <c r="N130" s="136">
        <v>2026</v>
      </c>
    </row>
    <row r="131" spans="1:14" ht="14.4">
      <c r="A131" s="133"/>
      <c r="B131" s="133"/>
      <c r="C131" s="133"/>
      <c r="D131" s="133" t="s">
        <v>1903</v>
      </c>
      <c r="E131" s="133" t="s">
        <v>4902</v>
      </c>
      <c r="F131" s="133"/>
      <c r="G131" s="133"/>
      <c r="H131" s="138" t="s">
        <v>1820</v>
      </c>
      <c r="I131" s="138" t="s">
        <v>1462</v>
      </c>
      <c r="J131" s="133" t="s">
        <v>1819</v>
      </c>
      <c r="K131" s="135"/>
      <c r="L131" s="133"/>
      <c r="M131" s="133"/>
      <c r="N131" s="136">
        <v>2026</v>
      </c>
    </row>
    <row r="132" spans="1:14" ht="14.4">
      <c r="A132" s="133"/>
      <c r="B132" s="133"/>
      <c r="C132" s="133"/>
      <c r="D132" s="133" t="s">
        <v>8511</v>
      </c>
      <c r="E132" s="133" t="s">
        <v>4902</v>
      </c>
      <c r="F132" s="133"/>
      <c r="G132" s="133"/>
      <c r="H132" s="138" t="s">
        <v>1820</v>
      </c>
      <c r="I132" s="138" t="s">
        <v>1462</v>
      </c>
      <c r="J132" s="133" t="s">
        <v>1819</v>
      </c>
      <c r="K132" s="135"/>
      <c r="L132" s="133"/>
      <c r="M132" s="133"/>
      <c r="N132" s="136">
        <v>2026</v>
      </c>
    </row>
    <row r="133" spans="1:14" ht="14.4">
      <c r="A133" s="133"/>
      <c r="B133" s="133"/>
      <c r="C133" s="133"/>
      <c r="D133" s="133" t="s">
        <v>1899</v>
      </c>
      <c r="E133" s="133" t="s">
        <v>4902</v>
      </c>
      <c r="F133" s="133"/>
      <c r="G133" s="133"/>
      <c r="H133" s="138" t="s">
        <v>1820</v>
      </c>
      <c r="I133" s="138" t="s">
        <v>1462</v>
      </c>
      <c r="J133" s="133" t="s">
        <v>1819</v>
      </c>
      <c r="K133" s="135"/>
      <c r="L133" s="133"/>
      <c r="M133" s="133"/>
      <c r="N133" s="136">
        <v>2026</v>
      </c>
    </row>
    <row r="134" spans="1:14" ht="14.4">
      <c r="A134" s="137">
        <v>32</v>
      </c>
      <c r="B134" s="133" t="s">
        <v>8512</v>
      </c>
      <c r="C134" s="133" t="s">
        <v>8331</v>
      </c>
      <c r="D134" s="133" t="s">
        <v>8513</v>
      </c>
      <c r="E134" s="133" t="s">
        <v>4901</v>
      </c>
      <c r="F134" s="133" t="s">
        <v>8495</v>
      </c>
      <c r="G134" s="133" t="s">
        <v>8514</v>
      </c>
      <c r="H134" s="138" t="s">
        <v>2361</v>
      </c>
      <c r="I134" s="138" t="s">
        <v>1417</v>
      </c>
      <c r="J134" s="133" t="s">
        <v>8338</v>
      </c>
      <c r="K134" s="135" t="s">
        <v>8515</v>
      </c>
      <c r="L134" s="133" t="s">
        <v>8516</v>
      </c>
      <c r="M134" s="133"/>
      <c r="N134" s="136">
        <v>2026</v>
      </c>
    </row>
    <row r="135" spans="1:14" ht="14.4">
      <c r="A135" s="133"/>
      <c r="B135" s="133"/>
      <c r="C135" s="133"/>
      <c r="D135" s="133" t="s">
        <v>8517</v>
      </c>
      <c r="E135" s="133" t="s">
        <v>4902</v>
      </c>
      <c r="F135" s="133"/>
      <c r="G135" s="133"/>
      <c r="H135" s="138" t="s">
        <v>2361</v>
      </c>
      <c r="I135" s="138" t="s">
        <v>1417</v>
      </c>
      <c r="J135" s="133" t="s">
        <v>8338</v>
      </c>
      <c r="K135" s="135"/>
      <c r="L135" s="133"/>
      <c r="M135" s="133"/>
      <c r="N135" s="136">
        <v>2026</v>
      </c>
    </row>
    <row r="136" spans="1:14" ht="14.4">
      <c r="A136" s="133"/>
      <c r="B136" s="133"/>
      <c r="C136" s="133"/>
      <c r="D136" s="133" t="s">
        <v>8518</v>
      </c>
      <c r="E136" s="133" t="s">
        <v>4902</v>
      </c>
      <c r="F136" s="133"/>
      <c r="G136" s="133"/>
      <c r="H136" s="138" t="s">
        <v>2361</v>
      </c>
      <c r="I136" s="138" t="s">
        <v>1417</v>
      </c>
      <c r="J136" s="133" t="s">
        <v>8338</v>
      </c>
      <c r="K136" s="135"/>
      <c r="L136" s="133"/>
      <c r="M136" s="133"/>
      <c r="N136" s="136">
        <v>2026</v>
      </c>
    </row>
    <row r="137" spans="1:14" ht="14.4">
      <c r="A137" s="133"/>
      <c r="B137" s="133"/>
      <c r="C137" s="133"/>
      <c r="D137" s="133" t="s">
        <v>8519</v>
      </c>
      <c r="E137" s="133" t="s">
        <v>4902</v>
      </c>
      <c r="F137" s="133"/>
      <c r="G137" s="133"/>
      <c r="H137" s="138" t="s">
        <v>2361</v>
      </c>
      <c r="I137" s="138" t="s">
        <v>1417</v>
      </c>
      <c r="J137" s="133" t="s">
        <v>8338</v>
      </c>
      <c r="K137" s="135"/>
      <c r="L137" s="133"/>
      <c r="M137" s="133"/>
      <c r="N137" s="136">
        <v>2026</v>
      </c>
    </row>
    <row r="138" spans="1:14" ht="14.4">
      <c r="A138" s="137">
        <v>33</v>
      </c>
      <c r="B138" s="133" t="s">
        <v>8520</v>
      </c>
      <c r="C138" s="133" t="s">
        <v>8521</v>
      </c>
      <c r="D138" s="133" t="s">
        <v>2314</v>
      </c>
      <c r="E138" s="133" t="s">
        <v>4901</v>
      </c>
      <c r="F138" s="133" t="s">
        <v>2172</v>
      </c>
      <c r="G138" s="133" t="s">
        <v>8522</v>
      </c>
      <c r="H138" s="138" t="s">
        <v>2158</v>
      </c>
      <c r="I138" s="138" t="s">
        <v>1393</v>
      </c>
      <c r="J138" s="133" t="s">
        <v>8398</v>
      </c>
      <c r="K138" s="135" t="s">
        <v>8523</v>
      </c>
      <c r="L138" s="133" t="s">
        <v>8524</v>
      </c>
      <c r="M138" s="133"/>
      <c r="N138" s="136">
        <v>2026</v>
      </c>
    </row>
    <row r="139" spans="1:14" ht="14.4">
      <c r="A139" s="133"/>
      <c r="B139" s="133"/>
      <c r="C139" s="133"/>
      <c r="D139" s="133" t="s">
        <v>2347</v>
      </c>
      <c r="E139" s="133" t="s">
        <v>4902</v>
      </c>
      <c r="F139" s="133"/>
      <c r="G139" s="133"/>
      <c r="H139" s="138" t="s">
        <v>2158</v>
      </c>
      <c r="I139" s="138" t="s">
        <v>1393</v>
      </c>
      <c r="J139" s="133" t="s">
        <v>8398</v>
      </c>
      <c r="K139" s="135"/>
      <c r="L139" s="133"/>
      <c r="M139" s="133"/>
      <c r="N139" s="136">
        <v>2026</v>
      </c>
    </row>
    <row r="140" spans="1:14" ht="14.4">
      <c r="A140" s="133"/>
      <c r="B140" s="133"/>
      <c r="C140" s="133"/>
      <c r="D140" s="133" t="s">
        <v>2351</v>
      </c>
      <c r="E140" s="133" t="s">
        <v>4902</v>
      </c>
      <c r="F140" s="133"/>
      <c r="G140" s="133"/>
      <c r="H140" s="138" t="s">
        <v>2158</v>
      </c>
      <c r="I140" s="138" t="s">
        <v>1393</v>
      </c>
      <c r="J140" s="133" t="s">
        <v>8398</v>
      </c>
      <c r="K140" s="135"/>
      <c r="L140" s="133"/>
      <c r="M140" s="133"/>
      <c r="N140" s="136">
        <v>2026</v>
      </c>
    </row>
    <row r="141" spans="1:14" ht="14.4">
      <c r="A141" s="133"/>
      <c r="B141" s="133"/>
      <c r="C141" s="133"/>
      <c r="D141" s="133" t="s">
        <v>2343</v>
      </c>
      <c r="E141" s="133" t="s">
        <v>4902</v>
      </c>
      <c r="F141" s="133"/>
      <c r="G141" s="133"/>
      <c r="H141" s="138" t="s">
        <v>2158</v>
      </c>
      <c r="I141" s="138" t="s">
        <v>1393</v>
      </c>
      <c r="J141" s="133" t="s">
        <v>8398</v>
      </c>
      <c r="K141" s="135"/>
      <c r="L141" s="133"/>
      <c r="M141" s="133"/>
      <c r="N141" s="136">
        <v>2026</v>
      </c>
    </row>
    <row r="142" spans="1:14" ht="14.4">
      <c r="A142" s="137">
        <v>34</v>
      </c>
      <c r="B142" s="133" t="s">
        <v>8525</v>
      </c>
      <c r="C142" s="133" t="s">
        <v>8460</v>
      </c>
      <c r="D142" s="133" t="s">
        <v>8526</v>
      </c>
      <c r="E142" s="133" t="s">
        <v>4901</v>
      </c>
      <c r="F142" s="133" t="s">
        <v>8527</v>
      </c>
      <c r="G142" s="133"/>
      <c r="H142" s="138" t="s">
        <v>1939</v>
      </c>
      <c r="I142" s="138" t="s">
        <v>1512</v>
      </c>
      <c r="J142" s="133" t="s">
        <v>8299</v>
      </c>
      <c r="K142" s="135" t="s">
        <v>8528</v>
      </c>
      <c r="L142" s="133" t="s">
        <v>8529</v>
      </c>
      <c r="M142" s="133" t="s">
        <v>8302</v>
      </c>
      <c r="N142" s="136">
        <v>2026</v>
      </c>
    </row>
    <row r="143" spans="1:14" ht="14.4">
      <c r="A143" s="133"/>
      <c r="B143" s="133"/>
      <c r="C143" s="133"/>
      <c r="D143" s="133" t="s">
        <v>8530</v>
      </c>
      <c r="E143" s="133" t="s">
        <v>4902</v>
      </c>
      <c r="F143" s="133"/>
      <c r="G143" s="133"/>
      <c r="H143" s="138" t="s">
        <v>1939</v>
      </c>
      <c r="I143" s="138" t="s">
        <v>1512</v>
      </c>
      <c r="J143" s="133" t="s">
        <v>8299</v>
      </c>
      <c r="K143" s="135"/>
      <c r="L143" s="133"/>
      <c r="M143" s="133"/>
      <c r="N143" s="136">
        <v>2026</v>
      </c>
    </row>
    <row r="144" spans="1:14" ht="14.4">
      <c r="A144" s="133"/>
      <c r="B144" s="133"/>
      <c r="C144" s="133"/>
      <c r="D144" s="133" t="s">
        <v>8531</v>
      </c>
      <c r="E144" s="133" t="s">
        <v>4902</v>
      </c>
      <c r="F144" s="133"/>
      <c r="G144" s="133"/>
      <c r="H144" s="138" t="s">
        <v>1939</v>
      </c>
      <c r="I144" s="138" t="s">
        <v>1512</v>
      </c>
      <c r="J144" s="133" t="s">
        <v>8299</v>
      </c>
      <c r="K144" s="135"/>
      <c r="L144" s="133"/>
      <c r="M144" s="133"/>
      <c r="N144" s="136">
        <v>2026</v>
      </c>
    </row>
    <row r="145" spans="1:14" ht="14.4">
      <c r="A145" s="133"/>
      <c r="B145" s="133"/>
      <c r="C145" s="133"/>
      <c r="D145" s="133" t="s">
        <v>8532</v>
      </c>
      <c r="E145" s="133" t="s">
        <v>4902</v>
      </c>
      <c r="F145" s="133"/>
      <c r="G145" s="133"/>
      <c r="H145" s="138" t="s">
        <v>1939</v>
      </c>
      <c r="I145" s="138" t="s">
        <v>1512</v>
      </c>
      <c r="J145" s="133" t="s">
        <v>8299</v>
      </c>
      <c r="K145" s="135"/>
      <c r="L145" s="133"/>
      <c r="M145" s="133"/>
      <c r="N145" s="136">
        <v>2026</v>
      </c>
    </row>
    <row r="146" spans="1:14" ht="14.4">
      <c r="A146" s="133"/>
      <c r="B146" s="133"/>
      <c r="C146" s="133"/>
      <c r="D146" s="133" t="s">
        <v>537</v>
      </c>
      <c r="E146" s="133" t="s">
        <v>4902</v>
      </c>
      <c r="F146" s="133"/>
      <c r="G146" s="133"/>
      <c r="H146" s="138" t="s">
        <v>1939</v>
      </c>
      <c r="I146" s="138" t="s">
        <v>1512</v>
      </c>
      <c r="J146" s="133" t="s">
        <v>8299</v>
      </c>
      <c r="K146" s="135"/>
      <c r="L146" s="133"/>
      <c r="M146" s="133"/>
      <c r="N146" s="136">
        <v>2026</v>
      </c>
    </row>
    <row r="147" spans="1:14" ht="14.4">
      <c r="A147" s="137">
        <v>35</v>
      </c>
      <c r="B147" s="133" t="s">
        <v>8533</v>
      </c>
      <c r="C147" s="133" t="s">
        <v>8348</v>
      </c>
      <c r="D147" s="133" t="s">
        <v>8122</v>
      </c>
      <c r="E147" s="133" t="s">
        <v>4901</v>
      </c>
      <c r="F147" s="133" t="s">
        <v>8534</v>
      </c>
      <c r="G147" s="133"/>
      <c r="H147" s="138" t="s">
        <v>1478</v>
      </c>
      <c r="I147" s="138" t="s">
        <v>1437</v>
      </c>
      <c r="J147" s="133" t="s">
        <v>8309</v>
      </c>
      <c r="K147" s="135" t="s">
        <v>8535</v>
      </c>
      <c r="L147" s="133" t="s">
        <v>8536</v>
      </c>
      <c r="M147" s="133"/>
      <c r="N147" s="136">
        <v>2026</v>
      </c>
    </row>
    <row r="148" spans="1:14" ht="14.4">
      <c r="A148" s="133"/>
      <c r="B148" s="133"/>
      <c r="C148" s="133"/>
      <c r="D148" s="133" t="s">
        <v>8537</v>
      </c>
      <c r="E148" s="133" t="s">
        <v>4902</v>
      </c>
      <c r="F148" s="133"/>
      <c r="G148" s="133"/>
      <c r="H148" s="138" t="s">
        <v>1478</v>
      </c>
      <c r="I148" s="138" t="s">
        <v>1437</v>
      </c>
      <c r="J148" s="133" t="s">
        <v>8309</v>
      </c>
      <c r="K148" s="135"/>
      <c r="L148" s="133"/>
      <c r="M148" s="133"/>
      <c r="N148" s="136">
        <v>2026</v>
      </c>
    </row>
    <row r="149" spans="1:14" ht="14.4">
      <c r="A149" s="133"/>
      <c r="B149" s="133"/>
      <c r="C149" s="133"/>
      <c r="D149" s="133" t="s">
        <v>8538</v>
      </c>
      <c r="E149" s="133" t="s">
        <v>4902</v>
      </c>
      <c r="F149" s="133"/>
      <c r="G149" s="133"/>
      <c r="H149" s="138" t="s">
        <v>1478</v>
      </c>
      <c r="I149" s="138" t="s">
        <v>1437</v>
      </c>
      <c r="J149" s="133" t="s">
        <v>8309</v>
      </c>
      <c r="K149" s="135"/>
      <c r="L149" s="133"/>
      <c r="M149" s="133"/>
      <c r="N149" s="136">
        <v>2026</v>
      </c>
    </row>
    <row r="150" spans="1:14" ht="14.4">
      <c r="A150" s="133"/>
      <c r="B150" s="133"/>
      <c r="C150" s="133"/>
      <c r="D150" s="133" t="s">
        <v>1949</v>
      </c>
      <c r="E150" s="133" t="s">
        <v>4902</v>
      </c>
      <c r="F150" s="133"/>
      <c r="G150" s="133"/>
      <c r="H150" s="138" t="s">
        <v>1478</v>
      </c>
      <c r="I150" s="138" t="s">
        <v>1437</v>
      </c>
      <c r="J150" s="133" t="s">
        <v>8309</v>
      </c>
      <c r="K150" s="135"/>
      <c r="L150" s="133"/>
      <c r="M150" s="133"/>
      <c r="N150" s="136">
        <v>2026</v>
      </c>
    </row>
    <row r="151" spans="1:14" ht="14.4">
      <c r="A151" s="133"/>
      <c r="B151" s="133"/>
      <c r="C151" s="133"/>
      <c r="D151" s="133" t="s">
        <v>8539</v>
      </c>
      <c r="E151" s="133" t="s">
        <v>4902</v>
      </c>
      <c r="F151" s="133"/>
      <c r="G151" s="133"/>
      <c r="H151" s="138" t="s">
        <v>1478</v>
      </c>
      <c r="I151" s="138" t="s">
        <v>1437</v>
      </c>
      <c r="J151" s="133" t="s">
        <v>8309</v>
      </c>
      <c r="K151" s="135"/>
      <c r="L151" s="133"/>
      <c r="M151" s="133"/>
      <c r="N151" s="136">
        <v>2026</v>
      </c>
    </row>
    <row r="152" spans="1:14" ht="14.4">
      <c r="A152" s="137">
        <v>36</v>
      </c>
      <c r="B152" s="133" t="s">
        <v>8540</v>
      </c>
      <c r="C152" s="133" t="s">
        <v>6933</v>
      </c>
      <c r="D152" s="133" t="s">
        <v>8219</v>
      </c>
      <c r="E152" s="133" t="s">
        <v>4901</v>
      </c>
      <c r="F152" s="133" t="s">
        <v>8298</v>
      </c>
      <c r="G152" s="133" t="s">
        <v>8317</v>
      </c>
      <c r="H152" s="138" t="s">
        <v>1939</v>
      </c>
      <c r="I152" s="138" t="s">
        <v>1512</v>
      </c>
      <c r="J152" s="133" t="s">
        <v>8299</v>
      </c>
      <c r="K152" s="135" t="s">
        <v>8541</v>
      </c>
      <c r="L152" s="133" t="s">
        <v>8542</v>
      </c>
      <c r="M152" s="133"/>
      <c r="N152" s="136">
        <v>2026</v>
      </c>
    </row>
    <row r="153" spans="1:14" ht="14.4">
      <c r="A153" s="133"/>
      <c r="B153" s="133"/>
      <c r="C153" s="133"/>
      <c r="D153" s="133" t="s">
        <v>8220</v>
      </c>
      <c r="E153" s="133" t="s">
        <v>4902</v>
      </c>
      <c r="F153" s="133"/>
      <c r="G153" s="133"/>
      <c r="H153" s="138" t="s">
        <v>1939</v>
      </c>
      <c r="I153" s="138" t="s">
        <v>1512</v>
      </c>
      <c r="J153" s="133" t="s">
        <v>8299</v>
      </c>
      <c r="K153" s="135"/>
      <c r="L153" s="133"/>
      <c r="M153" s="133"/>
      <c r="N153" s="136">
        <v>2026</v>
      </c>
    </row>
    <row r="154" spans="1:14" ht="14.4">
      <c r="A154" s="133"/>
      <c r="B154" s="133"/>
      <c r="C154" s="133"/>
      <c r="D154" s="133" t="s">
        <v>8543</v>
      </c>
      <c r="E154" s="133" t="s">
        <v>4902</v>
      </c>
      <c r="F154" s="133"/>
      <c r="G154" s="133"/>
      <c r="H154" s="138" t="s">
        <v>1939</v>
      </c>
      <c r="I154" s="138" t="s">
        <v>1512</v>
      </c>
      <c r="J154" s="133" t="s">
        <v>8299</v>
      </c>
      <c r="K154" s="135"/>
      <c r="L154" s="133"/>
      <c r="M154" s="133"/>
      <c r="N154" s="136">
        <v>2026</v>
      </c>
    </row>
    <row r="155" spans="1:14" ht="14.4">
      <c r="A155" s="133"/>
      <c r="B155" s="133"/>
      <c r="C155" s="133"/>
      <c r="D155" s="133" t="s">
        <v>8544</v>
      </c>
      <c r="E155" s="133" t="s">
        <v>4902</v>
      </c>
      <c r="F155" s="133"/>
      <c r="G155" s="133"/>
      <c r="H155" s="138" t="s">
        <v>1939</v>
      </c>
      <c r="I155" s="138" t="s">
        <v>1512</v>
      </c>
      <c r="J155" s="133" t="s">
        <v>8299</v>
      </c>
      <c r="K155" s="135"/>
      <c r="L155" s="133"/>
      <c r="M155" s="133"/>
      <c r="N155" s="136">
        <v>2026</v>
      </c>
    </row>
    <row r="156" spans="1:14" ht="14.4">
      <c r="A156" s="133"/>
      <c r="B156" s="133"/>
      <c r="C156" s="133"/>
      <c r="D156" s="133" t="s">
        <v>8545</v>
      </c>
      <c r="E156" s="133" t="s">
        <v>4902</v>
      </c>
      <c r="F156" s="133"/>
      <c r="G156" s="133"/>
      <c r="H156" s="138" t="s">
        <v>1939</v>
      </c>
      <c r="I156" s="138" t="s">
        <v>1512</v>
      </c>
      <c r="J156" s="133" t="s">
        <v>8299</v>
      </c>
      <c r="K156" s="135"/>
      <c r="L156" s="133"/>
      <c r="M156" s="133"/>
      <c r="N156" s="136">
        <v>2026</v>
      </c>
    </row>
    <row r="157" spans="1:14" ht="14.4">
      <c r="A157" s="137">
        <v>37</v>
      </c>
      <c r="B157" s="133" t="s">
        <v>8546</v>
      </c>
      <c r="C157" s="133" t="s">
        <v>8547</v>
      </c>
      <c r="D157" s="133" t="s">
        <v>1862</v>
      </c>
      <c r="E157" s="133" t="s">
        <v>4901</v>
      </c>
      <c r="F157" s="133" t="s">
        <v>1861</v>
      </c>
      <c r="G157" s="133" t="s">
        <v>1112</v>
      </c>
      <c r="H157" s="138" t="s">
        <v>1820</v>
      </c>
      <c r="I157" s="138" t="s">
        <v>1462</v>
      </c>
      <c r="J157" s="133" t="s">
        <v>1819</v>
      </c>
      <c r="K157" s="135" t="s">
        <v>8548</v>
      </c>
      <c r="L157" s="133" t="s">
        <v>8549</v>
      </c>
      <c r="M157" s="133" t="s">
        <v>8302</v>
      </c>
      <c r="N157" s="136">
        <v>2026</v>
      </c>
    </row>
    <row r="158" spans="1:14" ht="14.4">
      <c r="A158" s="133"/>
      <c r="B158" s="133"/>
      <c r="C158" s="133"/>
      <c r="D158" s="133" t="s">
        <v>1860</v>
      </c>
      <c r="E158" s="133" t="s">
        <v>4902</v>
      </c>
      <c r="F158" s="133"/>
      <c r="G158" s="133"/>
      <c r="H158" s="138" t="s">
        <v>1820</v>
      </c>
      <c r="I158" s="138" t="s">
        <v>1462</v>
      </c>
      <c r="J158" s="133" t="s">
        <v>1819</v>
      </c>
      <c r="K158" s="135"/>
      <c r="L158" s="133"/>
      <c r="M158" s="133"/>
      <c r="N158" s="136">
        <v>2026</v>
      </c>
    </row>
    <row r="159" spans="1:14" ht="14.4">
      <c r="A159" s="137">
        <v>38</v>
      </c>
      <c r="B159" s="133" t="s">
        <v>8550</v>
      </c>
      <c r="C159" s="133" t="s">
        <v>8551</v>
      </c>
      <c r="D159" s="133" t="s">
        <v>8552</v>
      </c>
      <c r="E159" s="133" t="s">
        <v>4901</v>
      </c>
      <c r="F159" s="133" t="s">
        <v>8553</v>
      </c>
      <c r="G159" s="133"/>
      <c r="H159" s="138" t="s">
        <v>1328</v>
      </c>
      <c r="I159" s="138" t="s">
        <v>1329</v>
      </c>
      <c r="J159" s="133" t="s">
        <v>7557</v>
      </c>
      <c r="K159" s="135" t="s">
        <v>8554</v>
      </c>
      <c r="L159" s="133" t="s">
        <v>8555</v>
      </c>
      <c r="M159" s="133"/>
      <c r="N159" s="136">
        <v>2026</v>
      </c>
    </row>
    <row r="160" spans="1:14" ht="14.4">
      <c r="A160" s="133"/>
      <c r="B160" s="133"/>
      <c r="C160" s="133"/>
      <c r="D160" s="133" t="s">
        <v>1451</v>
      </c>
      <c r="E160" s="133" t="s">
        <v>4902</v>
      </c>
      <c r="F160" s="133"/>
      <c r="G160" s="133"/>
      <c r="H160" s="138" t="s">
        <v>1328</v>
      </c>
      <c r="I160" s="138" t="s">
        <v>1329</v>
      </c>
      <c r="J160" s="133" t="s">
        <v>7557</v>
      </c>
      <c r="K160" s="135"/>
      <c r="L160" s="133"/>
      <c r="M160" s="133"/>
      <c r="N160" s="136">
        <v>2026</v>
      </c>
    </row>
    <row r="161" spans="1:14" ht="14.4">
      <c r="A161" s="133"/>
      <c r="B161" s="133"/>
      <c r="C161" s="133"/>
      <c r="D161" s="133" t="s">
        <v>8556</v>
      </c>
      <c r="E161" s="133" t="s">
        <v>4902</v>
      </c>
      <c r="F161" s="133"/>
      <c r="G161" s="133"/>
      <c r="H161" s="138" t="s">
        <v>1328</v>
      </c>
      <c r="I161" s="138" t="s">
        <v>1329</v>
      </c>
      <c r="J161" s="133" t="s">
        <v>7557</v>
      </c>
      <c r="K161" s="135"/>
      <c r="L161" s="133"/>
      <c r="M161" s="133"/>
      <c r="N161" s="136">
        <v>2026</v>
      </c>
    </row>
    <row r="162" spans="1:14" ht="14.4">
      <c r="A162" s="133"/>
      <c r="B162" s="133"/>
      <c r="C162" s="133"/>
      <c r="D162" s="133" t="s">
        <v>8557</v>
      </c>
      <c r="E162" s="133" t="s">
        <v>4902</v>
      </c>
      <c r="F162" s="133"/>
      <c r="G162" s="133"/>
      <c r="H162" s="138" t="s">
        <v>1328</v>
      </c>
      <c r="I162" s="138" t="s">
        <v>1329</v>
      </c>
      <c r="J162" s="133" t="s">
        <v>7557</v>
      </c>
      <c r="K162" s="135"/>
      <c r="L162" s="133"/>
      <c r="M162" s="133"/>
      <c r="N162" s="136">
        <v>2026</v>
      </c>
    </row>
    <row r="163" spans="1:14" ht="14.4">
      <c r="A163" s="133"/>
      <c r="B163" s="133"/>
      <c r="C163" s="133"/>
      <c r="D163" s="133" t="s">
        <v>101</v>
      </c>
      <c r="E163" s="133" t="s">
        <v>4902</v>
      </c>
      <c r="F163" s="133"/>
      <c r="G163" s="133"/>
      <c r="H163" s="138" t="s">
        <v>1328</v>
      </c>
      <c r="I163" s="138" t="s">
        <v>1329</v>
      </c>
      <c r="J163" s="133" t="s">
        <v>7557</v>
      </c>
      <c r="K163" s="135"/>
      <c r="L163" s="133"/>
      <c r="M163" s="133"/>
      <c r="N163" s="136">
        <v>2026</v>
      </c>
    </row>
    <row r="164" spans="1:14" ht="14.4">
      <c r="A164" s="137">
        <v>39</v>
      </c>
      <c r="B164" s="133" t="s">
        <v>8558</v>
      </c>
      <c r="C164" s="133" t="s">
        <v>8460</v>
      </c>
      <c r="D164" s="133" t="s">
        <v>8559</v>
      </c>
      <c r="E164" s="133" t="s">
        <v>4901</v>
      </c>
      <c r="F164" s="133" t="s">
        <v>2418</v>
      </c>
      <c r="G164" s="133" t="s">
        <v>461</v>
      </c>
      <c r="H164" s="138" t="s">
        <v>2361</v>
      </c>
      <c r="I164" s="138" t="s">
        <v>1417</v>
      </c>
      <c r="J164" s="133" t="s">
        <v>8338</v>
      </c>
      <c r="K164" s="135" t="s">
        <v>8560</v>
      </c>
      <c r="L164" s="133" t="s">
        <v>8561</v>
      </c>
      <c r="M164" s="133"/>
      <c r="N164" s="136">
        <v>2026</v>
      </c>
    </row>
    <row r="165" spans="1:14" ht="14.4">
      <c r="A165" s="133"/>
      <c r="B165" s="133"/>
      <c r="C165" s="133"/>
      <c r="D165" s="133" t="s">
        <v>2419</v>
      </c>
      <c r="E165" s="133" t="s">
        <v>4902</v>
      </c>
      <c r="F165" s="133"/>
      <c r="G165" s="133"/>
      <c r="H165" s="138" t="s">
        <v>2361</v>
      </c>
      <c r="I165" s="138" t="s">
        <v>1417</v>
      </c>
      <c r="J165" s="133" t="s">
        <v>8338</v>
      </c>
      <c r="K165" s="135"/>
      <c r="L165" s="133"/>
      <c r="M165" s="133"/>
      <c r="N165" s="136">
        <v>2026</v>
      </c>
    </row>
    <row r="166" spans="1:14" ht="14.4">
      <c r="A166" s="133"/>
      <c r="B166" s="133"/>
      <c r="C166" s="133"/>
      <c r="D166" s="133" t="s">
        <v>8562</v>
      </c>
      <c r="E166" s="133" t="s">
        <v>4902</v>
      </c>
      <c r="F166" s="133"/>
      <c r="G166" s="133"/>
      <c r="H166" s="138" t="s">
        <v>2361</v>
      </c>
      <c r="I166" s="138" t="s">
        <v>1417</v>
      </c>
      <c r="J166" s="133" t="s">
        <v>8338</v>
      </c>
      <c r="K166" s="135"/>
      <c r="L166" s="133"/>
      <c r="M166" s="133"/>
      <c r="N166" s="136">
        <v>2026</v>
      </c>
    </row>
    <row r="167" spans="1:14" ht="14.4">
      <c r="A167" s="133"/>
      <c r="B167" s="133"/>
      <c r="C167" s="133"/>
      <c r="D167" s="133" t="s">
        <v>8563</v>
      </c>
      <c r="E167" s="133" t="s">
        <v>4902</v>
      </c>
      <c r="F167" s="133"/>
      <c r="G167" s="133"/>
      <c r="H167" s="138" t="s">
        <v>2361</v>
      </c>
      <c r="I167" s="138" t="s">
        <v>1417</v>
      </c>
      <c r="J167" s="133" t="s">
        <v>8338</v>
      </c>
      <c r="K167" s="135"/>
      <c r="L167" s="133"/>
      <c r="M167" s="133"/>
      <c r="N167" s="136">
        <v>2026</v>
      </c>
    </row>
    <row r="168" spans="1:14" ht="14.4">
      <c r="A168" s="137">
        <v>40</v>
      </c>
      <c r="B168" s="133" t="s">
        <v>8564</v>
      </c>
      <c r="C168" s="133" t="s">
        <v>8331</v>
      </c>
      <c r="D168" s="133" t="s">
        <v>8197</v>
      </c>
      <c r="E168" s="133" t="s">
        <v>4901</v>
      </c>
      <c r="F168" s="133" t="s">
        <v>2191</v>
      </c>
      <c r="G168" s="133"/>
      <c r="H168" s="138" t="s">
        <v>2158</v>
      </c>
      <c r="I168" s="138" t="s">
        <v>1393</v>
      </c>
      <c r="J168" s="133" t="s">
        <v>8398</v>
      </c>
      <c r="K168" s="135" t="s">
        <v>8565</v>
      </c>
      <c r="L168" s="133" t="s">
        <v>8566</v>
      </c>
      <c r="M168" s="133"/>
      <c r="N168" s="136">
        <v>2026</v>
      </c>
    </row>
    <row r="169" spans="1:14" ht="14.4">
      <c r="A169" s="133"/>
      <c r="B169" s="133"/>
      <c r="C169" s="133"/>
      <c r="D169" s="133" t="s">
        <v>8567</v>
      </c>
      <c r="E169" s="133" t="s">
        <v>4902</v>
      </c>
      <c r="F169" s="133"/>
      <c r="G169" s="133"/>
      <c r="H169" s="138" t="s">
        <v>2158</v>
      </c>
      <c r="I169" s="138" t="s">
        <v>1393</v>
      </c>
      <c r="J169" s="133" t="s">
        <v>8398</v>
      </c>
      <c r="K169" s="135"/>
      <c r="L169" s="133"/>
      <c r="M169" s="133"/>
      <c r="N169" s="136">
        <v>2026</v>
      </c>
    </row>
    <row r="170" spans="1:14" ht="14.4">
      <c r="A170" s="133"/>
      <c r="B170" s="133"/>
      <c r="C170" s="133"/>
      <c r="D170" s="133" t="s">
        <v>1459</v>
      </c>
      <c r="E170" s="133" t="s">
        <v>4902</v>
      </c>
      <c r="F170" s="133"/>
      <c r="G170" s="133"/>
      <c r="H170" s="138" t="s">
        <v>2158</v>
      </c>
      <c r="I170" s="138" t="s">
        <v>1393</v>
      </c>
      <c r="J170" s="133" t="s">
        <v>8398</v>
      </c>
      <c r="K170" s="135"/>
      <c r="L170" s="133"/>
      <c r="M170" s="133"/>
      <c r="N170" s="136">
        <v>2026</v>
      </c>
    </row>
    <row r="171" spans="1:14" ht="14.4">
      <c r="A171" s="133"/>
      <c r="B171" s="133"/>
      <c r="C171" s="133"/>
      <c r="D171" s="133" t="s">
        <v>8568</v>
      </c>
      <c r="E171" s="133" t="s">
        <v>4902</v>
      </c>
      <c r="F171" s="133"/>
      <c r="G171" s="133"/>
      <c r="H171" s="138" t="s">
        <v>2158</v>
      </c>
      <c r="I171" s="138" t="s">
        <v>1393</v>
      </c>
      <c r="J171" s="133" t="s">
        <v>8398</v>
      </c>
      <c r="K171" s="135"/>
      <c r="L171" s="133"/>
      <c r="M171" s="133"/>
      <c r="N171" s="136">
        <v>2026</v>
      </c>
    </row>
    <row r="172" spans="1:14" ht="14.4">
      <c r="A172" s="133"/>
      <c r="B172" s="133"/>
      <c r="C172" s="133"/>
      <c r="D172" s="133" t="s">
        <v>8569</v>
      </c>
      <c r="E172" s="133" t="s">
        <v>4902</v>
      </c>
      <c r="F172" s="133"/>
      <c r="G172" s="133"/>
      <c r="H172" s="138" t="s">
        <v>2158</v>
      </c>
      <c r="I172" s="138" t="s">
        <v>1393</v>
      </c>
      <c r="J172" s="133" t="s">
        <v>8398</v>
      </c>
      <c r="K172" s="135"/>
      <c r="L172" s="133"/>
      <c r="M172" s="133"/>
      <c r="N172" s="136">
        <v>2026</v>
      </c>
    </row>
    <row r="173" spans="1:14" ht="14.4">
      <c r="A173" s="137">
        <v>41</v>
      </c>
      <c r="B173" s="133" t="s">
        <v>8570</v>
      </c>
      <c r="C173" s="133" t="s">
        <v>8307</v>
      </c>
      <c r="D173" s="133" t="s">
        <v>8571</v>
      </c>
      <c r="E173" s="133" t="s">
        <v>4901</v>
      </c>
      <c r="F173" s="133" t="s">
        <v>8337</v>
      </c>
      <c r="G173" s="133"/>
      <c r="H173" s="138" t="s">
        <v>2361</v>
      </c>
      <c r="I173" s="138" t="s">
        <v>1417</v>
      </c>
      <c r="J173" s="133" t="s">
        <v>8338</v>
      </c>
      <c r="K173" s="135" t="s">
        <v>8572</v>
      </c>
      <c r="L173" s="133" t="s">
        <v>8573</v>
      </c>
      <c r="M173" s="133"/>
      <c r="N173" s="136">
        <v>2026</v>
      </c>
    </row>
    <row r="174" spans="1:14" ht="14.4">
      <c r="A174" s="133"/>
      <c r="B174" s="133"/>
      <c r="C174" s="133"/>
      <c r="D174" s="133" t="s">
        <v>138</v>
      </c>
      <c r="E174" s="133" t="s">
        <v>4902</v>
      </c>
      <c r="F174" s="133"/>
      <c r="G174" s="133"/>
      <c r="H174" s="138" t="s">
        <v>2361</v>
      </c>
      <c r="I174" s="138" t="s">
        <v>1417</v>
      </c>
      <c r="J174" s="133" t="s">
        <v>8338</v>
      </c>
      <c r="K174" s="135"/>
      <c r="L174" s="133"/>
      <c r="M174" s="133"/>
      <c r="N174" s="136">
        <v>2026</v>
      </c>
    </row>
    <row r="175" spans="1:14" ht="14.4">
      <c r="A175" s="133"/>
      <c r="B175" s="133"/>
      <c r="C175" s="133"/>
      <c r="D175" s="133" t="s">
        <v>1988</v>
      </c>
      <c r="E175" s="133" t="s">
        <v>4902</v>
      </c>
      <c r="F175" s="133"/>
      <c r="G175" s="133"/>
      <c r="H175" s="138" t="s">
        <v>2361</v>
      </c>
      <c r="I175" s="138" t="s">
        <v>1417</v>
      </c>
      <c r="J175" s="133" t="s">
        <v>8338</v>
      </c>
      <c r="K175" s="135"/>
      <c r="L175" s="133"/>
      <c r="M175" s="133"/>
      <c r="N175" s="136">
        <v>2026</v>
      </c>
    </row>
    <row r="176" spans="1:14" ht="14.4">
      <c r="A176" s="133"/>
      <c r="B176" s="133"/>
      <c r="C176" s="133"/>
      <c r="D176" s="133" t="s">
        <v>8574</v>
      </c>
      <c r="E176" s="133" t="s">
        <v>4902</v>
      </c>
      <c r="F176" s="133"/>
      <c r="G176" s="133"/>
      <c r="H176" s="138" t="s">
        <v>2361</v>
      </c>
      <c r="I176" s="138" t="s">
        <v>1417</v>
      </c>
      <c r="J176" s="133" t="s">
        <v>8338</v>
      </c>
      <c r="K176" s="135"/>
      <c r="L176" s="133"/>
      <c r="M176" s="133"/>
      <c r="N176" s="136">
        <v>2026</v>
      </c>
    </row>
    <row r="177" spans="1:14" ht="14.4">
      <c r="A177" s="133"/>
      <c r="B177" s="133"/>
      <c r="C177" s="133"/>
      <c r="D177" s="133" t="s">
        <v>8575</v>
      </c>
      <c r="E177" s="133" t="s">
        <v>4902</v>
      </c>
      <c r="F177" s="133"/>
      <c r="G177" s="133"/>
      <c r="H177" s="138" t="s">
        <v>2361</v>
      </c>
      <c r="I177" s="138" t="s">
        <v>1417</v>
      </c>
      <c r="J177" s="133" t="s">
        <v>8338</v>
      </c>
      <c r="K177" s="135"/>
      <c r="L177" s="133"/>
      <c r="M177" s="133"/>
      <c r="N177" s="136">
        <v>2026</v>
      </c>
    </row>
    <row r="178" spans="1:14" ht="14.4">
      <c r="A178" s="137">
        <v>42</v>
      </c>
      <c r="B178" s="133" t="s">
        <v>8576</v>
      </c>
      <c r="C178" s="133" t="s">
        <v>8577</v>
      </c>
      <c r="D178" s="133" t="s">
        <v>1151</v>
      </c>
      <c r="E178" s="133" t="s">
        <v>4901</v>
      </c>
      <c r="F178" s="133" t="s">
        <v>1016</v>
      </c>
      <c r="G178" s="133" t="s">
        <v>1066</v>
      </c>
      <c r="H178" s="138" t="s">
        <v>1820</v>
      </c>
      <c r="I178" s="138" t="s">
        <v>1462</v>
      </c>
      <c r="J178" s="133" t="s">
        <v>1819</v>
      </c>
      <c r="K178" s="135" t="s">
        <v>8578</v>
      </c>
      <c r="L178" s="133" t="s">
        <v>8579</v>
      </c>
      <c r="M178" s="133" t="s">
        <v>8334</v>
      </c>
      <c r="N178" s="136">
        <v>2026</v>
      </c>
    </row>
    <row r="179" spans="1:14" ht="14.4">
      <c r="A179" s="133"/>
      <c r="B179" s="133"/>
      <c r="C179" s="133"/>
      <c r="D179" s="133" t="s">
        <v>8580</v>
      </c>
      <c r="E179" s="133" t="s">
        <v>4902</v>
      </c>
      <c r="F179" s="133"/>
      <c r="G179" s="133"/>
      <c r="H179" s="138" t="s">
        <v>1820</v>
      </c>
      <c r="I179" s="138" t="s">
        <v>1462</v>
      </c>
      <c r="J179" s="133" t="s">
        <v>1819</v>
      </c>
      <c r="K179" s="135"/>
      <c r="L179" s="133"/>
      <c r="M179" s="133"/>
      <c r="N179" s="136">
        <v>2026</v>
      </c>
    </row>
    <row r="180" spans="1:14" ht="14.4">
      <c r="A180" s="133"/>
      <c r="B180" s="133"/>
      <c r="C180" s="133"/>
      <c r="D180" s="133" t="s">
        <v>8581</v>
      </c>
      <c r="E180" s="133" t="s">
        <v>4902</v>
      </c>
      <c r="F180" s="133"/>
      <c r="G180" s="133"/>
      <c r="H180" s="138" t="s">
        <v>1820</v>
      </c>
      <c r="I180" s="138" t="s">
        <v>1462</v>
      </c>
      <c r="J180" s="133" t="s">
        <v>1819</v>
      </c>
      <c r="K180" s="135"/>
      <c r="L180" s="133"/>
      <c r="M180" s="133"/>
      <c r="N180" s="136">
        <v>2026</v>
      </c>
    </row>
    <row r="181" spans="1:14" ht="14.4">
      <c r="A181" s="137">
        <v>43</v>
      </c>
      <c r="B181" s="133" t="s">
        <v>8582</v>
      </c>
      <c r="C181" s="133" t="s">
        <v>6933</v>
      </c>
      <c r="D181" s="133" t="s">
        <v>8583</v>
      </c>
      <c r="E181" s="133" t="s">
        <v>4901</v>
      </c>
      <c r="F181" s="133" t="s">
        <v>8298</v>
      </c>
      <c r="G181" s="133" t="s">
        <v>8317</v>
      </c>
      <c r="H181" s="138" t="s">
        <v>1939</v>
      </c>
      <c r="I181" s="138" t="s">
        <v>1512</v>
      </c>
      <c r="J181" s="133" t="s">
        <v>8299</v>
      </c>
      <c r="K181" s="135" t="s">
        <v>8584</v>
      </c>
      <c r="L181" s="133" t="s">
        <v>8585</v>
      </c>
      <c r="M181" s="133" t="s">
        <v>8334</v>
      </c>
      <c r="N181" s="136">
        <v>2026</v>
      </c>
    </row>
    <row r="182" spans="1:14" ht="14.4">
      <c r="A182" s="133"/>
      <c r="B182" s="133"/>
      <c r="C182" s="133"/>
      <c r="D182" s="133" t="s">
        <v>529</v>
      </c>
      <c r="E182" s="133" t="s">
        <v>4902</v>
      </c>
      <c r="F182" s="133"/>
      <c r="G182" s="133"/>
      <c r="H182" s="138" t="s">
        <v>1939</v>
      </c>
      <c r="I182" s="138" t="s">
        <v>1512</v>
      </c>
      <c r="J182" s="133" t="s">
        <v>8299</v>
      </c>
      <c r="K182" s="135"/>
      <c r="L182" s="133"/>
      <c r="M182" s="133"/>
      <c r="N182" s="136">
        <v>2026</v>
      </c>
    </row>
    <row r="183" spans="1:14" ht="14.4">
      <c r="A183" s="133"/>
      <c r="B183" s="133"/>
      <c r="C183" s="133"/>
      <c r="D183" s="133" t="s">
        <v>8586</v>
      </c>
      <c r="E183" s="133" t="s">
        <v>4902</v>
      </c>
      <c r="F183" s="133"/>
      <c r="G183" s="133"/>
      <c r="H183" s="138" t="s">
        <v>1939</v>
      </c>
      <c r="I183" s="138" t="s">
        <v>1512</v>
      </c>
      <c r="J183" s="133" t="s">
        <v>8299</v>
      </c>
      <c r="K183" s="135"/>
      <c r="L183" s="133"/>
      <c r="M183" s="133"/>
      <c r="N183" s="136">
        <v>2026</v>
      </c>
    </row>
    <row r="184" spans="1:14" ht="14.4">
      <c r="A184" s="133"/>
      <c r="B184" s="133"/>
      <c r="C184" s="133"/>
      <c r="D184" s="133" t="s">
        <v>8587</v>
      </c>
      <c r="E184" s="133" t="s">
        <v>4902</v>
      </c>
      <c r="F184" s="133"/>
      <c r="G184" s="133"/>
      <c r="H184" s="138" t="s">
        <v>1939</v>
      </c>
      <c r="I184" s="138" t="s">
        <v>1512</v>
      </c>
      <c r="J184" s="133" t="s">
        <v>8299</v>
      </c>
      <c r="K184" s="135"/>
      <c r="L184" s="133"/>
      <c r="M184" s="133"/>
      <c r="N184" s="136">
        <v>2026</v>
      </c>
    </row>
    <row r="185" spans="1:14" ht="14.4">
      <c r="A185" s="133"/>
      <c r="B185" s="133"/>
      <c r="C185" s="133"/>
      <c r="D185" s="133" t="s">
        <v>8588</v>
      </c>
      <c r="E185" s="133" t="s">
        <v>4902</v>
      </c>
      <c r="F185" s="133"/>
      <c r="G185" s="133"/>
      <c r="H185" s="138" t="s">
        <v>1939</v>
      </c>
      <c r="I185" s="138" t="s">
        <v>1512</v>
      </c>
      <c r="J185" s="133" t="s">
        <v>8299</v>
      </c>
      <c r="K185" s="135"/>
      <c r="L185" s="133"/>
      <c r="M185" s="133"/>
      <c r="N185" s="136">
        <v>2026</v>
      </c>
    </row>
    <row r="186" spans="1:14" ht="14.4">
      <c r="A186" s="137">
        <v>44</v>
      </c>
      <c r="B186" s="133" t="s">
        <v>8589</v>
      </c>
      <c r="C186" s="133" t="s">
        <v>8348</v>
      </c>
      <c r="D186" s="133" t="s">
        <v>488</v>
      </c>
      <c r="E186" s="133" t="s">
        <v>4901</v>
      </c>
      <c r="F186" s="133" t="s">
        <v>489</v>
      </c>
      <c r="G186" s="133" t="s">
        <v>8590</v>
      </c>
      <c r="H186" s="138" t="s">
        <v>1939</v>
      </c>
      <c r="I186" s="138" t="s">
        <v>1512</v>
      </c>
      <c r="J186" s="133" t="s">
        <v>8299</v>
      </c>
      <c r="K186" s="135" t="s">
        <v>8591</v>
      </c>
      <c r="L186" s="133" t="s">
        <v>8592</v>
      </c>
      <c r="M186" s="133"/>
      <c r="N186" s="136">
        <v>2026</v>
      </c>
    </row>
    <row r="187" spans="1:14" ht="14.4">
      <c r="A187" s="133"/>
      <c r="B187" s="133"/>
      <c r="C187" s="133"/>
      <c r="D187" s="133" t="s">
        <v>529</v>
      </c>
      <c r="E187" s="133" t="s">
        <v>4902</v>
      </c>
      <c r="F187" s="133"/>
      <c r="G187" s="133"/>
      <c r="H187" s="138" t="s">
        <v>1939</v>
      </c>
      <c r="I187" s="138" t="s">
        <v>1512</v>
      </c>
      <c r="J187" s="133" t="s">
        <v>8299</v>
      </c>
      <c r="K187" s="135"/>
      <c r="L187" s="133"/>
      <c r="M187" s="133"/>
      <c r="N187" s="136">
        <v>2026</v>
      </c>
    </row>
    <row r="188" spans="1:14" ht="14.4">
      <c r="A188" s="133"/>
      <c r="B188" s="133"/>
      <c r="C188" s="133"/>
      <c r="D188" s="133" t="s">
        <v>8586</v>
      </c>
      <c r="E188" s="133" t="s">
        <v>4902</v>
      </c>
      <c r="F188" s="133"/>
      <c r="G188" s="133"/>
      <c r="H188" s="138" t="s">
        <v>1939</v>
      </c>
      <c r="I188" s="138" t="s">
        <v>1512</v>
      </c>
      <c r="J188" s="133" t="s">
        <v>8299</v>
      </c>
      <c r="K188" s="135"/>
      <c r="L188" s="133"/>
      <c r="M188" s="133"/>
      <c r="N188" s="136">
        <v>2026</v>
      </c>
    </row>
    <row r="189" spans="1:14" ht="14.4">
      <c r="A189" s="133"/>
      <c r="B189" s="133"/>
      <c r="C189" s="133"/>
      <c r="D189" s="133" t="s">
        <v>8587</v>
      </c>
      <c r="E189" s="133" t="s">
        <v>4902</v>
      </c>
      <c r="F189" s="133"/>
      <c r="G189" s="133"/>
      <c r="H189" s="138" t="s">
        <v>1939</v>
      </c>
      <c r="I189" s="138" t="s">
        <v>1512</v>
      </c>
      <c r="J189" s="133" t="s">
        <v>8299</v>
      </c>
      <c r="K189" s="135"/>
      <c r="L189" s="133"/>
      <c r="M189" s="133"/>
      <c r="N189" s="136">
        <v>2026</v>
      </c>
    </row>
    <row r="190" spans="1:14" ht="14.4">
      <c r="A190" s="133"/>
      <c r="B190" s="133"/>
      <c r="C190" s="133"/>
      <c r="D190" s="133" t="s">
        <v>8588</v>
      </c>
      <c r="E190" s="133" t="s">
        <v>4902</v>
      </c>
      <c r="F190" s="133"/>
      <c r="G190" s="133"/>
      <c r="H190" s="138" t="s">
        <v>1939</v>
      </c>
      <c r="I190" s="138" t="s">
        <v>1512</v>
      </c>
      <c r="J190" s="133" t="s">
        <v>8299</v>
      </c>
      <c r="K190" s="135"/>
      <c r="L190" s="133"/>
      <c r="M190" s="133"/>
      <c r="N190" s="136">
        <v>2026</v>
      </c>
    </row>
    <row r="191" spans="1:14" ht="14.4">
      <c r="A191" s="137">
        <v>45</v>
      </c>
      <c r="B191" s="133" t="s">
        <v>8593</v>
      </c>
      <c r="C191" s="133" t="s">
        <v>6933</v>
      </c>
      <c r="D191" s="133" t="s">
        <v>8594</v>
      </c>
      <c r="E191" s="133" t="s">
        <v>4901</v>
      </c>
      <c r="F191" s="133" t="s">
        <v>8337</v>
      </c>
      <c r="G191" s="133" t="s">
        <v>8595</v>
      </c>
      <c r="H191" s="138" t="s">
        <v>2361</v>
      </c>
      <c r="I191" s="138" t="s">
        <v>1417</v>
      </c>
      <c r="J191" s="133" t="s">
        <v>8338</v>
      </c>
      <c r="K191" s="135" t="s">
        <v>8596</v>
      </c>
      <c r="L191" s="133" t="s">
        <v>8597</v>
      </c>
      <c r="M191" s="133"/>
      <c r="N191" s="136">
        <v>2026</v>
      </c>
    </row>
    <row r="192" spans="1:14" ht="14.4">
      <c r="A192" s="133"/>
      <c r="B192" s="133"/>
      <c r="C192" s="133"/>
      <c r="D192" s="133" t="s">
        <v>2434</v>
      </c>
      <c r="E192" s="133" t="s">
        <v>4902</v>
      </c>
      <c r="F192" s="133"/>
      <c r="G192" s="133"/>
      <c r="H192" s="138" t="s">
        <v>2361</v>
      </c>
      <c r="I192" s="138" t="s">
        <v>1417</v>
      </c>
      <c r="J192" s="133" t="s">
        <v>8338</v>
      </c>
      <c r="K192" s="135"/>
      <c r="L192" s="133"/>
      <c r="M192" s="133"/>
      <c r="N192" s="136">
        <v>2026</v>
      </c>
    </row>
    <row r="193" spans="1:14" ht="14.4">
      <c r="A193" s="133"/>
      <c r="B193" s="133"/>
      <c r="C193" s="133"/>
      <c r="D193" s="133" t="s">
        <v>8598</v>
      </c>
      <c r="E193" s="133" t="s">
        <v>4902</v>
      </c>
      <c r="F193" s="133"/>
      <c r="G193" s="133"/>
      <c r="H193" s="138" t="s">
        <v>2361</v>
      </c>
      <c r="I193" s="138" t="s">
        <v>1417</v>
      </c>
      <c r="J193" s="133" t="s">
        <v>8338</v>
      </c>
      <c r="K193" s="135"/>
      <c r="L193" s="133"/>
      <c r="M193" s="133"/>
      <c r="N193" s="136">
        <v>2026</v>
      </c>
    </row>
    <row r="194" spans="1:14" ht="14.4">
      <c r="A194" s="133"/>
      <c r="B194" s="133"/>
      <c r="C194" s="133"/>
      <c r="D194" s="133" t="s">
        <v>8599</v>
      </c>
      <c r="E194" s="133" t="s">
        <v>4902</v>
      </c>
      <c r="F194" s="133"/>
      <c r="G194" s="133"/>
      <c r="H194" s="138" t="s">
        <v>2361</v>
      </c>
      <c r="I194" s="138" t="s">
        <v>1417</v>
      </c>
      <c r="J194" s="133" t="s">
        <v>8338</v>
      </c>
      <c r="K194" s="135"/>
      <c r="L194" s="133"/>
      <c r="M194" s="133"/>
      <c r="N194" s="136">
        <v>2026</v>
      </c>
    </row>
    <row r="195" spans="1:14" ht="14.4">
      <c r="A195" s="133"/>
      <c r="B195" s="133"/>
      <c r="C195" s="133"/>
      <c r="D195" s="133" t="s">
        <v>909</v>
      </c>
      <c r="E195" s="133" t="s">
        <v>4902</v>
      </c>
      <c r="F195" s="133"/>
      <c r="G195" s="133"/>
      <c r="H195" s="138" t="s">
        <v>2361</v>
      </c>
      <c r="I195" s="138" t="s">
        <v>1417</v>
      </c>
      <c r="J195" s="133" t="s">
        <v>8338</v>
      </c>
      <c r="K195" s="135"/>
      <c r="L195" s="133"/>
      <c r="M195" s="133"/>
      <c r="N195" s="136">
        <v>2026</v>
      </c>
    </row>
    <row r="196" spans="1:14" ht="14.4">
      <c r="A196" s="137">
        <v>46</v>
      </c>
      <c r="B196" s="133" t="s">
        <v>8600</v>
      </c>
      <c r="C196" s="133" t="s">
        <v>8227</v>
      </c>
      <c r="D196" s="133" t="s">
        <v>8601</v>
      </c>
      <c r="E196" s="133" t="s">
        <v>4902</v>
      </c>
      <c r="F196" s="133" t="s">
        <v>2448</v>
      </c>
      <c r="G196" s="133"/>
      <c r="H196" s="138" t="s">
        <v>2361</v>
      </c>
      <c r="I196" s="138" t="s">
        <v>1417</v>
      </c>
      <c r="J196" s="133" t="s">
        <v>8338</v>
      </c>
      <c r="K196" s="135"/>
      <c r="L196" s="133" t="s">
        <v>8602</v>
      </c>
      <c r="M196" s="133"/>
      <c r="N196" s="136">
        <v>2026</v>
      </c>
    </row>
    <row r="197" spans="1:14" ht="14.4">
      <c r="A197" s="137">
        <v>47</v>
      </c>
      <c r="B197" s="133" t="s">
        <v>8603</v>
      </c>
      <c r="C197" s="133" t="s">
        <v>8307</v>
      </c>
      <c r="D197" s="133" t="s">
        <v>1384</v>
      </c>
      <c r="E197" s="133" t="s">
        <v>4901</v>
      </c>
      <c r="F197" s="133" t="s">
        <v>1385</v>
      </c>
      <c r="G197" s="133" t="s">
        <v>8604</v>
      </c>
      <c r="H197" s="138" t="s">
        <v>1328</v>
      </c>
      <c r="I197" s="138" t="s">
        <v>1329</v>
      </c>
      <c r="J197" s="133" t="s">
        <v>7557</v>
      </c>
      <c r="K197" s="135" t="s">
        <v>8605</v>
      </c>
      <c r="L197" s="133" t="s">
        <v>8606</v>
      </c>
      <c r="M197" s="133"/>
      <c r="N197" s="136">
        <v>2026</v>
      </c>
    </row>
    <row r="198" spans="1:14" ht="14.4">
      <c r="A198" s="133"/>
      <c r="B198" s="133"/>
      <c r="C198" s="133"/>
      <c r="D198" s="133" t="s">
        <v>1387</v>
      </c>
      <c r="E198" s="133" t="s">
        <v>4902</v>
      </c>
      <c r="F198" s="133"/>
      <c r="G198" s="133"/>
      <c r="H198" s="138" t="s">
        <v>1328</v>
      </c>
      <c r="I198" s="138" t="s">
        <v>1329</v>
      </c>
      <c r="J198" s="133" t="s">
        <v>7557</v>
      </c>
      <c r="K198" s="135"/>
      <c r="L198" s="133"/>
      <c r="M198" s="133"/>
      <c r="N198" s="136">
        <v>2026</v>
      </c>
    </row>
    <row r="199" spans="1:14" ht="14.4">
      <c r="A199" s="133"/>
      <c r="B199" s="133"/>
      <c r="C199" s="133"/>
      <c r="D199" s="133" t="s">
        <v>8607</v>
      </c>
      <c r="E199" s="133" t="s">
        <v>4902</v>
      </c>
      <c r="F199" s="133"/>
      <c r="G199" s="133"/>
      <c r="H199" s="138" t="s">
        <v>1328</v>
      </c>
      <c r="I199" s="138" t="s">
        <v>1329</v>
      </c>
      <c r="J199" s="133" t="s">
        <v>7557</v>
      </c>
      <c r="K199" s="135"/>
      <c r="L199" s="133"/>
      <c r="M199" s="133"/>
      <c r="N199" s="136">
        <v>2026</v>
      </c>
    </row>
    <row r="200" spans="1:14" ht="14.4">
      <c r="A200" s="133"/>
      <c r="B200" s="133"/>
      <c r="C200" s="133"/>
      <c r="D200" s="133" t="s">
        <v>8608</v>
      </c>
      <c r="E200" s="133" t="s">
        <v>4902</v>
      </c>
      <c r="F200" s="133"/>
      <c r="G200" s="133"/>
      <c r="H200" s="138" t="s">
        <v>1328</v>
      </c>
      <c r="I200" s="138" t="s">
        <v>1329</v>
      </c>
      <c r="J200" s="133" t="s">
        <v>7557</v>
      </c>
      <c r="K200" s="135"/>
      <c r="L200" s="133"/>
      <c r="M200" s="133"/>
      <c r="N200" s="136">
        <v>2026</v>
      </c>
    </row>
    <row r="201" spans="1:14" ht="14.4">
      <c r="A201" s="137">
        <v>48</v>
      </c>
      <c r="B201" s="133" t="s">
        <v>8609</v>
      </c>
      <c r="C201" s="133" t="s">
        <v>8610</v>
      </c>
      <c r="D201" s="133" t="s">
        <v>8611</v>
      </c>
      <c r="E201" s="133" t="s">
        <v>4902</v>
      </c>
      <c r="F201" s="133" t="s">
        <v>8316</v>
      </c>
      <c r="G201" s="133" t="s">
        <v>8317</v>
      </c>
      <c r="H201" s="138" t="s">
        <v>1939</v>
      </c>
      <c r="I201" s="138" t="s">
        <v>1512</v>
      </c>
      <c r="J201" s="133" t="s">
        <v>8299</v>
      </c>
      <c r="K201" s="135" t="s">
        <v>8612</v>
      </c>
      <c r="L201" s="133" t="s">
        <v>8613</v>
      </c>
      <c r="M201" s="133"/>
      <c r="N201" s="136">
        <v>2026</v>
      </c>
    </row>
    <row r="202" spans="1:14" ht="14.4">
      <c r="A202" s="133"/>
      <c r="B202" s="133"/>
      <c r="C202" s="133"/>
      <c r="D202" s="133" t="s">
        <v>8614</v>
      </c>
      <c r="E202" s="133" t="s">
        <v>4902</v>
      </c>
      <c r="F202" s="133"/>
      <c r="G202" s="133"/>
      <c r="H202" s="138" t="s">
        <v>1939</v>
      </c>
      <c r="I202" s="138" t="s">
        <v>1512</v>
      </c>
      <c r="J202" s="133" t="s">
        <v>8299</v>
      </c>
      <c r="K202" s="135"/>
      <c r="L202" s="133"/>
      <c r="M202" s="133"/>
      <c r="N202" s="136">
        <v>2026</v>
      </c>
    </row>
    <row r="203" spans="1:14" ht="14.4">
      <c r="A203" s="133"/>
      <c r="B203" s="133"/>
      <c r="C203" s="133"/>
      <c r="D203" s="133" t="s">
        <v>8615</v>
      </c>
      <c r="E203" s="133" t="s">
        <v>4902</v>
      </c>
      <c r="F203" s="133"/>
      <c r="G203" s="133"/>
      <c r="H203" s="138" t="s">
        <v>1939</v>
      </c>
      <c r="I203" s="138" t="s">
        <v>1512</v>
      </c>
      <c r="J203" s="133" t="s">
        <v>8299</v>
      </c>
      <c r="K203" s="135"/>
      <c r="L203" s="133"/>
      <c r="M203" s="133"/>
      <c r="N203" s="136">
        <v>2026</v>
      </c>
    </row>
    <row r="204" spans="1:14" ht="14.4">
      <c r="A204" s="133"/>
      <c r="B204" s="133"/>
      <c r="C204" s="133"/>
      <c r="D204" s="133" t="s">
        <v>8616</v>
      </c>
      <c r="E204" s="133" t="s">
        <v>4902</v>
      </c>
      <c r="F204" s="133"/>
      <c r="G204" s="133"/>
      <c r="H204" s="138" t="s">
        <v>1939</v>
      </c>
      <c r="I204" s="138" t="s">
        <v>1512</v>
      </c>
      <c r="J204" s="133" t="s">
        <v>8299</v>
      </c>
      <c r="K204" s="135"/>
      <c r="L204" s="133"/>
      <c r="M204" s="133"/>
      <c r="N204" s="136">
        <v>2026</v>
      </c>
    </row>
    <row r="205" spans="1:14" ht="14.4">
      <c r="A205" s="133"/>
      <c r="B205" s="133"/>
      <c r="C205" s="133"/>
      <c r="D205" s="133" t="s">
        <v>8617</v>
      </c>
      <c r="E205" s="133" t="s">
        <v>4902</v>
      </c>
      <c r="F205" s="133"/>
      <c r="G205" s="133"/>
      <c r="H205" s="138" t="s">
        <v>1939</v>
      </c>
      <c r="I205" s="138" t="s">
        <v>1512</v>
      </c>
      <c r="J205" s="133" t="s">
        <v>8299</v>
      </c>
      <c r="K205" s="135"/>
      <c r="L205" s="133"/>
      <c r="M205" s="133"/>
      <c r="N205" s="136">
        <v>2026</v>
      </c>
    </row>
    <row r="206" spans="1:14" ht="14.4">
      <c r="A206" s="133"/>
      <c r="B206" s="133"/>
      <c r="C206" s="133"/>
      <c r="D206" s="133" t="s">
        <v>8618</v>
      </c>
      <c r="E206" s="133" t="s">
        <v>4902</v>
      </c>
      <c r="F206" s="133"/>
      <c r="G206" s="133"/>
      <c r="H206" s="138" t="s">
        <v>1939</v>
      </c>
      <c r="I206" s="138" t="s">
        <v>1512</v>
      </c>
      <c r="J206" s="133" t="s">
        <v>8299</v>
      </c>
      <c r="K206" s="135"/>
      <c r="L206" s="133"/>
      <c r="M206" s="133"/>
      <c r="N206" s="136">
        <v>2026</v>
      </c>
    </row>
    <row r="207" spans="1:14" ht="14.4">
      <c r="A207" s="137">
        <v>49</v>
      </c>
      <c r="B207" s="133" t="s">
        <v>8619</v>
      </c>
      <c r="C207" s="133" t="s">
        <v>8348</v>
      </c>
      <c r="D207" s="133" t="s">
        <v>253</v>
      </c>
      <c r="E207" s="133" t="s">
        <v>4902</v>
      </c>
      <c r="F207" s="133" t="s">
        <v>8308</v>
      </c>
      <c r="G207" s="133"/>
      <c r="H207" s="138" t="s">
        <v>1478</v>
      </c>
      <c r="I207" s="138" t="s">
        <v>1437</v>
      </c>
      <c r="J207" s="133" t="s">
        <v>8309</v>
      </c>
      <c r="K207" s="135" t="s">
        <v>8620</v>
      </c>
      <c r="L207" s="133" t="s">
        <v>8621</v>
      </c>
      <c r="M207" s="133"/>
      <c r="N207" s="136">
        <v>2026</v>
      </c>
    </row>
    <row r="208" spans="1:14" ht="14.4">
      <c r="A208" s="133"/>
      <c r="B208" s="133"/>
      <c r="C208" s="133"/>
      <c r="D208" s="133" t="s">
        <v>8601</v>
      </c>
      <c r="E208" s="133" t="s">
        <v>4902</v>
      </c>
      <c r="F208" s="133"/>
      <c r="G208" s="133"/>
      <c r="H208" s="138" t="s">
        <v>1478</v>
      </c>
      <c r="I208" s="138" t="s">
        <v>1437</v>
      </c>
      <c r="J208" s="133" t="s">
        <v>8309</v>
      </c>
      <c r="K208" s="135"/>
      <c r="L208" s="133"/>
      <c r="M208" s="133"/>
      <c r="N208" s="136">
        <v>2026</v>
      </c>
    </row>
    <row r="209" spans="1:14" ht="14.4">
      <c r="A209" s="133"/>
      <c r="B209" s="133"/>
      <c r="C209" s="133"/>
      <c r="D209" s="133" t="s">
        <v>8622</v>
      </c>
      <c r="E209" s="133" t="s">
        <v>4902</v>
      </c>
      <c r="F209" s="133"/>
      <c r="G209" s="133"/>
      <c r="H209" s="138" t="s">
        <v>1478</v>
      </c>
      <c r="I209" s="138" t="s">
        <v>1437</v>
      </c>
      <c r="J209" s="133" t="s">
        <v>8309</v>
      </c>
      <c r="K209" s="135"/>
      <c r="L209" s="133"/>
      <c r="M209" s="133"/>
      <c r="N209" s="136">
        <v>2026</v>
      </c>
    </row>
    <row r="210" spans="1:14" ht="14.4">
      <c r="A210" s="133"/>
      <c r="B210" s="133"/>
      <c r="C210" s="133"/>
      <c r="D210" s="133" t="s">
        <v>8623</v>
      </c>
      <c r="E210" s="133" t="s">
        <v>4902</v>
      </c>
      <c r="F210" s="133"/>
      <c r="G210" s="133"/>
      <c r="H210" s="138" t="s">
        <v>1478</v>
      </c>
      <c r="I210" s="138" t="s">
        <v>1437</v>
      </c>
      <c r="J210" s="133" t="s">
        <v>8309</v>
      </c>
      <c r="K210" s="135"/>
      <c r="L210" s="133"/>
      <c r="M210" s="133"/>
      <c r="N210" s="136">
        <v>2026</v>
      </c>
    </row>
    <row r="211" spans="1:14" ht="14.4">
      <c r="A211" s="133"/>
      <c r="B211" s="133"/>
      <c r="C211" s="133"/>
      <c r="D211" s="133" t="s">
        <v>1463</v>
      </c>
      <c r="E211" s="133" t="s">
        <v>4902</v>
      </c>
      <c r="F211" s="133"/>
      <c r="G211" s="133"/>
      <c r="H211" s="138" t="s">
        <v>1478</v>
      </c>
      <c r="I211" s="138" t="s">
        <v>1437</v>
      </c>
      <c r="J211" s="133" t="s">
        <v>8309</v>
      </c>
      <c r="K211" s="135"/>
      <c r="L211" s="133"/>
      <c r="M211" s="133"/>
      <c r="N211" s="136">
        <v>2026</v>
      </c>
    </row>
    <row r="212" spans="1:14" ht="14.4">
      <c r="A212" s="137">
        <v>50</v>
      </c>
      <c r="B212" s="133" t="s">
        <v>8624</v>
      </c>
      <c r="C212" s="133" t="s">
        <v>8363</v>
      </c>
      <c r="D212" s="133" t="s">
        <v>2049</v>
      </c>
      <c r="E212" s="133" t="s">
        <v>4902</v>
      </c>
      <c r="F212" s="133" t="s">
        <v>2035</v>
      </c>
      <c r="G212" s="133"/>
      <c r="H212" s="138" t="s">
        <v>1939</v>
      </c>
      <c r="I212" s="138" t="s">
        <v>1512</v>
      </c>
      <c r="J212" s="133" t="s">
        <v>8299</v>
      </c>
      <c r="K212" s="135" t="s">
        <v>8625</v>
      </c>
      <c r="L212" s="133" t="s">
        <v>8626</v>
      </c>
      <c r="M212" s="133"/>
      <c r="N212" s="136">
        <v>2026</v>
      </c>
    </row>
    <row r="213" spans="1:14" ht="14.4">
      <c r="A213" s="133"/>
      <c r="B213" s="133"/>
      <c r="C213" s="133"/>
      <c r="D213" s="133" t="s">
        <v>8627</v>
      </c>
      <c r="E213" s="133" t="s">
        <v>4902</v>
      </c>
      <c r="F213" s="133"/>
      <c r="G213" s="133"/>
      <c r="H213" s="138" t="s">
        <v>1939</v>
      </c>
      <c r="I213" s="138" t="s">
        <v>1512</v>
      </c>
      <c r="J213" s="133" t="s">
        <v>8299</v>
      </c>
      <c r="K213" s="135"/>
      <c r="L213" s="133"/>
      <c r="M213" s="133"/>
      <c r="N213" s="136">
        <v>2026</v>
      </c>
    </row>
    <row r="214" spans="1:14" ht="14.4">
      <c r="A214" s="133"/>
      <c r="B214" s="133"/>
      <c r="C214" s="133"/>
      <c r="D214" s="133" t="s">
        <v>2047</v>
      </c>
      <c r="E214" s="133" t="s">
        <v>4902</v>
      </c>
      <c r="F214" s="133"/>
      <c r="G214" s="133"/>
      <c r="H214" s="138" t="s">
        <v>1939</v>
      </c>
      <c r="I214" s="138" t="s">
        <v>1512</v>
      </c>
      <c r="J214" s="133" t="s">
        <v>8299</v>
      </c>
      <c r="K214" s="135"/>
      <c r="L214" s="133"/>
      <c r="M214" s="133"/>
      <c r="N214" s="136">
        <v>2026</v>
      </c>
    </row>
    <row r="215" spans="1:14" ht="14.4">
      <c r="A215" s="137">
        <v>51</v>
      </c>
      <c r="B215" s="133" t="s">
        <v>8628</v>
      </c>
      <c r="C215" s="133" t="s">
        <v>8363</v>
      </c>
      <c r="D215" s="133" t="s">
        <v>532</v>
      </c>
      <c r="E215" s="133" t="s">
        <v>4901</v>
      </c>
      <c r="F215" s="133" t="s">
        <v>527</v>
      </c>
      <c r="G215" s="133" t="s">
        <v>8317</v>
      </c>
      <c r="H215" s="138" t="s">
        <v>1939</v>
      </c>
      <c r="I215" s="138" t="s">
        <v>1512</v>
      </c>
      <c r="J215" s="133" t="s">
        <v>8299</v>
      </c>
      <c r="K215" s="135" t="s">
        <v>8629</v>
      </c>
      <c r="L215" s="133" t="s">
        <v>8630</v>
      </c>
      <c r="M215" s="133"/>
      <c r="N215" s="136">
        <v>2026</v>
      </c>
    </row>
    <row r="216" spans="1:14" ht="14.4">
      <c r="A216" s="133"/>
      <c r="B216" s="133"/>
      <c r="C216" s="133"/>
      <c r="D216" s="133" t="s">
        <v>533</v>
      </c>
      <c r="E216" s="133" t="s">
        <v>4902</v>
      </c>
      <c r="F216" s="133"/>
      <c r="G216" s="133"/>
      <c r="H216" s="138" t="s">
        <v>1939</v>
      </c>
      <c r="I216" s="138" t="s">
        <v>1512</v>
      </c>
      <c r="J216" s="133" t="s">
        <v>8299</v>
      </c>
      <c r="K216" s="135"/>
      <c r="L216" s="133"/>
      <c r="M216" s="133"/>
      <c r="N216" s="136">
        <v>2026</v>
      </c>
    </row>
    <row r="217" spans="1:14" ht="14.4">
      <c r="A217" s="133"/>
      <c r="B217" s="133"/>
      <c r="C217" s="133"/>
      <c r="D217" s="133" t="s">
        <v>8631</v>
      </c>
      <c r="E217" s="133" t="s">
        <v>4902</v>
      </c>
      <c r="F217" s="133"/>
      <c r="G217" s="133"/>
      <c r="H217" s="138" t="s">
        <v>1939</v>
      </c>
      <c r="I217" s="138" t="s">
        <v>1512</v>
      </c>
      <c r="J217" s="133" t="s">
        <v>8299</v>
      </c>
      <c r="K217" s="135"/>
      <c r="L217" s="133"/>
      <c r="M217" s="133"/>
      <c r="N217" s="136">
        <v>2026</v>
      </c>
    </row>
    <row r="218" spans="1:14" ht="14.4">
      <c r="A218" s="133"/>
      <c r="B218" s="133"/>
      <c r="C218" s="133"/>
      <c r="D218" s="133" t="s">
        <v>8632</v>
      </c>
      <c r="E218" s="133" t="s">
        <v>4902</v>
      </c>
      <c r="F218" s="133"/>
      <c r="G218" s="133"/>
      <c r="H218" s="138" t="s">
        <v>1939</v>
      </c>
      <c r="I218" s="138" t="s">
        <v>1512</v>
      </c>
      <c r="J218" s="133" t="s">
        <v>8299</v>
      </c>
      <c r="K218" s="135"/>
      <c r="L218" s="133"/>
      <c r="M218" s="133"/>
      <c r="N218" s="136">
        <v>2026</v>
      </c>
    </row>
    <row r="219" spans="1:14" ht="14.4">
      <c r="A219" s="133"/>
      <c r="B219" s="133"/>
      <c r="C219" s="133"/>
      <c r="D219" s="133" t="s">
        <v>531</v>
      </c>
      <c r="E219" s="133" t="s">
        <v>4902</v>
      </c>
      <c r="F219" s="133"/>
      <c r="G219" s="133"/>
      <c r="H219" s="138" t="s">
        <v>1939</v>
      </c>
      <c r="I219" s="138" t="s">
        <v>1512</v>
      </c>
      <c r="J219" s="133" t="s">
        <v>8299</v>
      </c>
      <c r="K219" s="135"/>
      <c r="L219" s="133"/>
      <c r="M219" s="133"/>
      <c r="N219" s="136">
        <v>2026</v>
      </c>
    </row>
    <row r="220" spans="1:14" ht="14.4">
      <c r="A220" s="137">
        <v>52</v>
      </c>
      <c r="B220" s="133" t="s">
        <v>8633</v>
      </c>
      <c r="C220" s="133" t="s">
        <v>6933</v>
      </c>
      <c r="D220" s="133" t="s">
        <v>8634</v>
      </c>
      <c r="E220" s="133" t="s">
        <v>4901</v>
      </c>
      <c r="F220" s="133" t="s">
        <v>508</v>
      </c>
      <c r="G220" s="133"/>
      <c r="H220" s="138" t="s">
        <v>1939</v>
      </c>
      <c r="I220" s="138" t="s">
        <v>1512</v>
      </c>
      <c r="J220" s="133" t="s">
        <v>8299</v>
      </c>
      <c r="K220" s="139" t="e">
        <f>+ Mã QR Code kích hoạt trải nghiệm số:Kết nối đến nền tảng web-app/AR, không cần tải ứng dụng</f>
        <v>#NAME?</v>
      </c>
      <c r="L220" s="133" t="s">
        <v>8635</v>
      </c>
      <c r="M220" s="133"/>
      <c r="N220" s="136">
        <v>2026</v>
      </c>
    </row>
    <row r="221" spans="1:14" ht="14.4">
      <c r="A221" s="133"/>
      <c r="B221" s="133"/>
      <c r="C221" s="133"/>
      <c r="D221" s="133" t="s">
        <v>8636</v>
      </c>
      <c r="E221" s="133" t="s">
        <v>4902</v>
      </c>
      <c r="F221" s="133"/>
      <c r="G221" s="133"/>
      <c r="H221" s="138" t="s">
        <v>1939</v>
      </c>
      <c r="I221" s="138" t="s">
        <v>1512</v>
      </c>
      <c r="J221" s="133" t="s">
        <v>8299</v>
      </c>
      <c r="K221" s="135" t="s">
        <v>8637</v>
      </c>
      <c r="L221" s="133"/>
      <c r="M221" s="133"/>
      <c r="N221" s="136">
        <v>2026</v>
      </c>
    </row>
    <row r="222" spans="1:14" ht="14.4">
      <c r="A222" s="133"/>
      <c r="B222" s="133"/>
      <c r="C222" s="133"/>
      <c r="D222" s="133" t="s">
        <v>8638</v>
      </c>
      <c r="E222" s="133" t="s">
        <v>4902</v>
      </c>
      <c r="F222" s="133"/>
      <c r="G222" s="133"/>
      <c r="H222" s="138" t="s">
        <v>1939</v>
      </c>
      <c r="I222" s="138" t="s">
        <v>1512</v>
      </c>
      <c r="J222" s="133" t="s">
        <v>8299</v>
      </c>
      <c r="K222" s="135"/>
      <c r="L222" s="133"/>
      <c r="M222" s="133"/>
      <c r="N222" s="136">
        <v>2026</v>
      </c>
    </row>
    <row r="223" spans="1:14" ht="14.4">
      <c r="A223" s="133"/>
      <c r="B223" s="133"/>
      <c r="C223" s="133"/>
      <c r="D223" s="133" t="s">
        <v>8639</v>
      </c>
      <c r="E223" s="133" t="s">
        <v>4902</v>
      </c>
      <c r="F223" s="133"/>
      <c r="G223" s="133"/>
      <c r="H223" s="138" t="s">
        <v>1939</v>
      </c>
      <c r="I223" s="138" t="s">
        <v>1512</v>
      </c>
      <c r="J223" s="133" t="s">
        <v>8299</v>
      </c>
      <c r="K223" s="135"/>
      <c r="L223" s="133"/>
      <c r="M223" s="133"/>
      <c r="N223" s="136">
        <v>2026</v>
      </c>
    </row>
    <row r="224" spans="1:14" ht="14.4">
      <c r="A224" s="133"/>
      <c r="B224" s="133"/>
      <c r="C224" s="133"/>
      <c r="D224" s="133" t="s">
        <v>8640</v>
      </c>
      <c r="E224" s="133" t="s">
        <v>4902</v>
      </c>
      <c r="F224" s="133"/>
      <c r="G224" s="133"/>
      <c r="H224" s="138" t="s">
        <v>1939</v>
      </c>
      <c r="I224" s="138" t="s">
        <v>1512</v>
      </c>
      <c r="J224" s="133" t="s">
        <v>8299</v>
      </c>
      <c r="K224" s="135"/>
      <c r="L224" s="133"/>
      <c r="M224" s="133"/>
      <c r="N224" s="136">
        <v>2026</v>
      </c>
    </row>
    <row r="225" spans="1:14" ht="14.4">
      <c r="A225" s="137">
        <v>53</v>
      </c>
      <c r="B225" s="133" t="s">
        <v>8641</v>
      </c>
      <c r="C225" s="133" t="s">
        <v>8348</v>
      </c>
      <c r="D225" s="133" t="s">
        <v>8642</v>
      </c>
      <c r="E225" s="133" t="s">
        <v>4901</v>
      </c>
      <c r="F225" s="133" t="s">
        <v>734</v>
      </c>
      <c r="G225" s="133"/>
      <c r="H225" s="138" t="s">
        <v>1478</v>
      </c>
      <c r="I225" s="138" t="s">
        <v>1437</v>
      </c>
      <c r="J225" s="133" t="s">
        <v>8309</v>
      </c>
      <c r="K225" s="135" t="s">
        <v>8643</v>
      </c>
      <c r="L225" s="133" t="s">
        <v>8644</v>
      </c>
      <c r="M225" s="133" t="s">
        <v>8334</v>
      </c>
      <c r="N225" s="136">
        <v>2026</v>
      </c>
    </row>
    <row r="226" spans="1:14" ht="14.4">
      <c r="A226" s="133"/>
      <c r="B226" s="133"/>
      <c r="C226" s="133"/>
      <c r="D226" s="133" t="s">
        <v>8645</v>
      </c>
      <c r="E226" s="133" t="s">
        <v>4902</v>
      </c>
      <c r="F226" s="133"/>
      <c r="G226" s="133"/>
      <c r="H226" s="138" t="s">
        <v>1478</v>
      </c>
      <c r="I226" s="138" t="s">
        <v>1437</v>
      </c>
      <c r="J226" s="133" t="s">
        <v>8309</v>
      </c>
      <c r="K226" s="135"/>
      <c r="L226" s="133"/>
      <c r="M226" s="133"/>
      <c r="N226" s="136">
        <v>2026</v>
      </c>
    </row>
    <row r="227" spans="1:14" ht="14.4">
      <c r="A227" s="133"/>
      <c r="B227" s="133"/>
      <c r="C227" s="133"/>
      <c r="D227" s="133" t="s">
        <v>8646</v>
      </c>
      <c r="E227" s="133" t="s">
        <v>4902</v>
      </c>
      <c r="F227" s="133"/>
      <c r="G227" s="133"/>
      <c r="H227" s="138" t="s">
        <v>1478</v>
      </c>
      <c r="I227" s="138" t="s">
        <v>1437</v>
      </c>
      <c r="J227" s="133" t="s">
        <v>8309</v>
      </c>
      <c r="K227" s="135"/>
      <c r="L227" s="133"/>
      <c r="M227" s="133"/>
      <c r="N227" s="136">
        <v>2026</v>
      </c>
    </row>
    <row r="228" spans="1:14" ht="14.4">
      <c r="A228" s="137">
        <v>54</v>
      </c>
      <c r="B228" s="133" t="s">
        <v>8647</v>
      </c>
      <c r="C228" s="133" t="s">
        <v>8307</v>
      </c>
      <c r="D228" s="133" t="s">
        <v>8648</v>
      </c>
      <c r="E228" s="133" t="s">
        <v>4902</v>
      </c>
      <c r="F228" s="133" t="s">
        <v>8649</v>
      </c>
      <c r="G228" s="133"/>
      <c r="H228" s="138" t="s">
        <v>1478</v>
      </c>
      <c r="I228" s="138" t="s">
        <v>1437</v>
      </c>
      <c r="J228" s="133" t="s">
        <v>8309</v>
      </c>
      <c r="K228" s="135" t="s">
        <v>8650</v>
      </c>
      <c r="L228" s="133" t="s">
        <v>8651</v>
      </c>
      <c r="M228" s="133"/>
      <c r="N228" s="136">
        <v>2026</v>
      </c>
    </row>
    <row r="229" spans="1:14" ht="14.4">
      <c r="A229" s="133"/>
      <c r="B229" s="133"/>
      <c r="C229" s="133"/>
      <c r="D229" s="133" t="s">
        <v>8652</v>
      </c>
      <c r="E229" s="133" t="s">
        <v>4902</v>
      </c>
      <c r="F229" s="133"/>
      <c r="G229" s="133"/>
      <c r="H229" s="138" t="s">
        <v>1478</v>
      </c>
      <c r="I229" s="138" t="s">
        <v>1437</v>
      </c>
      <c r="J229" s="133" t="s">
        <v>8309</v>
      </c>
      <c r="K229" s="135"/>
      <c r="L229" s="133"/>
      <c r="M229" s="133"/>
      <c r="N229" s="136">
        <v>2026</v>
      </c>
    </row>
    <row r="230" spans="1:14" ht="14.4">
      <c r="A230" s="137">
        <v>55</v>
      </c>
      <c r="B230" s="133" t="s">
        <v>8653</v>
      </c>
      <c r="C230" s="133" t="s">
        <v>8348</v>
      </c>
      <c r="D230" s="133" t="s">
        <v>1628</v>
      </c>
      <c r="E230" s="133" t="s">
        <v>4901</v>
      </c>
      <c r="F230" s="133" t="s">
        <v>1629</v>
      </c>
      <c r="G230" s="133"/>
      <c r="H230" s="138" t="s">
        <v>1478</v>
      </c>
      <c r="I230" s="138" t="s">
        <v>1437</v>
      </c>
      <c r="J230" s="133" t="s">
        <v>8309</v>
      </c>
      <c r="K230" s="135" t="s">
        <v>8654</v>
      </c>
      <c r="L230" s="133" t="s">
        <v>8655</v>
      </c>
      <c r="M230" s="133" t="s">
        <v>8334</v>
      </c>
      <c r="N230" s="136">
        <v>2026</v>
      </c>
    </row>
    <row r="231" spans="1:14" ht="14.4">
      <c r="A231" s="133"/>
      <c r="B231" s="133"/>
      <c r="C231" s="133"/>
      <c r="D231" s="133" t="s">
        <v>8656</v>
      </c>
      <c r="E231" s="133" t="s">
        <v>4902</v>
      </c>
      <c r="F231" s="133"/>
      <c r="G231" s="133"/>
      <c r="H231" s="138" t="s">
        <v>1478</v>
      </c>
      <c r="I231" s="138" t="s">
        <v>1437</v>
      </c>
      <c r="J231" s="133" t="s">
        <v>8309</v>
      </c>
      <c r="K231" s="135"/>
      <c r="L231" s="133"/>
      <c r="M231" s="133"/>
      <c r="N231" s="136">
        <v>2026</v>
      </c>
    </row>
    <row r="232" spans="1:14" ht="14.4">
      <c r="A232" s="137">
        <v>56</v>
      </c>
      <c r="B232" s="133" t="s">
        <v>8657</v>
      </c>
      <c r="C232" s="133" t="s">
        <v>8658</v>
      </c>
      <c r="D232" s="133" t="s">
        <v>8659</v>
      </c>
      <c r="E232" s="133" t="s">
        <v>4901</v>
      </c>
      <c r="F232" s="133" t="s">
        <v>2448</v>
      </c>
      <c r="G232" s="133" t="s">
        <v>8660</v>
      </c>
      <c r="H232" s="138" t="s">
        <v>2361</v>
      </c>
      <c r="I232" s="138" t="s">
        <v>1417</v>
      </c>
      <c r="J232" s="133" t="s">
        <v>8661</v>
      </c>
      <c r="K232" s="135" t="s">
        <v>8662</v>
      </c>
      <c r="L232" s="133" t="s">
        <v>8663</v>
      </c>
      <c r="M232" s="133"/>
      <c r="N232" s="136">
        <v>2026</v>
      </c>
    </row>
    <row r="233" spans="1:14" ht="14.4">
      <c r="A233" s="133"/>
      <c r="B233" s="133"/>
      <c r="C233" s="133"/>
      <c r="D233" s="133" t="s">
        <v>8664</v>
      </c>
      <c r="E233" s="133" t="s">
        <v>4902</v>
      </c>
      <c r="F233" s="133"/>
      <c r="G233" s="133"/>
      <c r="H233" s="138" t="s">
        <v>2361</v>
      </c>
      <c r="I233" s="138" t="s">
        <v>1417</v>
      </c>
      <c r="J233" s="133" t="s">
        <v>8661</v>
      </c>
      <c r="K233" s="135"/>
      <c r="L233" s="133"/>
      <c r="M233" s="133"/>
      <c r="N233" s="136">
        <v>2026</v>
      </c>
    </row>
    <row r="234" spans="1:14" ht="14.4">
      <c r="A234" s="133"/>
      <c r="B234" s="133"/>
      <c r="C234" s="133"/>
      <c r="D234" s="133" t="s">
        <v>8665</v>
      </c>
      <c r="E234" s="133" t="s">
        <v>4902</v>
      </c>
      <c r="F234" s="133"/>
      <c r="G234" s="133"/>
      <c r="H234" s="138" t="s">
        <v>2361</v>
      </c>
      <c r="I234" s="138" t="s">
        <v>1417</v>
      </c>
      <c r="J234" s="133" t="s">
        <v>8661</v>
      </c>
      <c r="K234" s="135"/>
      <c r="L234" s="133"/>
      <c r="M234" s="133"/>
      <c r="N234" s="136">
        <v>2026</v>
      </c>
    </row>
    <row r="235" spans="1:14" ht="14.4">
      <c r="A235" s="133"/>
      <c r="B235" s="133"/>
      <c r="C235" s="133"/>
      <c r="D235" s="133" t="s">
        <v>8666</v>
      </c>
      <c r="E235" s="133" t="s">
        <v>4902</v>
      </c>
      <c r="F235" s="133"/>
      <c r="G235" s="133"/>
      <c r="H235" s="138" t="s">
        <v>2361</v>
      </c>
      <c r="I235" s="138" t="s">
        <v>1417</v>
      </c>
      <c r="J235" s="133" t="s">
        <v>8661</v>
      </c>
      <c r="K235" s="135"/>
      <c r="L235" s="133"/>
      <c r="M235" s="133"/>
      <c r="N235" s="136">
        <v>2026</v>
      </c>
    </row>
    <row r="236" spans="1:14" ht="14.4">
      <c r="A236" s="137">
        <v>57</v>
      </c>
      <c r="B236" s="133" t="s">
        <v>8667</v>
      </c>
      <c r="C236" s="133" t="s">
        <v>8658</v>
      </c>
      <c r="D236" s="133" t="s">
        <v>8668</v>
      </c>
      <c r="E236" s="133" t="s">
        <v>4901</v>
      </c>
      <c r="F236" s="133" t="s">
        <v>8527</v>
      </c>
      <c r="G236" s="133"/>
      <c r="H236" s="138" t="s">
        <v>1939</v>
      </c>
      <c r="I236" s="138" t="s">
        <v>1512</v>
      </c>
      <c r="J236" s="133" t="s">
        <v>8299</v>
      </c>
      <c r="K236" s="135" t="s">
        <v>8669</v>
      </c>
      <c r="L236" s="133" t="s">
        <v>8670</v>
      </c>
      <c r="M236" s="133"/>
      <c r="N236" s="136">
        <v>2026</v>
      </c>
    </row>
    <row r="237" spans="1:14" ht="14.4">
      <c r="A237" s="133"/>
      <c r="B237" s="133"/>
      <c r="C237" s="133"/>
      <c r="D237" s="133" t="s">
        <v>8664</v>
      </c>
      <c r="E237" s="133" t="s">
        <v>4902</v>
      </c>
      <c r="F237" s="133"/>
      <c r="G237" s="133"/>
      <c r="H237" s="138" t="s">
        <v>1939</v>
      </c>
      <c r="I237" s="138" t="s">
        <v>1512</v>
      </c>
      <c r="J237" s="133" t="s">
        <v>8299</v>
      </c>
      <c r="K237" s="135"/>
      <c r="L237" s="133"/>
      <c r="M237" s="133"/>
      <c r="N237" s="136">
        <v>2026</v>
      </c>
    </row>
    <row r="238" spans="1:14" ht="14.4">
      <c r="A238" s="133"/>
      <c r="B238" s="133"/>
      <c r="C238" s="133"/>
      <c r="D238" s="133" t="s">
        <v>8665</v>
      </c>
      <c r="E238" s="133" t="s">
        <v>4902</v>
      </c>
      <c r="F238" s="133"/>
      <c r="G238" s="133"/>
      <c r="H238" s="138" t="s">
        <v>1939</v>
      </c>
      <c r="I238" s="138" t="s">
        <v>1512</v>
      </c>
      <c r="J238" s="133" t="s">
        <v>8299</v>
      </c>
      <c r="K238" s="135"/>
      <c r="L238" s="133"/>
      <c r="M238" s="133"/>
      <c r="N238" s="136">
        <v>2026</v>
      </c>
    </row>
    <row r="239" spans="1:14" ht="14.4">
      <c r="A239" s="137">
        <v>58</v>
      </c>
      <c r="B239" s="133" t="s">
        <v>8671</v>
      </c>
      <c r="C239" s="133" t="s">
        <v>6933</v>
      </c>
      <c r="D239" s="133" t="s">
        <v>8672</v>
      </c>
      <c r="E239" s="133" t="s">
        <v>4901</v>
      </c>
      <c r="F239" s="133" t="s">
        <v>8316</v>
      </c>
      <c r="G239" s="133"/>
      <c r="H239" s="138" t="s">
        <v>1939</v>
      </c>
      <c r="I239" s="138" t="s">
        <v>1512</v>
      </c>
      <c r="J239" s="133" t="s">
        <v>8299</v>
      </c>
      <c r="K239" s="135" t="s">
        <v>8673</v>
      </c>
      <c r="L239" s="133" t="s">
        <v>8674</v>
      </c>
      <c r="M239" s="133"/>
      <c r="N239" s="136">
        <v>2026</v>
      </c>
    </row>
    <row r="240" spans="1:14" ht="14.4">
      <c r="A240" s="133"/>
      <c r="B240" s="133"/>
      <c r="C240" s="133"/>
      <c r="D240" s="133" t="s">
        <v>8675</v>
      </c>
      <c r="E240" s="133" t="s">
        <v>4902</v>
      </c>
      <c r="F240" s="133"/>
      <c r="G240" s="133"/>
      <c r="H240" s="138" t="s">
        <v>1939</v>
      </c>
      <c r="I240" s="138" t="s">
        <v>1512</v>
      </c>
      <c r="J240" s="133" t="s">
        <v>8299</v>
      </c>
      <c r="K240" s="135"/>
      <c r="L240" s="133"/>
      <c r="M240" s="133"/>
      <c r="N240" s="136">
        <v>2026</v>
      </c>
    </row>
    <row r="241" spans="1:14" ht="14.4">
      <c r="A241" s="133"/>
      <c r="B241" s="133"/>
      <c r="C241" s="133"/>
      <c r="D241" s="133" t="s">
        <v>8676</v>
      </c>
      <c r="E241" s="133" t="s">
        <v>4902</v>
      </c>
      <c r="F241" s="133"/>
      <c r="G241" s="133"/>
      <c r="H241" s="138" t="s">
        <v>1939</v>
      </c>
      <c r="I241" s="138" t="s">
        <v>1512</v>
      </c>
      <c r="J241" s="133" t="s">
        <v>8299</v>
      </c>
      <c r="K241" s="135"/>
      <c r="L241" s="133"/>
      <c r="M241" s="133"/>
      <c r="N241" s="136">
        <v>2026</v>
      </c>
    </row>
    <row r="242" spans="1:14" ht="14.4">
      <c r="A242" s="133"/>
      <c r="B242" s="133"/>
      <c r="C242" s="133"/>
      <c r="D242" s="133" t="s">
        <v>1912</v>
      </c>
      <c r="E242" s="133" t="s">
        <v>4902</v>
      </c>
      <c r="F242" s="133"/>
      <c r="G242" s="133"/>
      <c r="H242" s="138" t="s">
        <v>1939</v>
      </c>
      <c r="I242" s="138" t="s">
        <v>1512</v>
      </c>
      <c r="J242" s="133" t="s">
        <v>8299</v>
      </c>
      <c r="K242" s="135"/>
      <c r="L242" s="133"/>
      <c r="M242" s="133"/>
      <c r="N242" s="136">
        <v>2026</v>
      </c>
    </row>
    <row r="243" spans="1:14" ht="14.4">
      <c r="A243" s="133"/>
      <c r="B243" s="133"/>
      <c r="C243" s="133"/>
      <c r="D243" s="133" t="s">
        <v>8677</v>
      </c>
      <c r="E243" s="133" t="s">
        <v>4902</v>
      </c>
      <c r="F243" s="133"/>
      <c r="G243" s="133"/>
      <c r="H243" s="138" t="s">
        <v>1939</v>
      </c>
      <c r="I243" s="138" t="s">
        <v>1512</v>
      </c>
      <c r="J243" s="133" t="s">
        <v>8299</v>
      </c>
      <c r="K243" s="135"/>
      <c r="L243" s="133"/>
      <c r="M243" s="133"/>
      <c r="N243" s="136">
        <v>2026</v>
      </c>
    </row>
    <row r="244" spans="1:14" ht="14.4">
      <c r="A244" s="137">
        <v>59</v>
      </c>
      <c r="B244" s="133" t="s">
        <v>8678</v>
      </c>
      <c r="C244" s="133" t="s">
        <v>8363</v>
      </c>
      <c r="D244" s="133" t="s">
        <v>8679</v>
      </c>
      <c r="E244" s="133" t="s">
        <v>4901</v>
      </c>
      <c r="F244" s="133" t="s">
        <v>8495</v>
      </c>
      <c r="G244" s="133" t="s">
        <v>8680</v>
      </c>
      <c r="H244" s="138" t="s">
        <v>2361</v>
      </c>
      <c r="I244" s="138" t="s">
        <v>1417</v>
      </c>
      <c r="J244" s="133" t="s">
        <v>8661</v>
      </c>
      <c r="K244" s="135" t="s">
        <v>8681</v>
      </c>
      <c r="L244" s="133" t="s">
        <v>8682</v>
      </c>
      <c r="M244" s="133"/>
      <c r="N244" s="136">
        <v>2026</v>
      </c>
    </row>
    <row r="245" spans="1:14" ht="14.4">
      <c r="A245" s="133"/>
      <c r="B245" s="133"/>
      <c r="C245" s="133"/>
      <c r="D245" s="133" t="s">
        <v>8683</v>
      </c>
      <c r="E245" s="133" t="s">
        <v>4902</v>
      </c>
      <c r="F245" s="133"/>
      <c r="G245" s="133"/>
      <c r="H245" s="138" t="s">
        <v>2361</v>
      </c>
      <c r="I245" s="138" t="s">
        <v>1417</v>
      </c>
      <c r="J245" s="133" t="s">
        <v>8661</v>
      </c>
      <c r="K245" s="135"/>
      <c r="L245" s="133"/>
      <c r="M245" s="133"/>
      <c r="N245" s="136">
        <v>2026</v>
      </c>
    </row>
    <row r="246" spans="1:14" ht="14.4">
      <c r="A246" s="133"/>
      <c r="B246" s="133"/>
      <c r="C246" s="133"/>
      <c r="D246" s="133" t="s">
        <v>8684</v>
      </c>
      <c r="E246" s="133" t="s">
        <v>4902</v>
      </c>
      <c r="F246" s="133"/>
      <c r="G246" s="133"/>
      <c r="H246" s="138" t="s">
        <v>2361</v>
      </c>
      <c r="I246" s="138" t="s">
        <v>1417</v>
      </c>
      <c r="J246" s="133" t="s">
        <v>8661</v>
      </c>
      <c r="K246" s="135"/>
      <c r="L246" s="133"/>
      <c r="M246" s="133"/>
      <c r="N246" s="136">
        <v>2026</v>
      </c>
    </row>
    <row r="247" spans="1:14" ht="14.4">
      <c r="A247" s="133"/>
      <c r="B247" s="133"/>
      <c r="C247" s="133"/>
      <c r="D247" s="133" t="s">
        <v>8685</v>
      </c>
      <c r="E247" s="133" t="s">
        <v>4902</v>
      </c>
      <c r="F247" s="133"/>
      <c r="G247" s="133"/>
      <c r="H247" s="138" t="s">
        <v>2361</v>
      </c>
      <c r="I247" s="138" t="s">
        <v>1417</v>
      </c>
      <c r="J247" s="133" t="s">
        <v>8661</v>
      </c>
      <c r="K247" s="135"/>
      <c r="L247" s="133"/>
      <c r="M247" s="133"/>
      <c r="N247" s="136">
        <v>2026</v>
      </c>
    </row>
    <row r="248" spans="1:14" ht="14.4">
      <c r="A248" s="133"/>
      <c r="B248" s="133"/>
      <c r="C248" s="133"/>
      <c r="D248" s="133" t="s">
        <v>8686</v>
      </c>
      <c r="E248" s="133" t="s">
        <v>4902</v>
      </c>
      <c r="F248" s="133"/>
      <c r="G248" s="133"/>
      <c r="H248" s="138" t="s">
        <v>2361</v>
      </c>
      <c r="I248" s="138" t="s">
        <v>1417</v>
      </c>
      <c r="J248" s="133" t="s">
        <v>8661</v>
      </c>
      <c r="K248" s="135"/>
      <c r="L248" s="133"/>
      <c r="M248" s="133"/>
      <c r="N248" s="136">
        <v>2026</v>
      </c>
    </row>
    <row r="249" spans="1:14" ht="14.4">
      <c r="A249" s="137">
        <v>60</v>
      </c>
      <c r="B249" s="133" t="s">
        <v>8687</v>
      </c>
      <c r="C249" s="133" t="s">
        <v>8363</v>
      </c>
      <c r="D249" s="133" t="s">
        <v>8688</v>
      </c>
      <c r="E249" s="133" t="s">
        <v>4901</v>
      </c>
      <c r="F249" s="133" t="s">
        <v>8527</v>
      </c>
      <c r="G249" s="133"/>
      <c r="H249" s="138" t="s">
        <v>1939</v>
      </c>
      <c r="I249" s="138" t="s">
        <v>1512</v>
      </c>
      <c r="J249" s="133" t="s">
        <v>8299</v>
      </c>
      <c r="K249" s="135" t="s">
        <v>8689</v>
      </c>
      <c r="L249" s="133" t="s">
        <v>8690</v>
      </c>
      <c r="M249" s="133"/>
      <c r="N249" s="136">
        <v>2026</v>
      </c>
    </row>
    <row r="250" spans="1:14" ht="14.4">
      <c r="A250" s="133"/>
      <c r="B250" s="133"/>
      <c r="C250" s="133"/>
      <c r="D250" s="133" t="s">
        <v>8691</v>
      </c>
      <c r="E250" s="133" t="s">
        <v>4902</v>
      </c>
      <c r="F250" s="133"/>
      <c r="G250" s="133"/>
      <c r="H250" s="138" t="s">
        <v>1939</v>
      </c>
      <c r="I250" s="138" t="s">
        <v>1512</v>
      </c>
      <c r="J250" s="133" t="s">
        <v>8299</v>
      </c>
      <c r="K250" s="135"/>
      <c r="L250" s="133"/>
      <c r="M250" s="133"/>
      <c r="N250" s="136">
        <v>2026</v>
      </c>
    </row>
    <row r="251" spans="1:14" ht="14.4">
      <c r="A251" s="133"/>
      <c r="B251" s="133"/>
      <c r="C251" s="133"/>
      <c r="D251" s="133" t="s">
        <v>8692</v>
      </c>
      <c r="E251" s="133" t="s">
        <v>4902</v>
      </c>
      <c r="F251" s="133"/>
      <c r="G251" s="133"/>
      <c r="H251" s="138" t="s">
        <v>1939</v>
      </c>
      <c r="I251" s="138" t="s">
        <v>1512</v>
      </c>
      <c r="J251" s="133" t="s">
        <v>8299</v>
      </c>
      <c r="K251" s="135"/>
      <c r="L251" s="133"/>
      <c r="M251" s="133"/>
      <c r="N251" s="136">
        <v>2026</v>
      </c>
    </row>
    <row r="252" spans="1:14" ht="14.4">
      <c r="A252" s="133"/>
      <c r="B252" s="133"/>
      <c r="C252" s="133"/>
      <c r="D252" s="133" t="s">
        <v>8693</v>
      </c>
      <c r="E252" s="133" t="s">
        <v>4902</v>
      </c>
      <c r="F252" s="133"/>
      <c r="G252" s="133"/>
      <c r="H252" s="138" t="s">
        <v>1939</v>
      </c>
      <c r="I252" s="138" t="s">
        <v>1512</v>
      </c>
      <c r="J252" s="133" t="s">
        <v>8299</v>
      </c>
      <c r="K252" s="135"/>
      <c r="L252" s="133"/>
      <c r="M252" s="133"/>
      <c r="N252" s="136">
        <v>2026</v>
      </c>
    </row>
    <row r="253" spans="1:14" ht="14.4">
      <c r="A253" s="137">
        <v>61</v>
      </c>
      <c r="B253" s="133" t="s">
        <v>8694</v>
      </c>
      <c r="C253" s="133" t="s">
        <v>8307</v>
      </c>
      <c r="D253" s="133" t="s">
        <v>8695</v>
      </c>
      <c r="E253" s="133" t="s">
        <v>4901</v>
      </c>
      <c r="F253" s="133" t="s">
        <v>8696</v>
      </c>
      <c r="G253" s="133"/>
      <c r="H253" s="138" t="s">
        <v>1328</v>
      </c>
      <c r="I253" s="138" t="s">
        <v>1329</v>
      </c>
      <c r="J253" s="133" t="s">
        <v>7557</v>
      </c>
      <c r="K253" s="135" t="s">
        <v>8697</v>
      </c>
      <c r="L253" s="133" t="s">
        <v>8698</v>
      </c>
      <c r="M253" s="133"/>
      <c r="N253" s="136">
        <v>2026</v>
      </c>
    </row>
    <row r="254" spans="1:14" ht="14.4">
      <c r="A254" s="133"/>
      <c r="B254" s="133"/>
      <c r="C254" s="133"/>
      <c r="D254" s="133" t="s">
        <v>8699</v>
      </c>
      <c r="E254" s="133" t="s">
        <v>4902</v>
      </c>
      <c r="F254" s="133"/>
      <c r="G254" s="133"/>
      <c r="H254" s="138" t="s">
        <v>1328</v>
      </c>
      <c r="I254" s="138" t="s">
        <v>1329</v>
      </c>
      <c r="J254" s="133" t="s">
        <v>7557</v>
      </c>
      <c r="K254" s="135"/>
      <c r="L254" s="133"/>
      <c r="M254" s="133"/>
      <c r="N254" s="136">
        <v>2026</v>
      </c>
    </row>
    <row r="255" spans="1:14" ht="14.4">
      <c r="A255" s="133"/>
      <c r="B255" s="133"/>
      <c r="C255" s="133"/>
      <c r="D255" s="133" t="s">
        <v>8700</v>
      </c>
      <c r="E255" s="133" t="s">
        <v>4902</v>
      </c>
      <c r="F255" s="133"/>
      <c r="G255" s="133"/>
      <c r="H255" s="138" t="s">
        <v>1328</v>
      </c>
      <c r="I255" s="138" t="s">
        <v>1329</v>
      </c>
      <c r="J255" s="133" t="s">
        <v>7557</v>
      </c>
      <c r="K255" s="135"/>
      <c r="L255" s="133"/>
      <c r="M255" s="133"/>
      <c r="N255" s="136">
        <v>2026</v>
      </c>
    </row>
    <row r="256" spans="1:14" ht="14.4">
      <c r="A256" s="133"/>
      <c r="B256" s="133"/>
      <c r="C256" s="133"/>
      <c r="D256" s="133" t="s">
        <v>8701</v>
      </c>
      <c r="E256" s="133" t="s">
        <v>4902</v>
      </c>
      <c r="F256" s="133"/>
      <c r="G256" s="133"/>
      <c r="H256" s="138" t="s">
        <v>1328</v>
      </c>
      <c r="I256" s="138" t="s">
        <v>1329</v>
      </c>
      <c r="J256" s="133" t="s">
        <v>7557</v>
      </c>
      <c r="K256" s="135"/>
      <c r="L256" s="133"/>
      <c r="M256" s="133"/>
      <c r="N256" s="136">
        <v>2026</v>
      </c>
    </row>
    <row r="257" spans="1:14" ht="14.4">
      <c r="A257" s="137">
        <v>62</v>
      </c>
      <c r="B257" s="133" t="s">
        <v>8702</v>
      </c>
      <c r="C257" s="133" t="s">
        <v>8577</v>
      </c>
      <c r="D257" s="133" t="s">
        <v>1067</v>
      </c>
      <c r="E257" s="133" t="s">
        <v>4901</v>
      </c>
      <c r="F257" s="133" t="s">
        <v>1051</v>
      </c>
      <c r="G257" s="133"/>
      <c r="H257" s="138" t="s">
        <v>1820</v>
      </c>
      <c r="I257" s="138" t="s">
        <v>1462</v>
      </c>
      <c r="J257" s="133" t="s">
        <v>1819</v>
      </c>
      <c r="K257" s="135" t="s">
        <v>8703</v>
      </c>
      <c r="L257" s="133" t="s">
        <v>8704</v>
      </c>
      <c r="M257" s="133"/>
      <c r="N257" s="136">
        <v>2026</v>
      </c>
    </row>
    <row r="258" spans="1:14" ht="14.4">
      <c r="A258" s="133"/>
      <c r="B258" s="133"/>
      <c r="C258" s="133"/>
      <c r="D258" s="133" t="s">
        <v>1065</v>
      </c>
      <c r="E258" s="133" t="s">
        <v>4902</v>
      </c>
      <c r="F258" s="133"/>
      <c r="G258" s="133"/>
      <c r="H258" s="138" t="s">
        <v>1820</v>
      </c>
      <c r="I258" s="138" t="s">
        <v>1462</v>
      </c>
      <c r="J258" s="133" t="s">
        <v>1819</v>
      </c>
      <c r="K258" s="135"/>
      <c r="L258" s="133"/>
      <c r="M258" s="133"/>
      <c r="N258" s="136">
        <v>2026</v>
      </c>
    </row>
    <row r="259" spans="1:14" ht="14.4">
      <c r="A259" s="133"/>
      <c r="B259" s="133"/>
      <c r="C259" s="133"/>
      <c r="D259" s="133" t="s">
        <v>1092</v>
      </c>
      <c r="E259" s="133" t="s">
        <v>4902</v>
      </c>
      <c r="F259" s="133"/>
      <c r="G259" s="133"/>
      <c r="H259" s="138" t="s">
        <v>1820</v>
      </c>
      <c r="I259" s="138" t="s">
        <v>1462</v>
      </c>
      <c r="J259" s="133" t="s">
        <v>1819</v>
      </c>
      <c r="K259" s="135"/>
      <c r="L259" s="133"/>
      <c r="M259" s="133"/>
      <c r="N259" s="136">
        <v>2026</v>
      </c>
    </row>
    <row r="260" spans="1:14" ht="14.4">
      <c r="A260" s="137">
        <v>63</v>
      </c>
      <c r="B260" s="133" t="s">
        <v>8705</v>
      </c>
      <c r="C260" s="133" t="s">
        <v>8348</v>
      </c>
      <c r="D260" s="133" t="s">
        <v>2182</v>
      </c>
      <c r="E260" s="133" t="s">
        <v>4901</v>
      </c>
      <c r="F260" s="133" t="s">
        <v>824</v>
      </c>
      <c r="G260" s="133"/>
      <c r="H260" s="138" t="s">
        <v>1975</v>
      </c>
      <c r="I260" s="138" t="s">
        <v>1352</v>
      </c>
      <c r="J260" s="133" t="s">
        <v>8092</v>
      </c>
      <c r="K260" s="135" t="s">
        <v>8706</v>
      </c>
      <c r="L260" s="133" t="s">
        <v>8707</v>
      </c>
      <c r="M260" s="133"/>
      <c r="N260" s="136">
        <v>2026</v>
      </c>
    </row>
    <row r="261" spans="1:14" ht="14.4">
      <c r="A261" s="133"/>
      <c r="B261" s="133"/>
      <c r="C261" s="133"/>
      <c r="D261" s="133" t="s">
        <v>8708</v>
      </c>
      <c r="E261" s="133" t="s">
        <v>4902</v>
      </c>
      <c r="F261" s="133"/>
      <c r="G261" s="133"/>
      <c r="H261" s="138" t="s">
        <v>1975</v>
      </c>
      <c r="I261" s="138" t="s">
        <v>1352</v>
      </c>
      <c r="J261" s="133" t="s">
        <v>8092</v>
      </c>
      <c r="K261" s="135"/>
      <c r="L261" s="133"/>
      <c r="M261" s="133"/>
      <c r="N261" s="136">
        <v>2026</v>
      </c>
    </row>
    <row r="262" spans="1:14" ht="14.4">
      <c r="A262" s="133"/>
      <c r="B262" s="133"/>
      <c r="C262" s="133"/>
      <c r="D262" s="133" t="s">
        <v>8709</v>
      </c>
      <c r="E262" s="133" t="s">
        <v>4902</v>
      </c>
      <c r="F262" s="133"/>
      <c r="G262" s="133"/>
      <c r="H262" s="138" t="s">
        <v>1975</v>
      </c>
      <c r="I262" s="138" t="s">
        <v>1352</v>
      </c>
      <c r="J262" s="133" t="s">
        <v>8092</v>
      </c>
      <c r="K262" s="135"/>
      <c r="L262" s="133"/>
      <c r="M262" s="133"/>
      <c r="N262" s="136">
        <v>2026</v>
      </c>
    </row>
    <row r="263" spans="1:14" ht="14.4">
      <c r="A263" s="133"/>
      <c r="B263" s="133"/>
      <c r="C263" s="133"/>
      <c r="D263" s="133" t="s">
        <v>8710</v>
      </c>
      <c r="E263" s="133" t="s">
        <v>4902</v>
      </c>
      <c r="F263" s="133"/>
      <c r="G263" s="133"/>
      <c r="H263" s="138" t="s">
        <v>1975</v>
      </c>
      <c r="I263" s="138" t="s">
        <v>1352</v>
      </c>
      <c r="J263" s="133" t="s">
        <v>8092</v>
      </c>
      <c r="K263" s="135"/>
      <c r="L263" s="133"/>
      <c r="M263" s="133"/>
      <c r="N263" s="136">
        <v>2026</v>
      </c>
    </row>
    <row r="264" spans="1:14" ht="14.4">
      <c r="A264" s="133"/>
      <c r="B264" s="133"/>
      <c r="C264" s="133"/>
      <c r="D264" s="133" t="s">
        <v>8711</v>
      </c>
      <c r="E264" s="133" t="s">
        <v>4902</v>
      </c>
      <c r="F264" s="133"/>
      <c r="G264" s="133"/>
      <c r="H264" s="138" t="s">
        <v>1975</v>
      </c>
      <c r="I264" s="138" t="s">
        <v>1352</v>
      </c>
      <c r="J264" s="133" t="s">
        <v>8092</v>
      </c>
      <c r="K264" s="135"/>
      <c r="L264" s="133"/>
      <c r="M264" s="133"/>
      <c r="N264" s="136">
        <v>2026</v>
      </c>
    </row>
    <row r="265" spans="1:14" ht="14.4">
      <c r="A265" s="137">
        <v>64</v>
      </c>
      <c r="B265" s="133" t="s">
        <v>8712</v>
      </c>
      <c r="C265" s="133" t="s">
        <v>8331</v>
      </c>
      <c r="D265" s="133" t="s">
        <v>8713</v>
      </c>
      <c r="E265" s="133" t="s">
        <v>4902</v>
      </c>
      <c r="F265" s="133" t="s">
        <v>8714</v>
      </c>
      <c r="G265" s="133"/>
      <c r="H265" s="138" t="s">
        <v>1478</v>
      </c>
      <c r="I265" s="138" t="s">
        <v>1437</v>
      </c>
      <c r="J265" s="133" t="s">
        <v>8309</v>
      </c>
      <c r="K265" s="135" t="s">
        <v>8715</v>
      </c>
      <c r="L265" s="133" t="s">
        <v>8716</v>
      </c>
      <c r="M265" s="133"/>
      <c r="N265" s="136">
        <v>2026</v>
      </c>
    </row>
    <row r="266" spans="1:14" ht="14.4">
      <c r="A266" s="133"/>
      <c r="B266" s="133"/>
      <c r="C266" s="133"/>
      <c r="D266" s="133" t="s">
        <v>1036</v>
      </c>
      <c r="E266" s="133" t="s">
        <v>4902</v>
      </c>
      <c r="F266" s="133"/>
      <c r="G266" s="133"/>
      <c r="H266" s="138" t="s">
        <v>1478</v>
      </c>
      <c r="I266" s="138" t="s">
        <v>1437</v>
      </c>
      <c r="J266" s="133" t="s">
        <v>8309</v>
      </c>
      <c r="K266" s="135"/>
      <c r="L266" s="133"/>
      <c r="M266" s="133"/>
      <c r="N266" s="136">
        <v>2026</v>
      </c>
    </row>
    <row r="267" spans="1:14" ht="14.4">
      <c r="A267" s="137">
        <v>65</v>
      </c>
      <c r="B267" s="133" t="s">
        <v>8717</v>
      </c>
      <c r="C267" s="133" t="s">
        <v>8718</v>
      </c>
      <c r="D267" s="133" t="s">
        <v>1364</v>
      </c>
      <c r="E267" s="133" t="s">
        <v>4901</v>
      </c>
      <c r="F267" s="133" t="s">
        <v>66</v>
      </c>
      <c r="G267" s="133"/>
      <c r="H267" s="138" t="s">
        <v>1328</v>
      </c>
      <c r="I267" s="138" t="s">
        <v>1329</v>
      </c>
      <c r="J267" s="133" t="s">
        <v>7557</v>
      </c>
      <c r="K267" s="135" t="s">
        <v>8719</v>
      </c>
      <c r="L267" s="133" t="s">
        <v>8720</v>
      </c>
      <c r="M267" s="133"/>
      <c r="N267" s="136">
        <v>2026</v>
      </c>
    </row>
    <row r="268" spans="1:14" ht="14.4">
      <c r="A268" s="133"/>
      <c r="B268" s="133"/>
      <c r="C268" s="133"/>
      <c r="D268" s="133" t="s">
        <v>8721</v>
      </c>
      <c r="E268" s="133" t="s">
        <v>4902</v>
      </c>
      <c r="F268" s="133"/>
      <c r="G268" s="133"/>
      <c r="H268" s="138" t="s">
        <v>1328</v>
      </c>
      <c r="I268" s="138" t="s">
        <v>1329</v>
      </c>
      <c r="J268" s="133" t="s">
        <v>7557</v>
      </c>
      <c r="K268" s="135"/>
      <c r="L268" s="133"/>
      <c r="M268" s="133"/>
      <c r="N268" s="136">
        <v>2026</v>
      </c>
    </row>
    <row r="269" spans="1:14" ht="14.4">
      <c r="A269" s="133"/>
      <c r="B269" s="133"/>
      <c r="C269" s="133"/>
      <c r="D269" s="133" t="s">
        <v>8722</v>
      </c>
      <c r="E269" s="133" t="s">
        <v>4902</v>
      </c>
      <c r="F269" s="133"/>
      <c r="G269" s="133"/>
      <c r="H269" s="138" t="s">
        <v>1328</v>
      </c>
      <c r="I269" s="138" t="s">
        <v>1329</v>
      </c>
      <c r="J269" s="133" t="s">
        <v>7557</v>
      </c>
      <c r="K269" s="135"/>
      <c r="L269" s="133"/>
      <c r="M269" s="133"/>
      <c r="N269" s="136">
        <v>2026</v>
      </c>
    </row>
    <row r="270" spans="1:14" ht="14.4">
      <c r="A270" s="137">
        <v>66</v>
      </c>
      <c r="B270" s="133" t="s">
        <v>8723</v>
      </c>
      <c r="C270" s="133" t="s">
        <v>8227</v>
      </c>
      <c r="D270" s="133" t="s">
        <v>8601</v>
      </c>
      <c r="E270" s="133" t="s">
        <v>4901</v>
      </c>
      <c r="F270" s="133" t="s">
        <v>2448</v>
      </c>
      <c r="G270" s="133"/>
      <c r="H270" s="138" t="s">
        <v>2361</v>
      </c>
      <c r="I270" s="138" t="s">
        <v>1417</v>
      </c>
      <c r="J270" s="133" t="s">
        <v>8661</v>
      </c>
      <c r="K270" s="135" t="s">
        <v>8724</v>
      </c>
      <c r="L270" s="133" t="s">
        <v>8725</v>
      </c>
      <c r="M270" s="133" t="s">
        <v>8726</v>
      </c>
      <c r="N270" s="136">
        <v>2026</v>
      </c>
    </row>
    <row r="271" spans="1:14" ht="14.4">
      <c r="A271" s="133"/>
      <c r="B271" s="133"/>
      <c r="C271" s="133"/>
      <c r="D271" s="133" t="s">
        <v>253</v>
      </c>
      <c r="E271" s="133" t="s">
        <v>4902</v>
      </c>
      <c r="F271" s="133"/>
      <c r="G271" s="133"/>
      <c r="H271" s="138" t="s">
        <v>2361</v>
      </c>
      <c r="I271" s="138" t="s">
        <v>1417</v>
      </c>
      <c r="J271" s="133" t="s">
        <v>8661</v>
      </c>
      <c r="K271" s="135"/>
      <c r="L271" s="133"/>
      <c r="M271" s="133"/>
      <c r="N271" s="136">
        <v>2026</v>
      </c>
    </row>
    <row r="272" spans="1:14" ht="14.4">
      <c r="A272" s="133"/>
      <c r="B272" s="133"/>
      <c r="C272" s="133"/>
      <c r="D272" s="133" t="s">
        <v>8571</v>
      </c>
      <c r="E272" s="133" t="s">
        <v>4902</v>
      </c>
      <c r="F272" s="133"/>
      <c r="G272" s="133"/>
      <c r="H272" s="138" t="s">
        <v>2361</v>
      </c>
      <c r="I272" s="138" t="s">
        <v>1417</v>
      </c>
      <c r="J272" s="133" t="s">
        <v>8661</v>
      </c>
      <c r="K272" s="135"/>
      <c r="L272" s="133"/>
      <c r="M272" s="133"/>
      <c r="N272" s="136">
        <v>2026</v>
      </c>
    </row>
    <row r="273" spans="1:14" ht="14.4">
      <c r="A273" s="133"/>
      <c r="B273" s="133"/>
      <c r="C273" s="133"/>
      <c r="D273" s="133" t="s">
        <v>8727</v>
      </c>
      <c r="E273" s="133" t="s">
        <v>4902</v>
      </c>
      <c r="F273" s="133"/>
      <c r="G273" s="133"/>
      <c r="H273" s="138" t="s">
        <v>2361</v>
      </c>
      <c r="I273" s="138" t="s">
        <v>1417</v>
      </c>
      <c r="J273" s="133" t="s">
        <v>8661</v>
      </c>
      <c r="K273" s="135"/>
      <c r="L273" s="133"/>
      <c r="M273" s="133"/>
      <c r="N273" s="136">
        <v>2026</v>
      </c>
    </row>
    <row r="274" spans="1:14" ht="14.4">
      <c r="A274" s="133"/>
      <c r="B274" s="133"/>
      <c r="C274" s="133"/>
      <c r="D274" s="133" t="s">
        <v>8728</v>
      </c>
      <c r="E274" s="133" t="s">
        <v>4901</v>
      </c>
      <c r="F274" s="133"/>
      <c r="G274" s="133"/>
      <c r="H274" s="138" t="s">
        <v>2361</v>
      </c>
      <c r="I274" s="138" t="s">
        <v>1417</v>
      </c>
      <c r="J274" s="133" t="s">
        <v>8661</v>
      </c>
      <c r="K274" s="135"/>
      <c r="L274" s="133"/>
      <c r="M274" s="133"/>
      <c r="N274" s="136">
        <v>2026</v>
      </c>
    </row>
    <row r="275" spans="1:14" ht="14.4">
      <c r="A275" s="137">
        <v>67</v>
      </c>
      <c r="B275" s="133" t="s">
        <v>8729</v>
      </c>
      <c r="C275" s="133" t="s">
        <v>8331</v>
      </c>
      <c r="D275" s="133" t="s">
        <v>8730</v>
      </c>
      <c r="E275" s="133" t="s">
        <v>4902</v>
      </c>
      <c r="F275" s="133" t="s">
        <v>8731</v>
      </c>
      <c r="G275" s="133"/>
      <c r="H275" s="138" t="s">
        <v>2361</v>
      </c>
      <c r="I275" s="138" t="s">
        <v>1417</v>
      </c>
      <c r="J275" s="133" t="s">
        <v>8661</v>
      </c>
      <c r="K275" s="135" t="s">
        <v>8732</v>
      </c>
      <c r="L275" s="133" t="s">
        <v>8733</v>
      </c>
      <c r="M275" s="133"/>
      <c r="N275" s="136">
        <v>2026</v>
      </c>
    </row>
    <row r="276" spans="1:14" ht="14.4">
      <c r="A276" s="133"/>
      <c r="B276" s="133"/>
      <c r="C276" s="133"/>
      <c r="D276" s="133" t="s">
        <v>8734</v>
      </c>
      <c r="E276" s="133" t="s">
        <v>4902</v>
      </c>
      <c r="F276" s="133"/>
      <c r="G276" s="133"/>
      <c r="H276" s="138" t="s">
        <v>2361</v>
      </c>
      <c r="I276" s="138" t="s">
        <v>1417</v>
      </c>
      <c r="J276" s="133" t="s">
        <v>8661</v>
      </c>
      <c r="K276" s="135"/>
      <c r="L276" s="133"/>
      <c r="M276" s="133"/>
      <c r="N276" s="136">
        <v>2026</v>
      </c>
    </row>
    <row r="277" spans="1:14" ht="14.4">
      <c r="A277" s="137">
        <v>68</v>
      </c>
      <c r="B277" s="133" t="s">
        <v>8735</v>
      </c>
      <c r="C277" s="133" t="s">
        <v>8502</v>
      </c>
      <c r="D277" s="133" t="s">
        <v>2342</v>
      </c>
      <c r="E277" s="133" t="s">
        <v>4901</v>
      </c>
      <c r="F277" s="133" t="s">
        <v>8736</v>
      </c>
      <c r="G277" s="133"/>
      <c r="H277" s="138" t="s">
        <v>2158</v>
      </c>
      <c r="I277" s="138" t="s">
        <v>1393</v>
      </c>
      <c r="J277" s="133" t="s">
        <v>8398</v>
      </c>
      <c r="K277" s="135" t="s">
        <v>8737</v>
      </c>
      <c r="L277" s="133" t="s">
        <v>8738</v>
      </c>
      <c r="M277" s="133"/>
      <c r="N277" s="136">
        <v>2026</v>
      </c>
    </row>
    <row r="278" spans="1:14" ht="14.4">
      <c r="A278" s="133"/>
      <c r="B278" s="133"/>
      <c r="C278" s="133"/>
      <c r="D278" s="133" t="s">
        <v>2356</v>
      </c>
      <c r="E278" s="133" t="s">
        <v>4902</v>
      </c>
      <c r="F278" s="133"/>
      <c r="G278" s="133"/>
      <c r="H278" s="138" t="s">
        <v>2158</v>
      </c>
      <c r="I278" s="138" t="s">
        <v>1393</v>
      </c>
      <c r="J278" s="133" t="s">
        <v>8398</v>
      </c>
      <c r="K278" s="135"/>
      <c r="L278" s="133"/>
      <c r="M278" s="133"/>
      <c r="N278" s="136">
        <v>2026</v>
      </c>
    </row>
    <row r="279" spans="1:14" ht="14.4">
      <c r="A279" s="133"/>
      <c r="B279" s="133"/>
      <c r="C279" s="133"/>
      <c r="D279" s="133" t="s">
        <v>2311</v>
      </c>
      <c r="E279" s="133" t="s">
        <v>4902</v>
      </c>
      <c r="F279" s="133"/>
      <c r="G279" s="133"/>
      <c r="H279" s="138" t="s">
        <v>2158</v>
      </c>
      <c r="I279" s="138" t="s">
        <v>1393</v>
      </c>
      <c r="J279" s="133" t="s">
        <v>8398</v>
      </c>
      <c r="K279" s="135"/>
      <c r="L279" s="133"/>
      <c r="M279" s="133"/>
      <c r="N279" s="136">
        <v>2026</v>
      </c>
    </row>
    <row r="280" spans="1:14" ht="14.4">
      <c r="A280" s="133"/>
      <c r="B280" s="133"/>
      <c r="C280" s="133"/>
      <c r="D280" s="133" t="s">
        <v>2346</v>
      </c>
      <c r="E280" s="133" t="s">
        <v>4902</v>
      </c>
      <c r="F280" s="133" t="s">
        <v>8739</v>
      </c>
      <c r="G280" s="133"/>
      <c r="H280" s="138" t="s">
        <v>2158</v>
      </c>
      <c r="I280" s="138" t="s">
        <v>1393</v>
      </c>
      <c r="J280" s="133" t="s">
        <v>8398</v>
      </c>
      <c r="K280" s="135"/>
      <c r="L280" s="133"/>
      <c r="M280" s="133"/>
      <c r="N280" s="136">
        <v>2026</v>
      </c>
    </row>
    <row r="281" spans="1:14" ht="14.4">
      <c r="A281" s="137">
        <v>69</v>
      </c>
      <c r="B281" s="133" t="s">
        <v>8740</v>
      </c>
      <c r="C281" s="133" t="s">
        <v>8307</v>
      </c>
      <c r="D281" s="133" t="s">
        <v>8741</v>
      </c>
      <c r="E281" s="133" t="s">
        <v>4901</v>
      </c>
      <c r="F281" s="133" t="s">
        <v>1385</v>
      </c>
      <c r="G281" s="133"/>
      <c r="H281" s="138" t="s">
        <v>1328</v>
      </c>
      <c r="I281" s="138" t="s">
        <v>1329</v>
      </c>
      <c r="J281" s="133" t="s">
        <v>7557</v>
      </c>
      <c r="K281" s="135" t="s">
        <v>8742</v>
      </c>
      <c r="L281" s="133" t="s">
        <v>8743</v>
      </c>
      <c r="M281" s="133"/>
      <c r="N281" s="136">
        <v>2026</v>
      </c>
    </row>
    <row r="282" spans="1:14" ht="14.4">
      <c r="A282" s="133"/>
      <c r="B282" s="133"/>
      <c r="C282" s="133"/>
      <c r="D282" s="133" t="s">
        <v>8552</v>
      </c>
      <c r="E282" s="133" t="s">
        <v>4902</v>
      </c>
      <c r="F282" s="133"/>
      <c r="G282" s="133"/>
      <c r="H282" s="138" t="s">
        <v>1328</v>
      </c>
      <c r="I282" s="138" t="s">
        <v>1329</v>
      </c>
      <c r="J282" s="133" t="s">
        <v>7557</v>
      </c>
      <c r="K282" s="135"/>
      <c r="L282" s="133"/>
      <c r="M282" s="133"/>
      <c r="N282" s="136">
        <v>2026</v>
      </c>
    </row>
    <row r="283" spans="1:14" ht="14.4">
      <c r="A283" s="133"/>
      <c r="B283" s="133"/>
      <c r="C283" s="133"/>
      <c r="D283" s="133" t="s">
        <v>8744</v>
      </c>
      <c r="E283" s="133" t="s">
        <v>4902</v>
      </c>
      <c r="F283" s="133"/>
      <c r="G283" s="133"/>
      <c r="H283" s="138" t="s">
        <v>1328</v>
      </c>
      <c r="I283" s="138" t="s">
        <v>1329</v>
      </c>
      <c r="J283" s="133" t="s">
        <v>7557</v>
      </c>
      <c r="K283" s="135"/>
      <c r="L283" s="133"/>
      <c r="M283" s="133"/>
      <c r="N283" s="136">
        <v>2026</v>
      </c>
    </row>
    <row r="284" spans="1:14" ht="14.4">
      <c r="A284" s="133"/>
      <c r="B284" s="133"/>
      <c r="C284" s="133"/>
      <c r="D284" s="133" t="s">
        <v>2584</v>
      </c>
      <c r="E284" s="133" t="s">
        <v>4902</v>
      </c>
      <c r="F284" s="133"/>
      <c r="G284" s="133"/>
      <c r="H284" s="138" t="s">
        <v>1328</v>
      </c>
      <c r="I284" s="138" t="s">
        <v>1329</v>
      </c>
      <c r="J284" s="133" t="s">
        <v>7557</v>
      </c>
      <c r="K284" s="135"/>
      <c r="L284" s="133"/>
      <c r="M284" s="133"/>
      <c r="N284" s="136">
        <v>2026</v>
      </c>
    </row>
    <row r="285" spans="1:14" ht="14.4">
      <c r="A285" s="137">
        <v>70</v>
      </c>
      <c r="B285" s="133" t="s">
        <v>8745</v>
      </c>
      <c r="C285" s="133" t="s">
        <v>8746</v>
      </c>
      <c r="D285" s="133" t="s">
        <v>241</v>
      </c>
      <c r="E285" s="133" t="s">
        <v>4901</v>
      </c>
      <c r="F285" s="133" t="s">
        <v>2172</v>
      </c>
      <c r="G285" s="133"/>
      <c r="H285" s="138" t="s">
        <v>2158</v>
      </c>
      <c r="I285" s="138" t="s">
        <v>1393</v>
      </c>
      <c r="J285" s="133" t="s">
        <v>8398</v>
      </c>
      <c r="K285" s="135" t="s">
        <v>8747</v>
      </c>
      <c r="L285" s="133" t="s">
        <v>8748</v>
      </c>
      <c r="M285" s="133"/>
      <c r="N285" s="136">
        <v>2026</v>
      </c>
    </row>
    <row r="286" spans="1:14" ht="14.4">
      <c r="A286" s="133"/>
      <c r="B286" s="133"/>
      <c r="C286" s="133"/>
      <c r="D286" s="133" t="s">
        <v>2279</v>
      </c>
      <c r="E286" s="133" t="s">
        <v>4902</v>
      </c>
      <c r="F286" s="133"/>
      <c r="G286" s="133"/>
      <c r="H286" s="138" t="s">
        <v>2158</v>
      </c>
      <c r="I286" s="138" t="s">
        <v>1393</v>
      </c>
      <c r="J286" s="133" t="s">
        <v>8398</v>
      </c>
      <c r="K286" s="135"/>
      <c r="L286" s="133"/>
      <c r="M286" s="133"/>
      <c r="N286" s="136">
        <v>2026</v>
      </c>
    </row>
    <row r="287" spans="1:14" ht="14.4">
      <c r="A287" s="133"/>
      <c r="B287" s="133"/>
      <c r="C287" s="133"/>
      <c r="D287" s="133" t="s">
        <v>2262</v>
      </c>
      <c r="E287" s="133" t="s">
        <v>4902</v>
      </c>
      <c r="F287" s="133"/>
      <c r="G287" s="133"/>
      <c r="H287" s="138" t="s">
        <v>2158</v>
      </c>
      <c r="I287" s="138" t="s">
        <v>1393</v>
      </c>
      <c r="J287" s="133" t="s">
        <v>8398</v>
      </c>
      <c r="K287" s="135"/>
      <c r="L287" s="133"/>
      <c r="M287" s="133"/>
      <c r="N287" s="136">
        <v>2026</v>
      </c>
    </row>
    <row r="288" spans="1:14" ht="14.4">
      <c r="A288" s="133"/>
      <c r="B288" s="133"/>
      <c r="C288" s="133"/>
      <c r="D288" s="133" t="s">
        <v>8749</v>
      </c>
      <c r="E288" s="133" t="s">
        <v>4902</v>
      </c>
      <c r="F288" s="133" t="s">
        <v>2172</v>
      </c>
      <c r="G288" s="133"/>
      <c r="H288" s="138" t="s">
        <v>2158</v>
      </c>
      <c r="I288" s="138" t="s">
        <v>1393</v>
      </c>
      <c r="J288" s="133" t="s">
        <v>8398</v>
      </c>
      <c r="K288" s="135"/>
      <c r="L288" s="133"/>
      <c r="M288" s="133"/>
      <c r="N288" s="136">
        <v>2026</v>
      </c>
    </row>
    <row r="289" spans="1:14" ht="14.4">
      <c r="A289" s="133"/>
      <c r="B289" s="133"/>
      <c r="C289" s="133"/>
      <c r="D289" s="133" t="s">
        <v>2269</v>
      </c>
      <c r="E289" s="133" t="s">
        <v>4902</v>
      </c>
      <c r="F289" s="133"/>
      <c r="G289" s="133"/>
      <c r="H289" s="138" t="s">
        <v>2158</v>
      </c>
      <c r="I289" s="138" t="s">
        <v>1393</v>
      </c>
      <c r="J289" s="133" t="s">
        <v>8398</v>
      </c>
      <c r="K289" s="135"/>
      <c r="L289" s="133"/>
      <c r="M289" s="133"/>
      <c r="N289" s="136">
        <v>2026</v>
      </c>
    </row>
    <row r="290" spans="1:14" ht="14.4">
      <c r="A290" s="137">
        <v>71</v>
      </c>
      <c r="B290" s="133" t="s">
        <v>8750</v>
      </c>
      <c r="C290" s="133" t="s">
        <v>8447</v>
      </c>
      <c r="D290" s="133" t="s">
        <v>2262</v>
      </c>
      <c r="E290" s="133" t="s">
        <v>4901</v>
      </c>
      <c r="F290" s="133" t="s">
        <v>785</v>
      </c>
      <c r="G290" s="133"/>
      <c r="H290" s="138" t="s">
        <v>2158</v>
      </c>
      <c r="I290" s="138" t="s">
        <v>1393</v>
      </c>
      <c r="J290" s="133" t="s">
        <v>8398</v>
      </c>
      <c r="K290" s="135" t="s">
        <v>8751</v>
      </c>
      <c r="L290" s="133" t="s">
        <v>8752</v>
      </c>
      <c r="M290" s="133"/>
      <c r="N290" s="136">
        <v>2026</v>
      </c>
    </row>
    <row r="291" spans="1:14" ht="14.4">
      <c r="A291" s="133"/>
      <c r="B291" s="133"/>
      <c r="C291" s="133"/>
      <c r="D291" s="133" t="s">
        <v>2274</v>
      </c>
      <c r="E291" s="133" t="s">
        <v>4902</v>
      </c>
      <c r="F291" s="133"/>
      <c r="G291" s="133"/>
      <c r="H291" s="138" t="s">
        <v>2158</v>
      </c>
      <c r="I291" s="138" t="s">
        <v>1393</v>
      </c>
      <c r="J291" s="133" t="s">
        <v>8398</v>
      </c>
      <c r="K291" s="135"/>
      <c r="L291" s="133"/>
      <c r="M291" s="133"/>
      <c r="N291" s="136">
        <v>2026</v>
      </c>
    </row>
    <row r="292" spans="1:14" ht="14.4">
      <c r="A292" s="133"/>
      <c r="B292" s="133"/>
      <c r="C292" s="133"/>
      <c r="D292" s="133" t="s">
        <v>8749</v>
      </c>
      <c r="E292" s="133" t="s">
        <v>4902</v>
      </c>
      <c r="F292" s="133"/>
      <c r="G292" s="133"/>
      <c r="H292" s="138" t="s">
        <v>2158</v>
      </c>
      <c r="I292" s="138" t="s">
        <v>1393</v>
      </c>
      <c r="J292" s="133" t="s">
        <v>8398</v>
      </c>
      <c r="K292" s="135"/>
      <c r="L292" s="133"/>
      <c r="M292" s="133"/>
      <c r="N292" s="136">
        <v>2026</v>
      </c>
    </row>
    <row r="293" spans="1:14" ht="14.4">
      <c r="A293" s="137">
        <v>72</v>
      </c>
      <c r="B293" s="133" t="s">
        <v>8753</v>
      </c>
      <c r="C293" s="133" t="s">
        <v>8307</v>
      </c>
      <c r="D293" s="133" t="s">
        <v>8568</v>
      </c>
      <c r="E293" s="133" t="s">
        <v>4901</v>
      </c>
      <c r="F293" s="133" t="s">
        <v>8754</v>
      </c>
      <c r="G293" s="133"/>
      <c r="H293" s="138" t="s">
        <v>1328</v>
      </c>
      <c r="I293" s="138" t="s">
        <v>1329</v>
      </c>
      <c r="J293" s="133" t="s">
        <v>7557</v>
      </c>
      <c r="K293" s="135" t="s">
        <v>8755</v>
      </c>
      <c r="L293" s="133" t="s">
        <v>8756</v>
      </c>
      <c r="M293" s="133"/>
      <c r="N293" s="136">
        <v>2026</v>
      </c>
    </row>
    <row r="294" spans="1:14" ht="14.4">
      <c r="A294" s="133"/>
      <c r="B294" s="133"/>
      <c r="C294" s="133"/>
      <c r="D294" s="133" t="s">
        <v>8757</v>
      </c>
      <c r="E294" s="133" t="s">
        <v>4902</v>
      </c>
      <c r="F294" s="133"/>
      <c r="G294" s="133"/>
      <c r="H294" s="138" t="s">
        <v>1328</v>
      </c>
      <c r="I294" s="138" t="s">
        <v>1329</v>
      </c>
      <c r="J294" s="133" t="s">
        <v>7557</v>
      </c>
      <c r="K294" s="135"/>
      <c r="L294" s="133"/>
      <c r="M294" s="133"/>
      <c r="N294" s="136">
        <v>2026</v>
      </c>
    </row>
    <row r="295" spans="1:14" ht="14.4">
      <c r="A295" s="133"/>
      <c r="B295" s="133"/>
      <c r="C295" s="133"/>
      <c r="D295" s="133" t="s">
        <v>8758</v>
      </c>
      <c r="E295" s="133" t="s">
        <v>4902</v>
      </c>
      <c r="F295" s="133"/>
      <c r="G295" s="133"/>
      <c r="H295" s="138" t="s">
        <v>1328</v>
      </c>
      <c r="I295" s="138" t="s">
        <v>1329</v>
      </c>
      <c r="J295" s="133" t="s">
        <v>7557</v>
      </c>
      <c r="K295" s="135"/>
      <c r="L295" s="133"/>
      <c r="M295" s="133"/>
      <c r="N295" s="136">
        <v>2026</v>
      </c>
    </row>
    <row r="296" spans="1:14" ht="14.4">
      <c r="A296" s="133"/>
      <c r="B296" s="133"/>
      <c r="C296" s="133"/>
      <c r="D296" s="133" t="s">
        <v>8759</v>
      </c>
      <c r="E296" s="133" t="s">
        <v>4902</v>
      </c>
      <c r="F296" s="133"/>
      <c r="G296" s="133"/>
      <c r="H296" s="138" t="s">
        <v>1328</v>
      </c>
      <c r="I296" s="138" t="s">
        <v>1329</v>
      </c>
      <c r="J296" s="133" t="s">
        <v>7557</v>
      </c>
      <c r="K296" s="135"/>
      <c r="L296" s="133"/>
      <c r="M296" s="133"/>
      <c r="N296" s="136">
        <v>2026</v>
      </c>
    </row>
    <row r="297" spans="1:14" ht="14.4">
      <c r="A297" s="133"/>
      <c r="B297" s="133"/>
      <c r="C297" s="133"/>
      <c r="D297" s="133" t="s">
        <v>8760</v>
      </c>
      <c r="E297" s="133" t="s">
        <v>4902</v>
      </c>
      <c r="F297" s="133"/>
      <c r="G297" s="133"/>
      <c r="H297" s="138" t="s">
        <v>1328</v>
      </c>
      <c r="I297" s="138" t="s">
        <v>1329</v>
      </c>
      <c r="J297" s="133" t="s">
        <v>7557</v>
      </c>
      <c r="K297" s="135"/>
      <c r="L297" s="133"/>
      <c r="M297" s="133"/>
      <c r="N297" s="136">
        <v>2026</v>
      </c>
    </row>
    <row r="298" spans="1:14" ht="14.4">
      <c r="A298" s="137">
        <v>73</v>
      </c>
      <c r="B298" s="133" t="s">
        <v>8761</v>
      </c>
      <c r="C298" s="133" t="s">
        <v>8363</v>
      </c>
      <c r="D298" s="133" t="s">
        <v>510</v>
      </c>
      <c r="E298" s="133" t="s">
        <v>4901</v>
      </c>
      <c r="F298" s="133" t="s">
        <v>2128</v>
      </c>
      <c r="G298" s="133"/>
      <c r="H298" s="138" t="s">
        <v>1939</v>
      </c>
      <c r="I298" s="138" t="s">
        <v>1512</v>
      </c>
      <c r="J298" s="133" t="s">
        <v>8299</v>
      </c>
      <c r="K298" s="135" t="s">
        <v>8762</v>
      </c>
      <c r="L298" s="133" t="s">
        <v>8763</v>
      </c>
      <c r="M298" s="133" t="s">
        <v>8334</v>
      </c>
      <c r="N298" s="136">
        <v>2026</v>
      </c>
    </row>
    <row r="299" spans="1:14" ht="14.4">
      <c r="A299" s="133"/>
      <c r="B299" s="133"/>
      <c r="C299" s="133"/>
      <c r="D299" s="133" t="s">
        <v>8764</v>
      </c>
      <c r="E299" s="133" t="s">
        <v>4902</v>
      </c>
      <c r="F299" s="133"/>
      <c r="G299" s="133"/>
      <c r="H299" s="138" t="s">
        <v>1939</v>
      </c>
      <c r="I299" s="138" t="s">
        <v>1512</v>
      </c>
      <c r="J299" s="133" t="s">
        <v>8299</v>
      </c>
      <c r="K299" s="135"/>
      <c r="L299" s="133"/>
      <c r="M299" s="133"/>
      <c r="N299" s="136">
        <v>2026</v>
      </c>
    </row>
    <row r="300" spans="1:14" ht="14.4">
      <c r="A300" s="133"/>
      <c r="B300" s="133"/>
      <c r="C300" s="133"/>
      <c r="D300" s="133" t="s">
        <v>8765</v>
      </c>
      <c r="E300" s="133" t="s">
        <v>4902</v>
      </c>
      <c r="F300" s="133"/>
      <c r="G300" s="133"/>
      <c r="H300" s="138" t="s">
        <v>1939</v>
      </c>
      <c r="I300" s="138" t="s">
        <v>1512</v>
      </c>
      <c r="J300" s="133" t="s">
        <v>8299</v>
      </c>
      <c r="K300" s="135"/>
      <c r="L300" s="133"/>
      <c r="M300" s="133"/>
      <c r="N300" s="136">
        <v>2026</v>
      </c>
    </row>
    <row r="301" spans="1:14" ht="14.4">
      <c r="A301" s="133"/>
      <c r="B301" s="133"/>
      <c r="C301" s="133"/>
      <c r="D301" s="133" t="s">
        <v>8766</v>
      </c>
      <c r="E301" s="133" t="s">
        <v>4902</v>
      </c>
      <c r="F301" s="133"/>
      <c r="G301" s="133"/>
      <c r="H301" s="138" t="s">
        <v>1939</v>
      </c>
      <c r="I301" s="138" t="s">
        <v>1512</v>
      </c>
      <c r="J301" s="133" t="s">
        <v>8299</v>
      </c>
      <c r="K301" s="135"/>
      <c r="L301" s="133"/>
      <c r="M301" s="133"/>
      <c r="N301" s="136">
        <v>2026</v>
      </c>
    </row>
    <row r="302" spans="1:14" ht="14.4">
      <c r="A302" s="137">
        <v>74</v>
      </c>
      <c r="B302" s="133" t="s">
        <v>8767</v>
      </c>
      <c r="C302" s="133" t="s">
        <v>8363</v>
      </c>
      <c r="D302" s="133" t="s">
        <v>8768</v>
      </c>
      <c r="E302" s="133" t="s">
        <v>4901</v>
      </c>
      <c r="F302" s="133" t="s">
        <v>2035</v>
      </c>
      <c r="G302" s="133"/>
      <c r="H302" s="138" t="s">
        <v>1939</v>
      </c>
      <c r="I302" s="138" t="s">
        <v>1512</v>
      </c>
      <c r="J302" s="133" t="s">
        <v>8299</v>
      </c>
      <c r="K302" s="135" t="s">
        <v>8769</v>
      </c>
      <c r="L302" s="133" t="s">
        <v>8770</v>
      </c>
      <c r="M302" s="133" t="s">
        <v>8771</v>
      </c>
      <c r="N302" s="136">
        <v>2026</v>
      </c>
    </row>
    <row r="303" spans="1:14" ht="14.4">
      <c r="A303" s="133"/>
      <c r="B303" s="133"/>
      <c r="C303" s="133"/>
      <c r="D303" s="133" t="s">
        <v>8772</v>
      </c>
      <c r="E303" s="133" t="s">
        <v>4902</v>
      </c>
      <c r="F303" s="133"/>
      <c r="G303" s="133"/>
      <c r="H303" s="138" t="s">
        <v>1939</v>
      </c>
      <c r="I303" s="138" t="s">
        <v>1512</v>
      </c>
      <c r="J303" s="133" t="s">
        <v>8299</v>
      </c>
      <c r="K303" s="135"/>
      <c r="L303" s="133"/>
      <c r="M303" s="133"/>
      <c r="N303" s="136">
        <v>2026</v>
      </c>
    </row>
    <row r="304" spans="1:14" ht="14.4">
      <c r="A304" s="133"/>
      <c r="B304" s="133"/>
      <c r="C304" s="133"/>
      <c r="D304" s="133" t="s">
        <v>2245</v>
      </c>
      <c r="E304" s="133" t="s">
        <v>4902</v>
      </c>
      <c r="F304" s="133"/>
      <c r="G304" s="133"/>
      <c r="H304" s="138" t="s">
        <v>1939</v>
      </c>
      <c r="I304" s="138" t="s">
        <v>1512</v>
      </c>
      <c r="J304" s="133" t="s">
        <v>8299</v>
      </c>
      <c r="K304" s="135"/>
      <c r="L304" s="133"/>
      <c r="M304" s="133"/>
      <c r="N304" s="136">
        <v>2026</v>
      </c>
    </row>
    <row r="305" spans="1:14" ht="14.4">
      <c r="A305" s="133"/>
      <c r="B305" s="133"/>
      <c r="C305" s="133"/>
      <c r="D305" s="133" t="s">
        <v>8773</v>
      </c>
      <c r="E305" s="133" t="s">
        <v>4902</v>
      </c>
      <c r="F305" s="133"/>
      <c r="G305" s="133"/>
      <c r="H305" s="138" t="s">
        <v>1939</v>
      </c>
      <c r="I305" s="138" t="s">
        <v>1512</v>
      </c>
      <c r="J305" s="133" t="s">
        <v>8299</v>
      </c>
      <c r="K305" s="135"/>
      <c r="L305" s="133"/>
      <c r="M305" s="133"/>
      <c r="N305" s="136">
        <v>2026</v>
      </c>
    </row>
    <row r="306" spans="1:14" ht="14.4">
      <c r="A306" s="137">
        <v>75</v>
      </c>
      <c r="B306" s="133" t="s">
        <v>8774</v>
      </c>
      <c r="C306" s="133" t="s">
        <v>6933</v>
      </c>
      <c r="D306" s="133" t="s">
        <v>373</v>
      </c>
      <c r="E306" s="133" t="s">
        <v>4901</v>
      </c>
      <c r="F306" s="133" t="s">
        <v>8316</v>
      </c>
      <c r="G306" s="133"/>
      <c r="H306" s="138" t="s">
        <v>1939</v>
      </c>
      <c r="I306" s="138" t="s">
        <v>1512</v>
      </c>
      <c r="J306" s="133" t="s">
        <v>8299</v>
      </c>
      <c r="K306" s="135" t="s">
        <v>8775</v>
      </c>
      <c r="L306" s="133" t="s">
        <v>8776</v>
      </c>
      <c r="M306" s="133" t="s">
        <v>8334</v>
      </c>
      <c r="N306" s="136">
        <v>2026</v>
      </c>
    </row>
    <row r="307" spans="1:14" ht="14.4">
      <c r="A307" s="133"/>
      <c r="B307" s="133"/>
      <c r="C307" s="133"/>
      <c r="D307" s="133" t="s">
        <v>8777</v>
      </c>
      <c r="E307" s="133" t="s">
        <v>4902</v>
      </c>
      <c r="F307" s="133"/>
      <c r="G307" s="133"/>
      <c r="H307" s="138" t="s">
        <v>1939</v>
      </c>
      <c r="I307" s="138" t="s">
        <v>1512</v>
      </c>
      <c r="J307" s="133" t="s">
        <v>8299</v>
      </c>
      <c r="K307" s="135"/>
      <c r="L307" s="133"/>
      <c r="M307" s="133"/>
      <c r="N307" s="136">
        <v>2026</v>
      </c>
    </row>
    <row r="308" spans="1:14" ht="14.4">
      <c r="A308" s="133"/>
      <c r="B308" s="133"/>
      <c r="C308" s="133"/>
      <c r="D308" s="133" t="s">
        <v>414</v>
      </c>
      <c r="E308" s="133" t="s">
        <v>4902</v>
      </c>
      <c r="F308" s="133"/>
      <c r="G308" s="133"/>
      <c r="H308" s="138" t="s">
        <v>1939</v>
      </c>
      <c r="I308" s="138" t="s">
        <v>1512</v>
      </c>
      <c r="J308" s="133" t="s">
        <v>8299</v>
      </c>
      <c r="K308" s="135"/>
      <c r="L308" s="133"/>
      <c r="M308" s="133"/>
      <c r="N308" s="136">
        <v>2026</v>
      </c>
    </row>
    <row r="309" spans="1:14" ht="14.4">
      <c r="A309" s="133"/>
      <c r="B309" s="133"/>
      <c r="C309" s="133"/>
      <c r="D309" s="133" t="s">
        <v>8778</v>
      </c>
      <c r="E309" s="133" t="s">
        <v>4902</v>
      </c>
      <c r="F309" s="133"/>
      <c r="G309" s="133"/>
      <c r="H309" s="138" t="s">
        <v>1939</v>
      </c>
      <c r="I309" s="138" t="s">
        <v>1512</v>
      </c>
      <c r="J309" s="133" t="s">
        <v>8299</v>
      </c>
      <c r="K309" s="135"/>
      <c r="L309" s="133"/>
      <c r="M309" s="133"/>
      <c r="N309" s="136">
        <v>2026</v>
      </c>
    </row>
    <row r="310" spans="1:14" ht="14.4">
      <c r="A310" s="133"/>
      <c r="B310" s="133"/>
      <c r="C310" s="133"/>
      <c r="D310" s="133" t="s">
        <v>8779</v>
      </c>
      <c r="E310" s="133" t="s">
        <v>4902</v>
      </c>
      <c r="F310" s="133"/>
      <c r="G310" s="133"/>
      <c r="H310" s="138" t="s">
        <v>1939</v>
      </c>
      <c r="I310" s="138" t="s">
        <v>1512</v>
      </c>
      <c r="J310" s="133" t="s">
        <v>8299</v>
      </c>
      <c r="K310" s="135"/>
      <c r="L310" s="133"/>
      <c r="M310" s="133"/>
      <c r="N310" s="136">
        <v>2026</v>
      </c>
    </row>
    <row r="311" spans="1:14" ht="14.4">
      <c r="A311" s="137">
        <v>76</v>
      </c>
      <c r="B311" s="133" t="s">
        <v>8780</v>
      </c>
      <c r="C311" s="133" t="s">
        <v>8781</v>
      </c>
      <c r="D311" s="133" t="s">
        <v>205</v>
      </c>
      <c r="E311" s="133" t="s">
        <v>4901</v>
      </c>
      <c r="F311" s="133" t="s">
        <v>121</v>
      </c>
      <c r="G311" s="133" t="s">
        <v>8782</v>
      </c>
      <c r="H311" s="138" t="s">
        <v>1975</v>
      </c>
      <c r="I311" s="138" t="s">
        <v>1352</v>
      </c>
      <c r="J311" s="133" t="s">
        <v>8092</v>
      </c>
      <c r="K311" s="135" t="s">
        <v>8783</v>
      </c>
      <c r="L311" s="133" t="s">
        <v>8784</v>
      </c>
      <c r="M311" s="133" t="s">
        <v>8334</v>
      </c>
      <c r="N311" s="136">
        <v>2026</v>
      </c>
    </row>
    <row r="312" spans="1:14" ht="14.4">
      <c r="A312" s="133"/>
      <c r="B312" s="133"/>
      <c r="C312" s="133"/>
      <c r="D312" s="133" t="s">
        <v>208</v>
      </c>
      <c r="E312" s="133" t="s">
        <v>4902</v>
      </c>
      <c r="F312" s="133"/>
      <c r="G312" s="133"/>
      <c r="H312" s="138" t="s">
        <v>1975</v>
      </c>
      <c r="I312" s="138" t="s">
        <v>1353</v>
      </c>
      <c r="J312" s="133" t="s">
        <v>8092</v>
      </c>
      <c r="K312" s="135"/>
      <c r="L312" s="133"/>
      <c r="M312" s="133"/>
      <c r="N312" s="136">
        <v>2026</v>
      </c>
    </row>
    <row r="313" spans="1:14" ht="14.4">
      <c r="A313" s="133"/>
      <c r="B313" s="133"/>
      <c r="C313" s="133"/>
      <c r="D313" s="133" t="s">
        <v>214</v>
      </c>
      <c r="E313" s="133" t="s">
        <v>4902</v>
      </c>
      <c r="F313" s="133"/>
      <c r="G313" s="133"/>
      <c r="H313" s="138" t="s">
        <v>1975</v>
      </c>
      <c r="I313" s="138" t="s">
        <v>1355</v>
      </c>
      <c r="J313" s="133" t="s">
        <v>8092</v>
      </c>
      <c r="K313" s="135"/>
      <c r="L313" s="133"/>
      <c r="M313" s="133"/>
      <c r="N313" s="136">
        <v>2026</v>
      </c>
    </row>
    <row r="314" spans="1:14" ht="14.4">
      <c r="A314" s="133"/>
      <c r="B314" s="133"/>
      <c r="C314" s="133"/>
      <c r="D314" s="133" t="s">
        <v>209</v>
      </c>
      <c r="E314" s="133" t="s">
        <v>4902</v>
      </c>
      <c r="F314" s="133"/>
      <c r="G314" s="133"/>
      <c r="H314" s="138" t="s">
        <v>1975</v>
      </c>
      <c r="I314" s="138" t="s">
        <v>1356</v>
      </c>
      <c r="J314" s="133" t="s">
        <v>8092</v>
      </c>
      <c r="K314" s="135"/>
      <c r="L314" s="133"/>
      <c r="M314" s="133"/>
      <c r="N314" s="136">
        <v>2026</v>
      </c>
    </row>
    <row r="315" spans="1:14" ht="14.4">
      <c r="A315" s="133"/>
      <c r="B315" s="133"/>
      <c r="C315" s="133"/>
      <c r="D315" s="133" t="s">
        <v>176</v>
      </c>
      <c r="E315" s="133" t="s">
        <v>4902</v>
      </c>
      <c r="F315" s="133"/>
      <c r="G315" s="133"/>
      <c r="H315" s="138" t="s">
        <v>1975</v>
      </c>
      <c r="I315" s="138" t="s">
        <v>1358</v>
      </c>
      <c r="J315" s="133" t="s">
        <v>8092</v>
      </c>
      <c r="K315" s="135"/>
      <c r="L315" s="133"/>
      <c r="M315" s="133"/>
      <c r="N315" s="136">
        <v>2026</v>
      </c>
    </row>
    <row r="316" spans="1:14" ht="14.4">
      <c r="A316" s="137">
        <v>77</v>
      </c>
      <c r="B316" s="133" t="s">
        <v>8785</v>
      </c>
      <c r="C316" s="133" t="s">
        <v>8785</v>
      </c>
      <c r="D316" s="133" t="s">
        <v>8786</v>
      </c>
      <c r="E316" s="133"/>
      <c r="F316" s="133" t="s">
        <v>2001</v>
      </c>
      <c r="G316" s="133"/>
      <c r="H316" s="138" t="s">
        <v>1939</v>
      </c>
      <c r="I316" s="138" t="s">
        <v>1512</v>
      </c>
      <c r="J316" s="133" t="s">
        <v>8299</v>
      </c>
      <c r="K316" s="135" t="s">
        <v>8787</v>
      </c>
      <c r="L316" s="133" t="s">
        <v>8788</v>
      </c>
      <c r="M316" s="133" t="s">
        <v>8334</v>
      </c>
      <c r="N316" s="136">
        <v>2026</v>
      </c>
    </row>
    <row r="317" spans="1:14" ht="14.4">
      <c r="A317" s="137">
        <v>78</v>
      </c>
      <c r="B317" s="133" t="s">
        <v>8789</v>
      </c>
      <c r="C317" s="133" t="s">
        <v>8348</v>
      </c>
      <c r="D317" s="133" t="s">
        <v>8452</v>
      </c>
      <c r="E317" s="133" t="s">
        <v>4901</v>
      </c>
      <c r="F317" s="133" t="s">
        <v>785</v>
      </c>
      <c r="G317" s="133" t="s">
        <v>8790</v>
      </c>
      <c r="H317" s="138" t="s">
        <v>2158</v>
      </c>
      <c r="I317" s="138" t="s">
        <v>1393</v>
      </c>
      <c r="J317" s="133" t="s">
        <v>8398</v>
      </c>
      <c r="K317" s="135"/>
      <c r="L317" s="133" t="s">
        <v>8791</v>
      </c>
      <c r="M317" s="133"/>
      <c r="N317" s="136">
        <v>2026</v>
      </c>
    </row>
    <row r="318" spans="1:14" ht="14.4">
      <c r="A318" s="133"/>
      <c r="B318" s="133"/>
      <c r="C318" s="133"/>
      <c r="D318" s="133" t="s">
        <v>8455</v>
      </c>
      <c r="E318" s="133"/>
      <c r="F318" s="133"/>
      <c r="G318" s="133"/>
      <c r="H318" s="138" t="s">
        <v>2158</v>
      </c>
      <c r="I318" s="138" t="s">
        <v>1393</v>
      </c>
      <c r="J318" s="133" t="s">
        <v>8398</v>
      </c>
      <c r="K318" s="135"/>
      <c r="L318" s="133"/>
      <c r="M318" s="133"/>
      <c r="N318" s="136">
        <v>2026</v>
      </c>
    </row>
    <row r="319" spans="1:14" ht="14.4">
      <c r="A319" s="133"/>
      <c r="B319" s="133"/>
      <c r="C319" s="133"/>
      <c r="D319" s="133" t="s">
        <v>8456</v>
      </c>
      <c r="E319" s="133"/>
      <c r="F319" s="133"/>
      <c r="G319" s="133"/>
      <c r="H319" s="138" t="s">
        <v>2158</v>
      </c>
      <c r="I319" s="138" t="s">
        <v>1393</v>
      </c>
      <c r="J319" s="133" t="s">
        <v>8398</v>
      </c>
      <c r="K319" s="135"/>
      <c r="L319" s="133"/>
      <c r="M319" s="133"/>
      <c r="N319" s="136">
        <v>2026</v>
      </c>
    </row>
    <row r="320" spans="1:14" ht="14.4">
      <c r="A320" s="133"/>
      <c r="B320" s="133"/>
      <c r="C320" s="133"/>
      <c r="D320" s="133" t="s">
        <v>8457</v>
      </c>
      <c r="E320" s="133"/>
      <c r="F320" s="133"/>
      <c r="G320" s="133"/>
      <c r="H320" s="138" t="s">
        <v>2158</v>
      </c>
      <c r="I320" s="138" t="s">
        <v>1393</v>
      </c>
      <c r="J320" s="133" t="s">
        <v>8398</v>
      </c>
      <c r="K320" s="135"/>
      <c r="L320" s="133"/>
      <c r="M320" s="133"/>
      <c r="N320" s="136">
        <v>2026</v>
      </c>
    </row>
    <row r="321" spans="1:14" ht="14.4">
      <c r="A321" s="133"/>
      <c r="B321" s="133"/>
      <c r="C321" s="133"/>
      <c r="D321" s="133" t="s">
        <v>8458</v>
      </c>
      <c r="E321" s="133"/>
      <c r="F321" s="133"/>
      <c r="G321" s="133"/>
      <c r="H321" s="138" t="s">
        <v>2158</v>
      </c>
      <c r="I321" s="138" t="s">
        <v>1393</v>
      </c>
      <c r="J321" s="133" t="s">
        <v>8398</v>
      </c>
      <c r="K321" s="135"/>
      <c r="L321" s="133"/>
      <c r="M321" s="133"/>
      <c r="N321" s="136">
        <v>2026</v>
      </c>
    </row>
    <row r="322" spans="1:14" ht="13.2">
      <c r="K322" s="28"/>
    </row>
    <row r="323" spans="1:14" ht="13.2">
      <c r="K323" s="28"/>
    </row>
    <row r="324" spans="1:14" ht="13.2">
      <c r="K324" s="28"/>
    </row>
    <row r="325" spans="1:14" ht="13.2">
      <c r="K325" s="28"/>
    </row>
    <row r="326" spans="1:14" ht="13.2">
      <c r="K326" s="28"/>
    </row>
    <row r="327" spans="1:14" ht="13.2">
      <c r="K327" s="28"/>
    </row>
    <row r="328" spans="1:14" ht="13.2">
      <c r="K328" s="28"/>
    </row>
    <row r="329" spans="1:14" ht="13.2">
      <c r="K329" s="28"/>
    </row>
    <row r="330" spans="1:14" ht="13.2">
      <c r="K330" s="28"/>
    </row>
    <row r="331" spans="1:14" ht="13.2">
      <c r="K331" s="28"/>
    </row>
    <row r="332" spans="1:14" ht="13.2">
      <c r="K332" s="28"/>
    </row>
    <row r="333" spans="1:14" ht="13.2">
      <c r="K333" s="28"/>
    </row>
    <row r="334" spans="1:14" ht="13.2">
      <c r="K334" s="28"/>
    </row>
    <row r="335" spans="1:14" ht="13.2">
      <c r="K335" s="28"/>
    </row>
    <row r="336" spans="1:14" ht="13.2">
      <c r="K336" s="28"/>
    </row>
    <row r="337" spans="11:11" ht="13.2">
      <c r="K337" s="28"/>
    </row>
    <row r="338" spans="11:11" ht="13.2">
      <c r="K338" s="28"/>
    </row>
    <row r="339" spans="11:11" ht="13.2">
      <c r="K339" s="28"/>
    </row>
    <row r="340" spans="11:11" ht="13.2">
      <c r="K340" s="28"/>
    </row>
    <row r="341" spans="11:11" ht="13.2">
      <c r="K341" s="28"/>
    </row>
    <row r="342" spans="11:11" ht="13.2">
      <c r="K342" s="28"/>
    </row>
    <row r="343" spans="11:11" ht="13.2">
      <c r="K343" s="28"/>
    </row>
    <row r="344" spans="11:11" ht="13.2">
      <c r="K344" s="28"/>
    </row>
    <row r="345" spans="11:11" ht="13.2">
      <c r="K345" s="28"/>
    </row>
    <row r="346" spans="11:11" ht="13.2">
      <c r="K346" s="28"/>
    </row>
    <row r="347" spans="11:11" ht="13.2">
      <c r="K347" s="28"/>
    </row>
    <row r="348" spans="11:11" ht="13.2">
      <c r="K348" s="28"/>
    </row>
    <row r="349" spans="11:11" ht="13.2">
      <c r="K349" s="28"/>
    </row>
    <row r="350" spans="11:11" ht="13.2">
      <c r="K350" s="28"/>
    </row>
    <row r="351" spans="11:11" ht="13.2">
      <c r="K351" s="28"/>
    </row>
    <row r="352" spans="11:11" ht="13.2">
      <c r="K352" s="28"/>
    </row>
    <row r="353" spans="11:11" ht="13.2">
      <c r="K353" s="28"/>
    </row>
    <row r="354" spans="11:11" ht="13.2">
      <c r="K354" s="28"/>
    </row>
    <row r="355" spans="11:11" ht="13.2">
      <c r="K355" s="28"/>
    </row>
    <row r="356" spans="11:11" ht="13.2">
      <c r="K356" s="28"/>
    </row>
    <row r="357" spans="11:11" ht="13.2">
      <c r="K357" s="28"/>
    </row>
    <row r="358" spans="11:11" ht="13.2">
      <c r="K358" s="28"/>
    </row>
    <row r="359" spans="11:11" ht="13.2">
      <c r="K359" s="28"/>
    </row>
    <row r="360" spans="11:11" ht="13.2">
      <c r="K360" s="28"/>
    </row>
    <row r="361" spans="11:11" ht="13.2">
      <c r="K361" s="28"/>
    </row>
    <row r="362" spans="11:11" ht="13.2">
      <c r="K362" s="28"/>
    </row>
    <row r="363" spans="11:11" ht="13.2">
      <c r="K363" s="28"/>
    </row>
    <row r="364" spans="11:11" ht="13.2">
      <c r="K364" s="28"/>
    </row>
    <row r="365" spans="11:11" ht="13.2">
      <c r="K365" s="28"/>
    </row>
    <row r="366" spans="11:11" ht="13.2">
      <c r="K366" s="28"/>
    </row>
    <row r="367" spans="11:11" ht="13.2">
      <c r="K367" s="28"/>
    </row>
    <row r="368" spans="11:11" ht="13.2">
      <c r="K368" s="28"/>
    </row>
    <row r="369" spans="11:11" ht="13.2">
      <c r="K369" s="28"/>
    </row>
    <row r="370" spans="11:11" ht="13.2">
      <c r="K370" s="28"/>
    </row>
    <row r="371" spans="11:11" ht="13.2">
      <c r="K371" s="28"/>
    </row>
    <row r="372" spans="11:11" ht="13.2">
      <c r="K372" s="28"/>
    </row>
    <row r="373" spans="11:11" ht="13.2">
      <c r="K373" s="28"/>
    </row>
    <row r="374" spans="11:11" ht="13.2">
      <c r="K374" s="28"/>
    </row>
    <row r="375" spans="11:11" ht="13.2">
      <c r="K375" s="28"/>
    </row>
    <row r="376" spans="11:11" ht="13.2">
      <c r="K376" s="28"/>
    </row>
    <row r="377" spans="11:11" ht="13.2">
      <c r="K377" s="28"/>
    </row>
    <row r="378" spans="11:11" ht="13.2">
      <c r="K378" s="28"/>
    </row>
    <row r="379" spans="11:11" ht="13.2">
      <c r="K379" s="28"/>
    </row>
    <row r="380" spans="11:11" ht="13.2">
      <c r="K380" s="28"/>
    </row>
    <row r="381" spans="11:11" ht="13.2">
      <c r="K381" s="28"/>
    </row>
    <row r="382" spans="11:11" ht="13.2">
      <c r="K382" s="28"/>
    </row>
    <row r="383" spans="11:11" ht="13.2">
      <c r="K383" s="28"/>
    </row>
    <row r="384" spans="11:11" ht="13.2">
      <c r="K384" s="28"/>
    </row>
    <row r="385" spans="11:11" ht="13.2">
      <c r="K385" s="28"/>
    </row>
    <row r="386" spans="11:11" ht="13.2">
      <c r="K386" s="28"/>
    </row>
    <row r="387" spans="11:11" ht="13.2">
      <c r="K387" s="28"/>
    </row>
    <row r="388" spans="11:11" ht="13.2">
      <c r="K388" s="28"/>
    </row>
    <row r="389" spans="11:11" ht="13.2">
      <c r="K389" s="28"/>
    </row>
    <row r="390" spans="11:11" ht="13.2">
      <c r="K390" s="28"/>
    </row>
    <row r="391" spans="11:11" ht="13.2">
      <c r="K391" s="28"/>
    </row>
    <row r="392" spans="11:11" ht="13.2">
      <c r="K392" s="28"/>
    </row>
    <row r="393" spans="11:11" ht="13.2">
      <c r="K393" s="28"/>
    </row>
    <row r="394" spans="11:11" ht="13.2">
      <c r="K394" s="28"/>
    </row>
    <row r="395" spans="11:11" ht="13.2">
      <c r="K395" s="28"/>
    </row>
    <row r="396" spans="11:11" ht="13.2">
      <c r="K396" s="28"/>
    </row>
    <row r="397" spans="11:11" ht="13.2">
      <c r="K397" s="28"/>
    </row>
    <row r="398" spans="11:11" ht="13.2">
      <c r="K398" s="28"/>
    </row>
    <row r="399" spans="11:11" ht="13.2">
      <c r="K399" s="28"/>
    </row>
    <row r="400" spans="11:11" ht="13.2">
      <c r="K400" s="28"/>
    </row>
    <row r="401" spans="11:11" ht="13.2">
      <c r="K401" s="28"/>
    </row>
    <row r="402" spans="11:11" ht="13.2">
      <c r="K402" s="28"/>
    </row>
    <row r="403" spans="11:11" ht="13.2">
      <c r="K403" s="28"/>
    </row>
    <row r="404" spans="11:11" ht="13.2">
      <c r="K404" s="28"/>
    </row>
    <row r="405" spans="11:11" ht="13.2">
      <c r="K405" s="28"/>
    </row>
    <row r="406" spans="11:11" ht="13.2">
      <c r="K406" s="28"/>
    </row>
    <row r="407" spans="11:11" ht="13.2">
      <c r="K407" s="28"/>
    </row>
    <row r="408" spans="11:11" ht="13.2">
      <c r="K408" s="28"/>
    </row>
    <row r="409" spans="11:11" ht="13.2">
      <c r="K409" s="28"/>
    </row>
    <row r="410" spans="11:11" ht="13.2">
      <c r="K410" s="28"/>
    </row>
    <row r="411" spans="11:11" ht="13.2">
      <c r="K411" s="28"/>
    </row>
    <row r="412" spans="11:11" ht="13.2">
      <c r="K412" s="28"/>
    </row>
    <row r="413" spans="11:11" ht="13.2">
      <c r="K413" s="28"/>
    </row>
    <row r="414" spans="11:11" ht="13.2">
      <c r="K414" s="28"/>
    </row>
    <row r="415" spans="11:11" ht="13.2">
      <c r="K415" s="28"/>
    </row>
    <row r="416" spans="11:11" ht="13.2">
      <c r="K416" s="28"/>
    </row>
    <row r="417" spans="11:11" ht="13.2">
      <c r="K417" s="28"/>
    </row>
    <row r="418" spans="11:11" ht="13.2">
      <c r="K418" s="28"/>
    </row>
    <row r="419" spans="11:11" ht="13.2">
      <c r="K419" s="28"/>
    </row>
    <row r="420" spans="11:11" ht="13.2">
      <c r="K420" s="28"/>
    </row>
    <row r="421" spans="11:11" ht="13.2">
      <c r="K421" s="28"/>
    </row>
    <row r="422" spans="11:11" ht="13.2">
      <c r="K422" s="28"/>
    </row>
    <row r="423" spans="11:11" ht="13.2">
      <c r="K423" s="28"/>
    </row>
    <row r="424" spans="11:11" ht="13.2">
      <c r="K424" s="28"/>
    </row>
    <row r="425" spans="11:11" ht="13.2">
      <c r="K425" s="28"/>
    </row>
    <row r="426" spans="11:11" ht="13.2">
      <c r="K426" s="28"/>
    </row>
    <row r="427" spans="11:11" ht="13.2">
      <c r="K427" s="28"/>
    </row>
    <row r="428" spans="11:11" ht="13.2">
      <c r="K428" s="28"/>
    </row>
    <row r="429" spans="11:11" ht="13.2">
      <c r="K429" s="28"/>
    </row>
    <row r="430" spans="11:11" ht="13.2">
      <c r="K430" s="28"/>
    </row>
    <row r="431" spans="11:11" ht="13.2">
      <c r="K431" s="28"/>
    </row>
    <row r="432" spans="11:11" ht="13.2">
      <c r="K432" s="28"/>
    </row>
    <row r="433" spans="11:11" ht="13.2">
      <c r="K433" s="28"/>
    </row>
    <row r="434" spans="11:11" ht="13.2">
      <c r="K434" s="28"/>
    </row>
    <row r="435" spans="11:11" ht="13.2">
      <c r="K435" s="28"/>
    </row>
    <row r="436" spans="11:11" ht="13.2">
      <c r="K436" s="28"/>
    </row>
    <row r="437" spans="11:11" ht="13.2">
      <c r="K437" s="28"/>
    </row>
    <row r="438" spans="11:11" ht="13.2">
      <c r="K438" s="28"/>
    </row>
    <row r="439" spans="11:11" ht="13.2">
      <c r="K439" s="28"/>
    </row>
    <row r="440" spans="11:11" ht="13.2">
      <c r="K440" s="28"/>
    </row>
    <row r="441" spans="11:11" ht="13.2">
      <c r="K441" s="28"/>
    </row>
    <row r="442" spans="11:11" ht="13.2">
      <c r="K442" s="28"/>
    </row>
    <row r="443" spans="11:11" ht="13.2">
      <c r="K443" s="28"/>
    </row>
    <row r="444" spans="11:11" ht="13.2">
      <c r="K444" s="28"/>
    </row>
    <row r="445" spans="11:11" ht="13.2">
      <c r="K445" s="28"/>
    </row>
    <row r="446" spans="11:11" ht="13.2">
      <c r="K446" s="28"/>
    </row>
    <row r="447" spans="11:11" ht="13.2">
      <c r="K447" s="28"/>
    </row>
    <row r="448" spans="11:11" ht="13.2">
      <c r="K448" s="28"/>
    </row>
    <row r="449" spans="11:11" ht="13.2">
      <c r="K449" s="28"/>
    </row>
    <row r="450" spans="11:11" ht="13.2">
      <c r="K450" s="28"/>
    </row>
    <row r="451" spans="11:11" ht="13.2">
      <c r="K451" s="28"/>
    </row>
    <row r="452" spans="11:11" ht="13.2">
      <c r="K452" s="28"/>
    </row>
    <row r="453" spans="11:11" ht="13.2">
      <c r="K453" s="28"/>
    </row>
    <row r="454" spans="11:11" ht="13.2">
      <c r="K454" s="28"/>
    </row>
    <row r="455" spans="11:11" ht="13.2">
      <c r="K455" s="28"/>
    </row>
    <row r="456" spans="11:11" ht="13.2">
      <c r="K456" s="28"/>
    </row>
    <row r="457" spans="11:11" ht="13.2">
      <c r="K457" s="28"/>
    </row>
    <row r="458" spans="11:11" ht="13.2">
      <c r="K458" s="28"/>
    </row>
    <row r="459" spans="11:11" ht="13.2">
      <c r="K459" s="28"/>
    </row>
    <row r="460" spans="11:11" ht="13.2">
      <c r="K460" s="28"/>
    </row>
    <row r="461" spans="11:11" ht="13.2">
      <c r="K461" s="28"/>
    </row>
    <row r="462" spans="11:11" ht="13.2">
      <c r="K462" s="28"/>
    </row>
    <row r="463" spans="11:11" ht="13.2">
      <c r="K463" s="28"/>
    </row>
    <row r="464" spans="11:11" ht="13.2">
      <c r="K464" s="28"/>
    </row>
    <row r="465" spans="11:11" ht="13.2">
      <c r="K465" s="28"/>
    </row>
    <row r="466" spans="11:11" ht="13.2">
      <c r="K466" s="28"/>
    </row>
    <row r="467" spans="11:11" ht="13.2">
      <c r="K467" s="28"/>
    </row>
    <row r="468" spans="11:11" ht="13.2">
      <c r="K468" s="28"/>
    </row>
    <row r="469" spans="11:11" ht="13.2">
      <c r="K469" s="28"/>
    </row>
    <row r="470" spans="11:11" ht="13.2">
      <c r="K470" s="28"/>
    </row>
    <row r="471" spans="11:11" ht="13.2">
      <c r="K471" s="28"/>
    </row>
    <row r="472" spans="11:11" ht="13.2">
      <c r="K472" s="28"/>
    </row>
    <row r="473" spans="11:11" ht="13.2">
      <c r="K473" s="28"/>
    </row>
    <row r="474" spans="11:11" ht="13.2">
      <c r="K474" s="28"/>
    </row>
    <row r="475" spans="11:11" ht="13.2">
      <c r="K475" s="28"/>
    </row>
    <row r="476" spans="11:11" ht="13.2">
      <c r="K476" s="28"/>
    </row>
    <row r="477" spans="11:11" ht="13.2">
      <c r="K477" s="28"/>
    </row>
    <row r="478" spans="11:11" ht="13.2">
      <c r="K478" s="28"/>
    </row>
    <row r="479" spans="11:11" ht="13.2">
      <c r="K479" s="28"/>
    </row>
    <row r="480" spans="11:11" ht="13.2">
      <c r="K480" s="28"/>
    </row>
    <row r="481" spans="11:11" ht="13.2">
      <c r="K481" s="28"/>
    </row>
    <row r="482" spans="11:11" ht="13.2">
      <c r="K482" s="28"/>
    </row>
    <row r="483" spans="11:11" ht="13.2">
      <c r="K483" s="28"/>
    </row>
    <row r="484" spans="11:11" ht="13.2">
      <c r="K484" s="28"/>
    </row>
    <row r="485" spans="11:11" ht="13.2">
      <c r="K485" s="28"/>
    </row>
    <row r="486" spans="11:11" ht="13.2">
      <c r="K486" s="28"/>
    </row>
    <row r="487" spans="11:11" ht="13.2">
      <c r="K487" s="28"/>
    </row>
    <row r="488" spans="11:11" ht="13.2">
      <c r="K488" s="28"/>
    </row>
    <row r="489" spans="11:11" ht="13.2">
      <c r="K489" s="28"/>
    </row>
    <row r="490" spans="11:11" ht="13.2">
      <c r="K490" s="28"/>
    </row>
    <row r="491" spans="11:11" ht="13.2">
      <c r="K491" s="28"/>
    </row>
    <row r="492" spans="11:11" ht="13.2">
      <c r="K492" s="28"/>
    </row>
    <row r="493" spans="11:11" ht="13.2">
      <c r="K493" s="28"/>
    </row>
    <row r="494" spans="11:11" ht="13.2">
      <c r="K494" s="28"/>
    </row>
    <row r="495" spans="11:11" ht="13.2">
      <c r="K495" s="28"/>
    </row>
    <row r="496" spans="11:11" ht="13.2">
      <c r="K496" s="28"/>
    </row>
    <row r="497" spans="11:11" ht="13.2">
      <c r="K497" s="28"/>
    </row>
    <row r="498" spans="11:11" ht="13.2">
      <c r="K498" s="28"/>
    </row>
    <row r="499" spans="11:11" ht="13.2">
      <c r="K499" s="28"/>
    </row>
    <row r="500" spans="11:11" ht="13.2">
      <c r="K500" s="28"/>
    </row>
    <row r="501" spans="11:11" ht="13.2">
      <c r="K501" s="28"/>
    </row>
    <row r="502" spans="11:11" ht="13.2">
      <c r="K502" s="28"/>
    </row>
    <row r="503" spans="11:11" ht="13.2">
      <c r="K503" s="28"/>
    </row>
    <row r="504" spans="11:11" ht="13.2">
      <c r="K504" s="28"/>
    </row>
    <row r="505" spans="11:11" ht="13.2">
      <c r="K505" s="28"/>
    </row>
    <row r="506" spans="11:11" ht="13.2">
      <c r="K506" s="28"/>
    </row>
    <row r="507" spans="11:11" ht="13.2">
      <c r="K507" s="28"/>
    </row>
    <row r="508" spans="11:11" ht="13.2">
      <c r="K508" s="28"/>
    </row>
    <row r="509" spans="11:11" ht="13.2">
      <c r="K509" s="28"/>
    </row>
    <row r="510" spans="11:11" ht="13.2">
      <c r="K510" s="28"/>
    </row>
    <row r="511" spans="11:11" ht="13.2">
      <c r="K511" s="28"/>
    </row>
    <row r="512" spans="11:11" ht="13.2">
      <c r="K512" s="28"/>
    </row>
    <row r="513" spans="11:11" ht="13.2">
      <c r="K513" s="28"/>
    </row>
    <row r="514" spans="11:11" ht="13.2">
      <c r="K514" s="28"/>
    </row>
    <row r="515" spans="11:11" ht="13.2">
      <c r="K515" s="28"/>
    </row>
    <row r="516" spans="11:11" ht="13.2">
      <c r="K516" s="28"/>
    </row>
    <row r="517" spans="11:11" ht="13.2">
      <c r="K517" s="28"/>
    </row>
    <row r="518" spans="11:11" ht="13.2">
      <c r="K518" s="28"/>
    </row>
    <row r="519" spans="11:11" ht="13.2">
      <c r="K519" s="28"/>
    </row>
    <row r="520" spans="11:11" ht="13.2">
      <c r="K520" s="28"/>
    </row>
    <row r="521" spans="11:11" ht="13.2">
      <c r="K521" s="28"/>
    </row>
    <row r="522" spans="11:11" ht="13.2">
      <c r="K522" s="28"/>
    </row>
    <row r="523" spans="11:11" ht="13.2">
      <c r="K523" s="28"/>
    </row>
    <row r="524" spans="11:11" ht="13.2">
      <c r="K524" s="28"/>
    </row>
    <row r="525" spans="11:11" ht="13.2">
      <c r="K525" s="28"/>
    </row>
    <row r="526" spans="11:11" ht="13.2">
      <c r="K526" s="28"/>
    </row>
    <row r="527" spans="11:11" ht="13.2">
      <c r="K527" s="28"/>
    </row>
    <row r="528" spans="11:11" ht="13.2">
      <c r="K528" s="28"/>
    </row>
    <row r="529" spans="11:11" ht="13.2">
      <c r="K529" s="28"/>
    </row>
    <row r="530" spans="11:11" ht="13.2">
      <c r="K530" s="28"/>
    </row>
    <row r="531" spans="11:11" ht="13.2">
      <c r="K531" s="28"/>
    </row>
    <row r="532" spans="11:11" ht="13.2">
      <c r="K532" s="28"/>
    </row>
    <row r="533" spans="11:11" ht="13.2">
      <c r="K533" s="28"/>
    </row>
    <row r="534" spans="11:11" ht="13.2">
      <c r="K534" s="28"/>
    </row>
    <row r="535" spans="11:11" ht="13.2">
      <c r="K535" s="28"/>
    </row>
    <row r="536" spans="11:11" ht="13.2">
      <c r="K536" s="28"/>
    </row>
    <row r="537" spans="11:11" ht="13.2">
      <c r="K537" s="28"/>
    </row>
    <row r="538" spans="11:11" ht="13.2">
      <c r="K538" s="28"/>
    </row>
    <row r="539" spans="11:11" ht="13.2">
      <c r="K539" s="28"/>
    </row>
    <row r="540" spans="11:11" ht="13.2">
      <c r="K540" s="28"/>
    </row>
    <row r="541" spans="11:11" ht="13.2">
      <c r="K541" s="28"/>
    </row>
    <row r="542" spans="11:11" ht="13.2">
      <c r="K542" s="28"/>
    </row>
    <row r="543" spans="11:11" ht="13.2">
      <c r="K543" s="28"/>
    </row>
    <row r="544" spans="11:11" ht="13.2">
      <c r="K544" s="28"/>
    </row>
    <row r="545" spans="11:11" ht="13.2">
      <c r="K545" s="28"/>
    </row>
    <row r="546" spans="11:11" ht="13.2">
      <c r="K546" s="28"/>
    </row>
    <row r="547" spans="11:11" ht="13.2">
      <c r="K547" s="28"/>
    </row>
    <row r="548" spans="11:11" ht="13.2">
      <c r="K548" s="28"/>
    </row>
    <row r="549" spans="11:11" ht="13.2">
      <c r="K549" s="28"/>
    </row>
    <row r="550" spans="11:11" ht="13.2">
      <c r="K550" s="28"/>
    </row>
    <row r="551" spans="11:11" ht="13.2">
      <c r="K551" s="28"/>
    </row>
    <row r="552" spans="11:11" ht="13.2">
      <c r="K552" s="28"/>
    </row>
    <row r="553" spans="11:11" ht="13.2">
      <c r="K553" s="28"/>
    </row>
    <row r="554" spans="11:11" ht="13.2">
      <c r="K554" s="28"/>
    </row>
    <row r="555" spans="11:11" ht="13.2">
      <c r="K555" s="28"/>
    </row>
    <row r="556" spans="11:11" ht="13.2">
      <c r="K556" s="28"/>
    </row>
    <row r="557" spans="11:11" ht="13.2">
      <c r="K557" s="28"/>
    </row>
    <row r="558" spans="11:11" ht="13.2">
      <c r="K558" s="28"/>
    </row>
    <row r="559" spans="11:11" ht="13.2">
      <c r="K559" s="28"/>
    </row>
    <row r="560" spans="11:11" ht="13.2">
      <c r="K560" s="28"/>
    </row>
    <row r="561" spans="11:11" ht="13.2">
      <c r="K561" s="28"/>
    </row>
    <row r="562" spans="11:11" ht="13.2">
      <c r="K562" s="28"/>
    </row>
    <row r="563" spans="11:11" ht="13.2">
      <c r="K563" s="28"/>
    </row>
    <row r="564" spans="11:11" ht="13.2">
      <c r="K564" s="28"/>
    </row>
    <row r="565" spans="11:11" ht="13.2">
      <c r="K565" s="28"/>
    </row>
    <row r="566" spans="11:11" ht="13.2">
      <c r="K566" s="28"/>
    </row>
    <row r="567" spans="11:11" ht="13.2">
      <c r="K567" s="28"/>
    </row>
    <row r="568" spans="11:11" ht="13.2">
      <c r="K568" s="28"/>
    </row>
    <row r="569" spans="11:11" ht="13.2">
      <c r="K569" s="28"/>
    </row>
    <row r="570" spans="11:11" ht="13.2">
      <c r="K570" s="28"/>
    </row>
    <row r="571" spans="11:11" ht="13.2">
      <c r="K571" s="28"/>
    </row>
    <row r="572" spans="11:11" ht="13.2">
      <c r="K572" s="28"/>
    </row>
    <row r="573" spans="11:11" ht="13.2">
      <c r="K573" s="28"/>
    </row>
    <row r="574" spans="11:11" ht="13.2">
      <c r="K574" s="28"/>
    </row>
    <row r="575" spans="11:11" ht="13.2">
      <c r="K575" s="28"/>
    </row>
    <row r="576" spans="11:11" ht="13.2">
      <c r="K576" s="28"/>
    </row>
    <row r="577" spans="11:11" ht="13.2">
      <c r="K577" s="28"/>
    </row>
    <row r="578" spans="11:11" ht="13.2">
      <c r="K578" s="28"/>
    </row>
    <row r="579" spans="11:11" ht="13.2">
      <c r="K579" s="28"/>
    </row>
    <row r="580" spans="11:11" ht="13.2">
      <c r="K580" s="28"/>
    </row>
    <row r="581" spans="11:11" ht="13.2">
      <c r="K581" s="28"/>
    </row>
    <row r="582" spans="11:11" ht="13.2">
      <c r="K582" s="28"/>
    </row>
    <row r="583" spans="11:11" ht="13.2">
      <c r="K583" s="28"/>
    </row>
    <row r="584" spans="11:11" ht="13.2">
      <c r="K584" s="28"/>
    </row>
    <row r="585" spans="11:11" ht="13.2">
      <c r="K585" s="28"/>
    </row>
    <row r="586" spans="11:11" ht="13.2">
      <c r="K586" s="28"/>
    </row>
    <row r="587" spans="11:11" ht="13.2">
      <c r="K587" s="28"/>
    </row>
    <row r="588" spans="11:11" ht="13.2">
      <c r="K588" s="28"/>
    </row>
    <row r="589" spans="11:11" ht="13.2">
      <c r="K589" s="28"/>
    </row>
    <row r="590" spans="11:11" ht="13.2">
      <c r="K590" s="28"/>
    </row>
    <row r="591" spans="11:11" ht="13.2">
      <c r="K591" s="28"/>
    </row>
    <row r="592" spans="11:11" ht="13.2">
      <c r="K592" s="28"/>
    </row>
    <row r="593" spans="11:11" ht="13.2">
      <c r="K593" s="28"/>
    </row>
    <row r="594" spans="11:11" ht="13.2">
      <c r="K594" s="28"/>
    </row>
    <row r="595" spans="11:11" ht="13.2">
      <c r="K595" s="28"/>
    </row>
    <row r="596" spans="11:11" ht="13.2">
      <c r="K596" s="28"/>
    </row>
    <row r="597" spans="11:11" ht="13.2">
      <c r="K597" s="28"/>
    </row>
    <row r="598" spans="11:11" ht="13.2">
      <c r="K598" s="28"/>
    </row>
    <row r="599" spans="11:11" ht="13.2">
      <c r="K599" s="28"/>
    </row>
    <row r="600" spans="11:11" ht="13.2">
      <c r="K600" s="28"/>
    </row>
    <row r="601" spans="11:11" ht="13.2">
      <c r="K601" s="28"/>
    </row>
    <row r="602" spans="11:11" ht="13.2">
      <c r="K602" s="28"/>
    </row>
    <row r="603" spans="11:11" ht="13.2">
      <c r="K603" s="28"/>
    </row>
    <row r="604" spans="11:11" ht="13.2">
      <c r="K604" s="28"/>
    </row>
    <row r="605" spans="11:11" ht="13.2">
      <c r="K605" s="28"/>
    </row>
    <row r="606" spans="11:11" ht="13.2">
      <c r="K606" s="28"/>
    </row>
    <row r="607" spans="11:11" ht="13.2">
      <c r="K607" s="28"/>
    </row>
    <row r="608" spans="11:11" ht="13.2">
      <c r="K608" s="28"/>
    </row>
    <row r="609" spans="11:11" ht="13.2">
      <c r="K609" s="28"/>
    </row>
    <row r="610" spans="11:11" ht="13.2">
      <c r="K610" s="28"/>
    </row>
    <row r="611" spans="11:11" ht="13.2">
      <c r="K611" s="28"/>
    </row>
    <row r="612" spans="11:11" ht="13.2">
      <c r="K612" s="28"/>
    </row>
    <row r="613" spans="11:11" ht="13.2">
      <c r="K613" s="28"/>
    </row>
    <row r="614" spans="11:11" ht="13.2">
      <c r="K614" s="28"/>
    </row>
    <row r="615" spans="11:11" ht="13.2">
      <c r="K615" s="28"/>
    </row>
    <row r="616" spans="11:11" ht="13.2">
      <c r="K616" s="28"/>
    </row>
    <row r="617" spans="11:11" ht="13.2">
      <c r="K617" s="28"/>
    </row>
    <row r="618" spans="11:11" ht="13.2">
      <c r="K618" s="28"/>
    </row>
    <row r="619" spans="11:11" ht="13.2">
      <c r="K619" s="28"/>
    </row>
    <row r="620" spans="11:11" ht="13.2">
      <c r="K620" s="28"/>
    </row>
    <row r="621" spans="11:11" ht="13.2">
      <c r="K621" s="28"/>
    </row>
    <row r="622" spans="11:11" ht="13.2">
      <c r="K622" s="28"/>
    </row>
    <row r="623" spans="11:11" ht="13.2">
      <c r="K623" s="28"/>
    </row>
    <row r="624" spans="11:11" ht="13.2">
      <c r="K624" s="28"/>
    </row>
    <row r="625" spans="11:11" ht="13.2">
      <c r="K625" s="28"/>
    </row>
    <row r="626" spans="11:11" ht="13.2">
      <c r="K626" s="28"/>
    </row>
    <row r="627" spans="11:11" ht="13.2">
      <c r="K627" s="28"/>
    </row>
    <row r="628" spans="11:11" ht="13.2">
      <c r="K628" s="28"/>
    </row>
    <row r="629" spans="11:11" ht="13.2">
      <c r="K629" s="28"/>
    </row>
    <row r="630" spans="11:11" ht="13.2">
      <c r="K630" s="28"/>
    </row>
    <row r="631" spans="11:11" ht="13.2">
      <c r="K631" s="28"/>
    </row>
    <row r="632" spans="11:11" ht="13.2">
      <c r="K632" s="28"/>
    </row>
    <row r="633" spans="11:11" ht="13.2">
      <c r="K633" s="28"/>
    </row>
    <row r="634" spans="11:11" ht="13.2">
      <c r="K634" s="28"/>
    </row>
    <row r="635" spans="11:11" ht="13.2">
      <c r="K635" s="28"/>
    </row>
    <row r="636" spans="11:11" ht="13.2">
      <c r="K636" s="28"/>
    </row>
    <row r="637" spans="11:11" ht="13.2">
      <c r="K637" s="28"/>
    </row>
    <row r="638" spans="11:11" ht="13.2">
      <c r="K638" s="28"/>
    </row>
    <row r="639" spans="11:11" ht="13.2">
      <c r="K639" s="28"/>
    </row>
    <row r="640" spans="11:11" ht="13.2">
      <c r="K640" s="28"/>
    </row>
    <row r="641" spans="11:11" ht="13.2">
      <c r="K641" s="28"/>
    </row>
    <row r="642" spans="11:11" ht="13.2">
      <c r="K642" s="28"/>
    </row>
    <row r="643" spans="11:11" ht="13.2">
      <c r="K643" s="28"/>
    </row>
    <row r="644" spans="11:11" ht="13.2">
      <c r="K644" s="28"/>
    </row>
    <row r="645" spans="11:11" ht="13.2">
      <c r="K645" s="28"/>
    </row>
    <row r="646" spans="11:11" ht="13.2">
      <c r="K646" s="28"/>
    </row>
    <row r="647" spans="11:11" ht="13.2">
      <c r="K647" s="28"/>
    </row>
    <row r="648" spans="11:11" ht="13.2">
      <c r="K648" s="28"/>
    </row>
    <row r="649" spans="11:11" ht="13.2">
      <c r="K649" s="28"/>
    </row>
    <row r="650" spans="11:11" ht="13.2">
      <c r="K650" s="28"/>
    </row>
    <row r="651" spans="11:11" ht="13.2">
      <c r="K651" s="28"/>
    </row>
    <row r="652" spans="11:11" ht="13.2">
      <c r="K652" s="28"/>
    </row>
    <row r="653" spans="11:11" ht="13.2">
      <c r="K653" s="28"/>
    </row>
    <row r="654" spans="11:11" ht="13.2">
      <c r="K654" s="28"/>
    </row>
    <row r="655" spans="11:11" ht="13.2">
      <c r="K655" s="28"/>
    </row>
    <row r="656" spans="11:11" ht="13.2">
      <c r="K656" s="28"/>
    </row>
    <row r="657" spans="11:11" ht="13.2">
      <c r="K657" s="28"/>
    </row>
    <row r="658" spans="11:11" ht="13.2">
      <c r="K658" s="28"/>
    </row>
    <row r="659" spans="11:11" ht="13.2">
      <c r="K659" s="28"/>
    </row>
    <row r="660" spans="11:11" ht="13.2">
      <c r="K660" s="28"/>
    </row>
    <row r="661" spans="11:11" ht="13.2">
      <c r="K661" s="28"/>
    </row>
    <row r="662" spans="11:11" ht="13.2">
      <c r="K662" s="28"/>
    </row>
    <row r="663" spans="11:11" ht="13.2">
      <c r="K663" s="28"/>
    </row>
    <row r="664" spans="11:11" ht="13.2">
      <c r="K664" s="28"/>
    </row>
    <row r="665" spans="11:11" ht="13.2">
      <c r="K665" s="28"/>
    </row>
    <row r="666" spans="11:11" ht="13.2">
      <c r="K666" s="28"/>
    </row>
    <row r="667" spans="11:11" ht="13.2">
      <c r="K667" s="28"/>
    </row>
    <row r="668" spans="11:11" ht="13.2">
      <c r="K668" s="28"/>
    </row>
    <row r="669" spans="11:11" ht="13.2">
      <c r="K669" s="28"/>
    </row>
    <row r="670" spans="11:11" ht="13.2">
      <c r="K670" s="28"/>
    </row>
    <row r="671" spans="11:11" ht="13.2">
      <c r="K671" s="28"/>
    </row>
    <row r="672" spans="11:11" ht="13.2">
      <c r="K672" s="28"/>
    </row>
    <row r="673" spans="11:11" ht="13.2">
      <c r="K673" s="28"/>
    </row>
    <row r="674" spans="11:11" ht="13.2">
      <c r="K674" s="28"/>
    </row>
    <row r="675" spans="11:11" ht="13.2">
      <c r="K675" s="28"/>
    </row>
    <row r="676" spans="11:11" ht="13.2">
      <c r="K676" s="28"/>
    </row>
    <row r="677" spans="11:11" ht="13.2">
      <c r="K677" s="28"/>
    </row>
    <row r="678" spans="11:11" ht="13.2">
      <c r="K678" s="28"/>
    </row>
    <row r="679" spans="11:11" ht="13.2">
      <c r="K679" s="28"/>
    </row>
    <row r="680" spans="11:11" ht="13.2">
      <c r="K680" s="28"/>
    </row>
    <row r="681" spans="11:11" ht="13.2">
      <c r="K681" s="28"/>
    </row>
    <row r="682" spans="11:11" ht="13.2">
      <c r="K682" s="28"/>
    </row>
    <row r="683" spans="11:11" ht="13.2">
      <c r="K683" s="28"/>
    </row>
    <row r="684" spans="11:11" ht="13.2">
      <c r="K684" s="28"/>
    </row>
    <row r="685" spans="11:11" ht="13.2">
      <c r="K685" s="28"/>
    </row>
    <row r="686" spans="11:11" ht="13.2">
      <c r="K686" s="28"/>
    </row>
    <row r="687" spans="11:11" ht="13.2">
      <c r="K687" s="28"/>
    </row>
    <row r="688" spans="11:11" ht="13.2">
      <c r="K688" s="28"/>
    </row>
    <row r="689" spans="11:11" ht="13.2">
      <c r="K689" s="28"/>
    </row>
    <row r="690" spans="11:11" ht="13.2">
      <c r="K690" s="28"/>
    </row>
    <row r="691" spans="11:11" ht="13.2">
      <c r="K691" s="28"/>
    </row>
    <row r="692" spans="11:11" ht="13.2">
      <c r="K692" s="28"/>
    </row>
    <row r="693" spans="11:11" ht="13.2">
      <c r="K693" s="28"/>
    </row>
    <row r="694" spans="11:11" ht="13.2">
      <c r="K694" s="28"/>
    </row>
    <row r="695" spans="11:11" ht="13.2">
      <c r="K695" s="28"/>
    </row>
    <row r="696" spans="11:11" ht="13.2">
      <c r="K696" s="28"/>
    </row>
    <row r="697" spans="11:11" ht="13.2">
      <c r="K697" s="28"/>
    </row>
    <row r="698" spans="11:11" ht="13.2">
      <c r="K698" s="28"/>
    </row>
    <row r="699" spans="11:11" ht="13.2">
      <c r="K699" s="28"/>
    </row>
    <row r="700" spans="11:11" ht="13.2">
      <c r="K700" s="28"/>
    </row>
    <row r="701" spans="11:11" ht="13.2">
      <c r="K701" s="28"/>
    </row>
    <row r="702" spans="11:11" ht="13.2">
      <c r="K702" s="28"/>
    </row>
    <row r="703" spans="11:11" ht="13.2">
      <c r="K703" s="28"/>
    </row>
    <row r="704" spans="11:11" ht="13.2">
      <c r="K704" s="28"/>
    </row>
    <row r="705" spans="11:11" ht="13.2">
      <c r="K705" s="28"/>
    </row>
    <row r="706" spans="11:11" ht="13.2">
      <c r="K706" s="28"/>
    </row>
    <row r="707" spans="11:11" ht="13.2">
      <c r="K707" s="28"/>
    </row>
    <row r="708" spans="11:11" ht="13.2">
      <c r="K708" s="28"/>
    </row>
    <row r="709" spans="11:11" ht="13.2">
      <c r="K709" s="28"/>
    </row>
    <row r="710" spans="11:11" ht="13.2">
      <c r="K710" s="28"/>
    </row>
    <row r="711" spans="11:11" ht="13.2">
      <c r="K711" s="28"/>
    </row>
    <row r="712" spans="11:11" ht="13.2">
      <c r="K712" s="28"/>
    </row>
    <row r="713" spans="11:11" ht="13.2">
      <c r="K713" s="28"/>
    </row>
    <row r="714" spans="11:11" ht="13.2">
      <c r="K714" s="28"/>
    </row>
    <row r="715" spans="11:11" ht="13.2">
      <c r="K715" s="28"/>
    </row>
    <row r="716" spans="11:11" ht="13.2">
      <c r="K716" s="28"/>
    </row>
    <row r="717" spans="11:11" ht="13.2">
      <c r="K717" s="28"/>
    </row>
    <row r="718" spans="11:11" ht="13.2">
      <c r="K718" s="28"/>
    </row>
    <row r="719" spans="11:11" ht="13.2">
      <c r="K719" s="28"/>
    </row>
    <row r="720" spans="11:11" ht="13.2">
      <c r="K720" s="28"/>
    </row>
    <row r="721" spans="11:11" ht="13.2">
      <c r="K721" s="28"/>
    </row>
    <row r="722" spans="11:11" ht="13.2">
      <c r="K722" s="28"/>
    </row>
    <row r="723" spans="11:11" ht="13.2">
      <c r="K723" s="28"/>
    </row>
    <row r="724" spans="11:11" ht="13.2">
      <c r="K724" s="28"/>
    </row>
    <row r="725" spans="11:11" ht="13.2">
      <c r="K725" s="28"/>
    </row>
    <row r="726" spans="11:11" ht="13.2">
      <c r="K726" s="28"/>
    </row>
    <row r="727" spans="11:11" ht="13.2">
      <c r="K727" s="28"/>
    </row>
    <row r="728" spans="11:11" ht="13.2">
      <c r="K728" s="28"/>
    </row>
    <row r="729" spans="11:11" ht="13.2">
      <c r="K729" s="28"/>
    </row>
    <row r="730" spans="11:11" ht="13.2">
      <c r="K730" s="28"/>
    </row>
    <row r="731" spans="11:11" ht="13.2">
      <c r="K731" s="28"/>
    </row>
    <row r="732" spans="11:11" ht="13.2">
      <c r="K732" s="28"/>
    </row>
    <row r="733" spans="11:11" ht="13.2">
      <c r="K733" s="28"/>
    </row>
    <row r="734" spans="11:11" ht="13.2">
      <c r="K734" s="28"/>
    </row>
    <row r="735" spans="11:11" ht="13.2">
      <c r="K735" s="28"/>
    </row>
    <row r="736" spans="11:11" ht="13.2">
      <c r="K736" s="28"/>
    </row>
    <row r="737" spans="11:11" ht="13.2">
      <c r="K737" s="28"/>
    </row>
    <row r="738" spans="11:11" ht="13.2">
      <c r="K738" s="28"/>
    </row>
    <row r="739" spans="11:11" ht="13.2">
      <c r="K739" s="28"/>
    </row>
    <row r="740" spans="11:11" ht="13.2">
      <c r="K740" s="28"/>
    </row>
    <row r="741" spans="11:11" ht="13.2">
      <c r="K741" s="28"/>
    </row>
    <row r="742" spans="11:11" ht="13.2">
      <c r="K742" s="28"/>
    </row>
    <row r="743" spans="11:11" ht="13.2">
      <c r="K743" s="28"/>
    </row>
    <row r="744" spans="11:11" ht="13.2">
      <c r="K744" s="28"/>
    </row>
    <row r="745" spans="11:11" ht="13.2">
      <c r="K745" s="28"/>
    </row>
    <row r="746" spans="11:11" ht="13.2">
      <c r="K746" s="28"/>
    </row>
    <row r="747" spans="11:11" ht="13.2">
      <c r="K747" s="28"/>
    </row>
    <row r="748" spans="11:11" ht="13.2">
      <c r="K748" s="28"/>
    </row>
    <row r="749" spans="11:11" ht="13.2">
      <c r="K749" s="28"/>
    </row>
    <row r="750" spans="11:11" ht="13.2">
      <c r="K750" s="28"/>
    </row>
    <row r="751" spans="11:11" ht="13.2">
      <c r="K751" s="28"/>
    </row>
    <row r="752" spans="11:11" ht="13.2">
      <c r="K752" s="28"/>
    </row>
    <row r="753" spans="11:11" ht="13.2">
      <c r="K753" s="28"/>
    </row>
    <row r="754" spans="11:11" ht="13.2">
      <c r="K754" s="28"/>
    </row>
    <row r="755" spans="11:11" ht="13.2">
      <c r="K755" s="28"/>
    </row>
    <row r="756" spans="11:11" ht="13.2">
      <c r="K756" s="28"/>
    </row>
    <row r="757" spans="11:11" ht="13.2">
      <c r="K757" s="28"/>
    </row>
    <row r="758" spans="11:11" ht="13.2">
      <c r="K758" s="28"/>
    </row>
    <row r="759" spans="11:11" ht="13.2">
      <c r="K759" s="28"/>
    </row>
    <row r="760" spans="11:11" ht="13.2">
      <c r="K760" s="28"/>
    </row>
    <row r="761" spans="11:11" ht="13.2">
      <c r="K761" s="28"/>
    </row>
    <row r="762" spans="11:11" ht="13.2">
      <c r="K762" s="28"/>
    </row>
    <row r="763" spans="11:11" ht="13.2">
      <c r="K763" s="28"/>
    </row>
    <row r="764" spans="11:11" ht="13.2">
      <c r="K764" s="28"/>
    </row>
    <row r="765" spans="11:11" ht="13.2">
      <c r="K765" s="28"/>
    </row>
    <row r="766" spans="11:11" ht="13.2">
      <c r="K766" s="28"/>
    </row>
    <row r="767" spans="11:11" ht="13.2">
      <c r="K767" s="28"/>
    </row>
    <row r="768" spans="11:11" ht="13.2">
      <c r="K768" s="28"/>
    </row>
    <row r="769" spans="11:11" ht="13.2">
      <c r="K769" s="28"/>
    </row>
    <row r="770" spans="11:11" ht="13.2">
      <c r="K770" s="28"/>
    </row>
    <row r="771" spans="11:11" ht="13.2">
      <c r="K771" s="28"/>
    </row>
    <row r="772" spans="11:11" ht="13.2">
      <c r="K772" s="28"/>
    </row>
    <row r="773" spans="11:11" ht="13.2">
      <c r="K773" s="28"/>
    </row>
    <row r="774" spans="11:11" ht="13.2">
      <c r="K774" s="28"/>
    </row>
    <row r="775" spans="11:11" ht="13.2">
      <c r="K775" s="28"/>
    </row>
    <row r="776" spans="11:11" ht="13.2">
      <c r="K776" s="28"/>
    </row>
    <row r="777" spans="11:11" ht="13.2">
      <c r="K777" s="28"/>
    </row>
    <row r="778" spans="11:11" ht="13.2">
      <c r="K778" s="28"/>
    </row>
    <row r="779" spans="11:11" ht="13.2">
      <c r="K779" s="28"/>
    </row>
    <row r="780" spans="11:11" ht="13.2">
      <c r="K780" s="28"/>
    </row>
    <row r="781" spans="11:11" ht="13.2">
      <c r="K781" s="28"/>
    </row>
    <row r="782" spans="11:11" ht="13.2">
      <c r="K782" s="28"/>
    </row>
    <row r="783" spans="11:11" ht="13.2">
      <c r="K783" s="28"/>
    </row>
    <row r="784" spans="11:11" ht="13.2">
      <c r="K784" s="28"/>
    </row>
    <row r="785" spans="11:11" ht="13.2">
      <c r="K785" s="28"/>
    </row>
    <row r="786" spans="11:11" ht="13.2">
      <c r="K786" s="28"/>
    </row>
    <row r="787" spans="11:11" ht="13.2">
      <c r="K787" s="28"/>
    </row>
    <row r="788" spans="11:11" ht="13.2">
      <c r="K788" s="28"/>
    </row>
    <row r="789" spans="11:11" ht="13.2">
      <c r="K789" s="28"/>
    </row>
    <row r="790" spans="11:11" ht="13.2">
      <c r="K790" s="28"/>
    </row>
    <row r="791" spans="11:11" ht="13.2">
      <c r="K791" s="28"/>
    </row>
    <row r="792" spans="11:11" ht="13.2">
      <c r="K792" s="28"/>
    </row>
    <row r="793" spans="11:11" ht="13.2">
      <c r="K793" s="28"/>
    </row>
    <row r="794" spans="11:11" ht="13.2">
      <c r="K794" s="28"/>
    </row>
    <row r="795" spans="11:11" ht="13.2">
      <c r="K795" s="28"/>
    </row>
    <row r="796" spans="11:11" ht="13.2">
      <c r="K796" s="28"/>
    </row>
    <row r="797" spans="11:11" ht="13.2">
      <c r="K797" s="28"/>
    </row>
    <row r="798" spans="11:11" ht="13.2">
      <c r="K798" s="28"/>
    </row>
    <row r="799" spans="11:11" ht="13.2">
      <c r="K799" s="28"/>
    </row>
    <row r="800" spans="11:11" ht="13.2">
      <c r="K800" s="28"/>
    </row>
    <row r="801" spans="11:11" ht="13.2">
      <c r="K801" s="28"/>
    </row>
    <row r="802" spans="11:11" ht="13.2">
      <c r="K802" s="28"/>
    </row>
    <row r="803" spans="11:11" ht="13.2">
      <c r="K803" s="28"/>
    </row>
    <row r="804" spans="11:11" ht="13.2">
      <c r="K804" s="28"/>
    </row>
    <row r="805" spans="11:11" ht="13.2">
      <c r="K805" s="28"/>
    </row>
    <row r="806" spans="11:11" ht="13.2">
      <c r="K806" s="28"/>
    </row>
    <row r="807" spans="11:11" ht="13.2">
      <c r="K807" s="28"/>
    </row>
    <row r="808" spans="11:11" ht="13.2">
      <c r="K808" s="28"/>
    </row>
    <row r="809" spans="11:11" ht="13.2">
      <c r="K809" s="28"/>
    </row>
    <row r="810" spans="11:11" ht="13.2">
      <c r="K810" s="28"/>
    </row>
    <row r="811" spans="11:11" ht="13.2">
      <c r="K811" s="28"/>
    </row>
    <row r="812" spans="11:11" ht="13.2">
      <c r="K812" s="28"/>
    </row>
    <row r="813" spans="11:11" ht="13.2">
      <c r="K813" s="28"/>
    </row>
    <row r="814" spans="11:11" ht="13.2">
      <c r="K814" s="28"/>
    </row>
    <row r="815" spans="11:11" ht="13.2">
      <c r="K815" s="28"/>
    </row>
    <row r="816" spans="11:11" ht="13.2">
      <c r="K816" s="28"/>
    </row>
    <row r="817" spans="11:11" ht="13.2">
      <c r="K817" s="28"/>
    </row>
    <row r="818" spans="11:11" ht="13.2">
      <c r="K818" s="28"/>
    </row>
    <row r="819" spans="11:11" ht="13.2">
      <c r="K819" s="28"/>
    </row>
    <row r="820" spans="11:11" ht="13.2">
      <c r="K820" s="28"/>
    </row>
    <row r="821" spans="11:11" ht="13.2">
      <c r="K821" s="28"/>
    </row>
    <row r="822" spans="11:11" ht="13.2">
      <c r="K822" s="28"/>
    </row>
    <row r="823" spans="11:11" ht="13.2">
      <c r="K823" s="28"/>
    </row>
    <row r="824" spans="11:11" ht="13.2">
      <c r="K824" s="28"/>
    </row>
    <row r="825" spans="11:11" ht="13.2">
      <c r="K825" s="28"/>
    </row>
    <row r="826" spans="11:11" ht="13.2">
      <c r="K826" s="28"/>
    </row>
    <row r="827" spans="11:11" ht="13.2">
      <c r="K827" s="28"/>
    </row>
    <row r="828" spans="11:11" ht="13.2">
      <c r="K828" s="28"/>
    </row>
    <row r="829" spans="11:11" ht="13.2">
      <c r="K829" s="28"/>
    </row>
    <row r="830" spans="11:11" ht="13.2">
      <c r="K830" s="28"/>
    </row>
    <row r="831" spans="11:11" ht="13.2">
      <c r="K831" s="28"/>
    </row>
    <row r="832" spans="11:11" ht="13.2">
      <c r="K832" s="28"/>
    </row>
    <row r="833" spans="11:11" ht="13.2">
      <c r="K833" s="28"/>
    </row>
    <row r="834" spans="11:11" ht="13.2">
      <c r="K834" s="28"/>
    </row>
    <row r="835" spans="11:11" ht="13.2">
      <c r="K835" s="28"/>
    </row>
    <row r="836" spans="11:11" ht="13.2">
      <c r="K836" s="28"/>
    </row>
    <row r="837" spans="11:11" ht="13.2">
      <c r="K837" s="28"/>
    </row>
    <row r="838" spans="11:11" ht="13.2">
      <c r="K838" s="28"/>
    </row>
    <row r="839" spans="11:11" ht="13.2">
      <c r="K839" s="28"/>
    </row>
    <row r="840" spans="11:11" ht="13.2">
      <c r="K840" s="28"/>
    </row>
    <row r="841" spans="11:11" ht="13.2">
      <c r="K841" s="28"/>
    </row>
    <row r="842" spans="11:11" ht="13.2">
      <c r="K842" s="28"/>
    </row>
    <row r="843" spans="11:11" ht="13.2">
      <c r="K843" s="28"/>
    </row>
    <row r="844" spans="11:11" ht="13.2">
      <c r="K844" s="28"/>
    </row>
    <row r="845" spans="11:11" ht="13.2">
      <c r="K845" s="28"/>
    </row>
    <row r="846" spans="11:11" ht="13.2">
      <c r="K846" s="28"/>
    </row>
    <row r="847" spans="11:11" ht="13.2">
      <c r="K847" s="28"/>
    </row>
    <row r="848" spans="11:11" ht="13.2">
      <c r="K848" s="28"/>
    </row>
    <row r="849" spans="11:11" ht="13.2">
      <c r="K849" s="28"/>
    </row>
    <row r="850" spans="11:11" ht="13.2">
      <c r="K850" s="28"/>
    </row>
    <row r="851" spans="11:11" ht="13.2">
      <c r="K851" s="28"/>
    </row>
    <row r="852" spans="11:11" ht="13.2">
      <c r="K852" s="28"/>
    </row>
    <row r="853" spans="11:11" ht="13.2">
      <c r="K853" s="28"/>
    </row>
    <row r="854" spans="11:11" ht="13.2">
      <c r="K854" s="28"/>
    </row>
    <row r="855" spans="11:11" ht="13.2">
      <c r="K855" s="28"/>
    </row>
    <row r="856" spans="11:11" ht="13.2">
      <c r="K856" s="28"/>
    </row>
    <row r="857" spans="11:11" ht="13.2">
      <c r="K857" s="28"/>
    </row>
    <row r="858" spans="11:11" ht="13.2">
      <c r="K858" s="28"/>
    </row>
    <row r="859" spans="11:11" ht="13.2">
      <c r="K859" s="28"/>
    </row>
    <row r="860" spans="11:11" ht="13.2">
      <c r="K860" s="28"/>
    </row>
    <row r="861" spans="11:11" ht="13.2">
      <c r="K861" s="28"/>
    </row>
    <row r="862" spans="11:11" ht="13.2">
      <c r="K862" s="28"/>
    </row>
    <row r="863" spans="11:11" ht="13.2">
      <c r="K863" s="28"/>
    </row>
    <row r="864" spans="11:11" ht="13.2">
      <c r="K864" s="28"/>
    </row>
    <row r="865" spans="11:11" ht="13.2">
      <c r="K865" s="28"/>
    </row>
    <row r="866" spans="11:11" ht="13.2">
      <c r="K866" s="28"/>
    </row>
    <row r="867" spans="11:11" ht="13.2">
      <c r="K867" s="28"/>
    </row>
    <row r="868" spans="11:11" ht="13.2">
      <c r="K868" s="28"/>
    </row>
    <row r="869" spans="11:11" ht="13.2">
      <c r="K869" s="28"/>
    </row>
    <row r="870" spans="11:11" ht="13.2">
      <c r="K870" s="28"/>
    </row>
    <row r="871" spans="11:11" ht="13.2">
      <c r="K871" s="28"/>
    </row>
    <row r="872" spans="11:11" ht="13.2">
      <c r="K872" s="28"/>
    </row>
    <row r="873" spans="11:11" ht="13.2">
      <c r="K873" s="28"/>
    </row>
    <row r="874" spans="11:11" ht="13.2">
      <c r="K874" s="28"/>
    </row>
    <row r="875" spans="11:11" ht="13.2">
      <c r="K875" s="28"/>
    </row>
    <row r="876" spans="11:11" ht="13.2">
      <c r="K876" s="28"/>
    </row>
    <row r="877" spans="11:11" ht="13.2">
      <c r="K877" s="28"/>
    </row>
    <row r="878" spans="11:11" ht="13.2">
      <c r="K878" s="28"/>
    </row>
    <row r="879" spans="11:11" ht="13.2">
      <c r="K879" s="28"/>
    </row>
    <row r="880" spans="11:11" ht="13.2">
      <c r="K880" s="28"/>
    </row>
    <row r="881" spans="11:11" ht="13.2">
      <c r="K881" s="28"/>
    </row>
    <row r="882" spans="11:11" ht="13.2">
      <c r="K882" s="28"/>
    </row>
    <row r="883" spans="11:11" ht="13.2">
      <c r="K883" s="28"/>
    </row>
    <row r="884" spans="11:11" ht="13.2">
      <c r="K884" s="28"/>
    </row>
    <row r="885" spans="11:11" ht="13.2">
      <c r="K885" s="28"/>
    </row>
    <row r="886" spans="11:11" ht="13.2">
      <c r="K886" s="28"/>
    </row>
    <row r="887" spans="11:11" ht="13.2">
      <c r="K887" s="28"/>
    </row>
    <row r="888" spans="11:11" ht="13.2">
      <c r="K888" s="28"/>
    </row>
    <row r="889" spans="11:11" ht="13.2">
      <c r="K889" s="28"/>
    </row>
    <row r="890" spans="11:11" ht="13.2">
      <c r="K890" s="28"/>
    </row>
    <row r="891" spans="11:11" ht="13.2">
      <c r="K891" s="28"/>
    </row>
    <row r="892" spans="11:11" ht="13.2">
      <c r="K892" s="28"/>
    </row>
    <row r="893" spans="11:11" ht="13.2">
      <c r="K893" s="28"/>
    </row>
    <row r="894" spans="11:11" ht="13.2">
      <c r="K894" s="28"/>
    </row>
    <row r="895" spans="11:11" ht="13.2">
      <c r="K895" s="28"/>
    </row>
    <row r="896" spans="11:11" ht="13.2">
      <c r="K896" s="28"/>
    </row>
    <row r="897" spans="11:11" ht="13.2">
      <c r="K897" s="28"/>
    </row>
    <row r="898" spans="11:11" ht="13.2">
      <c r="K898" s="28"/>
    </row>
    <row r="899" spans="11:11" ht="13.2">
      <c r="K899" s="28"/>
    </row>
    <row r="900" spans="11:11" ht="13.2">
      <c r="K900" s="28"/>
    </row>
    <row r="901" spans="11:11" ht="13.2">
      <c r="K901" s="28"/>
    </row>
    <row r="902" spans="11:11" ht="13.2">
      <c r="K902" s="28"/>
    </row>
    <row r="903" spans="11:11" ht="13.2">
      <c r="K903" s="28"/>
    </row>
    <row r="904" spans="11:11" ht="13.2">
      <c r="K904" s="28"/>
    </row>
    <row r="905" spans="11:11" ht="13.2">
      <c r="K905" s="28"/>
    </row>
    <row r="906" spans="11:11" ht="13.2">
      <c r="K906" s="28"/>
    </row>
    <row r="907" spans="11:11" ht="13.2">
      <c r="K907" s="28"/>
    </row>
    <row r="908" spans="11:11" ht="13.2">
      <c r="K908" s="28"/>
    </row>
    <row r="909" spans="11:11" ht="13.2">
      <c r="K909" s="28"/>
    </row>
    <row r="910" spans="11:11" ht="13.2">
      <c r="K910" s="28"/>
    </row>
    <row r="911" spans="11:11" ht="13.2">
      <c r="K911" s="28"/>
    </row>
    <row r="912" spans="11:11" ht="13.2">
      <c r="K912" s="28"/>
    </row>
    <row r="913" spans="11:11" ht="13.2">
      <c r="K913" s="28"/>
    </row>
    <row r="914" spans="11:11" ht="13.2">
      <c r="K914" s="28"/>
    </row>
    <row r="915" spans="11:11" ht="13.2">
      <c r="K915" s="28"/>
    </row>
    <row r="916" spans="11:11" ht="13.2">
      <c r="K916" s="28"/>
    </row>
    <row r="917" spans="11:11" ht="13.2">
      <c r="K917" s="28"/>
    </row>
    <row r="918" spans="11:11" ht="13.2">
      <c r="K918" s="28"/>
    </row>
    <row r="919" spans="11:11" ht="13.2">
      <c r="K919" s="28"/>
    </row>
    <row r="920" spans="11:11" ht="13.2">
      <c r="K920" s="28"/>
    </row>
    <row r="921" spans="11:11" ht="13.2">
      <c r="K921" s="28"/>
    </row>
    <row r="922" spans="11:11" ht="13.2">
      <c r="K922" s="28"/>
    </row>
    <row r="923" spans="11:11" ht="13.2">
      <c r="K923" s="28"/>
    </row>
    <row r="924" spans="11:11" ht="13.2">
      <c r="K924" s="28"/>
    </row>
    <row r="925" spans="11:11" ht="13.2">
      <c r="K925" s="28"/>
    </row>
    <row r="926" spans="11:11" ht="13.2">
      <c r="K926" s="28"/>
    </row>
    <row r="927" spans="11:11" ht="13.2">
      <c r="K927" s="28"/>
    </row>
    <row r="928" spans="11:11" ht="13.2">
      <c r="K928" s="28"/>
    </row>
    <row r="929" spans="11:11" ht="13.2">
      <c r="K929" s="28"/>
    </row>
    <row r="930" spans="11:11" ht="13.2">
      <c r="K930" s="28"/>
    </row>
    <row r="931" spans="11:11" ht="13.2">
      <c r="K931" s="28"/>
    </row>
    <row r="932" spans="11:11" ht="13.2">
      <c r="K932" s="28"/>
    </row>
    <row r="933" spans="11:11" ht="13.2">
      <c r="K933" s="28"/>
    </row>
    <row r="934" spans="11:11" ht="13.2">
      <c r="K934" s="28"/>
    </row>
    <row r="935" spans="11:11" ht="13.2">
      <c r="K935" s="28"/>
    </row>
    <row r="936" spans="11:11" ht="13.2">
      <c r="K936" s="28"/>
    </row>
    <row r="937" spans="11:11" ht="13.2">
      <c r="K937" s="28"/>
    </row>
    <row r="938" spans="11:11" ht="13.2">
      <c r="K938" s="28"/>
    </row>
    <row r="939" spans="11:11" ht="13.2">
      <c r="K939" s="28"/>
    </row>
    <row r="940" spans="11:11" ht="13.2">
      <c r="K940" s="28"/>
    </row>
    <row r="941" spans="11:11" ht="13.2">
      <c r="K941" s="28"/>
    </row>
    <row r="942" spans="11:11" ht="13.2">
      <c r="K942" s="28"/>
    </row>
    <row r="943" spans="11:11" ht="13.2">
      <c r="K943" s="28"/>
    </row>
    <row r="944" spans="11:11" ht="13.2">
      <c r="K944" s="28"/>
    </row>
    <row r="945" spans="11:11" ht="13.2">
      <c r="K945" s="28"/>
    </row>
    <row r="946" spans="11:11" ht="13.2">
      <c r="K946" s="28"/>
    </row>
    <row r="947" spans="11:11" ht="13.2">
      <c r="K947" s="28"/>
    </row>
    <row r="948" spans="11:11" ht="13.2">
      <c r="K948" s="28"/>
    </row>
    <row r="949" spans="11:11" ht="13.2">
      <c r="K949" s="28"/>
    </row>
    <row r="950" spans="11:11" ht="13.2">
      <c r="K950" s="28"/>
    </row>
    <row r="951" spans="11:11" ht="13.2">
      <c r="K951" s="28"/>
    </row>
    <row r="952" spans="11:11" ht="13.2">
      <c r="K952" s="28"/>
    </row>
    <row r="953" spans="11:11" ht="13.2">
      <c r="K953" s="28"/>
    </row>
    <row r="954" spans="11:11" ht="13.2">
      <c r="K954" s="28"/>
    </row>
    <row r="955" spans="11:11" ht="13.2">
      <c r="K955" s="28"/>
    </row>
    <row r="956" spans="11:11" ht="13.2">
      <c r="K956" s="28"/>
    </row>
    <row r="957" spans="11:11" ht="13.2">
      <c r="K957" s="28"/>
    </row>
    <row r="958" spans="11:11" ht="13.2">
      <c r="K958" s="28"/>
    </row>
    <row r="959" spans="11:11" ht="13.2">
      <c r="K959" s="28"/>
    </row>
    <row r="960" spans="11:11" ht="13.2">
      <c r="K960" s="28"/>
    </row>
    <row r="961" spans="11:11" ht="13.2">
      <c r="K961" s="28"/>
    </row>
    <row r="962" spans="11:11" ht="13.2">
      <c r="K962" s="28"/>
    </row>
    <row r="963" spans="11:11" ht="13.2">
      <c r="K963" s="28"/>
    </row>
    <row r="964" spans="11:11" ht="13.2">
      <c r="K964" s="28"/>
    </row>
    <row r="965" spans="11:11" ht="13.2">
      <c r="K965" s="28"/>
    </row>
    <row r="966" spans="11:11" ht="13.2">
      <c r="K966" s="28"/>
    </row>
    <row r="967" spans="11:11" ht="13.2">
      <c r="K967" s="28"/>
    </row>
    <row r="968" spans="11:11" ht="13.2">
      <c r="K968" s="28"/>
    </row>
    <row r="969" spans="11:11" ht="13.2">
      <c r="K969" s="28"/>
    </row>
    <row r="970" spans="11:11" ht="13.2">
      <c r="K970" s="28"/>
    </row>
    <row r="971" spans="11:11" ht="13.2">
      <c r="K971" s="28"/>
    </row>
    <row r="972" spans="11:11" ht="13.2">
      <c r="K972" s="28"/>
    </row>
    <row r="973" spans="11:11" ht="13.2">
      <c r="K973" s="28"/>
    </row>
    <row r="974" spans="11:11" ht="13.2">
      <c r="K974" s="28"/>
    </row>
    <row r="975" spans="11:11" ht="13.2">
      <c r="K975" s="28"/>
    </row>
    <row r="976" spans="11:11" ht="13.2">
      <c r="K976" s="28"/>
    </row>
    <row r="977" spans="11:11" ht="13.2">
      <c r="K977" s="28"/>
    </row>
    <row r="978" spans="11:11" ht="13.2">
      <c r="K978" s="28"/>
    </row>
    <row r="979" spans="11:11" ht="13.2">
      <c r="K979" s="28"/>
    </row>
    <row r="980" spans="11:11" ht="13.2">
      <c r="K980" s="28"/>
    </row>
    <row r="981" spans="11:11" ht="13.2">
      <c r="K981" s="28"/>
    </row>
    <row r="982" spans="11:11" ht="13.2">
      <c r="K982" s="28"/>
    </row>
    <row r="983" spans="11:11" ht="13.2">
      <c r="K983" s="28"/>
    </row>
    <row r="984" spans="11:11" ht="13.2">
      <c r="K984" s="28"/>
    </row>
    <row r="985" spans="11:11" ht="13.2">
      <c r="K985" s="28"/>
    </row>
    <row r="986" spans="11:11" ht="13.2">
      <c r="K986" s="28"/>
    </row>
    <row r="987" spans="11:11" ht="13.2">
      <c r="K987" s="28"/>
    </row>
    <row r="988" spans="11:11" ht="13.2">
      <c r="K988" s="28"/>
    </row>
    <row r="989" spans="11:11" ht="13.2">
      <c r="K989" s="28"/>
    </row>
    <row r="990" spans="11:11" ht="13.2">
      <c r="K990" s="28"/>
    </row>
    <row r="991" spans="11:11" ht="13.2">
      <c r="K991" s="28"/>
    </row>
    <row r="992" spans="11:11" ht="13.2">
      <c r="K992" s="28"/>
    </row>
    <row r="993" spans="11:11" ht="13.2">
      <c r="K993" s="28"/>
    </row>
    <row r="994" spans="11:11" ht="13.2">
      <c r="K994" s="28"/>
    </row>
    <row r="995" spans="11:11" ht="13.2">
      <c r="K995" s="28"/>
    </row>
    <row r="996" spans="11:11" ht="13.2">
      <c r="K996" s="28"/>
    </row>
    <row r="997" spans="11:11" ht="13.2">
      <c r="K997" s="28"/>
    </row>
    <row r="998" spans="11:11" ht="13.2">
      <c r="K998" s="28"/>
    </row>
    <row r="999" spans="11:11" ht="13.2">
      <c r="K999" s="28"/>
    </row>
    <row r="1000" spans="11:11" ht="13.2">
      <c r="K1000" s="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90"/>
  <sheetViews>
    <sheetView workbookViewId="0"/>
  </sheetViews>
  <sheetFormatPr defaultColWidth="12.6640625" defaultRowHeight="15.75" customHeight="1"/>
  <sheetData>
    <row r="1" spans="1:7">
      <c r="A1" s="117" t="s">
        <v>4718</v>
      </c>
      <c r="B1" s="117" t="s">
        <v>8792</v>
      </c>
      <c r="C1" s="117" t="s">
        <v>8793</v>
      </c>
      <c r="D1" s="117" t="s">
        <v>8794</v>
      </c>
      <c r="E1" s="117" t="s">
        <v>8795</v>
      </c>
      <c r="F1" s="117" t="s">
        <v>8796</v>
      </c>
      <c r="G1" s="117" t="s">
        <v>8797</v>
      </c>
    </row>
    <row r="2" spans="1:7">
      <c r="A2" s="117">
        <v>311</v>
      </c>
      <c r="B2" s="117" t="s">
        <v>8798</v>
      </c>
      <c r="C2" s="117" t="s">
        <v>1329</v>
      </c>
      <c r="D2" s="117" t="s">
        <v>1328</v>
      </c>
      <c r="E2" s="117" t="s">
        <v>8799</v>
      </c>
      <c r="F2" s="117" t="s">
        <v>5162</v>
      </c>
    </row>
    <row r="3" spans="1:7">
      <c r="A3" s="117">
        <v>311</v>
      </c>
      <c r="B3" s="117" t="s">
        <v>8798</v>
      </c>
      <c r="C3" s="117" t="s">
        <v>1329</v>
      </c>
      <c r="D3" s="117" t="s">
        <v>1328</v>
      </c>
      <c r="E3" s="117" t="s">
        <v>8800</v>
      </c>
      <c r="F3" s="117" t="s">
        <v>5162</v>
      </c>
    </row>
    <row r="4" spans="1:7">
      <c r="A4" s="117">
        <v>311</v>
      </c>
      <c r="B4" s="117" t="s">
        <v>8798</v>
      </c>
      <c r="C4" s="117" t="s">
        <v>1329</v>
      </c>
      <c r="D4" s="117" t="s">
        <v>1328</v>
      </c>
      <c r="E4" s="117" t="s">
        <v>8800</v>
      </c>
      <c r="F4" s="117" t="s">
        <v>5162</v>
      </c>
    </row>
    <row r="5" spans="1:7">
      <c r="A5" s="117">
        <v>311</v>
      </c>
      <c r="B5" s="117" t="s">
        <v>8798</v>
      </c>
      <c r="C5" s="117" t="s">
        <v>1329</v>
      </c>
      <c r="D5" s="117" t="s">
        <v>1328</v>
      </c>
      <c r="E5" s="117" t="s">
        <v>3160</v>
      </c>
      <c r="F5" s="117" t="s">
        <v>5162</v>
      </c>
    </row>
    <row r="6" spans="1:7">
      <c r="A6" s="117">
        <v>311</v>
      </c>
      <c r="B6" s="117" t="s">
        <v>8798</v>
      </c>
      <c r="C6" s="117" t="s">
        <v>1329</v>
      </c>
      <c r="D6" s="117" t="s">
        <v>1328</v>
      </c>
      <c r="E6" s="117" t="s">
        <v>2941</v>
      </c>
      <c r="F6" s="117" t="s">
        <v>5162</v>
      </c>
    </row>
    <row r="7" spans="1:7">
      <c r="A7" s="117">
        <v>311</v>
      </c>
      <c r="B7" s="117" t="s">
        <v>8798</v>
      </c>
      <c r="C7" s="117" t="s">
        <v>1329</v>
      </c>
      <c r="D7" s="117" t="s">
        <v>1328</v>
      </c>
      <c r="E7" s="117" t="s">
        <v>8801</v>
      </c>
      <c r="F7" s="117" t="s">
        <v>5162</v>
      </c>
    </row>
    <row r="8" spans="1:7">
      <c r="A8" s="117">
        <v>311</v>
      </c>
      <c r="B8" s="117" t="s">
        <v>8798</v>
      </c>
      <c r="C8" s="117" t="s">
        <v>1329</v>
      </c>
      <c r="D8" s="117" t="s">
        <v>1328</v>
      </c>
      <c r="E8" s="117" t="s">
        <v>2844</v>
      </c>
      <c r="F8" s="117" t="s">
        <v>8802</v>
      </c>
    </row>
    <row r="9" spans="1:7">
      <c r="A9" s="117">
        <v>311</v>
      </c>
      <c r="B9" s="117" t="s">
        <v>8798</v>
      </c>
      <c r="C9" s="117" t="s">
        <v>1329</v>
      </c>
      <c r="D9" s="117" t="s">
        <v>1328</v>
      </c>
      <c r="E9" s="117" t="s">
        <v>2733</v>
      </c>
      <c r="F9" s="117" t="s">
        <v>8802</v>
      </c>
    </row>
    <row r="10" spans="1:7">
      <c r="A10" s="117">
        <v>311</v>
      </c>
      <c r="B10" s="117" t="s">
        <v>8798</v>
      </c>
      <c r="C10" s="117" t="s">
        <v>1329</v>
      </c>
      <c r="D10" s="117" t="s">
        <v>1328</v>
      </c>
      <c r="E10" s="117" t="s">
        <v>8803</v>
      </c>
      <c r="F10" s="117" t="s">
        <v>8802</v>
      </c>
    </row>
    <row r="11" spans="1:7">
      <c r="A11" s="117">
        <v>311</v>
      </c>
      <c r="B11" s="117" t="s">
        <v>8798</v>
      </c>
      <c r="C11" s="117" t="s">
        <v>1329</v>
      </c>
      <c r="D11" s="117" t="s">
        <v>1328</v>
      </c>
      <c r="E11" s="117" t="s">
        <v>8804</v>
      </c>
      <c r="F11" s="117" t="s">
        <v>8802</v>
      </c>
    </row>
    <row r="12" spans="1:7">
      <c r="A12" s="117">
        <v>311</v>
      </c>
      <c r="B12" s="117" t="s">
        <v>8798</v>
      </c>
      <c r="C12" s="117" t="s">
        <v>1329</v>
      </c>
      <c r="D12" s="117" t="s">
        <v>1328</v>
      </c>
      <c r="E12" s="117" t="s">
        <v>8805</v>
      </c>
      <c r="F12" s="117" t="s">
        <v>8802</v>
      </c>
    </row>
    <row r="13" spans="1:7">
      <c r="A13" s="117">
        <v>311</v>
      </c>
      <c r="B13" s="117" t="s">
        <v>8798</v>
      </c>
      <c r="C13" s="117" t="s">
        <v>1329</v>
      </c>
      <c r="D13" s="117" t="s">
        <v>1328</v>
      </c>
      <c r="E13" s="117" t="s">
        <v>2659</v>
      </c>
      <c r="F13" s="117" t="s">
        <v>8802</v>
      </c>
    </row>
    <row r="14" spans="1:7">
      <c r="A14" s="117">
        <v>311</v>
      </c>
      <c r="B14" s="117" t="s">
        <v>8798</v>
      </c>
      <c r="C14" s="117" t="s">
        <v>1329</v>
      </c>
      <c r="D14" s="117" t="s">
        <v>1328</v>
      </c>
      <c r="E14" s="117" t="s">
        <v>8806</v>
      </c>
      <c r="F14" s="117" t="s">
        <v>8807</v>
      </c>
    </row>
    <row r="15" spans="1:7">
      <c r="A15" s="117">
        <v>311</v>
      </c>
      <c r="B15" s="117" t="s">
        <v>8798</v>
      </c>
      <c r="C15" s="117" t="s">
        <v>1329</v>
      </c>
      <c r="D15" s="117" t="s">
        <v>1328</v>
      </c>
      <c r="E15" s="117" t="s">
        <v>5528</v>
      </c>
      <c r="F15" s="117" t="s">
        <v>8807</v>
      </c>
    </row>
    <row r="16" spans="1:7">
      <c r="A16" s="117">
        <v>311</v>
      </c>
      <c r="B16" s="117" t="s">
        <v>8798</v>
      </c>
      <c r="C16" s="117" t="s">
        <v>1329</v>
      </c>
      <c r="D16" s="117" t="s">
        <v>1328</v>
      </c>
      <c r="E16" s="117" t="s">
        <v>8808</v>
      </c>
      <c r="F16" s="117" t="s">
        <v>8807</v>
      </c>
    </row>
    <row r="17" spans="1:6">
      <c r="A17" s="117">
        <v>311</v>
      </c>
      <c r="B17" s="117" t="s">
        <v>8798</v>
      </c>
      <c r="C17" s="117" t="s">
        <v>1329</v>
      </c>
      <c r="D17" s="117" t="s">
        <v>1328</v>
      </c>
      <c r="E17" s="117" t="s">
        <v>8806</v>
      </c>
      <c r="F17" s="117" t="s">
        <v>8807</v>
      </c>
    </row>
    <row r="18" spans="1:6">
      <c r="A18" s="117">
        <v>311</v>
      </c>
      <c r="B18" s="117" t="s">
        <v>8798</v>
      </c>
      <c r="C18" s="117" t="s">
        <v>1329</v>
      </c>
      <c r="D18" s="117" t="s">
        <v>1328</v>
      </c>
      <c r="E18" s="117" t="s">
        <v>2659</v>
      </c>
      <c r="F18" s="117" t="s">
        <v>8807</v>
      </c>
    </row>
    <row r="19" spans="1:6">
      <c r="A19" s="117">
        <v>313</v>
      </c>
      <c r="B19" s="117" t="s">
        <v>8809</v>
      </c>
      <c r="C19" s="117" t="s">
        <v>1352</v>
      </c>
      <c r="D19" s="117" t="s">
        <v>1975</v>
      </c>
      <c r="E19" s="117" t="s">
        <v>3080</v>
      </c>
      <c r="F19" s="117" t="s">
        <v>5162</v>
      </c>
    </row>
    <row r="20" spans="1:6">
      <c r="A20" s="117">
        <v>313</v>
      </c>
      <c r="B20" s="117" t="s">
        <v>8809</v>
      </c>
      <c r="C20" s="117" t="s">
        <v>1352</v>
      </c>
      <c r="D20" s="117" t="s">
        <v>1975</v>
      </c>
      <c r="E20" s="117" t="s">
        <v>8810</v>
      </c>
      <c r="F20" s="117" t="s">
        <v>5162</v>
      </c>
    </row>
    <row r="21" spans="1:6">
      <c r="A21" s="117">
        <v>313</v>
      </c>
      <c r="B21" s="117" t="s">
        <v>8809</v>
      </c>
      <c r="C21" s="117" t="s">
        <v>1352</v>
      </c>
      <c r="D21" s="117" t="s">
        <v>1975</v>
      </c>
      <c r="E21" s="117" t="s">
        <v>8811</v>
      </c>
      <c r="F21" s="117" t="s">
        <v>5162</v>
      </c>
    </row>
    <row r="22" spans="1:6">
      <c r="A22" s="117">
        <v>313</v>
      </c>
      <c r="B22" s="117" t="s">
        <v>8809</v>
      </c>
      <c r="C22" s="117" t="s">
        <v>1352</v>
      </c>
      <c r="D22" s="117" t="s">
        <v>1975</v>
      </c>
      <c r="E22" s="117" t="s">
        <v>8812</v>
      </c>
      <c r="F22" s="117" t="s">
        <v>5162</v>
      </c>
    </row>
    <row r="23" spans="1:6">
      <c r="A23" s="117">
        <v>313</v>
      </c>
      <c r="B23" s="117" t="s">
        <v>8809</v>
      </c>
      <c r="C23" s="117" t="s">
        <v>1352</v>
      </c>
      <c r="D23" s="117" t="s">
        <v>1975</v>
      </c>
      <c r="E23" s="117" t="s">
        <v>3182</v>
      </c>
      <c r="F23" s="117" t="s">
        <v>5162</v>
      </c>
    </row>
    <row r="24" spans="1:6">
      <c r="A24" s="117">
        <v>313</v>
      </c>
      <c r="B24" s="117" t="s">
        <v>8809</v>
      </c>
      <c r="C24" s="117" t="s">
        <v>1352</v>
      </c>
      <c r="D24" s="117" t="s">
        <v>1975</v>
      </c>
      <c r="E24" s="117" t="s">
        <v>2724</v>
      </c>
      <c r="F24" s="117" t="s">
        <v>8802</v>
      </c>
    </row>
    <row r="25" spans="1:6">
      <c r="A25" s="117">
        <v>313</v>
      </c>
      <c r="B25" s="117" t="s">
        <v>8809</v>
      </c>
      <c r="C25" s="117" t="s">
        <v>1352</v>
      </c>
      <c r="D25" s="117" t="s">
        <v>1975</v>
      </c>
      <c r="E25" s="117" t="s">
        <v>8806</v>
      </c>
      <c r="F25" s="117" t="s">
        <v>8802</v>
      </c>
    </row>
    <row r="26" spans="1:6">
      <c r="A26" s="117">
        <v>313</v>
      </c>
      <c r="B26" s="117" t="s">
        <v>8809</v>
      </c>
      <c r="C26" s="117" t="s">
        <v>1352</v>
      </c>
      <c r="D26" s="117" t="s">
        <v>1975</v>
      </c>
      <c r="E26" s="117" t="s">
        <v>8806</v>
      </c>
      <c r="F26" s="117" t="s">
        <v>8802</v>
      </c>
    </row>
    <row r="27" spans="1:6">
      <c r="A27" s="117">
        <v>313</v>
      </c>
      <c r="B27" s="117" t="s">
        <v>8809</v>
      </c>
      <c r="C27" s="117" t="s">
        <v>1352</v>
      </c>
      <c r="D27" s="117" t="s">
        <v>1975</v>
      </c>
      <c r="E27" s="117" t="s">
        <v>8813</v>
      </c>
      <c r="F27" s="117" t="s">
        <v>8802</v>
      </c>
    </row>
    <row r="28" spans="1:6">
      <c r="A28" s="117">
        <v>313</v>
      </c>
      <c r="B28" s="117" t="s">
        <v>8809</v>
      </c>
      <c r="C28" s="117" t="s">
        <v>1352</v>
      </c>
      <c r="D28" s="117" t="s">
        <v>1975</v>
      </c>
      <c r="E28" s="117" t="s">
        <v>8814</v>
      </c>
      <c r="F28" s="117" t="s">
        <v>8807</v>
      </c>
    </row>
    <row r="29" spans="1:6">
      <c r="A29" s="117">
        <v>313</v>
      </c>
      <c r="B29" s="117" t="s">
        <v>8809</v>
      </c>
      <c r="C29" s="117" t="s">
        <v>1352</v>
      </c>
      <c r="D29" s="117" t="s">
        <v>1975</v>
      </c>
      <c r="E29" s="117" t="s">
        <v>8806</v>
      </c>
      <c r="F29" s="117" t="s">
        <v>8807</v>
      </c>
    </row>
    <row r="30" spans="1:6">
      <c r="A30" s="117">
        <v>313</v>
      </c>
      <c r="B30" s="117" t="s">
        <v>8809</v>
      </c>
      <c r="C30" s="117" t="s">
        <v>1352</v>
      </c>
      <c r="D30" s="117" t="s">
        <v>1975</v>
      </c>
      <c r="E30" s="117" t="s">
        <v>8806</v>
      </c>
      <c r="F30" s="117" t="s">
        <v>8807</v>
      </c>
    </row>
    <row r="31" spans="1:6">
      <c r="A31" s="117">
        <v>313</v>
      </c>
      <c r="B31" s="117" t="s">
        <v>8809</v>
      </c>
      <c r="C31" s="117" t="s">
        <v>1352</v>
      </c>
      <c r="D31" s="117" t="s">
        <v>1975</v>
      </c>
      <c r="E31" s="117" t="s">
        <v>8815</v>
      </c>
      <c r="F31" s="117" t="s">
        <v>8807</v>
      </c>
    </row>
    <row r="32" spans="1:6">
      <c r="A32" s="117">
        <v>315</v>
      </c>
      <c r="B32" s="117" t="s">
        <v>8816</v>
      </c>
      <c r="C32" s="117" t="s">
        <v>1393</v>
      </c>
      <c r="D32" s="117" t="s">
        <v>2158</v>
      </c>
      <c r="E32" s="117" t="s">
        <v>3192</v>
      </c>
      <c r="F32" s="117" t="s">
        <v>5162</v>
      </c>
    </row>
    <row r="33" spans="1:6">
      <c r="A33" s="117">
        <v>315</v>
      </c>
      <c r="B33" s="117" t="s">
        <v>8816</v>
      </c>
      <c r="C33" s="117" t="s">
        <v>1393</v>
      </c>
      <c r="D33" s="117" t="s">
        <v>2158</v>
      </c>
      <c r="E33" s="117" t="s">
        <v>2934</v>
      </c>
      <c r="F33" s="117" t="s">
        <v>5162</v>
      </c>
    </row>
    <row r="34" spans="1:6">
      <c r="A34" s="117">
        <v>315</v>
      </c>
      <c r="B34" s="117" t="s">
        <v>8816</v>
      </c>
      <c r="C34" s="117" t="s">
        <v>1393</v>
      </c>
      <c r="D34" s="117" t="s">
        <v>2158</v>
      </c>
      <c r="E34" s="117" t="s">
        <v>8817</v>
      </c>
      <c r="F34" s="117" t="s">
        <v>5162</v>
      </c>
    </row>
    <row r="35" spans="1:6">
      <c r="A35" s="117">
        <v>315</v>
      </c>
      <c r="B35" s="117" t="s">
        <v>8816</v>
      </c>
      <c r="C35" s="117" t="s">
        <v>1393</v>
      </c>
      <c r="D35" s="117" t="s">
        <v>2158</v>
      </c>
      <c r="E35" s="117" t="s">
        <v>8818</v>
      </c>
      <c r="F35" s="117" t="s">
        <v>5162</v>
      </c>
    </row>
    <row r="36" spans="1:6">
      <c r="A36" s="117">
        <v>315</v>
      </c>
      <c r="B36" s="117" t="s">
        <v>8816</v>
      </c>
      <c r="C36" s="117" t="s">
        <v>1393</v>
      </c>
      <c r="D36" s="117" t="s">
        <v>2158</v>
      </c>
      <c r="E36" s="117" t="s">
        <v>8819</v>
      </c>
      <c r="F36" s="117" t="s">
        <v>8802</v>
      </c>
    </row>
    <row r="37" spans="1:6">
      <c r="A37" s="117">
        <v>315</v>
      </c>
      <c r="B37" s="117" t="s">
        <v>8816</v>
      </c>
      <c r="C37" s="117" t="s">
        <v>1393</v>
      </c>
      <c r="D37" s="117" t="s">
        <v>2158</v>
      </c>
      <c r="E37" s="117" t="s">
        <v>8820</v>
      </c>
      <c r="F37" s="117" t="s">
        <v>8802</v>
      </c>
    </row>
    <row r="38" spans="1:6">
      <c r="A38" s="117">
        <v>315</v>
      </c>
      <c r="B38" s="117" t="s">
        <v>8816</v>
      </c>
      <c r="C38" s="117" t="s">
        <v>1393</v>
      </c>
      <c r="D38" s="117" t="s">
        <v>2158</v>
      </c>
      <c r="E38" s="117" t="s">
        <v>8502</v>
      </c>
      <c r="F38" s="117" t="s">
        <v>8802</v>
      </c>
    </row>
    <row r="39" spans="1:6">
      <c r="A39" s="117">
        <v>315</v>
      </c>
      <c r="B39" s="117" t="s">
        <v>8816</v>
      </c>
      <c r="C39" s="117" t="s">
        <v>1393</v>
      </c>
      <c r="D39" s="117" t="s">
        <v>2158</v>
      </c>
      <c r="E39" s="117" t="s">
        <v>8806</v>
      </c>
      <c r="F39" s="117" t="s">
        <v>8807</v>
      </c>
    </row>
    <row r="40" spans="1:6">
      <c r="A40" s="117">
        <v>315</v>
      </c>
      <c r="B40" s="117" t="s">
        <v>8816</v>
      </c>
      <c r="C40" s="117" t="s">
        <v>1393</v>
      </c>
      <c r="D40" s="117" t="s">
        <v>2158</v>
      </c>
      <c r="E40" s="117" t="s">
        <v>8502</v>
      </c>
      <c r="F40" s="117" t="s">
        <v>8807</v>
      </c>
    </row>
    <row r="41" spans="1:6">
      <c r="A41" s="117">
        <v>317</v>
      </c>
      <c r="B41" s="117" t="s">
        <v>8821</v>
      </c>
      <c r="C41" s="117" t="s">
        <v>1417</v>
      </c>
      <c r="D41" s="117" t="s">
        <v>2361</v>
      </c>
      <c r="E41" s="117" t="s">
        <v>2972</v>
      </c>
      <c r="F41" s="117" t="s">
        <v>5162</v>
      </c>
    </row>
    <row r="42" spans="1:6">
      <c r="A42" s="117">
        <v>317</v>
      </c>
      <c r="B42" s="117" t="s">
        <v>8821</v>
      </c>
      <c r="C42" s="117" t="s">
        <v>1417</v>
      </c>
      <c r="D42" s="117" t="s">
        <v>2361</v>
      </c>
      <c r="E42" s="117" t="s">
        <v>5292</v>
      </c>
      <c r="F42" s="117" t="s">
        <v>5162</v>
      </c>
    </row>
    <row r="43" spans="1:6">
      <c r="A43" s="117">
        <v>317</v>
      </c>
      <c r="B43" s="117" t="s">
        <v>8821</v>
      </c>
      <c r="C43" s="117" t="s">
        <v>1417</v>
      </c>
      <c r="D43" s="117" t="s">
        <v>2361</v>
      </c>
      <c r="E43" s="117" t="s">
        <v>7284</v>
      </c>
      <c r="F43" s="117" t="s">
        <v>5162</v>
      </c>
    </row>
    <row r="44" spans="1:6">
      <c r="A44" s="117">
        <v>317</v>
      </c>
      <c r="B44" s="117" t="s">
        <v>8821</v>
      </c>
      <c r="C44" s="117" t="s">
        <v>1417</v>
      </c>
      <c r="D44" s="117" t="s">
        <v>2361</v>
      </c>
      <c r="E44" s="117" t="s">
        <v>3075</v>
      </c>
      <c r="F44" s="117" t="s">
        <v>5162</v>
      </c>
    </row>
    <row r="45" spans="1:6">
      <c r="A45" s="117">
        <v>317</v>
      </c>
      <c r="B45" s="117" t="s">
        <v>8821</v>
      </c>
      <c r="C45" s="117" t="s">
        <v>1417</v>
      </c>
      <c r="D45" s="117" t="s">
        <v>2361</v>
      </c>
      <c r="E45" s="117" t="s">
        <v>8822</v>
      </c>
      <c r="F45" s="117" t="s">
        <v>5162</v>
      </c>
    </row>
    <row r="46" spans="1:6">
      <c r="A46" s="117">
        <v>317</v>
      </c>
      <c r="B46" s="117" t="s">
        <v>8821</v>
      </c>
      <c r="C46" s="117" t="s">
        <v>1417</v>
      </c>
      <c r="D46" s="117" t="s">
        <v>2361</v>
      </c>
      <c r="E46" s="117" t="s">
        <v>8823</v>
      </c>
      <c r="F46" s="117" t="s">
        <v>8802</v>
      </c>
    </row>
    <row r="47" spans="1:6">
      <c r="A47" s="117">
        <v>317</v>
      </c>
      <c r="B47" s="117" t="s">
        <v>8821</v>
      </c>
      <c r="C47" s="117" t="s">
        <v>1417</v>
      </c>
      <c r="D47" s="117" t="s">
        <v>2361</v>
      </c>
      <c r="E47" s="117" t="s">
        <v>8824</v>
      </c>
      <c r="F47" s="117" t="s">
        <v>8802</v>
      </c>
    </row>
    <row r="48" spans="1:6">
      <c r="A48" s="117">
        <v>317</v>
      </c>
      <c r="B48" s="117" t="s">
        <v>8821</v>
      </c>
      <c r="C48" s="117" t="s">
        <v>1417</v>
      </c>
      <c r="D48" s="117" t="s">
        <v>2361</v>
      </c>
      <c r="E48" s="117" t="s">
        <v>2676</v>
      </c>
      <c r="F48" s="117" t="s">
        <v>8802</v>
      </c>
    </row>
    <row r="49" spans="1:6">
      <c r="A49" s="117">
        <v>317</v>
      </c>
      <c r="B49" s="117" t="s">
        <v>8821</v>
      </c>
      <c r="C49" s="117" t="s">
        <v>1417</v>
      </c>
      <c r="D49" s="117" t="s">
        <v>2361</v>
      </c>
      <c r="E49" s="117" t="s">
        <v>8806</v>
      </c>
      <c r="F49" s="117" t="s">
        <v>8807</v>
      </c>
    </row>
    <row r="50" spans="1:6">
      <c r="A50" s="117">
        <v>317</v>
      </c>
      <c r="B50" s="117" t="s">
        <v>8821</v>
      </c>
      <c r="C50" s="117" t="s">
        <v>1417</v>
      </c>
      <c r="D50" s="117" t="s">
        <v>2361</v>
      </c>
      <c r="E50" s="117" t="s">
        <v>5275</v>
      </c>
      <c r="F50" s="117" t="s">
        <v>8807</v>
      </c>
    </row>
    <row r="51" spans="1:6">
      <c r="A51" s="117">
        <v>317</v>
      </c>
      <c r="B51" s="117" t="s">
        <v>8821</v>
      </c>
      <c r="C51" s="117" t="s">
        <v>1417</v>
      </c>
      <c r="D51" s="117" t="s">
        <v>2361</v>
      </c>
      <c r="E51" s="117" t="s">
        <v>2676</v>
      </c>
      <c r="F51" s="117" t="s">
        <v>8807</v>
      </c>
    </row>
    <row r="52" spans="1:6">
      <c r="A52" s="117">
        <v>318</v>
      </c>
      <c r="B52" s="117" t="s">
        <v>8825</v>
      </c>
      <c r="C52" s="117" t="s">
        <v>1512</v>
      </c>
      <c r="D52" s="117" t="s">
        <v>1939</v>
      </c>
      <c r="E52" s="117" t="s">
        <v>8826</v>
      </c>
      <c r="F52" s="117" t="s">
        <v>5162</v>
      </c>
    </row>
    <row r="53" spans="1:6">
      <c r="A53" s="117">
        <v>318</v>
      </c>
      <c r="B53" s="117" t="s">
        <v>8825</v>
      </c>
      <c r="C53" s="117" t="s">
        <v>1512</v>
      </c>
      <c r="D53" s="117" t="s">
        <v>1939</v>
      </c>
      <c r="E53" s="117" t="s">
        <v>8827</v>
      </c>
      <c r="F53" s="117" t="s">
        <v>5162</v>
      </c>
    </row>
    <row r="54" spans="1:6">
      <c r="A54" s="117">
        <v>318</v>
      </c>
      <c r="B54" s="117" t="s">
        <v>8825</v>
      </c>
      <c r="C54" s="117" t="s">
        <v>1512</v>
      </c>
      <c r="D54" s="117" t="s">
        <v>1939</v>
      </c>
      <c r="E54" s="117" t="s">
        <v>2916</v>
      </c>
      <c r="F54" s="117" t="s">
        <v>5162</v>
      </c>
    </row>
    <row r="55" spans="1:6">
      <c r="A55" s="117">
        <v>318</v>
      </c>
      <c r="B55" s="117" t="s">
        <v>8825</v>
      </c>
      <c r="C55" s="117" t="s">
        <v>1512</v>
      </c>
      <c r="D55" s="117" t="s">
        <v>1939</v>
      </c>
      <c r="E55" s="117" t="s">
        <v>3221</v>
      </c>
      <c r="F55" s="117" t="s">
        <v>5162</v>
      </c>
    </row>
    <row r="56" spans="1:6">
      <c r="A56" s="117">
        <v>318</v>
      </c>
      <c r="B56" s="117" t="s">
        <v>8825</v>
      </c>
      <c r="C56" s="117" t="s">
        <v>1512</v>
      </c>
      <c r="D56" s="117" t="s">
        <v>1939</v>
      </c>
      <c r="E56" s="117" t="s">
        <v>8828</v>
      </c>
      <c r="F56" s="117" t="s">
        <v>5162</v>
      </c>
    </row>
    <row r="57" spans="1:6">
      <c r="A57" s="117">
        <v>318</v>
      </c>
      <c r="B57" s="117" t="s">
        <v>8825</v>
      </c>
      <c r="C57" s="117" t="s">
        <v>1512</v>
      </c>
      <c r="D57" s="117" t="s">
        <v>1939</v>
      </c>
      <c r="E57" s="117" t="s">
        <v>8829</v>
      </c>
      <c r="F57" s="117" t="s">
        <v>5162</v>
      </c>
    </row>
    <row r="58" spans="1:6">
      <c r="A58" s="117">
        <v>318</v>
      </c>
      <c r="B58" s="117" t="s">
        <v>8825</v>
      </c>
      <c r="C58" s="117" t="s">
        <v>1512</v>
      </c>
      <c r="D58" s="117" t="s">
        <v>1939</v>
      </c>
      <c r="E58" s="117" t="s">
        <v>2966</v>
      </c>
      <c r="F58" s="117" t="s">
        <v>5162</v>
      </c>
    </row>
    <row r="59" spans="1:6">
      <c r="A59" s="117">
        <v>318</v>
      </c>
      <c r="B59" s="117" t="s">
        <v>8825</v>
      </c>
      <c r="C59" s="117" t="s">
        <v>1512</v>
      </c>
      <c r="D59" s="117" t="s">
        <v>1939</v>
      </c>
      <c r="E59" s="117" t="s">
        <v>8830</v>
      </c>
      <c r="F59" s="117" t="s">
        <v>5162</v>
      </c>
    </row>
    <row r="60" spans="1:6">
      <c r="A60" s="117">
        <v>318</v>
      </c>
      <c r="B60" s="117" t="s">
        <v>8825</v>
      </c>
      <c r="C60" s="117" t="s">
        <v>1512</v>
      </c>
      <c r="D60" s="117" t="s">
        <v>1939</v>
      </c>
      <c r="E60" s="117" t="s">
        <v>8831</v>
      </c>
      <c r="F60" s="117" t="s">
        <v>5162</v>
      </c>
    </row>
    <row r="61" spans="1:6">
      <c r="A61" s="117">
        <v>318</v>
      </c>
      <c r="B61" s="117" t="s">
        <v>8825</v>
      </c>
      <c r="C61" s="117" t="s">
        <v>1512</v>
      </c>
      <c r="D61" s="117" t="s">
        <v>1939</v>
      </c>
      <c r="E61" s="117" t="s">
        <v>2916</v>
      </c>
      <c r="F61" s="117" t="s">
        <v>8802</v>
      </c>
    </row>
    <row r="62" spans="1:6">
      <c r="A62" s="117">
        <v>318</v>
      </c>
      <c r="B62" s="117" t="s">
        <v>8825</v>
      </c>
      <c r="C62" s="117" t="s">
        <v>1512</v>
      </c>
      <c r="D62" s="117" t="s">
        <v>1939</v>
      </c>
      <c r="E62" s="117" t="s">
        <v>2668</v>
      </c>
      <c r="F62" s="117" t="s">
        <v>8802</v>
      </c>
    </row>
    <row r="63" spans="1:6">
      <c r="A63" s="117">
        <v>318</v>
      </c>
      <c r="B63" s="117" t="s">
        <v>8825</v>
      </c>
      <c r="C63" s="117" t="s">
        <v>1512</v>
      </c>
      <c r="D63" s="117" t="s">
        <v>1939</v>
      </c>
      <c r="E63" s="117" t="s">
        <v>2840</v>
      </c>
      <c r="F63" s="117" t="s">
        <v>8802</v>
      </c>
    </row>
    <row r="64" spans="1:6">
      <c r="A64" s="117">
        <v>318</v>
      </c>
      <c r="B64" s="117" t="s">
        <v>8825</v>
      </c>
      <c r="C64" s="117" t="s">
        <v>1512</v>
      </c>
      <c r="D64" s="117" t="s">
        <v>1939</v>
      </c>
      <c r="E64" s="117" t="s">
        <v>8806</v>
      </c>
      <c r="F64" s="117" t="s">
        <v>8802</v>
      </c>
    </row>
    <row r="65" spans="1:6">
      <c r="A65" s="117">
        <v>318</v>
      </c>
      <c r="B65" s="117" t="s">
        <v>8825</v>
      </c>
      <c r="C65" s="117" t="s">
        <v>1512</v>
      </c>
      <c r="D65" s="117" t="s">
        <v>1939</v>
      </c>
      <c r="E65" s="117" t="s">
        <v>8806</v>
      </c>
      <c r="F65" s="117" t="s">
        <v>8802</v>
      </c>
    </row>
    <row r="66" spans="1:6">
      <c r="A66" s="117">
        <v>318</v>
      </c>
      <c r="B66" s="117" t="s">
        <v>8825</v>
      </c>
      <c r="C66" s="117" t="s">
        <v>1512</v>
      </c>
      <c r="D66" s="117" t="s">
        <v>1939</v>
      </c>
      <c r="E66" s="117" t="s">
        <v>8806</v>
      </c>
      <c r="F66" s="117" t="s">
        <v>8802</v>
      </c>
    </row>
    <row r="67" spans="1:6">
      <c r="A67" s="117">
        <v>318</v>
      </c>
      <c r="B67" s="117" t="s">
        <v>8825</v>
      </c>
      <c r="C67" s="117" t="s">
        <v>1512</v>
      </c>
      <c r="D67" s="117" t="s">
        <v>1939</v>
      </c>
      <c r="E67" s="117" t="s">
        <v>2668</v>
      </c>
      <c r="F67" s="117" t="s">
        <v>8807</v>
      </c>
    </row>
    <row r="68" spans="1:6">
      <c r="A68" s="117">
        <v>318</v>
      </c>
      <c r="B68" s="117" t="s">
        <v>8825</v>
      </c>
      <c r="C68" s="117" t="s">
        <v>1512</v>
      </c>
      <c r="D68" s="117" t="s">
        <v>1939</v>
      </c>
      <c r="E68" s="117" t="s">
        <v>8806</v>
      </c>
      <c r="F68" s="117" t="s">
        <v>8807</v>
      </c>
    </row>
    <row r="69" spans="1:6">
      <c r="A69" s="117">
        <v>318</v>
      </c>
      <c r="B69" s="117" t="s">
        <v>8825</v>
      </c>
      <c r="C69" s="117" t="s">
        <v>1512</v>
      </c>
      <c r="D69" s="117" t="s">
        <v>1939</v>
      </c>
      <c r="E69" s="117" t="s">
        <v>8806</v>
      </c>
      <c r="F69" s="117" t="s">
        <v>8807</v>
      </c>
    </row>
    <row r="70" spans="1:6">
      <c r="A70" s="117">
        <v>318</v>
      </c>
      <c r="B70" s="117" t="s">
        <v>8825</v>
      </c>
      <c r="C70" s="117" t="s">
        <v>1512</v>
      </c>
      <c r="D70" s="117" t="s">
        <v>1939</v>
      </c>
      <c r="E70" s="117" t="s">
        <v>8806</v>
      </c>
      <c r="F70" s="117" t="s">
        <v>8807</v>
      </c>
    </row>
    <row r="71" spans="1:6">
      <c r="A71" s="117">
        <v>320</v>
      </c>
      <c r="B71" s="117" t="s">
        <v>8832</v>
      </c>
      <c r="C71" s="117" t="s">
        <v>1462</v>
      </c>
      <c r="D71" s="117" t="s">
        <v>1820</v>
      </c>
      <c r="E71" s="117" t="s">
        <v>2854</v>
      </c>
      <c r="F71" s="117" t="s">
        <v>5162</v>
      </c>
    </row>
    <row r="72" spans="1:6">
      <c r="A72" s="117">
        <v>320</v>
      </c>
      <c r="B72" s="117" t="s">
        <v>8832</v>
      </c>
      <c r="C72" s="117" t="s">
        <v>1462</v>
      </c>
      <c r="D72" s="117" t="s">
        <v>1820</v>
      </c>
      <c r="E72" s="117" t="s">
        <v>6676</v>
      </c>
      <c r="F72" s="117" t="s">
        <v>5162</v>
      </c>
    </row>
    <row r="73" spans="1:6">
      <c r="A73" s="117">
        <v>320</v>
      </c>
      <c r="B73" s="117" t="s">
        <v>8832</v>
      </c>
      <c r="C73" s="117" t="s">
        <v>1462</v>
      </c>
      <c r="D73" s="117" t="s">
        <v>1820</v>
      </c>
      <c r="E73" s="117" t="s">
        <v>8833</v>
      </c>
      <c r="F73" s="117" t="s">
        <v>5162</v>
      </c>
    </row>
    <row r="74" spans="1:6">
      <c r="A74" s="117">
        <v>320</v>
      </c>
      <c r="B74" s="117" t="s">
        <v>8832</v>
      </c>
      <c r="C74" s="117" t="s">
        <v>1462</v>
      </c>
      <c r="D74" s="117" t="s">
        <v>1820</v>
      </c>
      <c r="E74" s="117" t="s">
        <v>2854</v>
      </c>
      <c r="F74" s="117" t="s">
        <v>8802</v>
      </c>
    </row>
    <row r="75" spans="1:6">
      <c r="A75" s="117">
        <v>320</v>
      </c>
      <c r="B75" s="117" t="s">
        <v>8832</v>
      </c>
      <c r="C75" s="117" t="s">
        <v>1462</v>
      </c>
      <c r="D75" s="117" t="s">
        <v>1820</v>
      </c>
      <c r="E75" s="117" t="s">
        <v>6676</v>
      </c>
      <c r="F75" s="117" t="s">
        <v>8802</v>
      </c>
    </row>
    <row r="76" spans="1:6">
      <c r="A76" s="117">
        <v>320</v>
      </c>
      <c r="B76" s="117" t="s">
        <v>8832</v>
      </c>
      <c r="C76" s="117" t="s">
        <v>1462</v>
      </c>
      <c r="D76" s="117" t="s">
        <v>1820</v>
      </c>
      <c r="E76" s="117" t="s">
        <v>8834</v>
      </c>
      <c r="F76" s="117" t="s">
        <v>8802</v>
      </c>
    </row>
    <row r="77" spans="1:6">
      <c r="A77" s="117">
        <v>320</v>
      </c>
      <c r="B77" s="117" t="s">
        <v>8832</v>
      </c>
      <c r="C77" s="117" t="s">
        <v>1462</v>
      </c>
      <c r="D77" s="117" t="s">
        <v>1820</v>
      </c>
      <c r="E77" s="117" t="s">
        <v>2755</v>
      </c>
      <c r="F77" s="117" t="s">
        <v>8802</v>
      </c>
    </row>
    <row r="78" spans="1:6">
      <c r="A78" s="117">
        <v>320</v>
      </c>
      <c r="B78" s="117" t="s">
        <v>8832</v>
      </c>
      <c r="C78" s="117" t="s">
        <v>1462</v>
      </c>
      <c r="D78" s="117" t="s">
        <v>1820</v>
      </c>
      <c r="E78" s="117" t="s">
        <v>2684</v>
      </c>
      <c r="F78" s="117" t="s">
        <v>8802</v>
      </c>
    </row>
    <row r="79" spans="1:6">
      <c r="A79" s="117">
        <v>320</v>
      </c>
      <c r="B79" s="117" t="s">
        <v>8832</v>
      </c>
      <c r="C79" s="117" t="s">
        <v>1462</v>
      </c>
      <c r="D79" s="117" t="s">
        <v>1820</v>
      </c>
      <c r="E79" s="117" t="s">
        <v>2684</v>
      </c>
      <c r="F79" s="117" t="s">
        <v>8807</v>
      </c>
    </row>
    <row r="80" spans="1:6">
      <c r="A80" s="117">
        <v>322</v>
      </c>
      <c r="B80" s="117" t="s">
        <v>8835</v>
      </c>
      <c r="C80" s="117" t="s">
        <v>1437</v>
      </c>
      <c r="D80" s="117" t="s">
        <v>1478</v>
      </c>
      <c r="E80" s="117" t="s">
        <v>3153</v>
      </c>
      <c r="F80" s="117" t="s">
        <v>5162</v>
      </c>
    </row>
    <row r="81" spans="1:6">
      <c r="A81" s="117">
        <v>322</v>
      </c>
      <c r="B81" s="117" t="s">
        <v>8835</v>
      </c>
      <c r="C81" s="117" t="s">
        <v>1437</v>
      </c>
      <c r="D81" s="117" t="s">
        <v>1478</v>
      </c>
      <c r="E81" s="117" t="s">
        <v>8836</v>
      </c>
      <c r="F81" s="117" t="s">
        <v>5162</v>
      </c>
    </row>
    <row r="82" spans="1:6">
      <c r="A82" s="117">
        <v>322</v>
      </c>
      <c r="B82" s="117" t="s">
        <v>8835</v>
      </c>
      <c r="C82" s="117" t="s">
        <v>1437</v>
      </c>
      <c r="D82" s="117" t="s">
        <v>1478</v>
      </c>
      <c r="E82" s="117" t="s">
        <v>2837</v>
      </c>
      <c r="F82" s="117" t="s">
        <v>5162</v>
      </c>
    </row>
    <row r="83" spans="1:6">
      <c r="A83" s="117">
        <v>322</v>
      </c>
      <c r="B83" s="117" t="s">
        <v>8835</v>
      </c>
      <c r="C83" s="117" t="s">
        <v>1437</v>
      </c>
      <c r="D83" s="117" t="s">
        <v>1478</v>
      </c>
      <c r="E83" s="117" t="s">
        <v>6513</v>
      </c>
      <c r="F83" s="117" t="s">
        <v>8802</v>
      </c>
    </row>
    <row r="84" spans="1:6">
      <c r="A84" s="117">
        <v>322</v>
      </c>
      <c r="B84" s="117" t="s">
        <v>8835</v>
      </c>
      <c r="C84" s="117" t="s">
        <v>1437</v>
      </c>
      <c r="D84" s="117" t="s">
        <v>1478</v>
      </c>
      <c r="E84" s="117" t="s">
        <v>8837</v>
      </c>
      <c r="F84" s="117" t="s">
        <v>8802</v>
      </c>
    </row>
    <row r="85" spans="1:6">
      <c r="A85" s="117">
        <v>324</v>
      </c>
      <c r="B85" s="117" t="s">
        <v>8838</v>
      </c>
      <c r="C85" s="117" t="s">
        <v>1370</v>
      </c>
      <c r="D85" s="117" t="s">
        <v>2606</v>
      </c>
      <c r="E85" s="117" t="s">
        <v>3092</v>
      </c>
      <c r="F85" s="117" t="s">
        <v>5162</v>
      </c>
    </row>
    <row r="86" spans="1:6">
      <c r="A86" s="117">
        <v>324</v>
      </c>
      <c r="B86" s="117" t="s">
        <v>8838</v>
      </c>
      <c r="C86" s="117" t="s">
        <v>1370</v>
      </c>
      <c r="D86" s="117" t="s">
        <v>2606</v>
      </c>
      <c r="E86" s="117" t="s">
        <v>8839</v>
      </c>
      <c r="F86" s="117" t="s">
        <v>5162</v>
      </c>
    </row>
    <row r="87" spans="1:6">
      <c r="A87" s="117">
        <v>324</v>
      </c>
      <c r="B87" s="117" t="s">
        <v>8838</v>
      </c>
      <c r="C87" s="117" t="s">
        <v>1370</v>
      </c>
      <c r="D87" s="117" t="s">
        <v>2606</v>
      </c>
      <c r="E87" s="117" t="s">
        <v>8840</v>
      </c>
      <c r="F87" s="117" t="s">
        <v>5162</v>
      </c>
    </row>
    <row r="88" spans="1:6">
      <c r="A88" s="117">
        <v>324</v>
      </c>
      <c r="B88" s="117" t="s">
        <v>8838</v>
      </c>
      <c r="C88" s="117" t="s">
        <v>1370</v>
      </c>
      <c r="D88" s="117" t="s">
        <v>2606</v>
      </c>
      <c r="E88" s="117" t="s">
        <v>8837</v>
      </c>
      <c r="F88" s="117" t="s">
        <v>8802</v>
      </c>
    </row>
    <row r="89" spans="1:6">
      <c r="A89" s="117">
        <v>324</v>
      </c>
      <c r="B89" s="117" t="s">
        <v>8838</v>
      </c>
      <c r="C89" s="117" t="s">
        <v>1370</v>
      </c>
      <c r="D89" s="117" t="s">
        <v>2606</v>
      </c>
      <c r="E89" s="117" t="s">
        <v>8841</v>
      </c>
      <c r="F89" s="117" t="s">
        <v>8802</v>
      </c>
    </row>
    <row r="90" spans="1:6">
      <c r="A90" s="117">
        <v>324</v>
      </c>
      <c r="B90" s="117" t="s">
        <v>8838</v>
      </c>
      <c r="C90" s="117" t="s">
        <v>1370</v>
      </c>
      <c r="D90" s="117" t="s">
        <v>2606</v>
      </c>
      <c r="E90" s="117" t="s">
        <v>2755</v>
      </c>
      <c r="F90" s="117" t="s">
        <v>8802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34"/>
  <sheetViews>
    <sheetView workbookViewId="0"/>
  </sheetViews>
  <sheetFormatPr defaultColWidth="12.6640625" defaultRowHeight="15.75" customHeight="1"/>
  <cols>
    <col min="1" max="1" width="72.44140625" customWidth="1"/>
  </cols>
  <sheetData>
    <row r="1" spans="1:4">
      <c r="A1" s="140" t="s">
        <v>8842</v>
      </c>
      <c r="B1" s="140" t="s">
        <v>8843</v>
      </c>
      <c r="C1" s="141" t="s">
        <v>8844</v>
      </c>
      <c r="D1" s="142" t="s">
        <v>8845</v>
      </c>
    </row>
    <row r="2" spans="1:4">
      <c r="A2" s="138" t="s">
        <v>5188</v>
      </c>
      <c r="B2" s="138" t="s">
        <v>8846</v>
      </c>
      <c r="C2" s="143">
        <v>1</v>
      </c>
      <c r="D2" s="144"/>
    </row>
    <row r="3" spans="1:4">
      <c r="A3" s="138" t="s">
        <v>4899</v>
      </c>
      <c r="B3" s="138" t="s">
        <v>4900</v>
      </c>
      <c r="C3" s="143">
        <v>1</v>
      </c>
      <c r="D3" s="144"/>
    </row>
    <row r="4" spans="1:4">
      <c r="A4" s="138" t="s">
        <v>7735</v>
      </c>
      <c r="B4" s="138" t="s">
        <v>7736</v>
      </c>
      <c r="C4" s="143">
        <v>1</v>
      </c>
      <c r="D4" s="144"/>
    </row>
    <row r="5" spans="1:4">
      <c r="A5" s="138" t="s">
        <v>4910</v>
      </c>
      <c r="B5" s="138" t="s">
        <v>4911</v>
      </c>
      <c r="C5" s="143">
        <v>1</v>
      </c>
      <c r="D5" s="144"/>
    </row>
    <row r="6" spans="1:4">
      <c r="A6" s="138" t="s">
        <v>4946</v>
      </c>
      <c r="B6" s="138" t="s">
        <v>4947</v>
      </c>
      <c r="C6" s="143">
        <v>1</v>
      </c>
      <c r="D6" s="144"/>
    </row>
    <row r="7" spans="1:4">
      <c r="A7" s="138" t="s">
        <v>4966</v>
      </c>
      <c r="B7" s="138" t="s">
        <v>4967</v>
      </c>
      <c r="C7" s="143">
        <v>1</v>
      </c>
      <c r="D7" s="144"/>
    </row>
    <row r="8" spans="1:4">
      <c r="A8" s="138" t="s">
        <v>4741</v>
      </c>
      <c r="B8" s="138" t="s">
        <v>4742</v>
      </c>
      <c r="C8" s="143">
        <v>1</v>
      </c>
      <c r="D8" s="144"/>
    </row>
    <row r="9" spans="1:4">
      <c r="A9" s="138" t="s">
        <v>7487</v>
      </c>
      <c r="B9" s="138" t="s">
        <v>7488</v>
      </c>
      <c r="C9" s="143">
        <v>1</v>
      </c>
      <c r="D9" s="144"/>
    </row>
    <row r="10" spans="1:4">
      <c r="A10" s="138" t="s">
        <v>7836</v>
      </c>
      <c r="B10" s="138" t="s">
        <v>7837</v>
      </c>
      <c r="C10" s="143">
        <v>1</v>
      </c>
      <c r="D10" s="144"/>
    </row>
    <row r="11" spans="1:4">
      <c r="A11" s="138" t="s">
        <v>7541</v>
      </c>
      <c r="B11" s="138" t="s">
        <v>7542</v>
      </c>
      <c r="C11" s="143">
        <v>1</v>
      </c>
      <c r="D11" s="144"/>
    </row>
    <row r="12" spans="1:4">
      <c r="A12" s="138" t="s">
        <v>1328</v>
      </c>
      <c r="B12" s="138" t="s">
        <v>1329</v>
      </c>
      <c r="C12" s="143">
        <v>1</v>
      </c>
      <c r="D12" s="145" t="s">
        <v>8847</v>
      </c>
    </row>
    <row r="13" spans="1:4">
      <c r="A13" s="138" t="s">
        <v>1975</v>
      </c>
      <c r="B13" s="138" t="s">
        <v>1352</v>
      </c>
      <c r="C13" s="143">
        <v>1</v>
      </c>
      <c r="D13" s="145" t="s">
        <v>8847</v>
      </c>
    </row>
    <row r="14" spans="1:4">
      <c r="A14" s="138" t="s">
        <v>2606</v>
      </c>
      <c r="B14" s="138" t="s">
        <v>1370</v>
      </c>
      <c r="C14" s="143">
        <v>1</v>
      </c>
      <c r="D14" s="144"/>
    </row>
    <row r="15" spans="1:4">
      <c r="A15" s="138" t="s">
        <v>2158</v>
      </c>
      <c r="B15" s="138" t="s">
        <v>1393</v>
      </c>
      <c r="C15" s="143">
        <v>1</v>
      </c>
      <c r="D15" s="144"/>
    </row>
    <row r="16" spans="1:4">
      <c r="A16" s="138" t="s">
        <v>2361</v>
      </c>
      <c r="B16" s="138" t="s">
        <v>1417</v>
      </c>
      <c r="C16" s="143">
        <v>1</v>
      </c>
      <c r="D16" s="144"/>
    </row>
    <row r="17" spans="1:4">
      <c r="A17" s="138" t="s">
        <v>1478</v>
      </c>
      <c r="B17" s="138" t="s">
        <v>1437</v>
      </c>
      <c r="C17" s="143">
        <v>1</v>
      </c>
      <c r="D17" s="145" t="s">
        <v>8847</v>
      </c>
    </row>
    <row r="18" spans="1:4">
      <c r="A18" s="138" t="s">
        <v>1820</v>
      </c>
      <c r="B18" s="138" t="s">
        <v>1462</v>
      </c>
      <c r="C18" s="143">
        <v>1</v>
      </c>
      <c r="D18" s="144"/>
    </row>
    <row r="19" spans="1:4">
      <c r="A19" s="138" t="s">
        <v>1939</v>
      </c>
      <c r="B19" s="138" t="s">
        <v>1512</v>
      </c>
      <c r="C19" s="143">
        <v>1</v>
      </c>
      <c r="D19" s="145" t="s">
        <v>8847</v>
      </c>
    </row>
    <row r="20" spans="1:4">
      <c r="A20" s="138" t="s">
        <v>8848</v>
      </c>
      <c r="B20" s="138" t="s">
        <v>1584</v>
      </c>
      <c r="C20" s="143">
        <v>1</v>
      </c>
      <c r="D20" s="144"/>
    </row>
    <row r="21" spans="1:4">
      <c r="A21" s="138" t="s">
        <v>8849</v>
      </c>
      <c r="B21" s="138" t="s">
        <v>1586</v>
      </c>
      <c r="C21" s="143">
        <v>1</v>
      </c>
      <c r="D21" s="144"/>
    </row>
    <row r="22" spans="1:4">
      <c r="A22" s="138" t="s">
        <v>8850</v>
      </c>
      <c r="B22" s="138" t="s">
        <v>1588</v>
      </c>
      <c r="C22" s="143">
        <v>1</v>
      </c>
      <c r="D22" s="144"/>
    </row>
    <row r="23" spans="1:4">
      <c r="A23" s="138" t="s">
        <v>8851</v>
      </c>
      <c r="B23" s="138" t="s">
        <v>1591</v>
      </c>
      <c r="C23" s="143">
        <v>1</v>
      </c>
      <c r="D23" s="144"/>
    </row>
    <row r="24" spans="1:4">
      <c r="A24" s="138" t="s">
        <v>7599</v>
      </c>
      <c r="B24" s="138" t="s">
        <v>1593</v>
      </c>
      <c r="C24" s="143">
        <v>1</v>
      </c>
      <c r="D24" s="144"/>
    </row>
    <row r="25" spans="1:4">
      <c r="A25" s="138" t="s">
        <v>8852</v>
      </c>
      <c r="B25" s="144"/>
      <c r="C25" s="143">
        <v>1</v>
      </c>
      <c r="D25" s="144"/>
    </row>
    <row r="26" spans="1:4">
      <c r="A26" s="138" t="s">
        <v>8853</v>
      </c>
      <c r="B26" s="138" t="s">
        <v>1331</v>
      </c>
      <c r="C26" s="143">
        <v>0</v>
      </c>
      <c r="D26" s="144"/>
    </row>
    <row r="27" spans="1:4">
      <c r="A27" s="138" t="s">
        <v>8854</v>
      </c>
      <c r="B27" s="138" t="s">
        <v>1333</v>
      </c>
      <c r="C27" s="143">
        <v>0</v>
      </c>
      <c r="D27" s="144"/>
    </row>
    <row r="28" spans="1:4">
      <c r="A28" s="138" t="s">
        <v>8855</v>
      </c>
      <c r="B28" s="138" t="s">
        <v>1337</v>
      </c>
      <c r="C28" s="143">
        <v>0</v>
      </c>
      <c r="D28" s="144"/>
    </row>
    <row r="29" spans="1:4">
      <c r="A29" s="138" t="s">
        <v>8856</v>
      </c>
      <c r="B29" s="138" t="s">
        <v>1339</v>
      </c>
      <c r="C29" s="143">
        <v>0</v>
      </c>
      <c r="D29" s="144"/>
    </row>
    <row r="30" spans="1:4">
      <c r="A30" s="138" t="s">
        <v>8857</v>
      </c>
      <c r="B30" s="138" t="s">
        <v>1341</v>
      </c>
      <c r="C30" s="143">
        <v>0</v>
      </c>
      <c r="D30" s="144"/>
    </row>
    <row r="31" spans="1:4">
      <c r="A31" s="138" t="s">
        <v>8858</v>
      </c>
      <c r="B31" s="138" t="s">
        <v>1343</v>
      </c>
      <c r="C31" s="143">
        <v>0</v>
      </c>
      <c r="D31" s="144"/>
    </row>
    <row r="32" spans="1:4">
      <c r="A32" s="138" t="s">
        <v>8859</v>
      </c>
      <c r="B32" s="138" t="s">
        <v>1345</v>
      </c>
      <c r="C32" s="143">
        <v>0</v>
      </c>
      <c r="D32" s="144"/>
    </row>
    <row r="33" spans="1:4">
      <c r="A33" s="138" t="s">
        <v>8860</v>
      </c>
      <c r="B33" s="138" t="s">
        <v>1348</v>
      </c>
      <c r="C33" s="143">
        <v>0</v>
      </c>
      <c r="D33" s="144"/>
    </row>
    <row r="34" spans="1:4">
      <c r="A34" s="138" t="s">
        <v>8861</v>
      </c>
      <c r="B34" s="138" t="s">
        <v>1350</v>
      </c>
      <c r="C34" s="143">
        <v>0</v>
      </c>
      <c r="D34" s="14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363"/>
  <sheetViews>
    <sheetView workbookViewId="0"/>
  </sheetViews>
  <sheetFormatPr defaultColWidth="12.6640625" defaultRowHeight="15.75" customHeight="1"/>
  <sheetData>
    <row r="1" spans="1:33" ht="15.75" customHeight="1">
      <c r="A1" s="146" t="s">
        <v>8862</v>
      </c>
      <c r="B1" s="146" t="s">
        <v>8863</v>
      </c>
      <c r="C1" s="146" t="s">
        <v>8864</v>
      </c>
      <c r="D1" s="146" t="s">
        <v>8865</v>
      </c>
      <c r="E1" s="146" t="s">
        <v>8866</v>
      </c>
      <c r="F1" s="146" t="s">
        <v>8867</v>
      </c>
      <c r="G1" s="146" t="s">
        <v>8868</v>
      </c>
      <c r="H1" s="146" t="s">
        <v>8869</v>
      </c>
      <c r="I1" s="146" t="s">
        <v>8870</v>
      </c>
      <c r="J1" s="146" t="s">
        <v>8871</v>
      </c>
      <c r="K1" s="146" t="s">
        <v>8872</v>
      </c>
      <c r="L1" s="146" t="s">
        <v>8873</v>
      </c>
      <c r="M1" s="146" t="s">
        <v>8874</v>
      </c>
      <c r="N1" s="146" t="s">
        <v>8875</v>
      </c>
      <c r="O1" s="147"/>
      <c r="P1" s="147"/>
      <c r="Q1" s="147"/>
      <c r="R1" s="147"/>
      <c r="S1" s="147"/>
      <c r="T1" s="147"/>
      <c r="U1" s="147"/>
      <c r="V1" s="147"/>
      <c r="W1" s="147"/>
      <c r="X1" s="147"/>
      <c r="Y1" s="147"/>
      <c r="Z1" s="147"/>
      <c r="AA1" s="147"/>
      <c r="AB1" s="147"/>
      <c r="AC1" s="148"/>
      <c r="AD1" s="148"/>
      <c r="AE1" s="148"/>
      <c r="AF1" s="148"/>
      <c r="AG1" s="148"/>
    </row>
    <row r="2" spans="1:33" ht="15.75" customHeight="1">
      <c r="A2" s="149">
        <v>1</v>
      </c>
      <c r="B2" s="149" t="s">
        <v>8876</v>
      </c>
      <c r="C2" s="149" t="s">
        <v>8877</v>
      </c>
      <c r="D2" s="149">
        <v>11</v>
      </c>
      <c r="E2" s="149" t="s">
        <v>8878</v>
      </c>
      <c r="F2" s="150"/>
      <c r="G2" s="149" t="s">
        <v>8879</v>
      </c>
      <c r="H2" s="149" t="s">
        <v>8880</v>
      </c>
      <c r="I2" s="149">
        <v>2025</v>
      </c>
      <c r="J2" s="149" t="s">
        <v>8881</v>
      </c>
      <c r="K2" s="149" t="s">
        <v>8873</v>
      </c>
      <c r="L2" s="149" t="s">
        <v>8882</v>
      </c>
      <c r="M2" s="149" t="s">
        <v>4755</v>
      </c>
      <c r="N2" s="151">
        <v>45852</v>
      </c>
      <c r="O2" s="147"/>
      <c r="P2" s="147"/>
      <c r="Q2" s="147"/>
      <c r="R2" s="147"/>
      <c r="S2" s="147"/>
      <c r="T2" s="147"/>
      <c r="U2" s="147"/>
      <c r="V2" s="147"/>
      <c r="W2" s="147"/>
      <c r="X2" s="147"/>
      <c r="Y2" s="147"/>
      <c r="Z2" s="147"/>
      <c r="AA2" s="147"/>
      <c r="AB2" s="147"/>
      <c r="AC2" s="148"/>
      <c r="AD2" s="148"/>
      <c r="AE2" s="148"/>
      <c r="AF2" s="148"/>
      <c r="AG2" s="148"/>
    </row>
    <row r="3" spans="1:33" ht="15.75" customHeight="1">
      <c r="A3" s="149">
        <v>3</v>
      </c>
      <c r="B3" s="149" t="s">
        <v>8883</v>
      </c>
      <c r="C3" s="149" t="s">
        <v>8884</v>
      </c>
      <c r="D3" s="149">
        <v>7</v>
      </c>
      <c r="E3" s="149" t="s">
        <v>8878</v>
      </c>
      <c r="F3" s="149" t="s">
        <v>8885</v>
      </c>
      <c r="G3" s="149" t="s">
        <v>8886</v>
      </c>
      <c r="H3" s="152">
        <v>45901</v>
      </c>
      <c r="I3" s="149">
        <v>2025</v>
      </c>
      <c r="J3" s="150"/>
      <c r="K3" s="149" t="s">
        <v>8887</v>
      </c>
      <c r="L3" s="150"/>
      <c r="M3" s="149" t="s">
        <v>5977</v>
      </c>
      <c r="N3" s="151">
        <v>45668</v>
      </c>
      <c r="O3" s="147"/>
      <c r="P3" s="147"/>
      <c r="Q3" s="147"/>
      <c r="R3" s="147"/>
      <c r="S3" s="147"/>
      <c r="T3" s="147"/>
      <c r="U3" s="147"/>
      <c r="V3" s="147"/>
      <c r="W3" s="147"/>
      <c r="X3" s="147"/>
      <c r="Y3" s="147"/>
      <c r="Z3" s="147"/>
      <c r="AA3" s="147"/>
      <c r="AB3" s="147"/>
      <c r="AC3" s="148"/>
      <c r="AD3" s="148"/>
      <c r="AE3" s="148"/>
      <c r="AF3" s="148"/>
      <c r="AG3" s="148"/>
    </row>
    <row r="4" spans="1:33" ht="13.8">
      <c r="A4" s="153">
        <v>32</v>
      </c>
      <c r="B4" s="153" t="s">
        <v>8888</v>
      </c>
      <c r="C4" s="153" t="s">
        <v>8889</v>
      </c>
      <c r="D4" s="153">
        <v>12</v>
      </c>
      <c r="E4" s="153" t="s">
        <v>8878</v>
      </c>
      <c r="F4" s="153" t="s">
        <v>8890</v>
      </c>
      <c r="G4" s="153" t="s">
        <v>8891</v>
      </c>
      <c r="H4" s="154">
        <v>45701</v>
      </c>
      <c r="I4" s="149">
        <v>2025</v>
      </c>
      <c r="J4" s="149" t="s">
        <v>8892</v>
      </c>
      <c r="K4" s="149" t="s">
        <v>8887</v>
      </c>
      <c r="L4" s="155"/>
      <c r="M4" s="149" t="s">
        <v>6159</v>
      </c>
      <c r="N4" s="151">
        <v>45710</v>
      </c>
      <c r="O4" s="148"/>
      <c r="P4" s="148"/>
      <c r="Q4" s="148"/>
      <c r="R4" s="148"/>
      <c r="S4" s="148"/>
      <c r="T4" s="148"/>
      <c r="U4" s="148"/>
      <c r="V4" s="148"/>
      <c r="W4" s="148"/>
      <c r="X4" s="148"/>
      <c r="Y4" s="148"/>
      <c r="Z4" s="148"/>
      <c r="AA4" s="148"/>
      <c r="AB4" s="148"/>
      <c r="AC4" s="148"/>
      <c r="AD4" s="148"/>
      <c r="AE4" s="148"/>
      <c r="AF4" s="148"/>
      <c r="AG4" s="148"/>
    </row>
    <row r="5" spans="1:33" ht="13.8">
      <c r="A5" s="153">
        <v>36</v>
      </c>
      <c r="B5" s="153" t="s">
        <v>8893</v>
      </c>
      <c r="C5" s="153" t="s">
        <v>8894</v>
      </c>
      <c r="D5" s="153">
        <v>4</v>
      </c>
      <c r="E5" s="153" t="s">
        <v>8878</v>
      </c>
      <c r="F5" s="153" t="s">
        <v>8890</v>
      </c>
      <c r="G5" s="153" t="s">
        <v>8895</v>
      </c>
      <c r="H5" s="154">
        <v>45682</v>
      </c>
      <c r="I5" s="149">
        <v>2025</v>
      </c>
      <c r="J5" s="155"/>
      <c r="K5" s="149" t="s">
        <v>8887</v>
      </c>
      <c r="L5" s="155"/>
      <c r="M5" s="149" t="s">
        <v>5959</v>
      </c>
      <c r="N5" s="151">
        <v>45731</v>
      </c>
      <c r="O5" s="148"/>
      <c r="P5" s="148"/>
      <c r="Q5" s="148"/>
      <c r="R5" s="148"/>
      <c r="S5" s="148"/>
      <c r="T5" s="148"/>
      <c r="U5" s="148"/>
      <c r="V5" s="148"/>
      <c r="W5" s="148"/>
      <c r="X5" s="148"/>
      <c r="Y5" s="148"/>
      <c r="Z5" s="148"/>
      <c r="AA5" s="148"/>
      <c r="AB5" s="148"/>
      <c r="AC5" s="148"/>
      <c r="AD5" s="148"/>
      <c r="AE5" s="148"/>
      <c r="AF5" s="148"/>
      <c r="AG5" s="148"/>
    </row>
    <row r="6" spans="1:33" ht="13.8">
      <c r="A6" s="153">
        <v>42</v>
      </c>
      <c r="B6" s="153" t="s">
        <v>8896</v>
      </c>
      <c r="C6" s="153" t="s">
        <v>8897</v>
      </c>
      <c r="D6" s="153">
        <v>15</v>
      </c>
      <c r="E6" s="153" t="s">
        <v>8878</v>
      </c>
      <c r="F6" s="153" t="s">
        <v>8890</v>
      </c>
      <c r="G6" s="153" t="s">
        <v>8898</v>
      </c>
      <c r="H6" s="154">
        <v>45704</v>
      </c>
      <c r="I6" s="149">
        <v>2025</v>
      </c>
      <c r="J6" s="155"/>
      <c r="K6" s="149" t="s">
        <v>8887</v>
      </c>
      <c r="L6" s="155"/>
      <c r="M6" s="149" t="s">
        <v>5896</v>
      </c>
      <c r="N6" s="151">
        <v>45736</v>
      </c>
      <c r="O6" s="148"/>
      <c r="P6" s="148"/>
      <c r="Q6" s="148"/>
      <c r="R6" s="148"/>
      <c r="S6" s="148"/>
      <c r="T6" s="148"/>
      <c r="U6" s="148"/>
      <c r="V6" s="148"/>
      <c r="W6" s="148"/>
      <c r="X6" s="148"/>
      <c r="Y6" s="148"/>
      <c r="Z6" s="148"/>
      <c r="AA6" s="148"/>
      <c r="AB6" s="148"/>
      <c r="AC6" s="148"/>
      <c r="AD6" s="148"/>
      <c r="AE6" s="148"/>
      <c r="AF6" s="148"/>
      <c r="AG6" s="148"/>
    </row>
    <row r="7" spans="1:33" ht="13.8">
      <c r="A7" s="153">
        <v>43</v>
      </c>
      <c r="B7" s="153" t="s">
        <v>8899</v>
      </c>
      <c r="C7" s="153" t="s">
        <v>8900</v>
      </c>
      <c r="D7" s="153">
        <v>2</v>
      </c>
      <c r="E7" s="153" t="s">
        <v>8878</v>
      </c>
      <c r="F7" s="153" t="s">
        <v>8890</v>
      </c>
      <c r="G7" s="153" t="s">
        <v>8901</v>
      </c>
      <c r="H7" s="154">
        <v>45713</v>
      </c>
      <c r="I7" s="149">
        <v>2025</v>
      </c>
      <c r="J7" s="155"/>
      <c r="K7" s="149" t="s">
        <v>8887</v>
      </c>
      <c r="L7" s="155"/>
      <c r="M7" s="149" t="s">
        <v>5658</v>
      </c>
      <c r="N7" s="151">
        <v>45744</v>
      </c>
      <c r="O7" s="148"/>
      <c r="P7" s="148"/>
      <c r="Q7" s="148"/>
      <c r="R7" s="148"/>
      <c r="S7" s="148"/>
      <c r="T7" s="148"/>
      <c r="U7" s="148"/>
      <c r="V7" s="148"/>
      <c r="W7" s="148"/>
      <c r="X7" s="148"/>
      <c r="Y7" s="148"/>
      <c r="Z7" s="148"/>
      <c r="AA7" s="148"/>
      <c r="AB7" s="148"/>
      <c r="AC7" s="148"/>
      <c r="AD7" s="148"/>
      <c r="AE7" s="148"/>
      <c r="AF7" s="148"/>
      <c r="AG7" s="148"/>
    </row>
    <row r="8" spans="1:33" ht="13.8">
      <c r="A8" s="153">
        <v>44</v>
      </c>
      <c r="B8" s="153" t="s">
        <v>8902</v>
      </c>
      <c r="C8" s="153" t="s">
        <v>8903</v>
      </c>
      <c r="D8" s="153">
        <v>2</v>
      </c>
      <c r="E8" s="153" t="s">
        <v>8878</v>
      </c>
      <c r="F8" s="153" t="s">
        <v>8890</v>
      </c>
      <c r="G8" s="153" t="s">
        <v>8904</v>
      </c>
      <c r="H8" s="154">
        <v>45666</v>
      </c>
      <c r="I8" s="149">
        <v>2025</v>
      </c>
      <c r="J8" s="155"/>
      <c r="K8" s="149" t="s">
        <v>8887</v>
      </c>
      <c r="L8" s="155"/>
      <c r="M8" s="149" t="s">
        <v>5658</v>
      </c>
      <c r="N8" s="151">
        <v>45744</v>
      </c>
      <c r="O8" s="148"/>
      <c r="P8" s="148"/>
      <c r="Q8" s="148"/>
      <c r="R8" s="148"/>
      <c r="S8" s="148"/>
      <c r="T8" s="148"/>
      <c r="U8" s="148"/>
      <c r="V8" s="148"/>
      <c r="W8" s="148"/>
      <c r="X8" s="148"/>
      <c r="Y8" s="148"/>
      <c r="Z8" s="148"/>
      <c r="AA8" s="148"/>
      <c r="AB8" s="148"/>
      <c r="AC8" s="148"/>
      <c r="AD8" s="148"/>
      <c r="AE8" s="148"/>
      <c r="AF8" s="148"/>
      <c r="AG8" s="148"/>
    </row>
    <row r="9" spans="1:33" ht="13.8">
      <c r="A9" s="153">
        <v>45</v>
      </c>
      <c r="B9" s="153" t="s">
        <v>8905</v>
      </c>
      <c r="C9" s="153" t="s">
        <v>8906</v>
      </c>
      <c r="D9" s="153">
        <v>2</v>
      </c>
      <c r="E9" s="153" t="s">
        <v>8878</v>
      </c>
      <c r="F9" s="153" t="s">
        <v>8890</v>
      </c>
      <c r="G9" s="153" t="s">
        <v>8907</v>
      </c>
      <c r="H9" s="154">
        <v>45677</v>
      </c>
      <c r="I9" s="149">
        <v>2025</v>
      </c>
      <c r="J9" s="155"/>
      <c r="K9" s="149" t="s">
        <v>8887</v>
      </c>
      <c r="L9" s="155"/>
      <c r="M9" s="149" t="s">
        <v>6174</v>
      </c>
      <c r="N9" s="151">
        <v>45792</v>
      </c>
      <c r="O9" s="148"/>
      <c r="P9" s="148"/>
      <c r="Q9" s="148"/>
      <c r="R9" s="148"/>
      <c r="S9" s="148"/>
      <c r="T9" s="148"/>
      <c r="U9" s="148"/>
      <c r="V9" s="148"/>
      <c r="W9" s="148"/>
      <c r="X9" s="148"/>
      <c r="Y9" s="148"/>
      <c r="Z9" s="148"/>
      <c r="AA9" s="148"/>
      <c r="AB9" s="148"/>
      <c r="AC9" s="148"/>
      <c r="AD9" s="148"/>
      <c r="AE9" s="148"/>
      <c r="AF9" s="148"/>
      <c r="AG9" s="148"/>
    </row>
    <row r="10" spans="1:33" ht="13.8">
      <c r="A10" s="153">
        <v>48</v>
      </c>
      <c r="B10" s="153" t="s">
        <v>8908</v>
      </c>
      <c r="C10" s="153" t="s">
        <v>8909</v>
      </c>
      <c r="D10" s="153">
        <v>14</v>
      </c>
      <c r="E10" s="153" t="s">
        <v>8878</v>
      </c>
      <c r="F10" s="153" t="s">
        <v>8890</v>
      </c>
      <c r="G10" s="153" t="s">
        <v>8910</v>
      </c>
      <c r="H10" s="154">
        <v>45782</v>
      </c>
      <c r="I10" s="149">
        <v>2025</v>
      </c>
      <c r="J10" s="149" t="s">
        <v>8911</v>
      </c>
      <c r="K10" s="149" t="s">
        <v>8887</v>
      </c>
      <c r="L10" s="155"/>
      <c r="M10" s="149" t="s">
        <v>6159</v>
      </c>
      <c r="N10" s="151">
        <v>45800</v>
      </c>
      <c r="O10" s="148"/>
      <c r="P10" s="148"/>
      <c r="Q10" s="148"/>
      <c r="R10" s="148"/>
      <c r="S10" s="148"/>
      <c r="T10" s="148"/>
      <c r="U10" s="148"/>
      <c r="V10" s="148"/>
      <c r="W10" s="148"/>
      <c r="X10" s="148"/>
      <c r="Y10" s="148"/>
      <c r="Z10" s="148"/>
      <c r="AA10" s="148"/>
      <c r="AB10" s="148"/>
      <c r="AC10" s="148"/>
      <c r="AD10" s="148"/>
      <c r="AE10" s="148"/>
      <c r="AF10" s="148"/>
      <c r="AG10" s="148"/>
    </row>
    <row r="11" spans="1:33" ht="13.8">
      <c r="A11" s="153">
        <v>49</v>
      </c>
      <c r="B11" s="153" t="s">
        <v>8912</v>
      </c>
      <c r="C11" s="153" t="s">
        <v>8913</v>
      </c>
      <c r="D11" s="153">
        <v>4</v>
      </c>
      <c r="E11" s="153" t="s">
        <v>8878</v>
      </c>
      <c r="F11" s="153" t="s">
        <v>8890</v>
      </c>
      <c r="G11" s="153" t="s">
        <v>8914</v>
      </c>
      <c r="H11" s="154">
        <v>45678</v>
      </c>
      <c r="I11" s="149">
        <v>2025</v>
      </c>
      <c r="J11" s="155"/>
      <c r="K11" s="149" t="s">
        <v>8887</v>
      </c>
      <c r="L11" s="155"/>
      <c r="M11" s="149" t="s">
        <v>8915</v>
      </c>
      <c r="N11" s="151">
        <v>45841</v>
      </c>
      <c r="O11" s="148"/>
      <c r="P11" s="148"/>
      <c r="Q11" s="148"/>
      <c r="R11" s="148"/>
      <c r="S11" s="148"/>
      <c r="T11" s="148"/>
      <c r="U11" s="148"/>
      <c r="V11" s="148"/>
      <c r="W11" s="148"/>
      <c r="X11" s="148"/>
      <c r="Y11" s="148"/>
      <c r="Z11" s="148"/>
      <c r="AA11" s="148"/>
      <c r="AB11" s="148"/>
      <c r="AC11" s="148"/>
      <c r="AD11" s="148"/>
      <c r="AE11" s="148"/>
      <c r="AF11" s="148"/>
      <c r="AG11" s="148"/>
    </row>
    <row r="12" spans="1:33" ht="13.8">
      <c r="A12" s="153">
        <v>50</v>
      </c>
      <c r="B12" s="153" t="s">
        <v>8916</v>
      </c>
      <c r="C12" s="153" t="s">
        <v>8917</v>
      </c>
      <c r="D12" s="153">
        <v>5</v>
      </c>
      <c r="E12" s="153" t="s">
        <v>8878</v>
      </c>
      <c r="F12" s="153" t="s">
        <v>8890</v>
      </c>
      <c r="G12" s="153" t="s">
        <v>8918</v>
      </c>
      <c r="H12" s="154">
        <v>45695</v>
      </c>
      <c r="I12" s="149">
        <v>2025</v>
      </c>
      <c r="J12" s="149" t="s">
        <v>8919</v>
      </c>
      <c r="K12" s="149" t="s">
        <v>8887</v>
      </c>
      <c r="L12" s="155"/>
      <c r="M12" s="149" t="s">
        <v>6520</v>
      </c>
      <c r="N12" s="151">
        <v>45841</v>
      </c>
      <c r="O12" s="148"/>
      <c r="P12" s="148"/>
      <c r="Q12" s="148"/>
      <c r="R12" s="148"/>
      <c r="S12" s="148"/>
      <c r="T12" s="148"/>
      <c r="U12" s="148"/>
      <c r="V12" s="148"/>
      <c r="W12" s="148"/>
      <c r="X12" s="148"/>
      <c r="Y12" s="148"/>
      <c r="Z12" s="148"/>
      <c r="AA12" s="148"/>
      <c r="AB12" s="148"/>
      <c r="AC12" s="148"/>
      <c r="AD12" s="148"/>
      <c r="AE12" s="148"/>
      <c r="AF12" s="148"/>
      <c r="AG12" s="148"/>
    </row>
    <row r="13" spans="1:33" ht="13.8">
      <c r="A13" s="153">
        <v>51</v>
      </c>
      <c r="B13" s="153" t="s">
        <v>8920</v>
      </c>
      <c r="C13" s="153" t="s">
        <v>8921</v>
      </c>
      <c r="D13" s="153">
        <v>13</v>
      </c>
      <c r="E13" s="153" t="s">
        <v>8878</v>
      </c>
      <c r="F13" s="153" t="s">
        <v>8890</v>
      </c>
      <c r="G13" s="153" t="s">
        <v>8922</v>
      </c>
      <c r="H13" s="154">
        <v>45834</v>
      </c>
      <c r="I13" s="149">
        <v>2025</v>
      </c>
      <c r="J13" s="149" t="s">
        <v>8923</v>
      </c>
      <c r="K13" s="149" t="s">
        <v>8887</v>
      </c>
      <c r="L13" s="155"/>
      <c r="M13" s="149" t="s">
        <v>1209</v>
      </c>
      <c r="N13" s="151">
        <v>45845</v>
      </c>
      <c r="O13" s="148"/>
      <c r="P13" s="148"/>
      <c r="Q13" s="148"/>
      <c r="R13" s="148"/>
      <c r="S13" s="148"/>
      <c r="T13" s="148"/>
      <c r="U13" s="148"/>
      <c r="V13" s="148"/>
      <c r="W13" s="148"/>
      <c r="X13" s="148"/>
      <c r="Y13" s="148"/>
      <c r="Z13" s="148"/>
      <c r="AA13" s="148"/>
      <c r="AB13" s="148"/>
      <c r="AC13" s="148"/>
      <c r="AD13" s="148"/>
      <c r="AE13" s="148"/>
      <c r="AF13" s="148"/>
      <c r="AG13" s="148"/>
    </row>
    <row r="14" spans="1:33" ht="13.8">
      <c r="A14" s="153">
        <v>52</v>
      </c>
      <c r="B14" s="153" t="s">
        <v>8924</v>
      </c>
      <c r="C14" s="153" t="s">
        <v>8925</v>
      </c>
      <c r="D14" s="153">
        <v>8</v>
      </c>
      <c r="E14" s="153" t="s">
        <v>8878</v>
      </c>
      <c r="F14" s="153" t="s">
        <v>8890</v>
      </c>
      <c r="G14" s="153" t="s">
        <v>8926</v>
      </c>
      <c r="H14" s="154">
        <v>45743</v>
      </c>
      <c r="I14" s="149">
        <v>2025</v>
      </c>
      <c r="J14" s="149" t="s">
        <v>8927</v>
      </c>
      <c r="K14" s="149" t="s">
        <v>8887</v>
      </c>
      <c r="L14" s="155"/>
      <c r="M14" s="149" t="s">
        <v>5967</v>
      </c>
      <c r="N14" s="151">
        <v>45846</v>
      </c>
      <c r="O14" s="148"/>
      <c r="P14" s="148"/>
      <c r="Q14" s="148"/>
      <c r="R14" s="148"/>
      <c r="S14" s="148"/>
      <c r="T14" s="148"/>
      <c r="U14" s="148"/>
      <c r="V14" s="148"/>
      <c r="W14" s="148"/>
      <c r="X14" s="148"/>
      <c r="Y14" s="148"/>
      <c r="Z14" s="148"/>
      <c r="AA14" s="148"/>
      <c r="AB14" s="148"/>
      <c r="AC14" s="148"/>
      <c r="AD14" s="148"/>
      <c r="AE14" s="148"/>
      <c r="AF14" s="148"/>
      <c r="AG14" s="148"/>
    </row>
    <row r="15" spans="1:33" ht="13.8">
      <c r="A15" s="153">
        <v>53</v>
      </c>
      <c r="B15" s="153" t="s">
        <v>8928</v>
      </c>
      <c r="C15" s="153" t="s">
        <v>8929</v>
      </c>
      <c r="D15" s="153">
        <v>9</v>
      </c>
      <c r="E15" s="153" t="s">
        <v>8878</v>
      </c>
      <c r="F15" s="153" t="s">
        <v>8890</v>
      </c>
      <c r="G15" s="153" t="s">
        <v>8930</v>
      </c>
      <c r="H15" s="154">
        <v>45817</v>
      </c>
      <c r="I15" s="149">
        <v>2025</v>
      </c>
      <c r="J15" s="155"/>
      <c r="K15" s="149" t="s">
        <v>8887</v>
      </c>
      <c r="L15" s="155"/>
      <c r="M15" s="149" t="s">
        <v>5977</v>
      </c>
      <c r="N15" s="151">
        <v>45848</v>
      </c>
      <c r="O15" s="148"/>
      <c r="P15" s="148"/>
      <c r="Q15" s="148"/>
      <c r="R15" s="148"/>
      <c r="S15" s="148"/>
      <c r="T15" s="148"/>
      <c r="U15" s="148"/>
      <c r="V15" s="148"/>
      <c r="W15" s="148"/>
      <c r="X15" s="148"/>
      <c r="Y15" s="148"/>
      <c r="Z15" s="148"/>
      <c r="AA15" s="148"/>
      <c r="AB15" s="148"/>
      <c r="AC15" s="148"/>
      <c r="AD15" s="148"/>
      <c r="AE15" s="148"/>
      <c r="AF15" s="148"/>
      <c r="AG15" s="148"/>
    </row>
    <row r="16" spans="1:33" ht="13.8">
      <c r="A16" s="153">
        <v>54</v>
      </c>
      <c r="B16" s="153" t="s">
        <v>8931</v>
      </c>
      <c r="C16" s="153" t="s">
        <v>8932</v>
      </c>
      <c r="D16" s="153">
        <v>8</v>
      </c>
      <c r="E16" s="153" t="s">
        <v>8878</v>
      </c>
      <c r="F16" s="153" t="s">
        <v>8890</v>
      </c>
      <c r="G16" s="153" t="s">
        <v>8933</v>
      </c>
      <c r="H16" s="154">
        <v>45507</v>
      </c>
      <c r="I16" s="149">
        <v>2025</v>
      </c>
      <c r="J16" s="149" t="s">
        <v>8934</v>
      </c>
      <c r="K16" s="149" t="s">
        <v>8887</v>
      </c>
      <c r="L16" s="155"/>
      <c r="M16" s="149" t="s">
        <v>6432</v>
      </c>
      <c r="N16" s="151">
        <v>45851</v>
      </c>
      <c r="O16" s="148"/>
      <c r="P16" s="148"/>
      <c r="Q16" s="148"/>
      <c r="R16" s="148"/>
      <c r="S16" s="148"/>
      <c r="T16" s="148"/>
      <c r="U16" s="148"/>
      <c r="V16" s="148"/>
      <c r="W16" s="148"/>
      <c r="X16" s="148"/>
      <c r="Y16" s="148"/>
      <c r="Z16" s="148"/>
      <c r="AA16" s="148"/>
      <c r="AB16" s="148"/>
      <c r="AC16" s="148"/>
      <c r="AD16" s="148"/>
      <c r="AE16" s="148"/>
      <c r="AF16" s="148"/>
      <c r="AG16" s="148"/>
    </row>
    <row r="17" spans="1:33" ht="13.8">
      <c r="A17" s="153">
        <v>55</v>
      </c>
      <c r="B17" s="153" t="s">
        <v>8935</v>
      </c>
      <c r="C17" s="153" t="s">
        <v>8936</v>
      </c>
      <c r="D17" s="153">
        <v>1</v>
      </c>
      <c r="E17" s="153" t="s">
        <v>8878</v>
      </c>
      <c r="F17" s="153" t="s">
        <v>8890</v>
      </c>
      <c r="G17" s="153" t="s">
        <v>8937</v>
      </c>
      <c r="H17" s="154">
        <v>45792</v>
      </c>
      <c r="I17" s="149">
        <v>2025</v>
      </c>
      <c r="J17" s="149" t="s">
        <v>8938</v>
      </c>
      <c r="K17" s="149" t="s">
        <v>8887</v>
      </c>
      <c r="L17" s="155"/>
      <c r="M17" s="149" t="s">
        <v>6432</v>
      </c>
      <c r="N17" s="151">
        <v>45851</v>
      </c>
      <c r="O17" s="148"/>
      <c r="P17" s="148"/>
      <c r="Q17" s="148"/>
      <c r="R17" s="148"/>
      <c r="S17" s="148"/>
      <c r="T17" s="148"/>
      <c r="U17" s="148"/>
      <c r="V17" s="148"/>
      <c r="W17" s="148"/>
      <c r="X17" s="148"/>
      <c r="Y17" s="148"/>
      <c r="Z17" s="148"/>
      <c r="AA17" s="148"/>
      <c r="AB17" s="148"/>
      <c r="AC17" s="148"/>
      <c r="AD17" s="148"/>
      <c r="AE17" s="148"/>
      <c r="AF17" s="148"/>
      <c r="AG17" s="148"/>
    </row>
    <row r="18" spans="1:33" ht="13.8">
      <c r="A18" s="153">
        <v>56</v>
      </c>
      <c r="B18" s="153" t="s">
        <v>8939</v>
      </c>
      <c r="C18" s="153" t="s">
        <v>8940</v>
      </c>
      <c r="D18" s="153">
        <v>9</v>
      </c>
      <c r="E18" s="153" t="s">
        <v>8878</v>
      </c>
      <c r="F18" s="153" t="s">
        <v>8890</v>
      </c>
      <c r="G18" s="153" t="s">
        <v>8941</v>
      </c>
      <c r="H18" s="154">
        <v>45751</v>
      </c>
      <c r="I18" s="149">
        <v>2025</v>
      </c>
      <c r="J18" s="155"/>
      <c r="K18" s="149" t="s">
        <v>8887</v>
      </c>
      <c r="L18" s="155"/>
      <c r="M18" s="149" t="s">
        <v>4770</v>
      </c>
      <c r="N18" s="151">
        <v>45852</v>
      </c>
      <c r="O18" s="148"/>
      <c r="P18" s="148"/>
      <c r="Q18" s="148"/>
      <c r="R18" s="148"/>
      <c r="S18" s="148"/>
      <c r="T18" s="148"/>
      <c r="U18" s="148"/>
      <c r="V18" s="148"/>
      <c r="W18" s="148"/>
      <c r="X18" s="148"/>
      <c r="Y18" s="148"/>
      <c r="Z18" s="148"/>
      <c r="AA18" s="148"/>
      <c r="AB18" s="148"/>
      <c r="AC18" s="148"/>
      <c r="AD18" s="148"/>
      <c r="AE18" s="148"/>
      <c r="AF18" s="148"/>
      <c r="AG18" s="148"/>
    </row>
    <row r="19" spans="1:33" ht="13.8">
      <c r="A19" s="153">
        <v>57</v>
      </c>
      <c r="B19" s="153" t="s">
        <v>8942</v>
      </c>
      <c r="C19" s="153" t="s">
        <v>8943</v>
      </c>
      <c r="D19" s="153">
        <v>8</v>
      </c>
      <c r="E19" s="153" t="s">
        <v>8878</v>
      </c>
      <c r="F19" s="153" t="s">
        <v>8890</v>
      </c>
      <c r="G19" s="153" t="s">
        <v>8944</v>
      </c>
      <c r="H19" s="154">
        <v>45813</v>
      </c>
      <c r="I19" s="149">
        <v>2025</v>
      </c>
      <c r="J19" s="155"/>
      <c r="K19" s="149" t="s">
        <v>8887</v>
      </c>
      <c r="L19" s="155"/>
      <c r="M19" s="149" t="s">
        <v>4775</v>
      </c>
      <c r="N19" s="151">
        <v>45852</v>
      </c>
      <c r="O19" s="148"/>
      <c r="P19" s="148"/>
      <c r="Q19" s="148"/>
      <c r="R19" s="148"/>
      <c r="S19" s="148"/>
      <c r="T19" s="148"/>
      <c r="U19" s="148"/>
      <c r="V19" s="148"/>
      <c r="W19" s="148"/>
      <c r="X19" s="148"/>
      <c r="Y19" s="148"/>
      <c r="Z19" s="148"/>
      <c r="AA19" s="148"/>
      <c r="AB19" s="148"/>
      <c r="AC19" s="148"/>
      <c r="AD19" s="148"/>
      <c r="AE19" s="148"/>
      <c r="AF19" s="148"/>
      <c r="AG19" s="148"/>
    </row>
    <row r="20" spans="1:33" ht="13.8">
      <c r="A20" s="153">
        <v>59</v>
      </c>
      <c r="B20" s="153" t="s">
        <v>8945</v>
      </c>
      <c r="C20" s="153" t="s">
        <v>8946</v>
      </c>
      <c r="D20" s="153">
        <v>4</v>
      </c>
      <c r="E20" s="153" t="s">
        <v>8878</v>
      </c>
      <c r="F20" s="153" t="s">
        <v>8890</v>
      </c>
      <c r="G20" s="153" t="s">
        <v>8947</v>
      </c>
      <c r="H20" s="154">
        <v>45826</v>
      </c>
      <c r="I20" s="149">
        <v>2025</v>
      </c>
      <c r="J20" s="155"/>
      <c r="K20" s="149" t="s">
        <v>8887</v>
      </c>
      <c r="L20" s="155"/>
      <c r="M20" s="149" t="s">
        <v>566</v>
      </c>
      <c r="N20" s="151">
        <v>45855</v>
      </c>
      <c r="O20" s="148"/>
      <c r="P20" s="148"/>
      <c r="Q20" s="148"/>
      <c r="R20" s="148"/>
      <c r="S20" s="148"/>
      <c r="T20" s="148"/>
      <c r="U20" s="148"/>
      <c r="V20" s="148"/>
      <c r="W20" s="148"/>
      <c r="X20" s="148"/>
      <c r="Y20" s="148"/>
      <c r="Z20" s="148"/>
      <c r="AA20" s="148"/>
      <c r="AB20" s="148"/>
      <c r="AC20" s="148"/>
      <c r="AD20" s="148"/>
      <c r="AE20" s="148"/>
      <c r="AF20" s="148"/>
      <c r="AG20" s="148"/>
    </row>
    <row r="21" spans="1:33" ht="13.8">
      <c r="A21" s="153">
        <v>60</v>
      </c>
      <c r="B21" s="153" t="s">
        <v>8948</v>
      </c>
      <c r="C21" s="153" t="s">
        <v>8949</v>
      </c>
      <c r="D21" s="153">
        <v>7</v>
      </c>
      <c r="E21" s="153" t="s">
        <v>8878</v>
      </c>
      <c r="F21" s="153" t="s">
        <v>8890</v>
      </c>
      <c r="G21" s="153" t="s">
        <v>8950</v>
      </c>
      <c r="H21" s="154">
        <v>45717</v>
      </c>
      <c r="I21" s="149">
        <v>2025</v>
      </c>
      <c r="J21" s="149" t="s">
        <v>8934</v>
      </c>
      <c r="K21" s="149" t="s">
        <v>8887</v>
      </c>
      <c r="L21" s="155"/>
      <c r="M21" s="149" t="s">
        <v>5087</v>
      </c>
      <c r="N21" s="151">
        <v>45860</v>
      </c>
      <c r="O21" s="148"/>
      <c r="P21" s="148"/>
      <c r="Q21" s="148"/>
      <c r="R21" s="148"/>
      <c r="S21" s="148"/>
      <c r="T21" s="148"/>
      <c r="U21" s="148"/>
      <c r="V21" s="148"/>
      <c r="W21" s="148"/>
      <c r="X21" s="148"/>
      <c r="Y21" s="148"/>
      <c r="Z21" s="148"/>
      <c r="AA21" s="148"/>
      <c r="AB21" s="148"/>
      <c r="AC21" s="148"/>
      <c r="AD21" s="148"/>
      <c r="AE21" s="148"/>
      <c r="AF21" s="148"/>
      <c r="AG21" s="148"/>
    </row>
    <row r="22" spans="1:33" ht="13.8">
      <c r="A22" s="153">
        <v>61</v>
      </c>
      <c r="B22" s="153" t="s">
        <v>8951</v>
      </c>
      <c r="C22" s="153" t="s">
        <v>8952</v>
      </c>
      <c r="D22" s="153">
        <v>7</v>
      </c>
      <c r="E22" s="153" t="s">
        <v>8878</v>
      </c>
      <c r="F22" s="153" t="s">
        <v>8890</v>
      </c>
      <c r="G22" s="153" t="s">
        <v>8953</v>
      </c>
      <c r="H22" s="154">
        <v>45833</v>
      </c>
      <c r="I22" s="149">
        <v>2025</v>
      </c>
      <c r="J22" s="155"/>
      <c r="K22" s="149" t="s">
        <v>8887</v>
      </c>
      <c r="L22" s="155"/>
      <c r="M22" s="149" t="s">
        <v>5087</v>
      </c>
      <c r="N22" s="151">
        <v>45875</v>
      </c>
      <c r="O22" s="148"/>
      <c r="P22" s="148"/>
      <c r="Q22" s="148"/>
      <c r="R22" s="148"/>
      <c r="S22" s="148"/>
      <c r="T22" s="148"/>
      <c r="U22" s="148"/>
      <c r="V22" s="148"/>
      <c r="W22" s="148"/>
      <c r="X22" s="148"/>
      <c r="Y22" s="148"/>
      <c r="Z22" s="148"/>
      <c r="AA22" s="148"/>
      <c r="AB22" s="148"/>
      <c r="AC22" s="148"/>
      <c r="AD22" s="148"/>
      <c r="AE22" s="148"/>
      <c r="AF22" s="148"/>
      <c r="AG22" s="148"/>
    </row>
    <row r="23" spans="1:33" ht="13.8">
      <c r="A23" s="153">
        <v>93</v>
      </c>
      <c r="B23" s="153" t="s">
        <v>8954</v>
      </c>
      <c r="C23" s="153" t="s">
        <v>8955</v>
      </c>
      <c r="D23" s="153">
        <v>8</v>
      </c>
      <c r="E23" s="153" t="s">
        <v>8878</v>
      </c>
      <c r="F23" s="153" t="s">
        <v>8956</v>
      </c>
      <c r="G23" s="153" t="s">
        <v>8957</v>
      </c>
      <c r="H23" s="154">
        <v>45685</v>
      </c>
      <c r="I23" s="149">
        <v>2025</v>
      </c>
      <c r="J23" s="155"/>
      <c r="K23" s="149" t="s">
        <v>8887</v>
      </c>
      <c r="L23" s="155"/>
      <c r="M23" s="149" t="s">
        <v>5896</v>
      </c>
      <c r="N23" s="151">
        <v>45699</v>
      </c>
      <c r="O23" s="148"/>
      <c r="P23" s="148"/>
      <c r="Q23" s="148"/>
      <c r="R23" s="148"/>
      <c r="S23" s="148"/>
      <c r="T23" s="148"/>
      <c r="U23" s="148"/>
      <c r="V23" s="148"/>
      <c r="W23" s="148"/>
      <c r="X23" s="148"/>
      <c r="Y23" s="148"/>
      <c r="Z23" s="148"/>
      <c r="AA23" s="148"/>
      <c r="AB23" s="148"/>
      <c r="AC23" s="148"/>
      <c r="AD23" s="148"/>
      <c r="AE23" s="148"/>
      <c r="AF23" s="148"/>
      <c r="AG23" s="148"/>
    </row>
    <row r="24" spans="1:33" ht="13.8">
      <c r="A24" s="153">
        <v>94</v>
      </c>
      <c r="B24" s="153" t="s">
        <v>8958</v>
      </c>
      <c r="C24" s="153" t="s">
        <v>8959</v>
      </c>
      <c r="D24" s="153">
        <v>4</v>
      </c>
      <c r="E24" s="153" t="s">
        <v>8878</v>
      </c>
      <c r="F24" s="153" t="s">
        <v>8956</v>
      </c>
      <c r="G24" s="153" t="s">
        <v>8960</v>
      </c>
      <c r="H24" s="154">
        <v>45706</v>
      </c>
      <c r="I24" s="149">
        <v>2025</v>
      </c>
      <c r="J24" s="155"/>
      <c r="K24" s="149" t="s">
        <v>8887</v>
      </c>
      <c r="L24" s="155"/>
      <c r="M24" s="149" t="s">
        <v>5896</v>
      </c>
      <c r="N24" s="151">
        <v>45709</v>
      </c>
      <c r="O24" s="148"/>
      <c r="P24" s="148"/>
      <c r="Q24" s="148"/>
      <c r="R24" s="148"/>
      <c r="S24" s="148"/>
      <c r="T24" s="148"/>
      <c r="U24" s="148"/>
      <c r="V24" s="148"/>
      <c r="W24" s="148"/>
      <c r="X24" s="148"/>
      <c r="Y24" s="148"/>
      <c r="Z24" s="148"/>
      <c r="AA24" s="148"/>
      <c r="AB24" s="148"/>
      <c r="AC24" s="148"/>
      <c r="AD24" s="148"/>
      <c r="AE24" s="148"/>
      <c r="AF24" s="148"/>
      <c r="AG24" s="148"/>
    </row>
    <row r="25" spans="1:33" ht="13.8">
      <c r="A25" s="153">
        <v>95</v>
      </c>
      <c r="B25" s="153" t="s">
        <v>8961</v>
      </c>
      <c r="C25" s="153" t="s">
        <v>8962</v>
      </c>
      <c r="D25" s="153">
        <v>4</v>
      </c>
      <c r="E25" s="153" t="s">
        <v>8878</v>
      </c>
      <c r="F25" s="153" t="s">
        <v>8956</v>
      </c>
      <c r="G25" s="153" t="s">
        <v>8963</v>
      </c>
      <c r="H25" s="154">
        <v>45708</v>
      </c>
      <c r="I25" s="149">
        <v>2025</v>
      </c>
      <c r="J25" s="149" t="s">
        <v>8964</v>
      </c>
      <c r="K25" s="149" t="s">
        <v>8887</v>
      </c>
      <c r="L25" s="155"/>
      <c r="M25" s="149" t="s">
        <v>6308</v>
      </c>
      <c r="N25" s="151">
        <v>45730</v>
      </c>
      <c r="O25" s="148"/>
      <c r="P25" s="148"/>
      <c r="Q25" s="148"/>
      <c r="R25" s="148"/>
      <c r="S25" s="148"/>
      <c r="T25" s="148"/>
      <c r="U25" s="148"/>
      <c r="V25" s="148"/>
      <c r="W25" s="148"/>
      <c r="X25" s="148"/>
      <c r="Y25" s="148"/>
      <c r="Z25" s="148"/>
      <c r="AA25" s="148"/>
      <c r="AB25" s="148"/>
      <c r="AC25" s="148"/>
      <c r="AD25" s="148"/>
      <c r="AE25" s="148"/>
      <c r="AF25" s="148"/>
      <c r="AG25" s="148"/>
    </row>
    <row r="26" spans="1:33" ht="13.8">
      <c r="A26" s="153">
        <v>107</v>
      </c>
      <c r="B26" s="153" t="s">
        <v>8965</v>
      </c>
      <c r="C26" s="153" t="s">
        <v>8966</v>
      </c>
      <c r="D26" s="153">
        <v>9</v>
      </c>
      <c r="E26" s="153" t="s">
        <v>8878</v>
      </c>
      <c r="F26" s="153" t="s">
        <v>8956</v>
      </c>
      <c r="G26" s="153" t="s">
        <v>8967</v>
      </c>
      <c r="H26" s="154">
        <v>45765</v>
      </c>
      <c r="I26" s="149">
        <v>2025</v>
      </c>
      <c r="J26" s="155"/>
      <c r="K26" s="149" t="s">
        <v>8887</v>
      </c>
      <c r="L26" s="155"/>
      <c r="M26" s="149" t="s">
        <v>5896</v>
      </c>
      <c r="N26" s="151">
        <v>45832</v>
      </c>
      <c r="O26" s="148"/>
      <c r="P26" s="148"/>
      <c r="Q26" s="148"/>
      <c r="R26" s="148"/>
      <c r="S26" s="148"/>
      <c r="T26" s="148"/>
      <c r="U26" s="148"/>
      <c r="V26" s="148"/>
      <c r="W26" s="148"/>
      <c r="X26" s="148"/>
      <c r="Y26" s="148"/>
      <c r="Z26" s="148"/>
      <c r="AA26" s="148"/>
      <c r="AB26" s="148"/>
      <c r="AC26" s="148"/>
      <c r="AD26" s="148"/>
      <c r="AE26" s="148"/>
      <c r="AF26" s="148"/>
      <c r="AG26" s="148"/>
    </row>
    <row r="27" spans="1:33" ht="13.8">
      <c r="A27" s="153">
        <v>108</v>
      </c>
      <c r="B27" s="153" t="s">
        <v>8968</v>
      </c>
      <c r="C27" s="153" t="s">
        <v>8969</v>
      </c>
      <c r="D27" s="153">
        <v>3</v>
      </c>
      <c r="E27" s="153" t="s">
        <v>8878</v>
      </c>
      <c r="F27" s="153" t="s">
        <v>8956</v>
      </c>
      <c r="G27" s="153" t="s">
        <v>8970</v>
      </c>
      <c r="H27" s="154">
        <v>45827</v>
      </c>
      <c r="I27" s="149">
        <v>2025</v>
      </c>
      <c r="J27" s="149" t="s">
        <v>8971</v>
      </c>
      <c r="K27" s="149" t="s">
        <v>8887</v>
      </c>
      <c r="L27" s="155"/>
      <c r="M27" s="149" t="s">
        <v>5599</v>
      </c>
      <c r="N27" s="151">
        <v>45836</v>
      </c>
      <c r="O27" s="148"/>
      <c r="P27" s="148"/>
      <c r="Q27" s="148"/>
      <c r="R27" s="148"/>
      <c r="S27" s="148"/>
      <c r="T27" s="148"/>
      <c r="U27" s="148"/>
      <c r="V27" s="148"/>
      <c r="W27" s="148"/>
      <c r="X27" s="148"/>
      <c r="Y27" s="148"/>
      <c r="Z27" s="148"/>
      <c r="AA27" s="148"/>
      <c r="AB27" s="148"/>
      <c r="AC27" s="148"/>
      <c r="AD27" s="148"/>
      <c r="AE27" s="148"/>
      <c r="AF27" s="148"/>
      <c r="AG27" s="148"/>
    </row>
    <row r="28" spans="1:33" ht="13.8">
      <c r="A28" s="153">
        <v>109</v>
      </c>
      <c r="B28" s="153" t="s">
        <v>8972</v>
      </c>
      <c r="C28" s="153" t="s">
        <v>8973</v>
      </c>
      <c r="D28" s="153">
        <v>3</v>
      </c>
      <c r="E28" s="153" t="s">
        <v>8878</v>
      </c>
      <c r="F28" s="153" t="s">
        <v>8956</v>
      </c>
      <c r="G28" s="153" t="s">
        <v>8974</v>
      </c>
      <c r="H28" s="154">
        <v>45744</v>
      </c>
      <c r="I28" s="149">
        <v>2025</v>
      </c>
      <c r="J28" s="149" t="s">
        <v>8975</v>
      </c>
      <c r="K28" s="149" t="s">
        <v>8887</v>
      </c>
      <c r="L28" s="155"/>
      <c r="M28" s="149" t="s">
        <v>6842</v>
      </c>
      <c r="N28" s="151">
        <v>45840</v>
      </c>
      <c r="O28" s="148"/>
      <c r="P28" s="148"/>
      <c r="Q28" s="148"/>
      <c r="R28" s="148"/>
      <c r="S28" s="148"/>
      <c r="T28" s="148"/>
      <c r="U28" s="148"/>
      <c r="V28" s="148"/>
      <c r="W28" s="148"/>
      <c r="X28" s="148"/>
      <c r="Y28" s="148"/>
      <c r="Z28" s="148"/>
      <c r="AA28" s="148"/>
      <c r="AB28" s="148"/>
      <c r="AC28" s="148"/>
      <c r="AD28" s="148"/>
      <c r="AE28" s="148"/>
      <c r="AF28" s="148"/>
      <c r="AG28" s="148"/>
    </row>
    <row r="29" spans="1:33" ht="13.8">
      <c r="A29" s="153">
        <v>110</v>
      </c>
      <c r="B29" s="153" t="s">
        <v>8976</v>
      </c>
      <c r="C29" s="153" t="s">
        <v>8977</v>
      </c>
      <c r="D29" s="153">
        <v>3</v>
      </c>
      <c r="E29" s="153" t="s">
        <v>8878</v>
      </c>
      <c r="F29" s="153" t="s">
        <v>8956</v>
      </c>
      <c r="G29" s="153" t="s">
        <v>8978</v>
      </c>
      <c r="H29" s="154">
        <v>45691</v>
      </c>
      <c r="I29" s="149">
        <v>2025</v>
      </c>
      <c r="J29" s="155"/>
      <c r="K29" s="149" t="s">
        <v>8887</v>
      </c>
      <c r="L29" s="155"/>
      <c r="M29" s="149" t="s">
        <v>8915</v>
      </c>
      <c r="N29" s="151">
        <v>45841</v>
      </c>
      <c r="O29" s="148"/>
      <c r="P29" s="148"/>
      <c r="Q29" s="148"/>
      <c r="R29" s="148"/>
      <c r="S29" s="148"/>
      <c r="T29" s="148"/>
      <c r="U29" s="148"/>
      <c r="V29" s="148"/>
      <c r="W29" s="148"/>
      <c r="X29" s="148"/>
      <c r="Y29" s="148"/>
      <c r="Z29" s="148"/>
      <c r="AA29" s="148"/>
      <c r="AB29" s="148"/>
      <c r="AC29" s="148"/>
      <c r="AD29" s="148"/>
      <c r="AE29" s="148"/>
      <c r="AF29" s="148"/>
      <c r="AG29" s="148"/>
    </row>
    <row r="30" spans="1:33" ht="13.8">
      <c r="A30" s="153">
        <v>111</v>
      </c>
      <c r="B30" s="153" t="s">
        <v>8979</v>
      </c>
      <c r="C30" s="153" t="s">
        <v>8980</v>
      </c>
      <c r="D30" s="153">
        <v>3</v>
      </c>
      <c r="E30" s="153" t="s">
        <v>8878</v>
      </c>
      <c r="F30" s="153" t="s">
        <v>8956</v>
      </c>
      <c r="G30" s="153" t="s">
        <v>8981</v>
      </c>
      <c r="H30" s="154">
        <v>45824</v>
      </c>
      <c r="I30" s="149">
        <v>2025</v>
      </c>
      <c r="J30" s="155"/>
      <c r="K30" s="149" t="s">
        <v>8887</v>
      </c>
      <c r="L30" s="155"/>
      <c r="M30" s="149" t="s">
        <v>6308</v>
      </c>
      <c r="N30" s="151">
        <v>45841</v>
      </c>
      <c r="O30" s="148"/>
      <c r="P30" s="148"/>
      <c r="Q30" s="148"/>
      <c r="R30" s="148"/>
      <c r="S30" s="148"/>
      <c r="T30" s="148"/>
      <c r="U30" s="148"/>
      <c r="V30" s="148"/>
      <c r="W30" s="148"/>
      <c r="X30" s="148"/>
      <c r="Y30" s="148"/>
      <c r="Z30" s="148"/>
      <c r="AA30" s="148"/>
      <c r="AB30" s="148"/>
      <c r="AC30" s="148"/>
      <c r="AD30" s="148"/>
      <c r="AE30" s="148"/>
      <c r="AF30" s="148"/>
      <c r="AG30" s="148"/>
    </row>
    <row r="31" spans="1:33" ht="13.8">
      <c r="A31" s="153">
        <v>112</v>
      </c>
      <c r="B31" s="153" t="s">
        <v>8982</v>
      </c>
      <c r="C31" s="153" t="s">
        <v>8983</v>
      </c>
      <c r="D31" s="153">
        <v>7</v>
      </c>
      <c r="E31" s="153" t="s">
        <v>8878</v>
      </c>
      <c r="F31" s="153" t="s">
        <v>8956</v>
      </c>
      <c r="G31" s="153" t="s">
        <v>8984</v>
      </c>
      <c r="H31" s="154">
        <v>45730</v>
      </c>
      <c r="I31" s="149">
        <v>2025</v>
      </c>
      <c r="J31" s="149" t="s">
        <v>8985</v>
      </c>
      <c r="K31" s="149" t="s">
        <v>8887</v>
      </c>
      <c r="L31" s="155"/>
      <c r="M31" s="149" t="s">
        <v>6188</v>
      </c>
      <c r="N31" s="151">
        <v>45844</v>
      </c>
      <c r="O31" s="148"/>
      <c r="P31" s="148"/>
      <c r="Q31" s="148"/>
      <c r="R31" s="148"/>
      <c r="S31" s="148"/>
      <c r="T31" s="148"/>
      <c r="U31" s="148"/>
      <c r="V31" s="148"/>
      <c r="W31" s="148"/>
      <c r="X31" s="148"/>
      <c r="Y31" s="148"/>
      <c r="Z31" s="148"/>
      <c r="AA31" s="148"/>
      <c r="AB31" s="148"/>
      <c r="AC31" s="148"/>
      <c r="AD31" s="148"/>
      <c r="AE31" s="148"/>
      <c r="AF31" s="148"/>
      <c r="AG31" s="148"/>
    </row>
    <row r="32" spans="1:33" ht="13.8">
      <c r="A32" s="153">
        <v>113</v>
      </c>
      <c r="B32" s="153" t="s">
        <v>8986</v>
      </c>
      <c r="C32" s="153" t="s">
        <v>8987</v>
      </c>
      <c r="D32" s="153">
        <v>2</v>
      </c>
      <c r="E32" s="153" t="s">
        <v>8878</v>
      </c>
      <c r="F32" s="153" t="s">
        <v>8956</v>
      </c>
      <c r="G32" s="153" t="s">
        <v>8988</v>
      </c>
      <c r="H32" s="154">
        <v>45786</v>
      </c>
      <c r="I32" s="149">
        <v>2025</v>
      </c>
      <c r="J32" s="149" t="s">
        <v>8989</v>
      </c>
      <c r="K32" s="149" t="s">
        <v>8887</v>
      </c>
      <c r="L32" s="155"/>
      <c r="M32" s="149" t="s">
        <v>6188</v>
      </c>
      <c r="N32" s="151">
        <v>45844</v>
      </c>
      <c r="O32" s="148"/>
      <c r="P32" s="148"/>
      <c r="Q32" s="148"/>
      <c r="R32" s="148"/>
      <c r="S32" s="148"/>
      <c r="T32" s="148"/>
      <c r="U32" s="148"/>
      <c r="V32" s="148"/>
      <c r="W32" s="148"/>
      <c r="X32" s="148"/>
      <c r="Y32" s="148"/>
      <c r="Z32" s="148"/>
      <c r="AA32" s="148"/>
      <c r="AB32" s="148"/>
      <c r="AC32" s="148"/>
      <c r="AD32" s="148"/>
      <c r="AE32" s="148"/>
      <c r="AF32" s="148"/>
      <c r="AG32" s="148"/>
    </row>
    <row r="33" spans="1:33" ht="13.8">
      <c r="A33" s="153">
        <v>114</v>
      </c>
      <c r="B33" s="153" t="s">
        <v>8990</v>
      </c>
      <c r="C33" s="153" t="s">
        <v>8991</v>
      </c>
      <c r="D33" s="153">
        <v>13</v>
      </c>
      <c r="E33" s="153" t="s">
        <v>8878</v>
      </c>
      <c r="F33" s="153" t="s">
        <v>8956</v>
      </c>
      <c r="G33" s="153" t="s">
        <v>8992</v>
      </c>
      <c r="H33" s="154">
        <v>45724</v>
      </c>
      <c r="I33" s="149">
        <v>2025</v>
      </c>
      <c r="J33" s="155"/>
      <c r="K33" s="149" t="s">
        <v>8887</v>
      </c>
      <c r="L33" s="155"/>
      <c r="M33" s="149" t="s">
        <v>5977</v>
      </c>
      <c r="N33" s="151">
        <v>45847</v>
      </c>
      <c r="O33" s="148"/>
      <c r="P33" s="148"/>
      <c r="Q33" s="148"/>
      <c r="R33" s="148"/>
      <c r="S33" s="148"/>
      <c r="T33" s="148"/>
      <c r="U33" s="148"/>
      <c r="V33" s="148"/>
      <c r="W33" s="148"/>
      <c r="X33" s="148"/>
      <c r="Y33" s="148"/>
      <c r="Z33" s="148"/>
      <c r="AA33" s="148"/>
      <c r="AB33" s="148"/>
      <c r="AC33" s="148"/>
      <c r="AD33" s="148"/>
      <c r="AE33" s="148"/>
      <c r="AF33" s="148"/>
      <c r="AG33" s="148"/>
    </row>
    <row r="34" spans="1:33" ht="13.8">
      <c r="A34" s="153">
        <v>115</v>
      </c>
      <c r="B34" s="153" t="s">
        <v>8993</v>
      </c>
      <c r="C34" s="153" t="s">
        <v>8994</v>
      </c>
      <c r="D34" s="153">
        <v>12</v>
      </c>
      <c r="E34" s="153" t="s">
        <v>8878</v>
      </c>
      <c r="F34" s="153" t="s">
        <v>8956</v>
      </c>
      <c r="G34" s="153" t="s">
        <v>8995</v>
      </c>
      <c r="H34" s="154">
        <v>45725</v>
      </c>
      <c r="I34" s="149">
        <v>2025</v>
      </c>
      <c r="J34" s="155"/>
      <c r="K34" s="149" t="s">
        <v>8887</v>
      </c>
      <c r="L34" s="155"/>
      <c r="M34" s="149" t="s">
        <v>6086</v>
      </c>
      <c r="N34" s="151">
        <v>45850</v>
      </c>
      <c r="O34" s="148"/>
      <c r="P34" s="148"/>
      <c r="Q34" s="148"/>
      <c r="R34" s="148"/>
      <c r="S34" s="148"/>
      <c r="T34" s="148"/>
      <c r="U34" s="148"/>
      <c r="V34" s="148"/>
      <c r="W34" s="148"/>
      <c r="X34" s="148"/>
      <c r="Y34" s="148"/>
      <c r="Z34" s="148"/>
      <c r="AA34" s="148"/>
      <c r="AB34" s="148"/>
      <c r="AC34" s="148"/>
      <c r="AD34" s="148"/>
      <c r="AE34" s="148"/>
      <c r="AF34" s="148"/>
      <c r="AG34" s="148"/>
    </row>
    <row r="35" spans="1:33" ht="13.8">
      <c r="A35" s="153">
        <v>116</v>
      </c>
      <c r="B35" s="153" t="s">
        <v>8996</v>
      </c>
      <c r="C35" s="153" t="s">
        <v>8997</v>
      </c>
      <c r="D35" s="153">
        <v>11</v>
      </c>
      <c r="E35" s="153" t="s">
        <v>8878</v>
      </c>
      <c r="F35" s="153" t="s">
        <v>8956</v>
      </c>
      <c r="G35" s="153" t="s">
        <v>8998</v>
      </c>
      <c r="H35" s="154">
        <v>45839</v>
      </c>
      <c r="I35" s="149">
        <v>2025</v>
      </c>
      <c r="J35" s="155"/>
      <c r="K35" s="149" t="s">
        <v>8887</v>
      </c>
      <c r="L35" s="155"/>
      <c r="M35" s="149" t="s">
        <v>6086</v>
      </c>
      <c r="N35" s="151">
        <v>45850</v>
      </c>
      <c r="O35" s="148"/>
      <c r="P35" s="148"/>
      <c r="Q35" s="148"/>
      <c r="R35" s="148"/>
      <c r="S35" s="148"/>
      <c r="T35" s="148"/>
      <c r="U35" s="148"/>
      <c r="V35" s="148"/>
      <c r="W35" s="148"/>
      <c r="X35" s="148"/>
      <c r="Y35" s="148"/>
      <c r="Z35" s="148"/>
      <c r="AA35" s="148"/>
      <c r="AB35" s="148"/>
      <c r="AC35" s="148"/>
      <c r="AD35" s="148"/>
      <c r="AE35" s="148"/>
      <c r="AF35" s="148"/>
      <c r="AG35" s="148"/>
    </row>
    <row r="36" spans="1:33" ht="13.8">
      <c r="A36" s="153">
        <v>117</v>
      </c>
      <c r="B36" s="153" t="s">
        <v>8999</v>
      </c>
      <c r="C36" s="153" t="s">
        <v>9000</v>
      </c>
      <c r="D36" s="153">
        <v>5</v>
      </c>
      <c r="E36" s="153" t="s">
        <v>8878</v>
      </c>
      <c r="F36" s="153" t="s">
        <v>8956</v>
      </c>
      <c r="G36" s="153" t="s">
        <v>9001</v>
      </c>
      <c r="H36" s="154">
        <v>45771</v>
      </c>
      <c r="I36" s="149">
        <v>2025</v>
      </c>
      <c r="J36" s="155"/>
      <c r="K36" s="149" t="s">
        <v>8887</v>
      </c>
      <c r="L36" s="155"/>
      <c r="M36" s="149" t="s">
        <v>6068</v>
      </c>
      <c r="N36" s="151">
        <v>45852</v>
      </c>
      <c r="O36" s="148"/>
      <c r="P36" s="148"/>
      <c r="Q36" s="148"/>
      <c r="R36" s="148"/>
      <c r="S36" s="148"/>
      <c r="T36" s="148"/>
      <c r="U36" s="148"/>
      <c r="V36" s="148"/>
      <c r="W36" s="148"/>
      <c r="X36" s="148"/>
      <c r="Y36" s="148"/>
      <c r="Z36" s="148"/>
      <c r="AA36" s="148"/>
      <c r="AB36" s="148"/>
      <c r="AC36" s="148"/>
      <c r="AD36" s="148"/>
      <c r="AE36" s="148"/>
      <c r="AF36" s="148"/>
      <c r="AG36" s="148"/>
    </row>
    <row r="37" spans="1:33" ht="13.8">
      <c r="A37" s="153">
        <v>118</v>
      </c>
      <c r="B37" s="153" t="s">
        <v>9002</v>
      </c>
      <c r="C37" s="153" t="s">
        <v>9003</v>
      </c>
      <c r="D37" s="153">
        <v>7</v>
      </c>
      <c r="E37" s="153" t="s">
        <v>8878</v>
      </c>
      <c r="F37" s="153" t="s">
        <v>8956</v>
      </c>
      <c r="G37" s="153" t="s">
        <v>9004</v>
      </c>
      <c r="H37" s="154">
        <v>45740</v>
      </c>
      <c r="I37" s="149">
        <v>2025</v>
      </c>
      <c r="J37" s="155"/>
      <c r="K37" s="149" t="s">
        <v>8887</v>
      </c>
      <c r="L37" s="155"/>
      <c r="M37" s="149" t="s">
        <v>4770</v>
      </c>
      <c r="N37" s="151">
        <v>45852</v>
      </c>
      <c r="O37" s="148"/>
      <c r="P37" s="148"/>
      <c r="Q37" s="148"/>
      <c r="R37" s="148"/>
      <c r="S37" s="148"/>
      <c r="T37" s="148"/>
      <c r="U37" s="148"/>
      <c r="V37" s="148"/>
      <c r="W37" s="148"/>
      <c r="X37" s="148"/>
      <c r="Y37" s="148"/>
      <c r="Z37" s="148"/>
      <c r="AA37" s="148"/>
      <c r="AB37" s="148"/>
      <c r="AC37" s="148"/>
      <c r="AD37" s="148"/>
      <c r="AE37" s="148"/>
      <c r="AF37" s="148"/>
      <c r="AG37" s="148"/>
    </row>
    <row r="38" spans="1:33" ht="13.8">
      <c r="A38" s="153">
        <v>121</v>
      </c>
      <c r="B38" s="153" t="s">
        <v>9005</v>
      </c>
      <c r="C38" s="153" t="s">
        <v>9006</v>
      </c>
      <c r="D38" s="153">
        <v>3</v>
      </c>
      <c r="E38" s="153" t="s">
        <v>8878</v>
      </c>
      <c r="F38" s="153" t="s">
        <v>8956</v>
      </c>
      <c r="G38" s="153" t="s">
        <v>9007</v>
      </c>
      <c r="H38" s="154">
        <v>45781</v>
      </c>
      <c r="I38" s="149">
        <v>2025</v>
      </c>
      <c r="J38" s="149" t="s">
        <v>9008</v>
      </c>
      <c r="K38" s="149" t="s">
        <v>8887</v>
      </c>
      <c r="L38" s="155"/>
      <c r="M38" s="149" t="s">
        <v>5623</v>
      </c>
      <c r="N38" s="151">
        <v>45855</v>
      </c>
      <c r="O38" s="148"/>
      <c r="P38" s="148"/>
      <c r="Q38" s="148"/>
      <c r="R38" s="148"/>
      <c r="S38" s="148"/>
      <c r="T38" s="148"/>
      <c r="U38" s="148"/>
      <c r="V38" s="148"/>
      <c r="W38" s="148"/>
      <c r="X38" s="148"/>
      <c r="Y38" s="148"/>
      <c r="Z38" s="148"/>
      <c r="AA38" s="148"/>
      <c r="AB38" s="148"/>
      <c r="AC38" s="148"/>
      <c r="AD38" s="148"/>
      <c r="AE38" s="148"/>
      <c r="AF38" s="148"/>
      <c r="AG38" s="148"/>
    </row>
    <row r="39" spans="1:33" ht="13.8">
      <c r="A39" s="153">
        <v>131</v>
      </c>
      <c r="B39" s="153" t="s">
        <v>9009</v>
      </c>
      <c r="C39" s="153" t="s">
        <v>9010</v>
      </c>
      <c r="D39" s="153">
        <v>2</v>
      </c>
      <c r="E39" s="153" t="s">
        <v>8878</v>
      </c>
      <c r="F39" s="153" t="s">
        <v>9011</v>
      </c>
      <c r="G39" s="153" t="s">
        <v>9012</v>
      </c>
      <c r="H39" s="154">
        <v>45692</v>
      </c>
      <c r="I39" s="149">
        <v>2025</v>
      </c>
      <c r="J39" s="149" t="s">
        <v>9013</v>
      </c>
      <c r="K39" s="149" t="s">
        <v>8887</v>
      </c>
      <c r="L39" s="155"/>
      <c r="M39" s="149" t="s">
        <v>6159</v>
      </c>
      <c r="N39" s="151">
        <v>45692</v>
      </c>
      <c r="O39" s="148"/>
      <c r="P39" s="148"/>
      <c r="Q39" s="148"/>
      <c r="R39" s="148"/>
      <c r="S39" s="148"/>
      <c r="T39" s="148"/>
      <c r="U39" s="148"/>
      <c r="V39" s="148"/>
      <c r="W39" s="148"/>
      <c r="X39" s="148"/>
      <c r="Y39" s="148"/>
      <c r="Z39" s="148"/>
      <c r="AA39" s="148"/>
      <c r="AB39" s="148"/>
      <c r="AC39" s="148"/>
      <c r="AD39" s="148"/>
      <c r="AE39" s="148"/>
      <c r="AF39" s="148"/>
      <c r="AG39" s="148"/>
    </row>
    <row r="40" spans="1:33" ht="13.8">
      <c r="A40" s="153">
        <v>134</v>
      </c>
      <c r="B40" s="153" t="s">
        <v>9014</v>
      </c>
      <c r="C40" s="153" t="s">
        <v>9015</v>
      </c>
      <c r="D40" s="153">
        <v>3</v>
      </c>
      <c r="E40" s="153" t="s">
        <v>8878</v>
      </c>
      <c r="F40" s="153" t="s">
        <v>9011</v>
      </c>
      <c r="G40" s="153" t="s">
        <v>9016</v>
      </c>
      <c r="H40" s="154">
        <v>45728</v>
      </c>
      <c r="I40" s="149">
        <v>2025</v>
      </c>
      <c r="J40" s="155"/>
      <c r="K40" s="149" t="s">
        <v>8887</v>
      </c>
      <c r="L40" s="155"/>
      <c r="M40" s="149" t="s">
        <v>4770</v>
      </c>
      <c r="N40" s="151">
        <v>45733</v>
      </c>
      <c r="O40" s="148"/>
      <c r="P40" s="148"/>
      <c r="Q40" s="148"/>
      <c r="R40" s="148"/>
      <c r="S40" s="148"/>
      <c r="T40" s="148"/>
      <c r="U40" s="148"/>
      <c r="V40" s="148"/>
      <c r="W40" s="148"/>
      <c r="X40" s="148"/>
      <c r="Y40" s="148"/>
      <c r="Z40" s="148"/>
      <c r="AA40" s="148"/>
      <c r="AB40" s="148"/>
      <c r="AC40" s="148"/>
      <c r="AD40" s="148"/>
      <c r="AE40" s="148"/>
      <c r="AF40" s="148"/>
      <c r="AG40" s="148"/>
    </row>
    <row r="41" spans="1:33" ht="13.8">
      <c r="A41" s="153">
        <v>138</v>
      </c>
      <c r="B41" s="153" t="s">
        <v>9017</v>
      </c>
      <c r="C41" s="153" t="s">
        <v>9018</v>
      </c>
      <c r="D41" s="153">
        <v>5</v>
      </c>
      <c r="E41" s="153" t="s">
        <v>8878</v>
      </c>
      <c r="F41" s="153" t="s">
        <v>9019</v>
      </c>
      <c r="G41" s="153" t="s">
        <v>9020</v>
      </c>
      <c r="H41" s="154">
        <v>45788</v>
      </c>
      <c r="I41" s="149">
        <v>2025</v>
      </c>
      <c r="J41" s="149" t="s">
        <v>8919</v>
      </c>
      <c r="K41" s="149" t="s">
        <v>8887</v>
      </c>
      <c r="L41" s="155"/>
      <c r="M41" s="149" t="s">
        <v>6520</v>
      </c>
      <c r="N41" s="151">
        <v>45841</v>
      </c>
      <c r="O41" s="148"/>
      <c r="P41" s="148"/>
      <c r="Q41" s="148"/>
      <c r="R41" s="148"/>
      <c r="S41" s="148"/>
      <c r="T41" s="148"/>
      <c r="U41" s="148"/>
      <c r="V41" s="148"/>
      <c r="W41" s="148"/>
      <c r="X41" s="148"/>
      <c r="Y41" s="148"/>
      <c r="Z41" s="148"/>
      <c r="AA41" s="148"/>
      <c r="AB41" s="148"/>
      <c r="AC41" s="148"/>
      <c r="AD41" s="148"/>
      <c r="AE41" s="148"/>
      <c r="AF41" s="148"/>
      <c r="AG41" s="148"/>
    </row>
    <row r="42" spans="1:33" ht="13.8">
      <c r="A42" s="153">
        <v>143</v>
      </c>
      <c r="B42" s="153" t="s">
        <v>9021</v>
      </c>
      <c r="C42" s="153" t="s">
        <v>9022</v>
      </c>
      <c r="D42" s="153">
        <v>6</v>
      </c>
      <c r="E42" s="153" t="s">
        <v>9023</v>
      </c>
      <c r="F42" s="153" t="s">
        <v>8885</v>
      </c>
      <c r="G42" s="153" t="s">
        <v>9024</v>
      </c>
      <c r="H42" s="154">
        <v>45677</v>
      </c>
      <c r="I42" s="149">
        <v>2025</v>
      </c>
      <c r="J42" s="155"/>
      <c r="K42" s="149" t="s">
        <v>8887</v>
      </c>
      <c r="L42" s="155"/>
      <c r="M42" s="149" t="s">
        <v>6094</v>
      </c>
      <c r="N42" s="151">
        <v>45733</v>
      </c>
      <c r="O42" s="148"/>
      <c r="P42" s="148"/>
      <c r="Q42" s="148"/>
      <c r="R42" s="148"/>
      <c r="S42" s="148"/>
      <c r="T42" s="148"/>
      <c r="U42" s="148"/>
      <c r="V42" s="148"/>
      <c r="W42" s="148"/>
      <c r="X42" s="148"/>
      <c r="Y42" s="148"/>
      <c r="Z42" s="148"/>
      <c r="AA42" s="148"/>
      <c r="AB42" s="148"/>
      <c r="AC42" s="148"/>
      <c r="AD42" s="148"/>
      <c r="AE42" s="148"/>
      <c r="AF42" s="148"/>
      <c r="AG42" s="148"/>
    </row>
    <row r="43" spans="1:33" ht="13.8">
      <c r="A43" s="153">
        <v>147</v>
      </c>
      <c r="B43" s="153" t="s">
        <v>9025</v>
      </c>
      <c r="C43" s="153" t="s">
        <v>9026</v>
      </c>
      <c r="D43" s="153">
        <v>7</v>
      </c>
      <c r="E43" s="153" t="s">
        <v>9023</v>
      </c>
      <c r="F43" s="153" t="s">
        <v>8885</v>
      </c>
      <c r="G43" s="153" t="s">
        <v>9027</v>
      </c>
      <c r="H43" s="154">
        <v>45778</v>
      </c>
      <c r="I43" s="149">
        <v>2025</v>
      </c>
      <c r="J43" s="155"/>
      <c r="K43" s="149" t="s">
        <v>8887</v>
      </c>
      <c r="L43" s="155"/>
      <c r="M43" s="149" t="s">
        <v>6174</v>
      </c>
      <c r="N43" s="151">
        <v>45792</v>
      </c>
      <c r="O43" s="148"/>
      <c r="P43" s="148"/>
      <c r="Q43" s="148"/>
      <c r="R43" s="148"/>
      <c r="S43" s="148"/>
      <c r="T43" s="148"/>
      <c r="U43" s="148"/>
      <c r="V43" s="148"/>
      <c r="W43" s="148"/>
      <c r="X43" s="148"/>
      <c r="Y43" s="148"/>
      <c r="Z43" s="148"/>
      <c r="AA43" s="148"/>
      <c r="AB43" s="148"/>
      <c r="AC43" s="148"/>
      <c r="AD43" s="148"/>
      <c r="AE43" s="148"/>
      <c r="AF43" s="148"/>
      <c r="AG43" s="148"/>
    </row>
    <row r="44" spans="1:33" ht="13.8">
      <c r="A44" s="153">
        <v>149</v>
      </c>
      <c r="B44" s="153" t="s">
        <v>9028</v>
      </c>
      <c r="C44" s="153" t="s">
        <v>9029</v>
      </c>
      <c r="D44" s="153">
        <v>6</v>
      </c>
      <c r="E44" s="153" t="s">
        <v>9023</v>
      </c>
      <c r="F44" s="153" t="s">
        <v>8885</v>
      </c>
      <c r="G44" s="153" t="s">
        <v>9030</v>
      </c>
      <c r="H44" s="154">
        <v>45814</v>
      </c>
      <c r="I44" s="149">
        <v>2025</v>
      </c>
      <c r="J44" s="149" t="s">
        <v>9031</v>
      </c>
      <c r="K44" s="149" t="s">
        <v>8887</v>
      </c>
      <c r="L44" s="155"/>
      <c r="M44" s="149" t="s">
        <v>6842</v>
      </c>
      <c r="N44" s="151">
        <v>45840</v>
      </c>
      <c r="O44" s="148"/>
      <c r="P44" s="148"/>
      <c r="Q44" s="148"/>
      <c r="R44" s="148"/>
      <c r="S44" s="148"/>
      <c r="T44" s="148"/>
      <c r="U44" s="148"/>
      <c r="V44" s="148"/>
      <c r="W44" s="148"/>
      <c r="X44" s="148"/>
      <c r="Y44" s="148"/>
      <c r="Z44" s="148"/>
      <c r="AA44" s="148"/>
      <c r="AB44" s="148"/>
      <c r="AC44" s="148"/>
      <c r="AD44" s="148"/>
      <c r="AE44" s="148"/>
      <c r="AF44" s="148"/>
      <c r="AG44" s="148"/>
    </row>
    <row r="45" spans="1:33" ht="13.8">
      <c r="A45" s="153">
        <v>150</v>
      </c>
      <c r="B45" s="153" t="s">
        <v>9032</v>
      </c>
      <c r="C45" s="153" t="s">
        <v>9033</v>
      </c>
      <c r="D45" s="153">
        <v>2</v>
      </c>
      <c r="E45" s="153" t="s">
        <v>9023</v>
      </c>
      <c r="F45" s="153" t="s">
        <v>8885</v>
      </c>
      <c r="G45" s="153" t="s">
        <v>9034</v>
      </c>
      <c r="H45" s="154">
        <v>45670</v>
      </c>
      <c r="I45" s="149">
        <v>2025</v>
      </c>
      <c r="J45" s="155"/>
      <c r="K45" s="149" t="s">
        <v>8887</v>
      </c>
      <c r="L45" s="155"/>
      <c r="M45" s="149" t="s">
        <v>6993</v>
      </c>
      <c r="N45" s="151">
        <v>45842</v>
      </c>
      <c r="O45" s="148"/>
      <c r="P45" s="148"/>
      <c r="Q45" s="148"/>
      <c r="R45" s="148"/>
      <c r="S45" s="148"/>
      <c r="T45" s="148"/>
      <c r="U45" s="148"/>
      <c r="V45" s="148"/>
      <c r="W45" s="148"/>
      <c r="X45" s="148"/>
      <c r="Y45" s="148"/>
      <c r="Z45" s="148"/>
      <c r="AA45" s="148"/>
      <c r="AB45" s="148"/>
      <c r="AC45" s="148"/>
      <c r="AD45" s="148"/>
      <c r="AE45" s="148"/>
      <c r="AF45" s="148"/>
      <c r="AG45" s="148"/>
    </row>
    <row r="46" spans="1:33" ht="13.8">
      <c r="A46" s="153">
        <v>163</v>
      </c>
      <c r="B46" s="153" t="s">
        <v>9035</v>
      </c>
      <c r="C46" s="153" t="s">
        <v>9036</v>
      </c>
      <c r="D46" s="153">
        <v>4</v>
      </c>
      <c r="E46" s="153" t="s">
        <v>9023</v>
      </c>
      <c r="F46" s="153" t="s">
        <v>8890</v>
      </c>
      <c r="G46" s="153" t="s">
        <v>9037</v>
      </c>
      <c r="H46" s="154">
        <v>45711</v>
      </c>
      <c r="I46" s="149">
        <v>2025</v>
      </c>
      <c r="J46" s="149" t="s">
        <v>9038</v>
      </c>
      <c r="K46" s="149" t="s">
        <v>8887</v>
      </c>
      <c r="L46" s="155"/>
      <c r="M46" s="149" t="s">
        <v>566</v>
      </c>
      <c r="N46" s="151">
        <v>45747</v>
      </c>
      <c r="O46" s="148"/>
      <c r="P46" s="148"/>
      <c r="Q46" s="148"/>
      <c r="R46" s="148"/>
      <c r="S46" s="148"/>
      <c r="T46" s="148"/>
      <c r="U46" s="148"/>
      <c r="V46" s="148"/>
      <c r="W46" s="148"/>
      <c r="X46" s="148"/>
      <c r="Y46" s="148"/>
      <c r="Z46" s="148"/>
      <c r="AA46" s="148"/>
      <c r="AB46" s="148"/>
      <c r="AC46" s="148"/>
      <c r="AD46" s="148"/>
      <c r="AE46" s="148"/>
      <c r="AF46" s="148"/>
      <c r="AG46" s="148"/>
    </row>
    <row r="47" spans="1:33" ht="13.8">
      <c r="A47" s="153">
        <v>166</v>
      </c>
      <c r="B47" s="153" t="s">
        <v>9039</v>
      </c>
      <c r="C47" s="153" t="s">
        <v>9040</v>
      </c>
      <c r="D47" s="153">
        <v>10</v>
      </c>
      <c r="E47" s="153" t="s">
        <v>9023</v>
      </c>
      <c r="F47" s="153" t="s">
        <v>8890</v>
      </c>
      <c r="G47" s="153" t="s">
        <v>9041</v>
      </c>
      <c r="H47" s="154">
        <v>45824</v>
      </c>
      <c r="I47" s="149">
        <v>2025</v>
      </c>
      <c r="J47" s="155"/>
      <c r="K47" s="149" t="s">
        <v>8887</v>
      </c>
      <c r="L47" s="155"/>
      <c r="M47" s="149" t="s">
        <v>6094</v>
      </c>
      <c r="N47" s="151">
        <v>45826</v>
      </c>
      <c r="O47" s="148"/>
      <c r="P47" s="148"/>
      <c r="Q47" s="148"/>
      <c r="R47" s="148"/>
      <c r="S47" s="148"/>
      <c r="T47" s="148"/>
      <c r="U47" s="148"/>
      <c r="V47" s="148"/>
      <c r="W47" s="148"/>
      <c r="X47" s="148"/>
      <c r="Y47" s="148"/>
      <c r="Z47" s="148"/>
      <c r="AA47" s="148"/>
      <c r="AB47" s="148"/>
      <c r="AC47" s="148"/>
      <c r="AD47" s="148"/>
      <c r="AE47" s="148"/>
      <c r="AF47" s="148"/>
      <c r="AG47" s="148"/>
    </row>
    <row r="48" spans="1:33" ht="13.8">
      <c r="A48" s="153">
        <v>167</v>
      </c>
      <c r="B48" s="153" t="s">
        <v>9042</v>
      </c>
      <c r="C48" s="153" t="s">
        <v>9043</v>
      </c>
      <c r="D48" s="153">
        <v>1</v>
      </c>
      <c r="E48" s="153" t="s">
        <v>9023</v>
      </c>
      <c r="F48" s="153" t="s">
        <v>8890</v>
      </c>
      <c r="G48" s="153" t="s">
        <v>9044</v>
      </c>
      <c r="H48" s="154">
        <v>45833</v>
      </c>
      <c r="I48" s="149">
        <v>2025</v>
      </c>
      <c r="J48" s="155"/>
      <c r="K48" s="149" t="s">
        <v>8887</v>
      </c>
      <c r="L48" s="155"/>
      <c r="M48" s="149" t="s">
        <v>6875</v>
      </c>
      <c r="N48" s="151">
        <v>45836</v>
      </c>
      <c r="O48" s="148"/>
      <c r="P48" s="148"/>
      <c r="Q48" s="148"/>
      <c r="R48" s="148"/>
      <c r="S48" s="148"/>
      <c r="T48" s="148"/>
      <c r="U48" s="148"/>
      <c r="V48" s="148"/>
      <c r="W48" s="148"/>
      <c r="X48" s="148"/>
      <c r="Y48" s="148"/>
      <c r="Z48" s="148"/>
      <c r="AA48" s="148"/>
      <c r="AB48" s="148"/>
      <c r="AC48" s="148"/>
      <c r="AD48" s="148"/>
      <c r="AE48" s="148"/>
      <c r="AF48" s="148"/>
      <c r="AG48" s="148"/>
    </row>
    <row r="49" spans="1:33" ht="13.8">
      <c r="A49" s="153">
        <v>168</v>
      </c>
      <c r="B49" s="153" t="s">
        <v>9045</v>
      </c>
      <c r="C49" s="153" t="s">
        <v>9046</v>
      </c>
      <c r="D49" s="153">
        <v>2</v>
      </c>
      <c r="E49" s="153" t="s">
        <v>9023</v>
      </c>
      <c r="F49" s="153" t="s">
        <v>8890</v>
      </c>
      <c r="G49" s="153" t="s">
        <v>9047</v>
      </c>
      <c r="H49" s="154">
        <v>45838</v>
      </c>
      <c r="I49" s="149">
        <v>2025</v>
      </c>
      <c r="J49" s="155"/>
      <c r="K49" s="149" t="s">
        <v>8887</v>
      </c>
      <c r="L49" s="155"/>
      <c r="M49" s="149" t="s">
        <v>6875</v>
      </c>
      <c r="N49" s="151">
        <v>45843</v>
      </c>
      <c r="O49" s="148"/>
      <c r="P49" s="148"/>
      <c r="Q49" s="148"/>
      <c r="R49" s="148"/>
      <c r="S49" s="148"/>
      <c r="T49" s="148"/>
      <c r="U49" s="148"/>
      <c r="V49" s="148"/>
      <c r="W49" s="148"/>
      <c r="X49" s="148"/>
      <c r="Y49" s="148"/>
      <c r="Z49" s="148"/>
      <c r="AA49" s="148"/>
      <c r="AB49" s="148"/>
      <c r="AC49" s="148"/>
      <c r="AD49" s="148"/>
      <c r="AE49" s="148"/>
      <c r="AF49" s="148"/>
      <c r="AG49" s="148"/>
    </row>
    <row r="50" spans="1:33" ht="13.8">
      <c r="A50" s="153">
        <v>169</v>
      </c>
      <c r="B50" s="153" t="s">
        <v>9048</v>
      </c>
      <c r="C50" s="153" t="s">
        <v>9049</v>
      </c>
      <c r="D50" s="153">
        <v>1</v>
      </c>
      <c r="E50" s="153" t="s">
        <v>9023</v>
      </c>
      <c r="F50" s="153" t="s">
        <v>8890</v>
      </c>
      <c r="G50" s="153" t="s">
        <v>9050</v>
      </c>
      <c r="H50" s="154">
        <v>45797</v>
      </c>
      <c r="I50" s="149">
        <v>2025</v>
      </c>
      <c r="J50" s="155"/>
      <c r="K50" s="149" t="s">
        <v>8887</v>
      </c>
      <c r="L50" s="155"/>
      <c r="M50" s="149" t="s">
        <v>6977</v>
      </c>
      <c r="N50" s="151">
        <v>45849</v>
      </c>
      <c r="O50" s="148"/>
      <c r="P50" s="148"/>
      <c r="Q50" s="148"/>
      <c r="R50" s="148"/>
      <c r="S50" s="148"/>
      <c r="T50" s="148"/>
      <c r="U50" s="148"/>
      <c r="V50" s="148"/>
      <c r="W50" s="148"/>
      <c r="X50" s="148"/>
      <c r="Y50" s="148"/>
      <c r="Z50" s="148"/>
      <c r="AA50" s="148"/>
      <c r="AB50" s="148"/>
      <c r="AC50" s="148"/>
      <c r="AD50" s="148"/>
      <c r="AE50" s="148"/>
      <c r="AF50" s="148"/>
      <c r="AG50" s="148"/>
    </row>
    <row r="51" spans="1:33" ht="13.8">
      <c r="A51" s="153">
        <v>170</v>
      </c>
      <c r="B51" s="153" t="s">
        <v>9051</v>
      </c>
      <c r="C51" s="153" t="s">
        <v>9052</v>
      </c>
      <c r="D51" s="153">
        <v>3</v>
      </c>
      <c r="E51" s="153" t="s">
        <v>9023</v>
      </c>
      <c r="F51" s="153" t="s">
        <v>8890</v>
      </c>
      <c r="G51" s="153" t="s">
        <v>9053</v>
      </c>
      <c r="H51" s="154">
        <v>45848</v>
      </c>
      <c r="I51" s="149">
        <v>2025</v>
      </c>
      <c r="J51" s="155"/>
      <c r="K51" s="149" t="s">
        <v>8887</v>
      </c>
      <c r="L51" s="155"/>
      <c r="M51" s="149" t="s">
        <v>6875</v>
      </c>
      <c r="N51" s="151">
        <v>45853</v>
      </c>
      <c r="O51" s="148"/>
      <c r="P51" s="148"/>
      <c r="Q51" s="148"/>
      <c r="R51" s="148"/>
      <c r="S51" s="148"/>
      <c r="T51" s="148"/>
      <c r="U51" s="148"/>
      <c r="V51" s="148"/>
      <c r="W51" s="148"/>
      <c r="X51" s="148"/>
      <c r="Y51" s="148"/>
      <c r="Z51" s="148"/>
      <c r="AA51" s="148"/>
      <c r="AB51" s="148"/>
      <c r="AC51" s="148"/>
      <c r="AD51" s="148"/>
      <c r="AE51" s="148"/>
      <c r="AF51" s="148"/>
      <c r="AG51" s="148"/>
    </row>
    <row r="52" spans="1:33" ht="13.8">
      <c r="A52" s="153">
        <v>171</v>
      </c>
      <c r="B52" s="153" t="s">
        <v>9054</v>
      </c>
      <c r="C52" s="153" t="s">
        <v>9055</v>
      </c>
      <c r="D52" s="153">
        <v>5</v>
      </c>
      <c r="E52" s="153" t="s">
        <v>9023</v>
      </c>
      <c r="F52" s="153" t="s">
        <v>8890</v>
      </c>
      <c r="G52" s="153" t="s">
        <v>9056</v>
      </c>
      <c r="H52" s="154">
        <v>45794</v>
      </c>
      <c r="I52" s="149">
        <v>2025</v>
      </c>
      <c r="J52" s="149" t="s">
        <v>9057</v>
      </c>
      <c r="K52" s="149" t="s">
        <v>8887</v>
      </c>
      <c r="L52" s="155"/>
      <c r="M52" s="149" t="s">
        <v>566</v>
      </c>
      <c r="N52" s="151">
        <v>45855</v>
      </c>
      <c r="O52" s="148"/>
      <c r="P52" s="148"/>
      <c r="Q52" s="148"/>
      <c r="R52" s="148"/>
      <c r="S52" s="148"/>
      <c r="T52" s="148"/>
      <c r="U52" s="148"/>
      <c r="V52" s="148"/>
      <c r="W52" s="148"/>
      <c r="X52" s="148"/>
      <c r="Y52" s="148"/>
      <c r="Z52" s="148"/>
      <c r="AA52" s="148"/>
      <c r="AB52" s="148"/>
      <c r="AC52" s="148"/>
      <c r="AD52" s="148"/>
      <c r="AE52" s="148"/>
      <c r="AF52" s="148"/>
      <c r="AG52" s="148"/>
    </row>
    <row r="53" spans="1:33" ht="13.8">
      <c r="A53" s="153">
        <v>178</v>
      </c>
      <c r="B53" s="153" t="s">
        <v>9058</v>
      </c>
      <c r="C53" s="153" t="s">
        <v>9059</v>
      </c>
      <c r="D53" s="153">
        <v>5</v>
      </c>
      <c r="E53" s="153" t="s">
        <v>9023</v>
      </c>
      <c r="F53" s="153" t="s">
        <v>8956</v>
      </c>
      <c r="G53" s="153" t="s">
        <v>9060</v>
      </c>
      <c r="H53" s="154">
        <v>45751</v>
      </c>
      <c r="I53" s="149">
        <v>2025</v>
      </c>
      <c r="J53" s="155"/>
      <c r="K53" s="149" t="s">
        <v>8887</v>
      </c>
      <c r="L53" s="155"/>
      <c r="M53" s="149" t="s">
        <v>6810</v>
      </c>
      <c r="N53" s="151">
        <v>45773</v>
      </c>
      <c r="O53" s="148"/>
      <c r="P53" s="148"/>
      <c r="Q53" s="148"/>
      <c r="R53" s="148"/>
      <c r="S53" s="148"/>
      <c r="T53" s="148"/>
      <c r="U53" s="148"/>
      <c r="V53" s="148"/>
      <c r="W53" s="148"/>
      <c r="X53" s="148"/>
      <c r="Y53" s="148"/>
      <c r="Z53" s="148"/>
      <c r="AA53" s="148"/>
      <c r="AB53" s="148"/>
      <c r="AC53" s="148"/>
      <c r="AD53" s="148"/>
      <c r="AE53" s="148"/>
      <c r="AF53" s="148"/>
      <c r="AG53" s="148"/>
    </row>
    <row r="54" spans="1:33" ht="13.8">
      <c r="A54" s="153">
        <v>180</v>
      </c>
      <c r="B54" s="153" t="s">
        <v>9061</v>
      </c>
      <c r="C54" s="153" t="s">
        <v>9062</v>
      </c>
      <c r="D54" s="153">
        <v>1</v>
      </c>
      <c r="E54" s="153" t="s">
        <v>9023</v>
      </c>
      <c r="F54" s="153" t="s">
        <v>8956</v>
      </c>
      <c r="G54" s="153" t="s">
        <v>9063</v>
      </c>
      <c r="H54" s="154">
        <v>45765</v>
      </c>
      <c r="I54" s="149">
        <v>2025</v>
      </c>
      <c r="J54" s="155"/>
      <c r="K54" s="149" t="s">
        <v>8887</v>
      </c>
      <c r="L54" s="155"/>
      <c r="M54" s="149" t="s">
        <v>6875</v>
      </c>
      <c r="N54" s="151">
        <v>45789</v>
      </c>
      <c r="O54" s="148"/>
      <c r="P54" s="148"/>
      <c r="Q54" s="148"/>
      <c r="R54" s="148"/>
      <c r="S54" s="148"/>
      <c r="T54" s="148"/>
      <c r="U54" s="148"/>
      <c r="V54" s="148"/>
      <c r="W54" s="148"/>
      <c r="X54" s="148"/>
      <c r="Y54" s="148"/>
      <c r="Z54" s="148"/>
      <c r="AA54" s="148"/>
      <c r="AB54" s="148"/>
      <c r="AC54" s="148"/>
      <c r="AD54" s="148"/>
      <c r="AE54" s="148"/>
      <c r="AF54" s="148"/>
      <c r="AG54" s="148"/>
    </row>
    <row r="55" spans="1:33" ht="13.8">
      <c r="A55" s="153">
        <v>183</v>
      </c>
      <c r="B55" s="153" t="s">
        <v>9064</v>
      </c>
      <c r="C55" s="153" t="s">
        <v>9065</v>
      </c>
      <c r="D55" s="153">
        <v>8</v>
      </c>
      <c r="E55" s="153" t="s">
        <v>9023</v>
      </c>
      <c r="F55" s="153" t="s">
        <v>8956</v>
      </c>
      <c r="G55" s="153" t="s">
        <v>9066</v>
      </c>
      <c r="H55" s="154">
        <v>45733</v>
      </c>
      <c r="I55" s="149">
        <v>2025</v>
      </c>
      <c r="J55" s="155"/>
      <c r="K55" s="149" t="s">
        <v>8887</v>
      </c>
      <c r="L55" s="155"/>
      <c r="M55" s="149" t="s">
        <v>6308</v>
      </c>
      <c r="N55" s="151">
        <v>45844</v>
      </c>
      <c r="O55" s="148"/>
      <c r="P55" s="148"/>
      <c r="Q55" s="148"/>
      <c r="R55" s="148"/>
      <c r="S55" s="148"/>
      <c r="T55" s="148"/>
      <c r="U55" s="148"/>
      <c r="V55" s="148"/>
      <c r="W55" s="148"/>
      <c r="X55" s="148"/>
      <c r="Y55" s="148"/>
      <c r="Z55" s="148"/>
      <c r="AA55" s="148"/>
      <c r="AB55" s="148"/>
      <c r="AC55" s="148"/>
      <c r="AD55" s="148"/>
      <c r="AE55" s="148"/>
      <c r="AF55" s="148"/>
      <c r="AG55" s="148"/>
    </row>
    <row r="56" spans="1:33" ht="13.8">
      <c r="A56" s="153">
        <v>184</v>
      </c>
      <c r="B56" s="153" t="s">
        <v>9067</v>
      </c>
      <c r="C56" s="153" t="s">
        <v>9068</v>
      </c>
      <c r="D56" s="153">
        <v>4</v>
      </c>
      <c r="E56" s="153" t="s">
        <v>9023</v>
      </c>
      <c r="F56" s="153" t="s">
        <v>8956</v>
      </c>
      <c r="G56" s="153" t="s">
        <v>9069</v>
      </c>
      <c r="H56" s="154">
        <v>45747</v>
      </c>
      <c r="I56" s="149">
        <v>2025</v>
      </c>
      <c r="J56" s="149" t="s">
        <v>9070</v>
      </c>
      <c r="K56" s="149" t="s">
        <v>8887</v>
      </c>
      <c r="L56" s="155"/>
      <c r="M56" s="149" t="s">
        <v>6565</v>
      </c>
      <c r="N56" s="151">
        <v>45849</v>
      </c>
      <c r="O56" s="148"/>
      <c r="P56" s="148"/>
      <c r="Q56" s="148"/>
      <c r="R56" s="148"/>
      <c r="S56" s="148"/>
      <c r="T56" s="148"/>
      <c r="U56" s="148"/>
      <c r="V56" s="148"/>
      <c r="W56" s="148"/>
      <c r="X56" s="148"/>
      <c r="Y56" s="148"/>
      <c r="Z56" s="148"/>
      <c r="AA56" s="148"/>
      <c r="AB56" s="148"/>
      <c r="AC56" s="148"/>
      <c r="AD56" s="148"/>
      <c r="AE56" s="148"/>
      <c r="AF56" s="148"/>
      <c r="AG56" s="148"/>
    </row>
    <row r="57" spans="1:33" ht="13.8">
      <c r="A57" s="153">
        <v>185</v>
      </c>
      <c r="B57" s="153" t="s">
        <v>9071</v>
      </c>
      <c r="C57" s="153" t="s">
        <v>9072</v>
      </c>
      <c r="D57" s="153">
        <v>12</v>
      </c>
      <c r="E57" s="153" t="s">
        <v>9023</v>
      </c>
      <c r="F57" s="153" t="s">
        <v>8956</v>
      </c>
      <c r="G57" s="153" t="s">
        <v>9073</v>
      </c>
      <c r="H57" s="154">
        <v>45790</v>
      </c>
      <c r="I57" s="149">
        <v>2025</v>
      </c>
      <c r="J57" s="155"/>
      <c r="K57" s="149" t="s">
        <v>8887</v>
      </c>
      <c r="L57" s="155"/>
      <c r="M57" s="149" t="s">
        <v>6086</v>
      </c>
      <c r="N57" s="151">
        <v>45850</v>
      </c>
      <c r="O57" s="148"/>
      <c r="P57" s="148"/>
      <c r="Q57" s="148"/>
      <c r="R57" s="148"/>
      <c r="S57" s="148"/>
      <c r="T57" s="148"/>
      <c r="U57" s="148"/>
      <c r="V57" s="148"/>
      <c r="W57" s="148"/>
      <c r="X57" s="148"/>
      <c r="Y57" s="148"/>
      <c r="Z57" s="148"/>
      <c r="AA57" s="148"/>
      <c r="AB57" s="148"/>
      <c r="AC57" s="148"/>
      <c r="AD57" s="148"/>
      <c r="AE57" s="148"/>
      <c r="AF57" s="148"/>
      <c r="AG57" s="148"/>
    </row>
    <row r="58" spans="1:33" ht="13.8">
      <c r="A58" s="153">
        <v>186</v>
      </c>
      <c r="B58" s="153" t="s">
        <v>9074</v>
      </c>
      <c r="C58" s="153" t="s">
        <v>9075</v>
      </c>
      <c r="D58" s="153">
        <v>3</v>
      </c>
      <c r="E58" s="153" t="s">
        <v>9023</v>
      </c>
      <c r="F58" s="153" t="s">
        <v>8956</v>
      </c>
      <c r="G58" s="153" t="s">
        <v>9076</v>
      </c>
      <c r="H58" s="154">
        <v>45853</v>
      </c>
      <c r="I58" s="149">
        <v>2025</v>
      </c>
      <c r="J58" s="155"/>
      <c r="K58" s="149" t="s">
        <v>8887</v>
      </c>
      <c r="L58" s="155"/>
      <c r="M58" s="149" t="s">
        <v>6875</v>
      </c>
      <c r="N58" s="151">
        <v>45853</v>
      </c>
      <c r="O58" s="148"/>
      <c r="P58" s="148"/>
      <c r="Q58" s="148"/>
      <c r="R58" s="148"/>
      <c r="S58" s="148"/>
      <c r="T58" s="148"/>
      <c r="U58" s="148"/>
      <c r="V58" s="148"/>
      <c r="W58" s="148"/>
      <c r="X58" s="148"/>
      <c r="Y58" s="148"/>
      <c r="Z58" s="148"/>
      <c r="AA58" s="148"/>
      <c r="AB58" s="148"/>
      <c r="AC58" s="148"/>
      <c r="AD58" s="148"/>
      <c r="AE58" s="148"/>
      <c r="AF58" s="148"/>
      <c r="AG58" s="148"/>
    </row>
    <row r="59" spans="1:33" ht="13.8">
      <c r="A59" s="153">
        <v>187</v>
      </c>
      <c r="B59" s="153" t="s">
        <v>9077</v>
      </c>
      <c r="C59" s="153" t="s">
        <v>9078</v>
      </c>
      <c r="D59" s="153">
        <v>3</v>
      </c>
      <c r="E59" s="153" t="s">
        <v>9023</v>
      </c>
      <c r="F59" s="153" t="s">
        <v>8956</v>
      </c>
      <c r="G59" s="153" t="s">
        <v>9079</v>
      </c>
      <c r="H59" s="154">
        <v>45751</v>
      </c>
      <c r="I59" s="149">
        <v>2025</v>
      </c>
      <c r="J59" s="155"/>
      <c r="K59" s="149" t="s">
        <v>8887</v>
      </c>
      <c r="L59" s="155"/>
      <c r="M59" s="149" t="s">
        <v>4729</v>
      </c>
      <c r="N59" s="151">
        <v>45853</v>
      </c>
      <c r="O59" s="148"/>
      <c r="P59" s="148"/>
      <c r="Q59" s="148"/>
      <c r="R59" s="148"/>
      <c r="S59" s="148"/>
      <c r="T59" s="148"/>
      <c r="U59" s="148"/>
      <c r="V59" s="148"/>
      <c r="W59" s="148"/>
      <c r="X59" s="148"/>
      <c r="Y59" s="148"/>
      <c r="Z59" s="148"/>
      <c r="AA59" s="148"/>
      <c r="AB59" s="148"/>
      <c r="AC59" s="148"/>
      <c r="AD59" s="148"/>
      <c r="AE59" s="148"/>
      <c r="AF59" s="148"/>
      <c r="AG59" s="148"/>
    </row>
    <row r="60" spans="1:33" ht="13.8">
      <c r="A60" s="153">
        <v>188</v>
      </c>
      <c r="B60" s="153" t="s">
        <v>9080</v>
      </c>
      <c r="C60" s="153" t="s">
        <v>9081</v>
      </c>
      <c r="D60" s="153">
        <v>2</v>
      </c>
      <c r="E60" s="153" t="s">
        <v>9023</v>
      </c>
      <c r="F60" s="153" t="s">
        <v>8956</v>
      </c>
      <c r="G60" s="153" t="s">
        <v>9082</v>
      </c>
      <c r="H60" s="154">
        <v>45758</v>
      </c>
      <c r="I60" s="149">
        <v>2025</v>
      </c>
      <c r="J60" s="155"/>
      <c r="K60" s="149" t="s">
        <v>8887</v>
      </c>
      <c r="L60" s="155"/>
      <c r="M60" s="149" t="s">
        <v>4842</v>
      </c>
      <c r="N60" s="151">
        <v>45853</v>
      </c>
      <c r="O60" s="148"/>
      <c r="P60" s="148"/>
      <c r="Q60" s="148"/>
      <c r="R60" s="148"/>
      <c r="S60" s="148"/>
      <c r="T60" s="148"/>
      <c r="U60" s="148"/>
      <c r="V60" s="148"/>
      <c r="W60" s="148"/>
      <c r="X60" s="148"/>
      <c r="Y60" s="148"/>
      <c r="Z60" s="148"/>
      <c r="AA60" s="148"/>
      <c r="AB60" s="148"/>
      <c r="AC60" s="148"/>
      <c r="AD60" s="148"/>
      <c r="AE60" s="148"/>
      <c r="AF60" s="148"/>
      <c r="AG60" s="148"/>
    </row>
    <row r="61" spans="1:33" ht="13.8">
      <c r="A61" s="153">
        <v>199</v>
      </c>
      <c r="B61" s="153" t="s">
        <v>9083</v>
      </c>
      <c r="C61" s="153" t="s">
        <v>9084</v>
      </c>
      <c r="D61" s="153">
        <v>2</v>
      </c>
      <c r="E61" s="153" t="s">
        <v>9023</v>
      </c>
      <c r="F61" s="153" t="s">
        <v>9011</v>
      </c>
      <c r="G61" s="153" t="s">
        <v>9085</v>
      </c>
      <c r="H61" s="154">
        <v>45701</v>
      </c>
      <c r="I61" s="149">
        <v>2025</v>
      </c>
      <c r="J61" s="155"/>
      <c r="K61" s="149" t="s">
        <v>8887</v>
      </c>
      <c r="L61" s="155"/>
      <c r="M61" s="149" t="s">
        <v>4821</v>
      </c>
      <c r="N61" s="151">
        <v>45704</v>
      </c>
      <c r="O61" s="148"/>
      <c r="P61" s="148"/>
      <c r="Q61" s="148"/>
      <c r="R61" s="148"/>
      <c r="S61" s="148"/>
      <c r="T61" s="148"/>
      <c r="U61" s="148"/>
      <c r="V61" s="148"/>
      <c r="W61" s="148"/>
      <c r="X61" s="148"/>
      <c r="Y61" s="148"/>
      <c r="Z61" s="148"/>
      <c r="AA61" s="148"/>
      <c r="AB61" s="148"/>
      <c r="AC61" s="148"/>
      <c r="AD61" s="148"/>
      <c r="AE61" s="148"/>
      <c r="AF61" s="148"/>
      <c r="AG61" s="148"/>
    </row>
    <row r="62" spans="1:33" ht="13.8">
      <c r="A62" s="153">
        <v>201</v>
      </c>
      <c r="B62" s="153" t="s">
        <v>9086</v>
      </c>
      <c r="C62" s="153" t="s">
        <v>9087</v>
      </c>
      <c r="D62" s="153">
        <v>4</v>
      </c>
      <c r="E62" s="153" t="s">
        <v>9023</v>
      </c>
      <c r="F62" s="153" t="s">
        <v>9011</v>
      </c>
      <c r="G62" s="153" t="s">
        <v>9088</v>
      </c>
      <c r="H62" s="154">
        <v>45687</v>
      </c>
      <c r="I62" s="149">
        <v>2025</v>
      </c>
      <c r="J62" s="149" t="s">
        <v>9057</v>
      </c>
      <c r="K62" s="149" t="s">
        <v>8887</v>
      </c>
      <c r="L62" s="155"/>
      <c r="M62" s="149" t="s">
        <v>4775</v>
      </c>
      <c r="N62" s="151">
        <v>45733</v>
      </c>
      <c r="O62" s="148"/>
      <c r="P62" s="148"/>
      <c r="Q62" s="148"/>
      <c r="R62" s="148"/>
      <c r="S62" s="148"/>
      <c r="T62" s="148"/>
      <c r="U62" s="148"/>
      <c r="V62" s="148"/>
      <c r="W62" s="148"/>
      <c r="X62" s="148"/>
      <c r="Y62" s="148"/>
      <c r="Z62" s="148"/>
      <c r="AA62" s="148"/>
      <c r="AB62" s="148"/>
      <c r="AC62" s="148"/>
      <c r="AD62" s="148"/>
      <c r="AE62" s="148"/>
      <c r="AF62" s="148"/>
      <c r="AG62" s="148"/>
    </row>
    <row r="63" spans="1:33" ht="13.8">
      <c r="A63" s="153">
        <v>202</v>
      </c>
      <c r="B63" s="153" t="s">
        <v>9089</v>
      </c>
      <c r="C63" s="153" t="s">
        <v>9090</v>
      </c>
      <c r="D63" s="153">
        <v>7</v>
      </c>
      <c r="E63" s="153" t="s">
        <v>9023</v>
      </c>
      <c r="F63" s="153" t="s">
        <v>9011</v>
      </c>
      <c r="G63" s="153" t="s">
        <v>9091</v>
      </c>
      <c r="H63" s="154">
        <v>45659</v>
      </c>
      <c r="I63" s="149">
        <v>2025</v>
      </c>
      <c r="J63" s="155"/>
      <c r="K63" s="149" t="s">
        <v>8887</v>
      </c>
      <c r="L63" s="155"/>
      <c r="M63" s="149" t="s">
        <v>6094</v>
      </c>
      <c r="N63" s="151">
        <v>45742</v>
      </c>
      <c r="O63" s="148"/>
      <c r="P63" s="148"/>
      <c r="Q63" s="148"/>
      <c r="R63" s="148"/>
      <c r="S63" s="148"/>
      <c r="T63" s="148"/>
      <c r="U63" s="148"/>
      <c r="V63" s="148"/>
      <c r="W63" s="148"/>
      <c r="X63" s="148"/>
      <c r="Y63" s="148"/>
      <c r="Z63" s="148"/>
      <c r="AA63" s="148"/>
      <c r="AB63" s="148"/>
      <c r="AC63" s="148"/>
      <c r="AD63" s="148"/>
      <c r="AE63" s="148"/>
      <c r="AF63" s="148"/>
      <c r="AG63" s="148"/>
    </row>
    <row r="64" spans="1:33" ht="13.8">
      <c r="A64" s="153">
        <v>204</v>
      </c>
      <c r="B64" s="153" t="s">
        <v>9092</v>
      </c>
      <c r="C64" s="153" t="s">
        <v>9093</v>
      </c>
      <c r="D64" s="153">
        <v>5</v>
      </c>
      <c r="E64" s="153" t="s">
        <v>9023</v>
      </c>
      <c r="F64" s="153" t="s">
        <v>9011</v>
      </c>
      <c r="G64" s="153" t="s">
        <v>9094</v>
      </c>
      <c r="H64" s="154">
        <v>45755</v>
      </c>
      <c r="I64" s="149">
        <v>2025</v>
      </c>
      <c r="J64" s="155"/>
      <c r="K64" s="149" t="s">
        <v>8887</v>
      </c>
      <c r="L64" s="155"/>
      <c r="M64" s="149" t="s">
        <v>6875</v>
      </c>
      <c r="N64" s="151">
        <v>45789</v>
      </c>
      <c r="O64" s="148"/>
      <c r="P64" s="148"/>
      <c r="Q64" s="148"/>
      <c r="R64" s="148"/>
      <c r="S64" s="148"/>
      <c r="T64" s="148"/>
      <c r="U64" s="148"/>
      <c r="V64" s="148"/>
      <c r="W64" s="148"/>
      <c r="X64" s="148"/>
      <c r="Y64" s="148"/>
      <c r="Z64" s="148"/>
      <c r="AA64" s="148"/>
      <c r="AB64" s="148"/>
      <c r="AC64" s="148"/>
      <c r="AD64" s="148"/>
      <c r="AE64" s="148"/>
      <c r="AF64" s="148"/>
      <c r="AG64" s="148"/>
    </row>
    <row r="65" spans="1:33" ht="13.8">
      <c r="A65" s="153">
        <v>205</v>
      </c>
      <c r="B65" s="153" t="s">
        <v>9095</v>
      </c>
      <c r="C65" s="153" t="s">
        <v>9096</v>
      </c>
      <c r="D65" s="153">
        <v>2</v>
      </c>
      <c r="E65" s="153" t="s">
        <v>9023</v>
      </c>
      <c r="F65" s="153" t="s">
        <v>9011</v>
      </c>
      <c r="G65" s="153" t="s">
        <v>9097</v>
      </c>
      <c r="H65" s="154">
        <v>45770</v>
      </c>
      <c r="I65" s="149">
        <v>2025</v>
      </c>
      <c r="J65" s="155"/>
      <c r="K65" s="149" t="s">
        <v>8887</v>
      </c>
      <c r="L65" s="155"/>
      <c r="M65" s="149" t="s">
        <v>6875</v>
      </c>
      <c r="N65" s="151">
        <v>45789</v>
      </c>
      <c r="O65" s="148"/>
      <c r="P65" s="148"/>
      <c r="Q65" s="148"/>
      <c r="R65" s="148"/>
      <c r="S65" s="148"/>
      <c r="T65" s="148"/>
      <c r="U65" s="148"/>
      <c r="V65" s="148"/>
      <c r="W65" s="148"/>
      <c r="X65" s="148"/>
      <c r="Y65" s="148"/>
      <c r="Z65" s="148"/>
      <c r="AA65" s="148"/>
      <c r="AB65" s="148"/>
      <c r="AC65" s="148"/>
      <c r="AD65" s="148"/>
      <c r="AE65" s="148"/>
      <c r="AF65" s="148"/>
      <c r="AG65" s="148"/>
    </row>
    <row r="66" spans="1:33" ht="13.8">
      <c r="A66" s="153">
        <v>206</v>
      </c>
      <c r="B66" s="153" t="s">
        <v>9098</v>
      </c>
      <c r="C66" s="153" t="s">
        <v>9099</v>
      </c>
      <c r="D66" s="153">
        <v>2</v>
      </c>
      <c r="E66" s="153" t="s">
        <v>9023</v>
      </c>
      <c r="F66" s="153" t="s">
        <v>9011</v>
      </c>
      <c r="G66" s="153" t="s">
        <v>9100</v>
      </c>
      <c r="H66" s="154">
        <v>45767</v>
      </c>
      <c r="I66" s="149">
        <v>2025</v>
      </c>
      <c r="J66" s="155"/>
      <c r="K66" s="149" t="s">
        <v>8887</v>
      </c>
      <c r="L66" s="155"/>
      <c r="M66" s="149" t="s">
        <v>6875</v>
      </c>
      <c r="N66" s="151">
        <v>45789</v>
      </c>
      <c r="O66" s="148"/>
      <c r="P66" s="148"/>
      <c r="Q66" s="148"/>
      <c r="R66" s="148"/>
      <c r="S66" s="148"/>
      <c r="T66" s="148"/>
      <c r="U66" s="148"/>
      <c r="V66" s="148"/>
      <c r="W66" s="148"/>
      <c r="X66" s="148"/>
      <c r="Y66" s="148"/>
      <c r="Z66" s="148"/>
      <c r="AA66" s="148"/>
      <c r="AB66" s="148"/>
      <c r="AC66" s="148"/>
      <c r="AD66" s="148"/>
      <c r="AE66" s="148"/>
      <c r="AF66" s="148"/>
      <c r="AG66" s="148"/>
    </row>
    <row r="67" spans="1:33" ht="13.8">
      <c r="A67" s="153">
        <v>207</v>
      </c>
      <c r="B67" s="153" t="s">
        <v>9101</v>
      </c>
      <c r="C67" s="153" t="s">
        <v>9102</v>
      </c>
      <c r="D67" s="153">
        <v>2</v>
      </c>
      <c r="E67" s="153" t="s">
        <v>9023</v>
      </c>
      <c r="F67" s="153" t="s">
        <v>9011</v>
      </c>
      <c r="G67" s="153" t="s">
        <v>9103</v>
      </c>
      <c r="H67" s="154">
        <v>45741</v>
      </c>
      <c r="I67" s="149">
        <v>2025</v>
      </c>
      <c r="J67" s="155"/>
      <c r="K67" s="149" t="s">
        <v>8887</v>
      </c>
      <c r="L67" s="155"/>
      <c r="M67" s="149" t="s">
        <v>6875</v>
      </c>
      <c r="N67" s="151">
        <v>45789</v>
      </c>
      <c r="O67" s="148"/>
      <c r="P67" s="148"/>
      <c r="Q67" s="148"/>
      <c r="R67" s="148"/>
      <c r="S67" s="148"/>
      <c r="T67" s="148"/>
      <c r="U67" s="148"/>
      <c r="V67" s="148"/>
      <c r="W67" s="148"/>
      <c r="X67" s="148"/>
      <c r="Y67" s="148"/>
      <c r="Z67" s="148"/>
      <c r="AA67" s="148"/>
      <c r="AB67" s="148"/>
      <c r="AC67" s="148"/>
      <c r="AD67" s="148"/>
      <c r="AE67" s="148"/>
      <c r="AF67" s="148"/>
      <c r="AG67" s="148"/>
    </row>
    <row r="68" spans="1:33" ht="13.8">
      <c r="A68" s="153">
        <v>208</v>
      </c>
      <c r="B68" s="153" t="s">
        <v>9104</v>
      </c>
      <c r="C68" s="153" t="s">
        <v>9105</v>
      </c>
      <c r="D68" s="153">
        <v>2</v>
      </c>
      <c r="E68" s="153" t="s">
        <v>9023</v>
      </c>
      <c r="F68" s="153" t="s">
        <v>9011</v>
      </c>
      <c r="G68" s="153" t="s">
        <v>9106</v>
      </c>
      <c r="H68" s="154">
        <v>45685</v>
      </c>
      <c r="I68" s="149">
        <v>2025</v>
      </c>
      <c r="J68" s="155"/>
      <c r="K68" s="149" t="s">
        <v>8887</v>
      </c>
      <c r="L68" s="155"/>
      <c r="M68" s="149" t="s">
        <v>6875</v>
      </c>
      <c r="N68" s="151">
        <v>45789</v>
      </c>
      <c r="O68" s="148"/>
      <c r="P68" s="148"/>
      <c r="Q68" s="148"/>
      <c r="R68" s="148"/>
      <c r="S68" s="148"/>
      <c r="T68" s="148"/>
      <c r="U68" s="148"/>
      <c r="V68" s="148"/>
      <c r="W68" s="148"/>
      <c r="X68" s="148"/>
      <c r="Y68" s="148"/>
      <c r="Z68" s="148"/>
      <c r="AA68" s="148"/>
      <c r="AB68" s="148"/>
      <c r="AC68" s="148"/>
      <c r="AD68" s="148"/>
      <c r="AE68" s="148"/>
      <c r="AF68" s="148"/>
      <c r="AG68" s="148"/>
    </row>
    <row r="69" spans="1:33" ht="13.8">
      <c r="A69" s="153">
        <v>211</v>
      </c>
      <c r="B69" s="153" t="s">
        <v>9107</v>
      </c>
      <c r="C69" s="153" t="s">
        <v>9108</v>
      </c>
      <c r="D69" s="153">
        <v>7</v>
      </c>
      <c r="E69" s="153" t="s">
        <v>9023</v>
      </c>
      <c r="F69" s="153" t="s">
        <v>9011</v>
      </c>
      <c r="G69" s="153" t="s">
        <v>9109</v>
      </c>
      <c r="H69" s="154">
        <v>45768</v>
      </c>
      <c r="I69" s="149">
        <v>2025</v>
      </c>
      <c r="J69" s="155"/>
      <c r="K69" s="149" t="s">
        <v>8887</v>
      </c>
      <c r="L69" s="155"/>
      <c r="M69" s="149" t="s">
        <v>5238</v>
      </c>
      <c r="N69" s="151">
        <v>45803</v>
      </c>
      <c r="O69" s="148"/>
      <c r="P69" s="148"/>
      <c r="Q69" s="148"/>
      <c r="R69" s="148"/>
      <c r="S69" s="148"/>
      <c r="T69" s="148"/>
      <c r="U69" s="148"/>
      <c r="V69" s="148"/>
      <c r="W69" s="148"/>
      <c r="X69" s="148"/>
      <c r="Y69" s="148"/>
      <c r="Z69" s="148"/>
      <c r="AA69" s="148"/>
      <c r="AB69" s="148"/>
      <c r="AC69" s="148"/>
      <c r="AD69" s="148"/>
      <c r="AE69" s="148"/>
      <c r="AF69" s="148"/>
      <c r="AG69" s="148"/>
    </row>
    <row r="70" spans="1:33" ht="13.8">
      <c r="A70" s="153">
        <v>212</v>
      </c>
      <c r="B70" s="153" t="s">
        <v>9110</v>
      </c>
      <c r="C70" s="153" t="s">
        <v>9111</v>
      </c>
      <c r="D70" s="153">
        <v>2</v>
      </c>
      <c r="E70" s="153" t="s">
        <v>9023</v>
      </c>
      <c r="F70" s="153" t="s">
        <v>9011</v>
      </c>
      <c r="G70" s="153" t="s">
        <v>9112</v>
      </c>
      <c r="H70" s="154">
        <v>45828</v>
      </c>
      <c r="I70" s="149">
        <v>2025</v>
      </c>
      <c r="J70" s="149" t="s">
        <v>9113</v>
      </c>
      <c r="K70" s="149" t="s">
        <v>8887</v>
      </c>
      <c r="L70" s="155"/>
      <c r="M70" s="149" t="s">
        <v>5599</v>
      </c>
      <c r="N70" s="151">
        <v>45827</v>
      </c>
      <c r="O70" s="148"/>
      <c r="P70" s="148"/>
      <c r="Q70" s="148"/>
      <c r="R70" s="148"/>
      <c r="S70" s="148"/>
      <c r="T70" s="148"/>
      <c r="U70" s="148"/>
      <c r="V70" s="148"/>
      <c r="W70" s="148"/>
      <c r="X70" s="148"/>
      <c r="Y70" s="148"/>
      <c r="Z70" s="148"/>
      <c r="AA70" s="148"/>
      <c r="AB70" s="148"/>
      <c r="AC70" s="148"/>
      <c r="AD70" s="148"/>
      <c r="AE70" s="148"/>
      <c r="AF70" s="148"/>
      <c r="AG70" s="148"/>
    </row>
    <row r="71" spans="1:33" ht="13.8">
      <c r="A71" s="153">
        <v>213</v>
      </c>
      <c r="B71" s="153" t="s">
        <v>9114</v>
      </c>
      <c r="C71" s="153" t="s">
        <v>9115</v>
      </c>
      <c r="D71" s="153">
        <v>7</v>
      </c>
      <c r="E71" s="153" t="s">
        <v>9023</v>
      </c>
      <c r="F71" s="153" t="s">
        <v>9011</v>
      </c>
      <c r="G71" s="153" t="s">
        <v>9116</v>
      </c>
      <c r="H71" s="154">
        <v>45748</v>
      </c>
      <c r="I71" s="149">
        <v>2025</v>
      </c>
      <c r="J71" s="155"/>
      <c r="K71" s="149" t="s">
        <v>8887</v>
      </c>
      <c r="L71" s="155"/>
      <c r="M71" s="149" t="s">
        <v>6188</v>
      </c>
      <c r="N71" s="151">
        <v>45844</v>
      </c>
      <c r="O71" s="148"/>
      <c r="P71" s="148"/>
      <c r="Q71" s="148"/>
      <c r="R71" s="148"/>
      <c r="S71" s="148"/>
      <c r="T71" s="148"/>
      <c r="U71" s="148"/>
      <c r="V71" s="148"/>
      <c r="W71" s="148"/>
      <c r="X71" s="148"/>
      <c r="Y71" s="148"/>
      <c r="Z71" s="148"/>
      <c r="AA71" s="148"/>
      <c r="AB71" s="148"/>
      <c r="AC71" s="148"/>
      <c r="AD71" s="148"/>
      <c r="AE71" s="148"/>
      <c r="AF71" s="148"/>
      <c r="AG71" s="148"/>
    </row>
    <row r="72" spans="1:33" ht="13.8">
      <c r="A72" s="153">
        <v>214</v>
      </c>
      <c r="B72" s="153" t="s">
        <v>9117</v>
      </c>
      <c r="C72" s="153" t="s">
        <v>9118</v>
      </c>
      <c r="D72" s="153">
        <v>3</v>
      </c>
      <c r="E72" s="153" t="s">
        <v>9023</v>
      </c>
      <c r="F72" s="153" t="s">
        <v>9011</v>
      </c>
      <c r="G72" s="153" t="s">
        <v>9119</v>
      </c>
      <c r="H72" s="154">
        <v>45733</v>
      </c>
      <c r="I72" s="149">
        <v>2025</v>
      </c>
      <c r="J72" s="155"/>
      <c r="K72" s="149" t="s">
        <v>8887</v>
      </c>
      <c r="L72" s="155"/>
      <c r="M72" s="149" t="s">
        <v>5748</v>
      </c>
      <c r="N72" s="151">
        <v>45846</v>
      </c>
      <c r="O72" s="148"/>
      <c r="P72" s="148"/>
      <c r="Q72" s="148"/>
      <c r="R72" s="148"/>
      <c r="S72" s="148"/>
      <c r="T72" s="148"/>
      <c r="U72" s="148"/>
      <c r="V72" s="148"/>
      <c r="W72" s="148"/>
      <c r="X72" s="148"/>
      <c r="Y72" s="148"/>
      <c r="Z72" s="148"/>
      <c r="AA72" s="148"/>
      <c r="AB72" s="148"/>
      <c r="AC72" s="148"/>
      <c r="AD72" s="148"/>
      <c r="AE72" s="148"/>
      <c r="AF72" s="148"/>
      <c r="AG72" s="148"/>
    </row>
    <row r="73" spans="1:33" ht="13.8">
      <c r="A73" s="153">
        <v>215</v>
      </c>
      <c r="B73" s="153" t="s">
        <v>9120</v>
      </c>
      <c r="C73" s="153" t="s">
        <v>9121</v>
      </c>
      <c r="D73" s="153">
        <v>4</v>
      </c>
      <c r="E73" s="153" t="s">
        <v>9023</v>
      </c>
      <c r="F73" s="153" t="s">
        <v>9011</v>
      </c>
      <c r="G73" s="153" t="s">
        <v>9122</v>
      </c>
      <c r="H73" s="154">
        <v>45772</v>
      </c>
      <c r="I73" s="149">
        <v>2025</v>
      </c>
      <c r="J73" s="149" t="s">
        <v>9123</v>
      </c>
      <c r="K73" s="149" t="s">
        <v>8887</v>
      </c>
      <c r="L73" s="155"/>
      <c r="M73" s="149" t="s">
        <v>5967</v>
      </c>
      <c r="N73" s="151">
        <v>45846</v>
      </c>
      <c r="O73" s="148"/>
      <c r="P73" s="148"/>
      <c r="Q73" s="148"/>
      <c r="R73" s="148"/>
      <c r="S73" s="148"/>
      <c r="T73" s="148"/>
      <c r="U73" s="148"/>
      <c r="V73" s="148"/>
      <c r="W73" s="148"/>
      <c r="X73" s="148"/>
      <c r="Y73" s="148"/>
      <c r="Z73" s="148"/>
      <c r="AA73" s="148"/>
      <c r="AB73" s="148"/>
      <c r="AC73" s="148"/>
      <c r="AD73" s="148"/>
      <c r="AE73" s="148"/>
      <c r="AF73" s="148"/>
      <c r="AG73" s="148"/>
    </row>
    <row r="74" spans="1:33" ht="13.8">
      <c r="A74" s="153">
        <v>216</v>
      </c>
      <c r="B74" s="153" t="s">
        <v>9124</v>
      </c>
      <c r="C74" s="153" t="s">
        <v>9125</v>
      </c>
      <c r="D74" s="153">
        <v>3</v>
      </c>
      <c r="E74" s="153" t="s">
        <v>9023</v>
      </c>
      <c r="F74" s="153" t="s">
        <v>9011</v>
      </c>
      <c r="G74" s="153" t="s">
        <v>9126</v>
      </c>
      <c r="H74" s="154">
        <v>45820</v>
      </c>
      <c r="I74" s="149">
        <v>2025</v>
      </c>
      <c r="J74" s="155"/>
      <c r="K74" s="149" t="s">
        <v>8887</v>
      </c>
      <c r="L74" s="155"/>
      <c r="M74" s="149" t="s">
        <v>6875</v>
      </c>
      <c r="N74" s="151">
        <v>45847</v>
      </c>
      <c r="O74" s="148"/>
      <c r="P74" s="148"/>
      <c r="Q74" s="148"/>
      <c r="R74" s="148"/>
      <c r="S74" s="148"/>
      <c r="T74" s="148"/>
      <c r="U74" s="148"/>
      <c r="V74" s="148"/>
      <c r="W74" s="148"/>
      <c r="X74" s="148"/>
      <c r="Y74" s="148"/>
      <c r="Z74" s="148"/>
      <c r="AA74" s="148"/>
      <c r="AB74" s="148"/>
      <c r="AC74" s="148"/>
      <c r="AD74" s="148"/>
      <c r="AE74" s="148"/>
      <c r="AF74" s="148"/>
      <c r="AG74" s="148"/>
    </row>
    <row r="75" spans="1:33" ht="13.8">
      <c r="A75" s="153">
        <v>217</v>
      </c>
      <c r="B75" s="153" t="s">
        <v>9127</v>
      </c>
      <c r="C75" s="153" t="s">
        <v>9128</v>
      </c>
      <c r="D75" s="153">
        <v>1</v>
      </c>
      <c r="E75" s="153" t="s">
        <v>9023</v>
      </c>
      <c r="F75" s="153" t="s">
        <v>9011</v>
      </c>
      <c r="G75" s="153" t="s">
        <v>9129</v>
      </c>
      <c r="H75" s="154">
        <v>45804</v>
      </c>
      <c r="I75" s="149">
        <v>2025</v>
      </c>
      <c r="J75" s="155"/>
      <c r="K75" s="149" t="s">
        <v>8887</v>
      </c>
      <c r="L75" s="155"/>
      <c r="M75" s="149" t="s">
        <v>6977</v>
      </c>
      <c r="N75" s="151">
        <v>45850</v>
      </c>
      <c r="O75" s="148"/>
      <c r="P75" s="148"/>
      <c r="Q75" s="148"/>
      <c r="R75" s="148"/>
      <c r="S75" s="148"/>
      <c r="T75" s="148"/>
      <c r="U75" s="148"/>
      <c r="V75" s="148"/>
      <c r="W75" s="148"/>
      <c r="X75" s="148"/>
      <c r="Y75" s="148"/>
      <c r="Z75" s="148"/>
      <c r="AA75" s="148"/>
      <c r="AB75" s="148"/>
      <c r="AC75" s="148"/>
      <c r="AD75" s="148"/>
      <c r="AE75" s="148"/>
      <c r="AF75" s="148"/>
      <c r="AG75" s="148"/>
    </row>
    <row r="76" spans="1:33" ht="13.8">
      <c r="A76" s="153">
        <v>218</v>
      </c>
      <c r="B76" s="153" t="s">
        <v>9130</v>
      </c>
      <c r="C76" s="153" t="s">
        <v>9131</v>
      </c>
      <c r="D76" s="153">
        <v>3</v>
      </c>
      <c r="E76" s="153" t="s">
        <v>9023</v>
      </c>
      <c r="F76" s="153" t="s">
        <v>9011</v>
      </c>
      <c r="G76" s="153" t="s">
        <v>9132</v>
      </c>
      <c r="H76" s="154">
        <v>45834</v>
      </c>
      <c r="I76" s="149">
        <v>2025</v>
      </c>
      <c r="J76" s="155"/>
      <c r="K76" s="149" t="s">
        <v>8887</v>
      </c>
      <c r="L76" s="155"/>
      <c r="M76" s="149" t="s">
        <v>4800</v>
      </c>
      <c r="N76" s="151">
        <v>45852</v>
      </c>
      <c r="O76" s="148"/>
      <c r="P76" s="148"/>
      <c r="Q76" s="148"/>
      <c r="R76" s="148"/>
      <c r="S76" s="148"/>
      <c r="T76" s="148"/>
      <c r="U76" s="148"/>
      <c r="V76" s="148"/>
      <c r="W76" s="148"/>
      <c r="X76" s="148"/>
      <c r="Y76" s="148"/>
      <c r="Z76" s="148"/>
      <c r="AA76" s="148"/>
      <c r="AB76" s="148"/>
      <c r="AC76" s="148"/>
      <c r="AD76" s="148"/>
      <c r="AE76" s="148"/>
      <c r="AF76" s="148"/>
      <c r="AG76" s="148"/>
    </row>
    <row r="77" spans="1:33" ht="13.8">
      <c r="A77" s="153">
        <v>219</v>
      </c>
      <c r="B77" s="153" t="s">
        <v>9133</v>
      </c>
      <c r="C77" s="153" t="s">
        <v>9134</v>
      </c>
      <c r="D77" s="153">
        <v>2</v>
      </c>
      <c r="E77" s="153" t="s">
        <v>9023</v>
      </c>
      <c r="F77" s="153" t="s">
        <v>9011</v>
      </c>
      <c r="G77" s="153" t="s">
        <v>9135</v>
      </c>
      <c r="H77" s="154">
        <v>45783</v>
      </c>
      <c r="I77" s="149">
        <v>2025</v>
      </c>
      <c r="J77" s="149" t="s">
        <v>9057</v>
      </c>
      <c r="K77" s="149" t="s">
        <v>8887</v>
      </c>
      <c r="L77" s="155"/>
      <c r="M77" s="149" t="s">
        <v>4775</v>
      </c>
      <c r="N77" s="151">
        <v>45852</v>
      </c>
      <c r="O77" s="148"/>
      <c r="P77" s="148"/>
      <c r="Q77" s="148"/>
      <c r="R77" s="148"/>
      <c r="S77" s="148"/>
      <c r="T77" s="148"/>
      <c r="U77" s="148"/>
      <c r="V77" s="148"/>
      <c r="W77" s="148"/>
      <c r="X77" s="148"/>
      <c r="Y77" s="148"/>
      <c r="Z77" s="148"/>
      <c r="AA77" s="148"/>
      <c r="AB77" s="148"/>
      <c r="AC77" s="148"/>
      <c r="AD77" s="148"/>
      <c r="AE77" s="148"/>
      <c r="AF77" s="148"/>
      <c r="AG77" s="148"/>
    </row>
    <row r="78" spans="1:33" ht="13.8">
      <c r="A78" s="153">
        <v>223</v>
      </c>
      <c r="B78" s="153" t="s">
        <v>9136</v>
      </c>
      <c r="C78" s="153" t="s">
        <v>9137</v>
      </c>
      <c r="D78" s="153">
        <v>4</v>
      </c>
      <c r="E78" s="153" t="s">
        <v>9023</v>
      </c>
      <c r="F78" s="153" t="s">
        <v>9011</v>
      </c>
      <c r="G78" s="153" t="s">
        <v>9138</v>
      </c>
      <c r="H78" s="154">
        <v>45838</v>
      </c>
      <c r="I78" s="149">
        <v>2025</v>
      </c>
      <c r="J78" s="155"/>
      <c r="K78" s="149" t="s">
        <v>8887</v>
      </c>
      <c r="L78" s="155"/>
      <c r="M78" s="149" t="s">
        <v>5909</v>
      </c>
      <c r="N78" s="151">
        <v>45876</v>
      </c>
      <c r="O78" s="148"/>
      <c r="P78" s="148"/>
      <c r="Q78" s="148"/>
      <c r="R78" s="148"/>
      <c r="S78" s="148"/>
      <c r="T78" s="148"/>
      <c r="U78" s="148"/>
      <c r="V78" s="148"/>
      <c r="W78" s="148"/>
      <c r="X78" s="148"/>
      <c r="Y78" s="148"/>
      <c r="Z78" s="148"/>
      <c r="AA78" s="148"/>
      <c r="AB78" s="148"/>
      <c r="AC78" s="148"/>
      <c r="AD78" s="148"/>
      <c r="AE78" s="148"/>
      <c r="AF78" s="148"/>
      <c r="AG78" s="148"/>
    </row>
    <row r="79" spans="1:33" ht="13.8">
      <c r="A79" s="153">
        <v>232</v>
      </c>
      <c r="B79" s="153" t="s">
        <v>9139</v>
      </c>
      <c r="C79" s="153" t="s">
        <v>9140</v>
      </c>
      <c r="D79" s="153">
        <v>7</v>
      </c>
      <c r="E79" s="153" t="s">
        <v>9023</v>
      </c>
      <c r="F79" s="153" t="s">
        <v>9019</v>
      </c>
      <c r="G79" s="153" t="s">
        <v>9141</v>
      </c>
      <c r="H79" s="154">
        <v>45677</v>
      </c>
      <c r="I79" s="149">
        <v>2025</v>
      </c>
      <c r="J79" s="155"/>
      <c r="K79" s="149" t="s">
        <v>8887</v>
      </c>
      <c r="L79" s="155"/>
      <c r="M79" s="149" t="s">
        <v>5977</v>
      </c>
      <c r="N79" s="151">
        <v>45732</v>
      </c>
      <c r="O79" s="148"/>
      <c r="P79" s="148"/>
      <c r="Q79" s="148"/>
      <c r="R79" s="148"/>
      <c r="S79" s="148"/>
      <c r="T79" s="148"/>
      <c r="U79" s="148"/>
      <c r="V79" s="148"/>
      <c r="W79" s="148"/>
      <c r="X79" s="148"/>
      <c r="Y79" s="148"/>
      <c r="Z79" s="148"/>
      <c r="AA79" s="148"/>
      <c r="AB79" s="148"/>
      <c r="AC79" s="148"/>
      <c r="AD79" s="148"/>
      <c r="AE79" s="148"/>
      <c r="AF79" s="148"/>
      <c r="AG79" s="148"/>
    </row>
    <row r="80" spans="1:33" ht="13.8">
      <c r="A80" s="153">
        <v>233</v>
      </c>
      <c r="B80" s="153" t="s">
        <v>9142</v>
      </c>
      <c r="C80" s="153" t="s">
        <v>9143</v>
      </c>
      <c r="D80" s="153">
        <v>3</v>
      </c>
      <c r="E80" s="153" t="s">
        <v>9023</v>
      </c>
      <c r="F80" s="153" t="s">
        <v>9019</v>
      </c>
      <c r="G80" s="153" t="s">
        <v>9144</v>
      </c>
      <c r="H80" s="154">
        <v>45748</v>
      </c>
      <c r="I80" s="149">
        <v>2025</v>
      </c>
      <c r="J80" s="155"/>
      <c r="K80" s="149" t="s">
        <v>8887</v>
      </c>
      <c r="L80" s="155"/>
      <c r="M80" s="149" t="s">
        <v>6875</v>
      </c>
      <c r="N80" s="151">
        <v>45789</v>
      </c>
      <c r="O80" s="148"/>
      <c r="P80" s="148"/>
      <c r="Q80" s="148"/>
      <c r="R80" s="148"/>
      <c r="S80" s="148"/>
      <c r="T80" s="148"/>
      <c r="U80" s="148"/>
      <c r="V80" s="148"/>
      <c r="W80" s="148"/>
      <c r="X80" s="148"/>
      <c r="Y80" s="148"/>
      <c r="Z80" s="148"/>
      <c r="AA80" s="148"/>
      <c r="AB80" s="148"/>
      <c r="AC80" s="148"/>
      <c r="AD80" s="148"/>
      <c r="AE80" s="148"/>
      <c r="AF80" s="148"/>
      <c r="AG80" s="148"/>
    </row>
    <row r="81" spans="1:33" ht="13.8">
      <c r="A81" s="153">
        <v>237</v>
      </c>
      <c r="B81" s="153" t="s">
        <v>9145</v>
      </c>
      <c r="C81" s="153" t="s">
        <v>9146</v>
      </c>
      <c r="D81" s="153">
        <v>3</v>
      </c>
      <c r="E81" s="153" t="s">
        <v>9023</v>
      </c>
      <c r="F81" s="153" t="s">
        <v>9019</v>
      </c>
      <c r="G81" s="153" t="s">
        <v>9147</v>
      </c>
      <c r="H81" s="154">
        <v>45800</v>
      </c>
      <c r="I81" s="149">
        <v>2025</v>
      </c>
      <c r="J81" s="155"/>
      <c r="K81" s="149" t="s">
        <v>8887</v>
      </c>
      <c r="L81" s="155"/>
      <c r="M81" s="149" t="s">
        <v>6875</v>
      </c>
      <c r="N81" s="151">
        <v>45801</v>
      </c>
      <c r="O81" s="148"/>
      <c r="P81" s="148"/>
      <c r="Q81" s="148"/>
      <c r="R81" s="148"/>
      <c r="S81" s="148"/>
      <c r="T81" s="148"/>
      <c r="U81" s="148"/>
      <c r="V81" s="148"/>
      <c r="W81" s="148"/>
      <c r="X81" s="148"/>
      <c r="Y81" s="148"/>
      <c r="Z81" s="148"/>
      <c r="AA81" s="148"/>
      <c r="AB81" s="148"/>
      <c r="AC81" s="148"/>
      <c r="AD81" s="148"/>
      <c r="AE81" s="148"/>
      <c r="AF81" s="148"/>
      <c r="AG81" s="148"/>
    </row>
    <row r="82" spans="1:33" ht="13.8">
      <c r="A82" s="153">
        <v>238</v>
      </c>
      <c r="B82" s="153" t="s">
        <v>9148</v>
      </c>
      <c r="C82" s="153" t="s">
        <v>9149</v>
      </c>
      <c r="D82" s="153">
        <v>4</v>
      </c>
      <c r="E82" s="153" t="s">
        <v>9023</v>
      </c>
      <c r="F82" s="153" t="s">
        <v>9019</v>
      </c>
      <c r="G82" s="153" t="s">
        <v>9150</v>
      </c>
      <c r="H82" s="154">
        <v>45823</v>
      </c>
      <c r="I82" s="149">
        <v>2025</v>
      </c>
      <c r="J82" s="149" t="s">
        <v>9151</v>
      </c>
      <c r="K82" s="149" t="s">
        <v>8887</v>
      </c>
      <c r="L82" s="155"/>
      <c r="M82" s="149" t="s">
        <v>5599</v>
      </c>
      <c r="N82" s="151">
        <v>45830</v>
      </c>
      <c r="O82" s="148"/>
      <c r="P82" s="148"/>
      <c r="Q82" s="148"/>
      <c r="R82" s="148"/>
      <c r="S82" s="148"/>
      <c r="T82" s="148"/>
      <c r="U82" s="148"/>
      <c r="V82" s="148"/>
      <c r="W82" s="148"/>
      <c r="X82" s="148"/>
      <c r="Y82" s="148"/>
      <c r="Z82" s="148"/>
      <c r="AA82" s="148"/>
      <c r="AB82" s="148"/>
      <c r="AC82" s="148"/>
      <c r="AD82" s="148"/>
      <c r="AE82" s="148"/>
      <c r="AF82" s="148"/>
      <c r="AG82" s="148"/>
    </row>
    <row r="83" spans="1:33" ht="13.8">
      <c r="A83" s="153">
        <v>239</v>
      </c>
      <c r="B83" s="153" t="s">
        <v>9152</v>
      </c>
      <c r="C83" s="153" t="s">
        <v>9153</v>
      </c>
      <c r="D83" s="153">
        <v>3</v>
      </c>
      <c r="E83" s="153" t="s">
        <v>9023</v>
      </c>
      <c r="F83" s="153" t="s">
        <v>9019</v>
      </c>
      <c r="G83" s="153" t="s">
        <v>9154</v>
      </c>
      <c r="H83" s="154">
        <v>45695</v>
      </c>
      <c r="I83" s="149">
        <v>2025</v>
      </c>
      <c r="J83" s="149" t="s">
        <v>9155</v>
      </c>
      <c r="K83" s="149" t="s">
        <v>8887</v>
      </c>
      <c r="L83" s="155"/>
      <c r="M83" s="149" t="s">
        <v>6651</v>
      </c>
      <c r="N83" s="151">
        <v>45841</v>
      </c>
      <c r="O83" s="148"/>
      <c r="P83" s="148"/>
      <c r="Q83" s="148"/>
      <c r="R83" s="148"/>
      <c r="S83" s="148"/>
      <c r="T83" s="148"/>
      <c r="U83" s="148"/>
      <c r="V83" s="148"/>
      <c r="W83" s="148"/>
      <c r="X83" s="148"/>
      <c r="Y83" s="148"/>
      <c r="Z83" s="148"/>
      <c r="AA83" s="148"/>
      <c r="AB83" s="148"/>
      <c r="AC83" s="148"/>
      <c r="AD83" s="148"/>
      <c r="AE83" s="148"/>
      <c r="AF83" s="148"/>
      <c r="AG83" s="148"/>
    </row>
    <row r="84" spans="1:33" ht="13.8">
      <c r="A84" s="153">
        <v>240</v>
      </c>
      <c r="B84" s="153" t="s">
        <v>9156</v>
      </c>
      <c r="C84" s="153" t="s">
        <v>9157</v>
      </c>
      <c r="D84" s="153">
        <v>7</v>
      </c>
      <c r="E84" s="153" t="s">
        <v>9023</v>
      </c>
      <c r="F84" s="153" t="s">
        <v>9019</v>
      </c>
      <c r="G84" s="153" t="s">
        <v>9158</v>
      </c>
      <c r="H84" s="154">
        <v>45777</v>
      </c>
      <c r="I84" s="149">
        <v>2025</v>
      </c>
      <c r="J84" s="149" t="s">
        <v>9159</v>
      </c>
      <c r="K84" s="149" t="s">
        <v>8887</v>
      </c>
      <c r="L84" s="155"/>
      <c r="M84" s="149" t="s">
        <v>5967</v>
      </c>
      <c r="N84" s="151">
        <v>45846</v>
      </c>
      <c r="O84" s="148"/>
      <c r="P84" s="148"/>
      <c r="Q84" s="148"/>
      <c r="R84" s="148"/>
      <c r="S84" s="148"/>
      <c r="T84" s="148"/>
      <c r="U84" s="148"/>
      <c r="V84" s="148"/>
      <c r="W84" s="148"/>
      <c r="X84" s="148"/>
      <c r="Y84" s="148"/>
      <c r="Z84" s="148"/>
      <c r="AA84" s="148"/>
      <c r="AB84" s="148"/>
      <c r="AC84" s="148"/>
      <c r="AD84" s="148"/>
      <c r="AE84" s="148"/>
      <c r="AF84" s="148"/>
      <c r="AG84" s="148"/>
    </row>
    <row r="85" spans="1:33" ht="13.8">
      <c r="A85" s="153">
        <v>241</v>
      </c>
      <c r="B85" s="153" t="s">
        <v>9160</v>
      </c>
      <c r="C85" s="153" t="s">
        <v>9161</v>
      </c>
      <c r="D85" s="153">
        <v>5</v>
      </c>
      <c r="E85" s="153" t="s">
        <v>9023</v>
      </c>
      <c r="F85" s="153" t="s">
        <v>9019</v>
      </c>
      <c r="G85" s="153" t="s">
        <v>9162</v>
      </c>
      <c r="H85" s="154">
        <v>45847</v>
      </c>
      <c r="I85" s="149">
        <v>2025</v>
      </c>
      <c r="J85" s="155"/>
      <c r="K85" s="149" t="s">
        <v>9163</v>
      </c>
      <c r="L85" s="149" t="s">
        <v>9164</v>
      </c>
      <c r="M85" s="149" t="s">
        <v>5699</v>
      </c>
      <c r="N85" s="151">
        <v>45848</v>
      </c>
      <c r="O85" s="148"/>
      <c r="P85" s="148"/>
      <c r="Q85" s="148"/>
      <c r="R85" s="148"/>
      <c r="S85" s="148"/>
      <c r="T85" s="148"/>
      <c r="U85" s="148"/>
      <c r="V85" s="148"/>
      <c r="W85" s="148"/>
      <c r="X85" s="148"/>
      <c r="Y85" s="148"/>
      <c r="Z85" s="148"/>
      <c r="AA85" s="148"/>
      <c r="AB85" s="148"/>
      <c r="AC85" s="148"/>
      <c r="AD85" s="148"/>
      <c r="AE85" s="148"/>
      <c r="AF85" s="148"/>
      <c r="AG85" s="148"/>
    </row>
    <row r="86" spans="1:33" ht="13.2">
      <c r="A86" s="153">
        <v>242</v>
      </c>
      <c r="B86" s="153" t="s">
        <v>9165</v>
      </c>
      <c r="C86" s="153" t="s">
        <v>9166</v>
      </c>
      <c r="D86" s="153">
        <v>4</v>
      </c>
      <c r="E86" s="153" t="s">
        <v>9023</v>
      </c>
      <c r="F86" s="153" t="s">
        <v>9019</v>
      </c>
      <c r="G86" s="153" t="s">
        <v>9167</v>
      </c>
      <c r="H86" s="154">
        <v>45847</v>
      </c>
      <c r="I86" s="149">
        <v>2025</v>
      </c>
      <c r="J86" s="149" t="s">
        <v>9168</v>
      </c>
      <c r="K86" s="149" t="s">
        <v>8873</v>
      </c>
      <c r="L86" s="149" t="s">
        <v>9169</v>
      </c>
      <c r="M86" s="149" t="s">
        <v>5699</v>
      </c>
      <c r="N86" s="151">
        <v>45848</v>
      </c>
      <c r="O86" s="148"/>
      <c r="P86" s="148"/>
      <c r="Q86" s="148"/>
      <c r="R86" s="148"/>
      <c r="S86" s="148"/>
      <c r="T86" s="148"/>
      <c r="U86" s="148"/>
      <c r="V86" s="148"/>
      <c r="W86" s="148"/>
      <c r="X86" s="148"/>
      <c r="Y86" s="148"/>
      <c r="Z86" s="148"/>
      <c r="AA86" s="148"/>
      <c r="AB86" s="148"/>
      <c r="AC86" s="148"/>
      <c r="AD86" s="148"/>
      <c r="AE86" s="148"/>
      <c r="AF86" s="148"/>
      <c r="AG86" s="148"/>
    </row>
    <row r="87" spans="1:33" ht="13.8">
      <c r="A87" s="153">
        <v>243</v>
      </c>
      <c r="B87" s="153" t="s">
        <v>9170</v>
      </c>
      <c r="C87" s="153" t="s">
        <v>9171</v>
      </c>
      <c r="D87" s="153">
        <v>2</v>
      </c>
      <c r="E87" s="153" t="s">
        <v>9023</v>
      </c>
      <c r="F87" s="153" t="s">
        <v>9019</v>
      </c>
      <c r="G87" s="153" t="s">
        <v>9172</v>
      </c>
      <c r="H87" s="154">
        <v>45838</v>
      </c>
      <c r="I87" s="149">
        <v>2025</v>
      </c>
      <c r="J87" s="149" t="s">
        <v>9173</v>
      </c>
      <c r="K87" s="149" t="s">
        <v>8887</v>
      </c>
      <c r="L87" s="155"/>
      <c r="M87" s="149" t="s">
        <v>5562</v>
      </c>
      <c r="N87" s="151">
        <v>45848</v>
      </c>
      <c r="O87" s="148"/>
      <c r="P87" s="148"/>
      <c r="Q87" s="148"/>
      <c r="R87" s="148"/>
      <c r="S87" s="148"/>
      <c r="T87" s="148"/>
      <c r="U87" s="148"/>
      <c r="V87" s="148"/>
      <c r="W87" s="148"/>
      <c r="X87" s="148"/>
      <c r="Y87" s="148"/>
      <c r="Z87" s="148"/>
      <c r="AA87" s="148"/>
      <c r="AB87" s="148"/>
      <c r="AC87" s="148"/>
      <c r="AD87" s="148"/>
      <c r="AE87" s="148"/>
      <c r="AF87" s="148"/>
      <c r="AG87" s="148"/>
    </row>
    <row r="88" spans="1:33" ht="13.8">
      <c r="A88" s="153">
        <v>244</v>
      </c>
      <c r="B88" s="153" t="s">
        <v>9174</v>
      </c>
      <c r="C88" s="153" t="s">
        <v>9175</v>
      </c>
      <c r="D88" s="153">
        <v>2</v>
      </c>
      <c r="E88" s="153" t="s">
        <v>9023</v>
      </c>
      <c r="F88" s="153" t="s">
        <v>9019</v>
      </c>
      <c r="G88" s="153" t="s">
        <v>9176</v>
      </c>
      <c r="H88" s="154">
        <v>45805</v>
      </c>
      <c r="I88" s="149">
        <v>2025</v>
      </c>
      <c r="J88" s="149" t="s">
        <v>9177</v>
      </c>
      <c r="K88" s="149" t="s">
        <v>8887</v>
      </c>
      <c r="L88" s="155"/>
      <c r="M88" s="149" t="s">
        <v>6361</v>
      </c>
      <c r="N88" s="151">
        <v>45853</v>
      </c>
      <c r="O88" s="148"/>
      <c r="P88" s="148"/>
      <c r="Q88" s="148"/>
      <c r="R88" s="148"/>
      <c r="S88" s="148"/>
      <c r="T88" s="148"/>
      <c r="U88" s="148"/>
      <c r="V88" s="148"/>
      <c r="W88" s="148"/>
      <c r="X88" s="148"/>
      <c r="Y88" s="148"/>
      <c r="Z88" s="148"/>
      <c r="AA88" s="148"/>
      <c r="AB88" s="148"/>
      <c r="AC88" s="148"/>
      <c r="AD88" s="148"/>
      <c r="AE88" s="148"/>
      <c r="AF88" s="148"/>
      <c r="AG88" s="148"/>
    </row>
    <row r="89" spans="1:33" ht="13.8">
      <c r="A89" s="153">
        <v>245</v>
      </c>
      <c r="B89" s="153" t="s">
        <v>9178</v>
      </c>
      <c r="C89" s="153" t="s">
        <v>9179</v>
      </c>
      <c r="D89" s="153">
        <v>5</v>
      </c>
      <c r="E89" s="153" t="s">
        <v>9023</v>
      </c>
      <c r="F89" s="153" t="s">
        <v>9019</v>
      </c>
      <c r="G89" s="153" t="s">
        <v>9180</v>
      </c>
      <c r="H89" s="154">
        <v>45665</v>
      </c>
      <c r="I89" s="149">
        <v>2025</v>
      </c>
      <c r="J89" s="149" t="s">
        <v>9159</v>
      </c>
      <c r="K89" s="149" t="s">
        <v>8887</v>
      </c>
      <c r="L89" s="155"/>
      <c r="M89" s="149" t="s">
        <v>6691</v>
      </c>
      <c r="N89" s="151">
        <v>45853</v>
      </c>
      <c r="O89" s="148"/>
      <c r="P89" s="148"/>
      <c r="Q89" s="148"/>
      <c r="R89" s="148"/>
      <c r="S89" s="148"/>
      <c r="T89" s="148"/>
      <c r="U89" s="148"/>
      <c r="V89" s="148"/>
      <c r="W89" s="148"/>
      <c r="X89" s="148"/>
      <c r="Y89" s="148"/>
      <c r="Z89" s="148"/>
      <c r="AA89" s="148"/>
      <c r="AB89" s="148"/>
      <c r="AC89" s="148"/>
      <c r="AD89" s="148"/>
      <c r="AE89" s="148"/>
      <c r="AF89" s="148"/>
      <c r="AG89" s="148"/>
    </row>
    <row r="90" spans="1:33" ht="13.8">
      <c r="A90" s="153">
        <v>247</v>
      </c>
      <c r="B90" s="153" t="s">
        <v>9181</v>
      </c>
      <c r="C90" s="153" t="s">
        <v>9182</v>
      </c>
      <c r="D90" s="153">
        <v>3</v>
      </c>
      <c r="E90" s="153" t="s">
        <v>9023</v>
      </c>
      <c r="F90" s="153" t="s">
        <v>9019</v>
      </c>
      <c r="G90" s="153" t="s">
        <v>9183</v>
      </c>
      <c r="H90" s="154">
        <v>45840</v>
      </c>
      <c r="I90" s="149">
        <v>2025</v>
      </c>
      <c r="J90" s="149" t="s">
        <v>9184</v>
      </c>
      <c r="K90" s="149" t="s">
        <v>9185</v>
      </c>
      <c r="L90" s="155"/>
      <c r="M90" s="149" t="s">
        <v>6000</v>
      </c>
      <c r="N90" s="151">
        <v>45881</v>
      </c>
      <c r="O90" s="148"/>
      <c r="P90" s="148"/>
      <c r="Q90" s="148"/>
      <c r="R90" s="148"/>
      <c r="S90" s="148"/>
      <c r="T90" s="148"/>
      <c r="U90" s="148"/>
      <c r="V90" s="148"/>
      <c r="W90" s="148"/>
      <c r="X90" s="148"/>
      <c r="Y90" s="148"/>
      <c r="Z90" s="148"/>
      <c r="AA90" s="148"/>
      <c r="AB90" s="148"/>
      <c r="AC90" s="148"/>
      <c r="AD90" s="148"/>
      <c r="AE90" s="148"/>
      <c r="AF90" s="148"/>
      <c r="AG90" s="148"/>
    </row>
    <row r="91" spans="1:33" ht="13.8">
      <c r="A91" s="153">
        <v>248</v>
      </c>
      <c r="B91" s="153" t="s">
        <v>9186</v>
      </c>
      <c r="C91" s="153" t="s">
        <v>9187</v>
      </c>
      <c r="D91" s="153">
        <v>3</v>
      </c>
      <c r="E91" s="153" t="s">
        <v>9023</v>
      </c>
      <c r="F91" s="153" t="s">
        <v>9019</v>
      </c>
      <c r="G91" s="153" t="s">
        <v>9188</v>
      </c>
      <c r="H91" s="154">
        <v>45672</v>
      </c>
      <c r="I91" s="149">
        <v>2025</v>
      </c>
      <c r="J91" s="155"/>
      <c r="K91" s="149" t="s">
        <v>8887</v>
      </c>
      <c r="L91" s="155"/>
      <c r="M91" s="149" t="s">
        <v>4765</v>
      </c>
      <c r="N91" s="151">
        <v>45885</v>
      </c>
      <c r="O91" s="148"/>
      <c r="P91" s="148"/>
      <c r="Q91" s="148"/>
      <c r="R91" s="148"/>
      <c r="S91" s="148"/>
      <c r="T91" s="148"/>
      <c r="U91" s="148"/>
      <c r="V91" s="148"/>
      <c r="W91" s="148"/>
      <c r="X91" s="148"/>
      <c r="Y91" s="148"/>
      <c r="Z91" s="148"/>
      <c r="AA91" s="148"/>
      <c r="AB91" s="148"/>
      <c r="AC91" s="148"/>
      <c r="AD91" s="148"/>
      <c r="AE91" s="148"/>
      <c r="AF91" s="148"/>
      <c r="AG91" s="148"/>
    </row>
    <row r="92" spans="1:33" ht="13.8">
      <c r="A92" s="153">
        <v>249</v>
      </c>
      <c r="B92" s="153" t="s">
        <v>9189</v>
      </c>
      <c r="C92" s="153" t="s">
        <v>9190</v>
      </c>
      <c r="D92" s="153">
        <v>7</v>
      </c>
      <c r="E92" s="153" t="s">
        <v>8878</v>
      </c>
      <c r="F92" s="153" t="s">
        <v>8890</v>
      </c>
      <c r="G92" s="153" t="s">
        <v>9191</v>
      </c>
      <c r="H92" s="154">
        <v>45856</v>
      </c>
      <c r="I92" s="149">
        <v>2025</v>
      </c>
      <c r="J92" s="149" t="s">
        <v>9192</v>
      </c>
      <c r="K92" s="149" t="s">
        <v>8887</v>
      </c>
      <c r="L92" s="155"/>
      <c r="M92" s="149" t="s">
        <v>6361</v>
      </c>
      <c r="N92" s="151">
        <v>45967</v>
      </c>
      <c r="O92" s="148"/>
      <c r="P92" s="148"/>
      <c r="Q92" s="148"/>
      <c r="R92" s="148"/>
      <c r="S92" s="148"/>
      <c r="T92" s="148"/>
      <c r="U92" s="148"/>
      <c r="V92" s="148"/>
      <c r="W92" s="148"/>
      <c r="X92" s="148"/>
      <c r="Y92" s="148"/>
      <c r="Z92" s="148"/>
      <c r="AA92" s="148"/>
      <c r="AB92" s="148"/>
      <c r="AC92" s="148"/>
      <c r="AD92" s="148"/>
      <c r="AE92" s="148"/>
      <c r="AF92" s="148"/>
      <c r="AG92" s="148"/>
    </row>
    <row r="93" spans="1:33" ht="13.8">
      <c r="A93" s="153">
        <v>250</v>
      </c>
      <c r="B93" s="153" t="s">
        <v>9193</v>
      </c>
      <c r="C93" s="153" t="s">
        <v>9194</v>
      </c>
      <c r="D93" s="153">
        <v>6</v>
      </c>
      <c r="E93" s="153" t="s">
        <v>8878</v>
      </c>
      <c r="F93" s="153" t="s">
        <v>8890</v>
      </c>
      <c r="G93" s="153" t="s">
        <v>9195</v>
      </c>
      <c r="H93" s="154">
        <v>45897</v>
      </c>
      <c r="I93" s="149">
        <v>2025</v>
      </c>
      <c r="J93" s="149" t="s">
        <v>9192</v>
      </c>
      <c r="K93" s="149" t="s">
        <v>8887</v>
      </c>
      <c r="L93" s="155"/>
      <c r="M93" s="149" t="s">
        <v>6361</v>
      </c>
      <c r="N93" s="151">
        <v>45967</v>
      </c>
      <c r="O93" s="148"/>
      <c r="P93" s="148"/>
      <c r="Q93" s="148"/>
      <c r="R93" s="148"/>
      <c r="S93" s="148"/>
      <c r="T93" s="148"/>
      <c r="U93" s="148"/>
      <c r="V93" s="148"/>
      <c r="W93" s="148"/>
      <c r="X93" s="148"/>
      <c r="Y93" s="148"/>
      <c r="Z93" s="148"/>
      <c r="AA93" s="148"/>
      <c r="AB93" s="148"/>
      <c r="AC93" s="148"/>
      <c r="AD93" s="148"/>
      <c r="AE93" s="148"/>
      <c r="AF93" s="148"/>
      <c r="AG93" s="148"/>
    </row>
    <row r="94" spans="1:33" ht="13.8">
      <c r="A94" s="153">
        <v>251</v>
      </c>
      <c r="B94" s="153" t="s">
        <v>9196</v>
      </c>
      <c r="C94" s="153" t="s">
        <v>9197</v>
      </c>
      <c r="D94" s="153">
        <v>4</v>
      </c>
      <c r="E94" s="153" t="s">
        <v>8878</v>
      </c>
      <c r="F94" s="153" t="s">
        <v>8890</v>
      </c>
      <c r="G94" s="153" t="s">
        <v>9198</v>
      </c>
      <c r="H94" s="156">
        <v>45961</v>
      </c>
      <c r="I94" s="149">
        <v>2025</v>
      </c>
      <c r="J94" s="149" t="s">
        <v>9199</v>
      </c>
      <c r="K94" s="149" t="s">
        <v>8887</v>
      </c>
      <c r="L94" s="155"/>
      <c r="M94" s="149" t="s">
        <v>5136</v>
      </c>
      <c r="N94" s="151">
        <v>45968</v>
      </c>
      <c r="O94" s="148"/>
      <c r="P94" s="148"/>
      <c r="Q94" s="148"/>
      <c r="R94" s="148"/>
      <c r="S94" s="148"/>
      <c r="T94" s="148"/>
      <c r="U94" s="148"/>
      <c r="V94" s="148"/>
      <c r="W94" s="148"/>
      <c r="X94" s="148"/>
      <c r="Y94" s="148"/>
      <c r="Z94" s="148"/>
      <c r="AA94" s="148"/>
      <c r="AB94" s="148"/>
      <c r="AC94" s="148"/>
      <c r="AD94" s="148"/>
      <c r="AE94" s="148"/>
      <c r="AF94" s="148"/>
      <c r="AG94" s="148"/>
    </row>
    <row r="95" spans="1:33" ht="13.8">
      <c r="A95" s="153">
        <v>252</v>
      </c>
      <c r="B95" s="153" t="s">
        <v>9200</v>
      </c>
      <c r="C95" s="153" t="s">
        <v>9201</v>
      </c>
      <c r="D95" s="153">
        <v>8</v>
      </c>
      <c r="E95" s="153" t="s">
        <v>8878</v>
      </c>
      <c r="F95" s="153" t="s">
        <v>8890</v>
      </c>
      <c r="G95" s="153" t="s">
        <v>9202</v>
      </c>
      <c r="H95" s="154">
        <v>45903</v>
      </c>
      <c r="I95" s="149">
        <v>2025</v>
      </c>
      <c r="J95" s="155"/>
      <c r="K95" s="149" t="s">
        <v>8887</v>
      </c>
      <c r="L95" s="155"/>
      <c r="M95" s="149" t="s">
        <v>649</v>
      </c>
      <c r="N95" s="151">
        <v>45968</v>
      </c>
      <c r="O95" s="148"/>
      <c r="P95" s="148"/>
      <c r="Q95" s="148"/>
      <c r="R95" s="148"/>
      <c r="S95" s="148"/>
      <c r="T95" s="148"/>
      <c r="U95" s="148"/>
      <c r="V95" s="148"/>
      <c r="W95" s="148"/>
      <c r="X95" s="148"/>
      <c r="Y95" s="148"/>
      <c r="Z95" s="148"/>
      <c r="AA95" s="148"/>
      <c r="AB95" s="148"/>
      <c r="AC95" s="148"/>
      <c r="AD95" s="148"/>
      <c r="AE95" s="148"/>
      <c r="AF95" s="148"/>
      <c r="AG95" s="148"/>
    </row>
    <row r="96" spans="1:33" ht="13.8">
      <c r="A96" s="153">
        <v>253</v>
      </c>
      <c r="B96" s="153" t="s">
        <v>9203</v>
      </c>
      <c r="C96" s="153" t="s">
        <v>9204</v>
      </c>
      <c r="D96" s="153">
        <v>1</v>
      </c>
      <c r="E96" s="153" t="s">
        <v>8878</v>
      </c>
      <c r="F96" s="153" t="s">
        <v>8890</v>
      </c>
      <c r="G96" s="153" t="s">
        <v>9205</v>
      </c>
      <c r="H96" s="154">
        <v>45853</v>
      </c>
      <c r="I96" s="149">
        <v>2025</v>
      </c>
      <c r="J96" s="155"/>
      <c r="K96" s="149" t="s">
        <v>8887</v>
      </c>
      <c r="L96" s="155"/>
      <c r="M96" s="149" t="s">
        <v>5675</v>
      </c>
      <c r="N96" s="151">
        <v>45968</v>
      </c>
      <c r="O96" s="148"/>
      <c r="P96" s="148"/>
      <c r="Q96" s="148"/>
      <c r="R96" s="148"/>
      <c r="S96" s="148"/>
      <c r="T96" s="148"/>
      <c r="U96" s="148"/>
      <c r="V96" s="148"/>
      <c r="W96" s="148"/>
      <c r="X96" s="148"/>
      <c r="Y96" s="148"/>
      <c r="Z96" s="148"/>
      <c r="AA96" s="148"/>
      <c r="AB96" s="148"/>
      <c r="AC96" s="148"/>
      <c r="AD96" s="148"/>
      <c r="AE96" s="148"/>
      <c r="AF96" s="148"/>
      <c r="AG96" s="148"/>
    </row>
    <row r="97" spans="1:33" ht="13.8">
      <c r="A97" s="153">
        <v>254</v>
      </c>
      <c r="B97" s="153" t="s">
        <v>9206</v>
      </c>
      <c r="C97" s="153" t="s">
        <v>9207</v>
      </c>
      <c r="D97" s="153">
        <v>2</v>
      </c>
      <c r="E97" s="153" t="s">
        <v>8878</v>
      </c>
      <c r="F97" s="153" t="s">
        <v>8890</v>
      </c>
      <c r="G97" s="153" t="s">
        <v>9208</v>
      </c>
      <c r="H97" s="156">
        <v>45954</v>
      </c>
      <c r="I97" s="149">
        <v>2025</v>
      </c>
      <c r="J97" s="155"/>
      <c r="K97" s="149" t="s">
        <v>8887</v>
      </c>
      <c r="L97" s="155"/>
      <c r="M97" s="149" t="s">
        <v>5658</v>
      </c>
      <c r="N97" s="151">
        <v>45968</v>
      </c>
      <c r="O97" s="148"/>
      <c r="P97" s="148"/>
      <c r="Q97" s="148"/>
      <c r="R97" s="148"/>
      <c r="S97" s="148"/>
      <c r="T97" s="148"/>
      <c r="U97" s="148"/>
      <c r="V97" s="148"/>
      <c r="W97" s="148"/>
      <c r="X97" s="148"/>
      <c r="Y97" s="148"/>
      <c r="Z97" s="148"/>
      <c r="AA97" s="148"/>
      <c r="AB97" s="148"/>
      <c r="AC97" s="148"/>
      <c r="AD97" s="148"/>
      <c r="AE97" s="148"/>
      <c r="AF97" s="148"/>
      <c r="AG97" s="148"/>
    </row>
    <row r="98" spans="1:33" ht="13.8">
      <c r="A98" s="153">
        <v>255</v>
      </c>
      <c r="B98" s="153" t="s">
        <v>9209</v>
      </c>
      <c r="C98" s="153" t="s">
        <v>9210</v>
      </c>
      <c r="D98" s="153">
        <v>2</v>
      </c>
      <c r="E98" s="153" t="s">
        <v>8878</v>
      </c>
      <c r="F98" s="153" t="s">
        <v>8890</v>
      </c>
      <c r="G98" s="153" t="s">
        <v>9211</v>
      </c>
      <c r="H98" s="154">
        <v>45963</v>
      </c>
      <c r="I98" s="149">
        <v>2025</v>
      </c>
      <c r="J98" s="155"/>
      <c r="K98" s="149" t="s">
        <v>8887</v>
      </c>
      <c r="L98" s="155"/>
      <c r="M98" s="149" t="s">
        <v>5658</v>
      </c>
      <c r="N98" s="151">
        <v>45968</v>
      </c>
      <c r="O98" s="148"/>
      <c r="P98" s="148"/>
      <c r="Q98" s="148"/>
      <c r="R98" s="148"/>
      <c r="S98" s="148"/>
      <c r="T98" s="148"/>
      <c r="U98" s="148"/>
      <c r="V98" s="148"/>
      <c r="W98" s="148"/>
      <c r="X98" s="148"/>
      <c r="Y98" s="148"/>
      <c r="Z98" s="148"/>
      <c r="AA98" s="148"/>
      <c r="AB98" s="148"/>
      <c r="AC98" s="148"/>
      <c r="AD98" s="148"/>
      <c r="AE98" s="148"/>
      <c r="AF98" s="148"/>
      <c r="AG98" s="148"/>
    </row>
    <row r="99" spans="1:33" ht="13.8">
      <c r="A99" s="153">
        <v>256</v>
      </c>
      <c r="B99" s="153" t="s">
        <v>9212</v>
      </c>
      <c r="C99" s="153" t="s">
        <v>9213</v>
      </c>
      <c r="D99" s="153">
        <v>11</v>
      </c>
      <c r="E99" s="153" t="s">
        <v>8878</v>
      </c>
      <c r="F99" s="153" t="s">
        <v>8890</v>
      </c>
      <c r="G99" s="153" t="s">
        <v>9214</v>
      </c>
      <c r="H99" s="154">
        <v>45894</v>
      </c>
      <c r="I99" s="149">
        <v>2025</v>
      </c>
      <c r="J99" s="155"/>
      <c r="K99" s="149" t="s">
        <v>8887</v>
      </c>
      <c r="L99" s="155"/>
      <c r="M99" s="149" t="s">
        <v>6159</v>
      </c>
      <c r="N99" s="157">
        <v>45972</v>
      </c>
      <c r="O99" s="148"/>
      <c r="P99" s="148"/>
      <c r="Q99" s="148"/>
      <c r="R99" s="148"/>
      <c r="S99" s="148"/>
      <c r="T99" s="148"/>
      <c r="U99" s="148"/>
      <c r="V99" s="148"/>
      <c r="W99" s="148"/>
      <c r="X99" s="148"/>
      <c r="Y99" s="148"/>
      <c r="Z99" s="148"/>
      <c r="AA99" s="148"/>
      <c r="AB99" s="148"/>
      <c r="AC99" s="148"/>
      <c r="AD99" s="148"/>
      <c r="AE99" s="148"/>
      <c r="AF99" s="148"/>
      <c r="AG99" s="148"/>
    </row>
    <row r="100" spans="1:33" ht="13.8">
      <c r="A100" s="153">
        <v>257</v>
      </c>
      <c r="B100" s="153" t="s">
        <v>9215</v>
      </c>
      <c r="C100" s="153" t="s">
        <v>9216</v>
      </c>
      <c r="D100" s="153">
        <v>17</v>
      </c>
      <c r="E100" s="153" t="s">
        <v>8878</v>
      </c>
      <c r="F100" s="153" t="s">
        <v>8890</v>
      </c>
      <c r="G100" s="153" t="s">
        <v>9217</v>
      </c>
      <c r="H100" s="154">
        <v>45884</v>
      </c>
      <c r="I100" s="149">
        <v>2025</v>
      </c>
      <c r="J100" s="155"/>
      <c r="K100" s="149" t="s">
        <v>8887</v>
      </c>
      <c r="L100" s="155"/>
      <c r="M100" s="149" t="s">
        <v>7431</v>
      </c>
      <c r="N100" s="157">
        <v>45975</v>
      </c>
      <c r="O100" s="148"/>
      <c r="P100" s="148"/>
      <c r="Q100" s="148"/>
      <c r="R100" s="148"/>
      <c r="S100" s="148"/>
      <c r="T100" s="148"/>
      <c r="U100" s="148"/>
      <c r="V100" s="148"/>
      <c r="W100" s="148"/>
      <c r="X100" s="148"/>
      <c r="Y100" s="148"/>
      <c r="Z100" s="148"/>
      <c r="AA100" s="148"/>
      <c r="AB100" s="148"/>
      <c r="AC100" s="148"/>
      <c r="AD100" s="148"/>
      <c r="AE100" s="148"/>
      <c r="AF100" s="148"/>
      <c r="AG100" s="148"/>
    </row>
    <row r="101" spans="1:33" ht="13.8">
      <c r="A101" s="153">
        <v>258</v>
      </c>
      <c r="B101" s="153" t="s">
        <v>9218</v>
      </c>
      <c r="C101" s="153" t="s">
        <v>9219</v>
      </c>
      <c r="D101" s="153">
        <v>7</v>
      </c>
      <c r="E101" s="153" t="s">
        <v>8878</v>
      </c>
      <c r="F101" s="153" t="s">
        <v>8890</v>
      </c>
      <c r="G101" s="153" t="s">
        <v>9220</v>
      </c>
      <c r="H101" s="154">
        <v>45967</v>
      </c>
      <c r="I101" s="149">
        <v>2025</v>
      </c>
      <c r="J101" s="149" t="s">
        <v>9221</v>
      </c>
      <c r="K101" s="149" t="s">
        <v>8887</v>
      </c>
      <c r="L101" s="155"/>
      <c r="M101" s="149" t="s">
        <v>6459</v>
      </c>
      <c r="N101" s="157">
        <v>45978</v>
      </c>
      <c r="O101" s="148"/>
      <c r="P101" s="148"/>
      <c r="Q101" s="148"/>
      <c r="R101" s="148"/>
      <c r="S101" s="148"/>
      <c r="T101" s="148"/>
      <c r="U101" s="148"/>
      <c r="V101" s="148"/>
      <c r="W101" s="148"/>
      <c r="X101" s="148"/>
      <c r="Y101" s="148"/>
      <c r="Z101" s="148"/>
      <c r="AA101" s="148"/>
      <c r="AB101" s="148"/>
      <c r="AC101" s="148"/>
      <c r="AD101" s="148"/>
      <c r="AE101" s="148"/>
      <c r="AF101" s="148"/>
      <c r="AG101" s="148"/>
    </row>
    <row r="102" spans="1:33" ht="13.8">
      <c r="A102" s="153">
        <v>259</v>
      </c>
      <c r="B102" s="153" t="s">
        <v>9222</v>
      </c>
      <c r="C102" s="153" t="s">
        <v>9223</v>
      </c>
      <c r="D102" s="153">
        <v>4</v>
      </c>
      <c r="E102" s="153" t="s">
        <v>8878</v>
      </c>
      <c r="F102" s="153" t="s">
        <v>8890</v>
      </c>
      <c r="G102" s="153" t="s">
        <v>9224</v>
      </c>
      <c r="H102" s="154">
        <v>45967</v>
      </c>
      <c r="I102" s="149">
        <v>2025</v>
      </c>
      <c r="J102" s="149" t="s">
        <v>9225</v>
      </c>
      <c r="K102" s="149" t="s">
        <v>8887</v>
      </c>
      <c r="L102" s="155"/>
      <c r="M102" s="149" t="s">
        <v>6308</v>
      </c>
      <c r="N102" s="157">
        <v>45980</v>
      </c>
      <c r="O102" s="148"/>
      <c r="P102" s="148"/>
      <c r="Q102" s="148"/>
      <c r="R102" s="148"/>
      <c r="S102" s="148"/>
      <c r="T102" s="148"/>
      <c r="U102" s="148"/>
      <c r="V102" s="148"/>
      <c r="W102" s="148"/>
      <c r="X102" s="148"/>
      <c r="Y102" s="148"/>
      <c r="Z102" s="148"/>
      <c r="AA102" s="148"/>
      <c r="AB102" s="148"/>
      <c r="AC102" s="148"/>
      <c r="AD102" s="148"/>
      <c r="AE102" s="148"/>
      <c r="AF102" s="148"/>
      <c r="AG102" s="148"/>
    </row>
    <row r="103" spans="1:33" ht="13.8">
      <c r="A103" s="153">
        <v>260</v>
      </c>
      <c r="B103" s="153" t="s">
        <v>9226</v>
      </c>
      <c r="C103" s="153" t="s">
        <v>9227</v>
      </c>
      <c r="D103" s="153">
        <v>8</v>
      </c>
      <c r="E103" s="153" t="s">
        <v>8878</v>
      </c>
      <c r="F103" s="153" t="s">
        <v>8890</v>
      </c>
      <c r="G103" s="153" t="s">
        <v>9228</v>
      </c>
      <c r="H103" s="156">
        <v>45971</v>
      </c>
      <c r="I103" s="149">
        <v>2025</v>
      </c>
      <c r="J103" s="149" t="s">
        <v>9229</v>
      </c>
      <c r="K103" s="149" t="s">
        <v>8887</v>
      </c>
      <c r="L103" s="155"/>
      <c r="M103" s="149" t="s">
        <v>6308</v>
      </c>
      <c r="N103" s="157">
        <v>45980</v>
      </c>
      <c r="O103" s="148"/>
      <c r="P103" s="148"/>
      <c r="Q103" s="148"/>
      <c r="R103" s="148"/>
      <c r="S103" s="148"/>
      <c r="T103" s="148"/>
      <c r="U103" s="148"/>
      <c r="V103" s="148"/>
      <c r="W103" s="148"/>
      <c r="X103" s="148"/>
      <c r="Y103" s="148"/>
      <c r="Z103" s="148"/>
      <c r="AA103" s="148"/>
      <c r="AB103" s="148"/>
      <c r="AC103" s="148"/>
      <c r="AD103" s="148"/>
      <c r="AE103" s="148"/>
      <c r="AF103" s="148"/>
      <c r="AG103" s="148"/>
    </row>
    <row r="104" spans="1:33" ht="13.8">
      <c r="A104" s="153">
        <v>261</v>
      </c>
      <c r="B104" s="153" t="s">
        <v>9230</v>
      </c>
      <c r="C104" s="153" t="s">
        <v>9231</v>
      </c>
      <c r="D104" s="153">
        <v>7</v>
      </c>
      <c r="E104" s="153" t="s">
        <v>8878</v>
      </c>
      <c r="F104" s="153" t="s">
        <v>8890</v>
      </c>
      <c r="G104" s="153" t="s">
        <v>9232</v>
      </c>
      <c r="H104" s="156">
        <v>45954</v>
      </c>
      <c r="I104" s="149">
        <v>2025</v>
      </c>
      <c r="J104" s="155"/>
      <c r="K104" s="149" t="s">
        <v>8887</v>
      </c>
      <c r="L104" s="155"/>
      <c r="M104" s="149" t="s">
        <v>5087</v>
      </c>
      <c r="N104" s="157">
        <v>45982</v>
      </c>
      <c r="O104" s="148"/>
      <c r="P104" s="148"/>
      <c r="Q104" s="148"/>
      <c r="R104" s="148"/>
      <c r="S104" s="148"/>
      <c r="T104" s="148"/>
      <c r="U104" s="148"/>
      <c r="V104" s="148"/>
      <c r="W104" s="148"/>
      <c r="X104" s="148"/>
      <c r="Y104" s="148"/>
      <c r="Z104" s="148"/>
      <c r="AA104" s="148"/>
      <c r="AB104" s="148"/>
      <c r="AC104" s="148"/>
      <c r="AD104" s="148"/>
      <c r="AE104" s="148"/>
      <c r="AF104" s="148"/>
      <c r="AG104" s="148"/>
    </row>
    <row r="105" spans="1:33" ht="13.8">
      <c r="A105" s="153">
        <v>262</v>
      </c>
      <c r="B105" s="153" t="s">
        <v>9233</v>
      </c>
      <c r="C105" s="153" t="s">
        <v>9234</v>
      </c>
      <c r="D105" s="153">
        <v>6</v>
      </c>
      <c r="E105" s="153" t="s">
        <v>8878</v>
      </c>
      <c r="F105" s="153" t="s">
        <v>8890</v>
      </c>
      <c r="G105" s="153" t="s">
        <v>9235</v>
      </c>
      <c r="H105" s="156">
        <v>45953</v>
      </c>
      <c r="I105" s="149">
        <v>2025</v>
      </c>
      <c r="J105" s="155"/>
      <c r="K105" s="149" t="s">
        <v>8887</v>
      </c>
      <c r="L105" s="155"/>
      <c r="M105" s="149" t="s">
        <v>5087</v>
      </c>
      <c r="N105" s="157">
        <v>45982</v>
      </c>
      <c r="O105" s="148"/>
      <c r="P105" s="148"/>
      <c r="Q105" s="148"/>
      <c r="R105" s="148"/>
      <c r="S105" s="148"/>
      <c r="T105" s="148"/>
      <c r="U105" s="148"/>
      <c r="V105" s="148"/>
      <c r="W105" s="148"/>
      <c r="X105" s="148"/>
      <c r="Y105" s="148"/>
      <c r="Z105" s="148"/>
      <c r="AA105" s="148"/>
      <c r="AB105" s="148"/>
      <c r="AC105" s="148"/>
      <c r="AD105" s="148"/>
      <c r="AE105" s="148"/>
      <c r="AF105" s="148"/>
      <c r="AG105" s="148"/>
    </row>
    <row r="106" spans="1:33" ht="13.8">
      <c r="A106" s="153">
        <v>263</v>
      </c>
      <c r="B106" s="153" t="s">
        <v>9236</v>
      </c>
      <c r="C106" s="153" t="s">
        <v>9237</v>
      </c>
      <c r="D106" s="153">
        <v>9</v>
      </c>
      <c r="E106" s="153" t="s">
        <v>8878</v>
      </c>
      <c r="F106" s="153" t="s">
        <v>8890</v>
      </c>
      <c r="G106" s="153" t="s">
        <v>9238</v>
      </c>
      <c r="H106" s="154">
        <v>45886</v>
      </c>
      <c r="I106" s="149">
        <v>2025</v>
      </c>
      <c r="J106" s="155"/>
      <c r="K106" s="149" t="s">
        <v>8887</v>
      </c>
      <c r="L106" s="155"/>
      <c r="M106" s="149" t="s">
        <v>5977</v>
      </c>
      <c r="N106" s="157">
        <v>45982</v>
      </c>
      <c r="O106" s="148"/>
      <c r="P106" s="148"/>
      <c r="Q106" s="148"/>
      <c r="R106" s="148"/>
      <c r="S106" s="148"/>
      <c r="T106" s="148"/>
      <c r="U106" s="148"/>
      <c r="V106" s="148"/>
      <c r="W106" s="148"/>
      <c r="X106" s="148"/>
      <c r="Y106" s="148"/>
      <c r="Z106" s="148"/>
      <c r="AA106" s="148"/>
      <c r="AB106" s="148"/>
      <c r="AC106" s="148"/>
      <c r="AD106" s="148"/>
      <c r="AE106" s="148"/>
      <c r="AF106" s="148"/>
      <c r="AG106" s="148"/>
    </row>
    <row r="107" spans="1:33" ht="13.8">
      <c r="A107" s="153">
        <v>264</v>
      </c>
      <c r="B107" s="153" t="s">
        <v>9239</v>
      </c>
      <c r="C107" s="153" t="s">
        <v>9240</v>
      </c>
      <c r="D107" s="153">
        <v>6</v>
      </c>
      <c r="E107" s="153" t="s">
        <v>8878</v>
      </c>
      <c r="F107" s="153" t="s">
        <v>8890</v>
      </c>
      <c r="G107" s="153" t="s">
        <v>9241</v>
      </c>
      <c r="H107" s="154">
        <v>45903</v>
      </c>
      <c r="I107" s="149">
        <v>2025</v>
      </c>
      <c r="J107" s="155"/>
      <c r="K107" s="149" t="s">
        <v>8887</v>
      </c>
      <c r="L107" s="155"/>
      <c r="M107" s="149" t="s">
        <v>5959</v>
      </c>
      <c r="N107" s="157">
        <v>45982</v>
      </c>
      <c r="O107" s="148"/>
      <c r="P107" s="148"/>
      <c r="Q107" s="148"/>
      <c r="R107" s="148"/>
      <c r="S107" s="148"/>
      <c r="T107" s="148"/>
      <c r="U107" s="148"/>
      <c r="V107" s="148"/>
      <c r="W107" s="148"/>
      <c r="X107" s="148"/>
      <c r="Y107" s="148"/>
      <c r="Z107" s="148"/>
      <c r="AA107" s="148"/>
      <c r="AB107" s="148"/>
      <c r="AC107" s="148"/>
      <c r="AD107" s="148"/>
      <c r="AE107" s="148"/>
      <c r="AF107" s="148"/>
      <c r="AG107" s="148"/>
    </row>
    <row r="108" spans="1:33" ht="13.8">
      <c r="A108" s="153">
        <v>265</v>
      </c>
      <c r="B108" s="153" t="s">
        <v>9242</v>
      </c>
      <c r="C108" s="153" t="s">
        <v>9243</v>
      </c>
      <c r="D108" s="153">
        <v>11</v>
      </c>
      <c r="E108" s="153" t="s">
        <v>8878</v>
      </c>
      <c r="F108" s="153" t="s">
        <v>8890</v>
      </c>
      <c r="G108" s="153" t="s">
        <v>9244</v>
      </c>
      <c r="H108" s="154">
        <v>45890</v>
      </c>
      <c r="I108" s="149">
        <v>2025</v>
      </c>
      <c r="J108" s="155"/>
      <c r="K108" s="149" t="s">
        <v>8887</v>
      </c>
      <c r="L108" s="155"/>
      <c r="M108" s="149" t="s">
        <v>5977</v>
      </c>
      <c r="N108" s="157">
        <v>45982</v>
      </c>
      <c r="O108" s="148"/>
      <c r="P108" s="148"/>
      <c r="Q108" s="148"/>
      <c r="R108" s="148"/>
      <c r="S108" s="148"/>
      <c r="T108" s="148"/>
      <c r="U108" s="148"/>
      <c r="V108" s="148"/>
      <c r="W108" s="148"/>
      <c r="X108" s="148"/>
      <c r="Y108" s="148"/>
      <c r="Z108" s="148"/>
      <c r="AA108" s="148"/>
      <c r="AB108" s="148"/>
      <c r="AC108" s="148"/>
      <c r="AD108" s="148"/>
      <c r="AE108" s="148"/>
      <c r="AF108" s="148"/>
      <c r="AG108" s="148"/>
    </row>
    <row r="109" spans="1:33" ht="13.8">
      <c r="A109" s="153">
        <v>266</v>
      </c>
      <c r="B109" s="153" t="s">
        <v>9245</v>
      </c>
      <c r="C109" s="153" t="s">
        <v>9246</v>
      </c>
      <c r="D109" s="153">
        <v>3</v>
      </c>
      <c r="E109" s="153" t="s">
        <v>8878</v>
      </c>
      <c r="F109" s="153" t="s">
        <v>8890</v>
      </c>
      <c r="G109" s="153" t="s">
        <v>9247</v>
      </c>
      <c r="H109" s="154">
        <v>45839</v>
      </c>
      <c r="I109" s="149">
        <v>2025</v>
      </c>
      <c r="J109" s="155"/>
      <c r="K109" s="149" t="s">
        <v>8887</v>
      </c>
      <c r="L109" s="155"/>
      <c r="M109" s="149" t="s">
        <v>6174</v>
      </c>
      <c r="N109" s="157">
        <v>45983</v>
      </c>
      <c r="O109" s="148"/>
      <c r="P109" s="148"/>
      <c r="Q109" s="148"/>
      <c r="R109" s="148"/>
      <c r="S109" s="148"/>
      <c r="T109" s="148"/>
      <c r="U109" s="148"/>
      <c r="V109" s="148"/>
      <c r="W109" s="148"/>
      <c r="X109" s="148"/>
      <c r="Y109" s="148"/>
      <c r="Z109" s="148"/>
      <c r="AA109" s="148"/>
      <c r="AB109" s="148"/>
      <c r="AC109" s="148"/>
      <c r="AD109" s="148"/>
      <c r="AE109" s="148"/>
      <c r="AF109" s="148"/>
      <c r="AG109" s="148"/>
    </row>
    <row r="110" spans="1:33" ht="13.8">
      <c r="A110" s="153">
        <v>267</v>
      </c>
      <c r="B110" s="153" t="s">
        <v>9248</v>
      </c>
      <c r="C110" s="153" t="s">
        <v>9249</v>
      </c>
      <c r="D110" s="153">
        <v>3</v>
      </c>
      <c r="E110" s="153" t="s">
        <v>8878</v>
      </c>
      <c r="F110" s="153" t="s">
        <v>8890</v>
      </c>
      <c r="G110" s="153" t="s">
        <v>9250</v>
      </c>
      <c r="H110" s="154">
        <v>45962</v>
      </c>
      <c r="I110" s="149">
        <v>2025</v>
      </c>
      <c r="J110" s="155"/>
      <c r="K110" s="149" t="s">
        <v>8887</v>
      </c>
      <c r="L110" s="155"/>
      <c r="M110" s="149" t="s">
        <v>6174</v>
      </c>
      <c r="N110" s="157">
        <v>45983</v>
      </c>
      <c r="O110" s="148"/>
      <c r="P110" s="148"/>
      <c r="Q110" s="148"/>
      <c r="R110" s="148"/>
      <c r="S110" s="148"/>
      <c r="T110" s="148"/>
      <c r="U110" s="148"/>
      <c r="V110" s="148"/>
      <c r="W110" s="148"/>
      <c r="X110" s="148"/>
      <c r="Y110" s="148"/>
      <c r="Z110" s="148"/>
      <c r="AA110" s="148"/>
      <c r="AB110" s="148"/>
      <c r="AC110" s="148"/>
      <c r="AD110" s="148"/>
      <c r="AE110" s="148"/>
      <c r="AF110" s="148"/>
      <c r="AG110" s="148"/>
    </row>
    <row r="111" spans="1:33" ht="13.8">
      <c r="A111" s="153">
        <v>268</v>
      </c>
      <c r="B111" s="153" t="s">
        <v>9251</v>
      </c>
      <c r="C111" s="153" t="s">
        <v>9252</v>
      </c>
      <c r="D111" s="153">
        <v>5</v>
      </c>
      <c r="E111" s="153" t="s">
        <v>8878</v>
      </c>
      <c r="F111" s="153" t="s">
        <v>8890</v>
      </c>
      <c r="G111" s="153" t="s">
        <v>9253</v>
      </c>
      <c r="H111" s="156">
        <v>45971</v>
      </c>
      <c r="I111" s="149">
        <v>2025</v>
      </c>
      <c r="J111" s="155"/>
      <c r="K111" s="149" t="s">
        <v>8887</v>
      </c>
      <c r="L111" s="155"/>
      <c r="M111" s="149" t="s">
        <v>6174</v>
      </c>
      <c r="N111" s="157">
        <v>45983</v>
      </c>
      <c r="O111" s="148"/>
      <c r="P111" s="148"/>
      <c r="Q111" s="148"/>
      <c r="R111" s="148"/>
      <c r="S111" s="148"/>
      <c r="T111" s="148"/>
      <c r="U111" s="148"/>
      <c r="V111" s="148"/>
      <c r="W111" s="148"/>
      <c r="X111" s="148"/>
      <c r="Y111" s="148"/>
      <c r="Z111" s="148"/>
      <c r="AA111" s="148"/>
      <c r="AB111" s="148"/>
      <c r="AC111" s="148"/>
      <c r="AD111" s="148"/>
      <c r="AE111" s="148"/>
      <c r="AF111" s="148"/>
      <c r="AG111" s="148"/>
    </row>
    <row r="112" spans="1:33" ht="13.8">
      <c r="A112" s="153">
        <v>269</v>
      </c>
      <c r="B112" s="153" t="s">
        <v>9254</v>
      </c>
      <c r="C112" s="153" t="s">
        <v>9255</v>
      </c>
      <c r="D112" s="153">
        <v>17</v>
      </c>
      <c r="E112" s="153" t="s">
        <v>8878</v>
      </c>
      <c r="F112" s="153" t="s">
        <v>8890</v>
      </c>
      <c r="G112" s="153" t="s">
        <v>9256</v>
      </c>
      <c r="H112" s="156">
        <v>45983</v>
      </c>
      <c r="I112" s="149">
        <v>2025</v>
      </c>
      <c r="J112" s="155"/>
      <c r="K112" s="149" t="s">
        <v>8887</v>
      </c>
      <c r="L112" s="155"/>
      <c r="M112" s="149" t="s">
        <v>5977</v>
      </c>
      <c r="N112" s="157">
        <v>45983</v>
      </c>
      <c r="O112" s="148"/>
      <c r="P112" s="148"/>
      <c r="Q112" s="148"/>
      <c r="R112" s="148"/>
      <c r="S112" s="148"/>
      <c r="T112" s="148"/>
      <c r="U112" s="148"/>
      <c r="V112" s="148"/>
      <c r="W112" s="148"/>
      <c r="X112" s="148"/>
      <c r="Y112" s="148"/>
      <c r="Z112" s="148"/>
      <c r="AA112" s="148"/>
      <c r="AB112" s="148"/>
      <c r="AC112" s="148"/>
      <c r="AD112" s="148"/>
      <c r="AE112" s="148"/>
      <c r="AF112" s="148"/>
      <c r="AG112" s="148"/>
    </row>
    <row r="113" spans="1:33" ht="13.8">
      <c r="A113" s="153">
        <v>270</v>
      </c>
      <c r="B113" s="153" t="s">
        <v>9257</v>
      </c>
      <c r="C113" s="153" t="s">
        <v>9258</v>
      </c>
      <c r="D113" s="153">
        <v>5</v>
      </c>
      <c r="E113" s="153" t="s">
        <v>8878</v>
      </c>
      <c r="F113" s="153" t="s">
        <v>8890</v>
      </c>
      <c r="G113" s="153" t="s">
        <v>9259</v>
      </c>
      <c r="H113" s="154">
        <v>45839</v>
      </c>
      <c r="I113" s="149">
        <v>2025</v>
      </c>
      <c r="J113" s="149" t="s">
        <v>8934</v>
      </c>
      <c r="K113" s="149" t="s">
        <v>8887</v>
      </c>
      <c r="L113" s="155"/>
      <c r="M113" s="149" t="s">
        <v>6842</v>
      </c>
      <c r="N113" s="157">
        <v>45983</v>
      </c>
      <c r="O113" s="148"/>
      <c r="P113" s="148"/>
      <c r="Q113" s="148"/>
      <c r="R113" s="148"/>
      <c r="S113" s="148"/>
      <c r="T113" s="148"/>
      <c r="U113" s="148"/>
      <c r="V113" s="148"/>
      <c r="W113" s="148"/>
      <c r="X113" s="148"/>
      <c r="Y113" s="148"/>
      <c r="Z113" s="148"/>
      <c r="AA113" s="148"/>
      <c r="AB113" s="148"/>
      <c r="AC113" s="148"/>
      <c r="AD113" s="148"/>
      <c r="AE113" s="148"/>
      <c r="AF113" s="148"/>
      <c r="AG113" s="148"/>
    </row>
    <row r="114" spans="1:33" ht="13.8">
      <c r="A114" s="153">
        <v>271</v>
      </c>
      <c r="B114" s="153" t="s">
        <v>9260</v>
      </c>
      <c r="C114" s="153" t="s">
        <v>9261</v>
      </c>
      <c r="D114" s="153">
        <v>10</v>
      </c>
      <c r="E114" s="153" t="s">
        <v>8878</v>
      </c>
      <c r="F114" s="153" t="s">
        <v>8890</v>
      </c>
      <c r="G114" s="153" t="s">
        <v>9262</v>
      </c>
      <c r="H114" s="156">
        <v>45979</v>
      </c>
      <c r="I114" s="149">
        <v>2025</v>
      </c>
      <c r="J114" s="155"/>
      <c r="K114" s="149" t="s">
        <v>8887</v>
      </c>
      <c r="L114" s="155"/>
      <c r="M114" s="149" t="s">
        <v>4838</v>
      </c>
      <c r="N114" s="157">
        <v>45985</v>
      </c>
      <c r="O114" s="148"/>
      <c r="P114" s="148"/>
      <c r="Q114" s="148"/>
      <c r="R114" s="148"/>
      <c r="S114" s="148"/>
      <c r="T114" s="148"/>
      <c r="U114" s="148"/>
      <c r="V114" s="148"/>
      <c r="W114" s="148"/>
      <c r="X114" s="148"/>
      <c r="Y114" s="148"/>
      <c r="Z114" s="148"/>
      <c r="AA114" s="148"/>
      <c r="AB114" s="148"/>
      <c r="AC114" s="148"/>
      <c r="AD114" s="148"/>
      <c r="AE114" s="148"/>
      <c r="AF114" s="148"/>
      <c r="AG114" s="148"/>
    </row>
    <row r="115" spans="1:33" ht="13.8">
      <c r="A115" s="153">
        <v>273</v>
      </c>
      <c r="B115" s="153" t="s">
        <v>9263</v>
      </c>
      <c r="C115" s="153" t="s">
        <v>9264</v>
      </c>
      <c r="D115" s="153">
        <v>8</v>
      </c>
      <c r="E115" s="153" t="s">
        <v>8878</v>
      </c>
      <c r="F115" s="153" t="s">
        <v>8890</v>
      </c>
      <c r="G115" s="153" t="s">
        <v>9265</v>
      </c>
      <c r="H115" s="156">
        <v>45951</v>
      </c>
      <c r="I115" s="149">
        <v>2025</v>
      </c>
      <c r="J115" s="149" t="s">
        <v>9266</v>
      </c>
      <c r="K115" s="149" t="s">
        <v>8887</v>
      </c>
      <c r="L115" s="155"/>
      <c r="M115" s="149" t="s">
        <v>6432</v>
      </c>
      <c r="N115" s="157">
        <v>45986</v>
      </c>
      <c r="O115" s="148"/>
      <c r="P115" s="148"/>
      <c r="Q115" s="148"/>
      <c r="R115" s="148"/>
      <c r="S115" s="148"/>
      <c r="T115" s="148"/>
      <c r="U115" s="148"/>
      <c r="V115" s="148"/>
      <c r="W115" s="148"/>
      <c r="X115" s="148"/>
      <c r="Y115" s="148"/>
      <c r="Z115" s="148"/>
      <c r="AA115" s="148"/>
      <c r="AB115" s="148"/>
      <c r="AC115" s="148"/>
      <c r="AD115" s="148"/>
      <c r="AE115" s="148"/>
      <c r="AF115" s="148"/>
      <c r="AG115" s="148"/>
    </row>
    <row r="116" spans="1:33" ht="13.8">
      <c r="A116" s="153">
        <v>274</v>
      </c>
      <c r="B116" s="153" t="s">
        <v>9267</v>
      </c>
      <c r="C116" s="153" t="s">
        <v>9268</v>
      </c>
      <c r="D116" s="153">
        <v>5</v>
      </c>
      <c r="E116" s="153" t="s">
        <v>8878</v>
      </c>
      <c r="F116" s="153" t="s">
        <v>8890</v>
      </c>
      <c r="G116" s="153" t="s">
        <v>9269</v>
      </c>
      <c r="H116" s="154">
        <v>45884</v>
      </c>
      <c r="I116" s="149">
        <v>2025</v>
      </c>
      <c r="J116" s="149" t="s">
        <v>8934</v>
      </c>
      <c r="K116" s="149" t="s">
        <v>8887</v>
      </c>
      <c r="L116" s="155"/>
      <c r="M116" s="149" t="s">
        <v>6432</v>
      </c>
      <c r="N116" s="157">
        <v>45986</v>
      </c>
      <c r="O116" s="148"/>
      <c r="P116" s="148"/>
      <c r="Q116" s="148"/>
      <c r="R116" s="148"/>
      <c r="S116" s="148"/>
      <c r="T116" s="148"/>
      <c r="U116" s="148"/>
      <c r="V116" s="148"/>
      <c r="W116" s="148"/>
      <c r="X116" s="148"/>
      <c r="Y116" s="148"/>
      <c r="Z116" s="148"/>
      <c r="AA116" s="148"/>
      <c r="AB116" s="148"/>
      <c r="AC116" s="148"/>
      <c r="AD116" s="148"/>
      <c r="AE116" s="148"/>
      <c r="AF116" s="148"/>
      <c r="AG116" s="148"/>
    </row>
    <row r="117" spans="1:33" ht="13.8">
      <c r="A117" s="153">
        <v>275</v>
      </c>
      <c r="B117" s="153" t="s">
        <v>9270</v>
      </c>
      <c r="C117" s="153" t="s">
        <v>9271</v>
      </c>
      <c r="D117" s="153">
        <v>7</v>
      </c>
      <c r="E117" s="153" t="s">
        <v>8878</v>
      </c>
      <c r="F117" s="153" t="s">
        <v>8890</v>
      </c>
      <c r="G117" s="153" t="s">
        <v>9272</v>
      </c>
      <c r="H117" s="154">
        <v>45917</v>
      </c>
      <c r="I117" s="149">
        <v>2025</v>
      </c>
      <c r="J117" s="149" t="s">
        <v>9273</v>
      </c>
      <c r="K117" s="149" t="s">
        <v>8887</v>
      </c>
      <c r="L117" s="155"/>
      <c r="M117" s="149" t="s">
        <v>6432</v>
      </c>
      <c r="N117" s="157">
        <v>45986</v>
      </c>
      <c r="O117" s="148"/>
      <c r="P117" s="148"/>
      <c r="Q117" s="148"/>
      <c r="R117" s="148"/>
      <c r="S117" s="148"/>
      <c r="T117" s="148"/>
      <c r="U117" s="148"/>
      <c r="V117" s="148"/>
      <c r="W117" s="148"/>
      <c r="X117" s="148"/>
      <c r="Y117" s="148"/>
      <c r="Z117" s="148"/>
      <c r="AA117" s="148"/>
      <c r="AB117" s="148"/>
      <c r="AC117" s="148"/>
      <c r="AD117" s="148"/>
      <c r="AE117" s="148"/>
      <c r="AF117" s="148"/>
      <c r="AG117" s="148"/>
    </row>
    <row r="118" spans="1:33" ht="13.8">
      <c r="A118" s="153">
        <v>276</v>
      </c>
      <c r="B118" s="153" t="s">
        <v>9274</v>
      </c>
      <c r="C118" s="153" t="s">
        <v>9275</v>
      </c>
      <c r="D118" s="153">
        <v>6</v>
      </c>
      <c r="E118" s="153" t="s">
        <v>8878</v>
      </c>
      <c r="F118" s="153" t="s">
        <v>8890</v>
      </c>
      <c r="G118" s="153" t="s">
        <v>9276</v>
      </c>
      <c r="H118" s="154">
        <v>45927</v>
      </c>
      <c r="I118" s="149">
        <v>2025</v>
      </c>
      <c r="J118" s="155"/>
      <c r="K118" s="149" t="s">
        <v>8887</v>
      </c>
      <c r="L118" s="155"/>
      <c r="M118" s="149" t="s">
        <v>4780</v>
      </c>
      <c r="N118" s="151">
        <v>45992</v>
      </c>
      <c r="O118" s="148"/>
      <c r="P118" s="148"/>
      <c r="Q118" s="148"/>
      <c r="R118" s="148"/>
      <c r="S118" s="148"/>
      <c r="T118" s="148"/>
      <c r="U118" s="148"/>
      <c r="V118" s="148"/>
      <c r="W118" s="148"/>
      <c r="X118" s="148"/>
      <c r="Y118" s="148"/>
      <c r="Z118" s="148"/>
      <c r="AA118" s="148"/>
      <c r="AB118" s="148"/>
      <c r="AC118" s="148"/>
      <c r="AD118" s="148"/>
      <c r="AE118" s="148"/>
      <c r="AF118" s="148"/>
      <c r="AG118" s="148"/>
    </row>
    <row r="119" spans="1:33" ht="13.8">
      <c r="A119" s="153">
        <v>277</v>
      </c>
      <c r="B119" s="153" t="s">
        <v>9277</v>
      </c>
      <c r="C119" s="153" t="s">
        <v>9278</v>
      </c>
      <c r="D119" s="153">
        <v>3</v>
      </c>
      <c r="E119" s="153" t="s">
        <v>8878</v>
      </c>
      <c r="F119" s="153" t="s">
        <v>8890</v>
      </c>
      <c r="G119" s="153" t="s">
        <v>9279</v>
      </c>
      <c r="H119" s="154">
        <v>45849</v>
      </c>
      <c r="I119" s="149">
        <v>2025</v>
      </c>
      <c r="J119" s="155"/>
      <c r="K119" s="149" t="s">
        <v>8887</v>
      </c>
      <c r="L119" s="155"/>
      <c r="M119" s="149" t="s">
        <v>5675</v>
      </c>
      <c r="N119" s="151">
        <v>45992</v>
      </c>
      <c r="O119" s="148"/>
      <c r="P119" s="148"/>
      <c r="Q119" s="148"/>
      <c r="R119" s="148"/>
      <c r="S119" s="148"/>
      <c r="T119" s="148"/>
      <c r="U119" s="148"/>
      <c r="V119" s="148"/>
      <c r="W119" s="148"/>
      <c r="X119" s="148"/>
      <c r="Y119" s="148"/>
      <c r="Z119" s="148"/>
      <c r="AA119" s="148"/>
      <c r="AB119" s="148"/>
      <c r="AC119" s="148"/>
      <c r="AD119" s="148"/>
      <c r="AE119" s="148"/>
      <c r="AF119" s="148"/>
      <c r="AG119" s="148"/>
    </row>
    <row r="120" spans="1:33" ht="13.8">
      <c r="A120" s="153">
        <v>278</v>
      </c>
      <c r="B120" s="153" t="s">
        <v>9280</v>
      </c>
      <c r="C120" s="153" t="s">
        <v>9281</v>
      </c>
      <c r="D120" s="153">
        <v>4</v>
      </c>
      <c r="E120" s="153" t="s">
        <v>8878</v>
      </c>
      <c r="F120" s="153" t="s">
        <v>8956</v>
      </c>
      <c r="G120" s="153" t="s">
        <v>9282</v>
      </c>
      <c r="H120" s="154">
        <v>45845</v>
      </c>
      <c r="I120" s="149">
        <v>2025</v>
      </c>
      <c r="J120" s="155"/>
      <c r="K120" s="149" t="s">
        <v>8887</v>
      </c>
      <c r="L120" s="155"/>
      <c r="M120" s="149" t="s">
        <v>649</v>
      </c>
      <c r="N120" s="151">
        <v>45968</v>
      </c>
      <c r="O120" s="148"/>
      <c r="P120" s="148"/>
      <c r="Q120" s="148"/>
      <c r="R120" s="148"/>
      <c r="S120" s="148"/>
      <c r="T120" s="148"/>
      <c r="U120" s="148"/>
      <c r="V120" s="148"/>
      <c r="W120" s="148"/>
      <c r="X120" s="148"/>
      <c r="Y120" s="148"/>
      <c r="Z120" s="148"/>
      <c r="AA120" s="148"/>
      <c r="AB120" s="148"/>
      <c r="AC120" s="148"/>
      <c r="AD120" s="148"/>
      <c r="AE120" s="148"/>
      <c r="AF120" s="148"/>
      <c r="AG120" s="148"/>
    </row>
    <row r="121" spans="1:33" ht="13.8">
      <c r="A121" s="153">
        <v>279</v>
      </c>
      <c r="B121" s="153" t="s">
        <v>9283</v>
      </c>
      <c r="C121" s="153" t="s">
        <v>9284</v>
      </c>
      <c r="D121" s="153">
        <v>3</v>
      </c>
      <c r="E121" s="153" t="s">
        <v>8878</v>
      </c>
      <c r="F121" s="153" t="s">
        <v>8956</v>
      </c>
      <c r="G121" s="153" t="s">
        <v>9285</v>
      </c>
      <c r="H121" s="154">
        <v>45883</v>
      </c>
      <c r="I121" s="149">
        <v>2025</v>
      </c>
      <c r="J121" s="155"/>
      <c r="K121" s="149" t="s">
        <v>8887</v>
      </c>
      <c r="L121" s="155"/>
      <c r="M121" s="149" t="s">
        <v>4790</v>
      </c>
      <c r="N121" s="151">
        <v>45968</v>
      </c>
      <c r="O121" s="148"/>
      <c r="P121" s="148"/>
      <c r="Q121" s="148"/>
      <c r="R121" s="148"/>
      <c r="S121" s="148"/>
      <c r="T121" s="148"/>
      <c r="U121" s="148"/>
      <c r="V121" s="148"/>
      <c r="W121" s="148"/>
      <c r="X121" s="148"/>
      <c r="Y121" s="148"/>
      <c r="Z121" s="148"/>
      <c r="AA121" s="148"/>
      <c r="AB121" s="148"/>
      <c r="AC121" s="148"/>
      <c r="AD121" s="148"/>
      <c r="AE121" s="148"/>
      <c r="AF121" s="148"/>
      <c r="AG121" s="148"/>
    </row>
    <row r="122" spans="1:33" ht="13.8">
      <c r="A122" s="153">
        <v>280</v>
      </c>
      <c r="B122" s="153" t="s">
        <v>9286</v>
      </c>
      <c r="C122" s="153" t="s">
        <v>9287</v>
      </c>
      <c r="D122" s="153">
        <v>1</v>
      </c>
      <c r="E122" s="153" t="s">
        <v>8878</v>
      </c>
      <c r="F122" s="153" t="s">
        <v>8956</v>
      </c>
      <c r="G122" s="153" t="s">
        <v>9288</v>
      </c>
      <c r="H122" s="154">
        <v>45853</v>
      </c>
      <c r="I122" s="149">
        <v>2025</v>
      </c>
      <c r="J122" s="155"/>
      <c r="K122" s="149" t="s">
        <v>8887</v>
      </c>
      <c r="L122" s="155"/>
      <c r="M122" s="149" t="s">
        <v>5658</v>
      </c>
      <c r="N122" s="151">
        <v>45968</v>
      </c>
      <c r="O122" s="148"/>
      <c r="P122" s="148"/>
      <c r="Q122" s="148"/>
      <c r="R122" s="148"/>
      <c r="S122" s="148"/>
      <c r="T122" s="148"/>
      <c r="U122" s="148"/>
      <c r="V122" s="148"/>
      <c r="W122" s="148"/>
      <c r="X122" s="148"/>
      <c r="Y122" s="148"/>
      <c r="Z122" s="148"/>
      <c r="AA122" s="148"/>
      <c r="AB122" s="148"/>
      <c r="AC122" s="148"/>
      <c r="AD122" s="148"/>
      <c r="AE122" s="148"/>
      <c r="AF122" s="148"/>
      <c r="AG122" s="148"/>
    </row>
    <row r="123" spans="1:33" ht="13.8">
      <c r="A123" s="153">
        <v>281</v>
      </c>
      <c r="B123" s="153" t="s">
        <v>9289</v>
      </c>
      <c r="C123" s="153" t="s">
        <v>9290</v>
      </c>
      <c r="D123" s="153">
        <v>8</v>
      </c>
      <c r="E123" s="153" t="s">
        <v>8878</v>
      </c>
      <c r="F123" s="153" t="s">
        <v>8956</v>
      </c>
      <c r="G123" s="153" t="s">
        <v>9291</v>
      </c>
      <c r="H123" s="154">
        <v>45867</v>
      </c>
      <c r="I123" s="149">
        <v>2025</v>
      </c>
      <c r="J123" s="155"/>
      <c r="K123" s="149" t="s">
        <v>8887</v>
      </c>
      <c r="L123" s="155"/>
      <c r="M123" s="149" t="s">
        <v>5896</v>
      </c>
      <c r="N123" s="157">
        <v>45972</v>
      </c>
      <c r="O123" s="148"/>
      <c r="P123" s="148"/>
      <c r="Q123" s="148"/>
      <c r="R123" s="148"/>
      <c r="S123" s="148"/>
      <c r="T123" s="148"/>
      <c r="U123" s="148"/>
      <c r="V123" s="148"/>
      <c r="W123" s="148"/>
      <c r="X123" s="148"/>
      <c r="Y123" s="148"/>
      <c r="Z123" s="148"/>
      <c r="AA123" s="148"/>
      <c r="AB123" s="148"/>
      <c r="AC123" s="148"/>
      <c r="AD123" s="148"/>
      <c r="AE123" s="148"/>
      <c r="AF123" s="148"/>
      <c r="AG123" s="148"/>
    </row>
    <row r="124" spans="1:33" ht="13.8">
      <c r="A124" s="153">
        <v>282</v>
      </c>
      <c r="B124" s="153" t="s">
        <v>9292</v>
      </c>
      <c r="C124" s="153" t="s">
        <v>9293</v>
      </c>
      <c r="D124" s="153">
        <v>5</v>
      </c>
      <c r="E124" s="153" t="s">
        <v>8878</v>
      </c>
      <c r="F124" s="153" t="s">
        <v>8956</v>
      </c>
      <c r="G124" s="153" t="s">
        <v>9294</v>
      </c>
      <c r="H124" s="154">
        <v>45916</v>
      </c>
      <c r="I124" s="149">
        <v>2025</v>
      </c>
      <c r="J124" s="155"/>
      <c r="K124" s="149" t="s">
        <v>8887</v>
      </c>
      <c r="L124" s="155"/>
      <c r="M124" s="149" t="s">
        <v>6025</v>
      </c>
      <c r="N124" s="157">
        <v>45972</v>
      </c>
      <c r="O124" s="148"/>
      <c r="P124" s="148"/>
      <c r="Q124" s="148"/>
      <c r="R124" s="148"/>
      <c r="S124" s="148"/>
      <c r="T124" s="148"/>
      <c r="U124" s="148"/>
      <c r="V124" s="148"/>
      <c r="W124" s="148"/>
      <c r="X124" s="148"/>
      <c r="Y124" s="148"/>
      <c r="Z124" s="148"/>
      <c r="AA124" s="148"/>
      <c r="AB124" s="148"/>
      <c r="AC124" s="148"/>
      <c r="AD124" s="148"/>
      <c r="AE124" s="148"/>
      <c r="AF124" s="148"/>
      <c r="AG124" s="148"/>
    </row>
    <row r="125" spans="1:33" ht="13.8">
      <c r="A125" s="153">
        <v>283</v>
      </c>
      <c r="B125" s="153" t="s">
        <v>9295</v>
      </c>
      <c r="C125" s="153" t="s">
        <v>9296</v>
      </c>
      <c r="D125" s="153">
        <v>6</v>
      </c>
      <c r="E125" s="153" t="s">
        <v>8878</v>
      </c>
      <c r="F125" s="153" t="s">
        <v>8956</v>
      </c>
      <c r="G125" s="153" t="s">
        <v>9297</v>
      </c>
      <c r="H125" s="154">
        <v>45893</v>
      </c>
      <c r="I125" s="149">
        <v>2025</v>
      </c>
      <c r="J125" s="155"/>
      <c r="K125" s="149" t="s">
        <v>8887</v>
      </c>
      <c r="L125" s="155"/>
      <c r="M125" s="149" t="s">
        <v>6159</v>
      </c>
      <c r="N125" s="157">
        <v>45972</v>
      </c>
      <c r="O125" s="148"/>
      <c r="P125" s="148"/>
      <c r="Q125" s="148"/>
      <c r="R125" s="148"/>
      <c r="S125" s="148"/>
      <c r="T125" s="148"/>
      <c r="U125" s="148"/>
      <c r="V125" s="148"/>
      <c r="W125" s="148"/>
      <c r="X125" s="148"/>
      <c r="Y125" s="148"/>
      <c r="Z125" s="148"/>
      <c r="AA125" s="148"/>
      <c r="AB125" s="148"/>
      <c r="AC125" s="148"/>
      <c r="AD125" s="148"/>
      <c r="AE125" s="148"/>
      <c r="AF125" s="148"/>
      <c r="AG125" s="148"/>
    </row>
    <row r="126" spans="1:33" ht="13.8">
      <c r="A126" s="153">
        <v>284</v>
      </c>
      <c r="B126" s="153" t="s">
        <v>9298</v>
      </c>
      <c r="C126" s="153" t="s">
        <v>9299</v>
      </c>
      <c r="D126" s="153">
        <v>3</v>
      </c>
      <c r="E126" s="153" t="s">
        <v>8878</v>
      </c>
      <c r="F126" s="153" t="s">
        <v>8956</v>
      </c>
      <c r="G126" s="153" t="s">
        <v>9300</v>
      </c>
      <c r="H126" s="154">
        <v>45880</v>
      </c>
      <c r="I126" s="149">
        <v>2025</v>
      </c>
      <c r="J126" s="149" t="s">
        <v>9301</v>
      </c>
      <c r="K126" s="149" t="s">
        <v>8887</v>
      </c>
      <c r="L126" s="155"/>
      <c r="M126" s="149" t="s">
        <v>6308</v>
      </c>
      <c r="N126" s="157">
        <v>45979</v>
      </c>
      <c r="O126" s="148"/>
      <c r="P126" s="148"/>
      <c r="Q126" s="148"/>
      <c r="R126" s="148"/>
      <c r="S126" s="148"/>
      <c r="T126" s="148"/>
      <c r="U126" s="148"/>
      <c r="V126" s="148"/>
      <c r="W126" s="148"/>
      <c r="X126" s="148"/>
      <c r="Y126" s="148"/>
      <c r="Z126" s="148"/>
      <c r="AA126" s="148"/>
      <c r="AB126" s="148"/>
      <c r="AC126" s="148"/>
      <c r="AD126" s="148"/>
      <c r="AE126" s="148"/>
      <c r="AF126" s="148"/>
      <c r="AG126" s="148"/>
    </row>
    <row r="127" spans="1:33" ht="13.8">
      <c r="A127" s="153">
        <v>285</v>
      </c>
      <c r="B127" s="153" t="s">
        <v>9302</v>
      </c>
      <c r="C127" s="153" t="s">
        <v>9303</v>
      </c>
      <c r="D127" s="153">
        <v>12</v>
      </c>
      <c r="E127" s="153" t="s">
        <v>8878</v>
      </c>
      <c r="F127" s="153" t="s">
        <v>8956</v>
      </c>
      <c r="G127" s="153" t="s">
        <v>9304</v>
      </c>
      <c r="H127" s="154">
        <v>45782</v>
      </c>
      <c r="I127" s="149">
        <v>2025</v>
      </c>
      <c r="J127" s="155"/>
      <c r="K127" s="149" t="s">
        <v>8887</v>
      </c>
      <c r="L127" s="155"/>
      <c r="M127" s="149" t="s">
        <v>5977</v>
      </c>
      <c r="N127" s="157">
        <v>45982</v>
      </c>
      <c r="O127" s="148"/>
      <c r="P127" s="148"/>
      <c r="Q127" s="148"/>
      <c r="R127" s="148"/>
      <c r="S127" s="148"/>
      <c r="T127" s="148"/>
      <c r="U127" s="148"/>
      <c r="V127" s="148"/>
      <c r="W127" s="148"/>
      <c r="X127" s="148"/>
      <c r="Y127" s="148"/>
      <c r="Z127" s="148"/>
      <c r="AA127" s="148"/>
      <c r="AB127" s="148"/>
      <c r="AC127" s="148"/>
      <c r="AD127" s="148"/>
      <c r="AE127" s="148"/>
      <c r="AF127" s="148"/>
      <c r="AG127" s="148"/>
    </row>
    <row r="128" spans="1:33" ht="13.8">
      <c r="A128" s="153">
        <v>286</v>
      </c>
      <c r="B128" s="153" t="s">
        <v>9305</v>
      </c>
      <c r="C128" s="153" t="s">
        <v>9306</v>
      </c>
      <c r="D128" s="153">
        <v>7</v>
      </c>
      <c r="E128" s="153" t="s">
        <v>8878</v>
      </c>
      <c r="F128" s="153" t="s">
        <v>8956</v>
      </c>
      <c r="G128" s="153" t="s">
        <v>9307</v>
      </c>
      <c r="H128" s="154">
        <v>45873</v>
      </c>
      <c r="I128" s="149">
        <v>2025</v>
      </c>
      <c r="J128" s="155"/>
      <c r="K128" s="149" t="s">
        <v>8887</v>
      </c>
      <c r="L128" s="155"/>
      <c r="M128" s="149" t="s">
        <v>4838</v>
      </c>
      <c r="N128" s="157">
        <v>45985</v>
      </c>
      <c r="O128" s="148"/>
      <c r="P128" s="148"/>
      <c r="Q128" s="148"/>
      <c r="R128" s="148"/>
      <c r="S128" s="148"/>
      <c r="T128" s="148"/>
      <c r="U128" s="148"/>
      <c r="V128" s="148"/>
      <c r="W128" s="148"/>
      <c r="X128" s="148"/>
      <c r="Y128" s="148"/>
      <c r="Z128" s="148"/>
      <c r="AA128" s="148"/>
      <c r="AB128" s="148"/>
      <c r="AC128" s="148"/>
      <c r="AD128" s="148"/>
      <c r="AE128" s="148"/>
      <c r="AF128" s="148"/>
      <c r="AG128" s="148"/>
    </row>
    <row r="129" spans="1:33" ht="13.8">
      <c r="A129" s="153">
        <v>287</v>
      </c>
      <c r="B129" s="153" t="s">
        <v>9308</v>
      </c>
      <c r="C129" s="153" t="s">
        <v>9309</v>
      </c>
      <c r="D129" s="153">
        <v>3</v>
      </c>
      <c r="E129" s="153" t="s">
        <v>8878</v>
      </c>
      <c r="F129" s="153" t="s">
        <v>8956</v>
      </c>
      <c r="G129" s="153" t="s">
        <v>9310</v>
      </c>
      <c r="H129" s="154">
        <v>45878</v>
      </c>
      <c r="I129" s="149">
        <v>2025</v>
      </c>
      <c r="J129" s="149" t="s">
        <v>9311</v>
      </c>
      <c r="K129" s="149" t="s">
        <v>8887</v>
      </c>
      <c r="L129" s="155"/>
      <c r="M129" s="149" t="s">
        <v>5599</v>
      </c>
      <c r="N129" s="157">
        <v>45986</v>
      </c>
      <c r="O129" s="148"/>
      <c r="P129" s="148"/>
      <c r="Q129" s="148"/>
      <c r="R129" s="148"/>
      <c r="S129" s="148"/>
      <c r="T129" s="148"/>
      <c r="U129" s="148"/>
      <c r="V129" s="148"/>
      <c r="W129" s="148"/>
      <c r="X129" s="148"/>
      <c r="Y129" s="148"/>
      <c r="Z129" s="148"/>
      <c r="AA129" s="148"/>
      <c r="AB129" s="148"/>
      <c r="AC129" s="148"/>
      <c r="AD129" s="148"/>
      <c r="AE129" s="148"/>
      <c r="AF129" s="148"/>
      <c r="AG129" s="148"/>
    </row>
    <row r="130" spans="1:33" ht="13.8">
      <c r="A130" s="153">
        <v>288</v>
      </c>
      <c r="B130" s="153" t="s">
        <v>9312</v>
      </c>
      <c r="C130" s="153" t="s">
        <v>9313</v>
      </c>
      <c r="D130" s="153">
        <v>12</v>
      </c>
      <c r="E130" s="153" t="s">
        <v>8878</v>
      </c>
      <c r="F130" s="153" t="s">
        <v>8956</v>
      </c>
      <c r="G130" s="153" t="s">
        <v>9314</v>
      </c>
      <c r="H130" s="154">
        <v>45889</v>
      </c>
      <c r="I130" s="149">
        <v>2025</v>
      </c>
      <c r="J130" s="155"/>
      <c r="K130" s="149" t="s">
        <v>8887</v>
      </c>
      <c r="L130" s="155"/>
      <c r="M130" s="149" t="s">
        <v>6086</v>
      </c>
      <c r="N130" s="157">
        <v>45986</v>
      </c>
      <c r="O130" s="148"/>
      <c r="P130" s="148"/>
      <c r="Q130" s="148"/>
      <c r="R130" s="148"/>
      <c r="S130" s="148"/>
      <c r="T130" s="148"/>
      <c r="U130" s="148"/>
      <c r="V130" s="148"/>
      <c r="W130" s="148"/>
      <c r="X130" s="148"/>
      <c r="Y130" s="148"/>
      <c r="Z130" s="148"/>
      <c r="AA130" s="148"/>
      <c r="AB130" s="148"/>
      <c r="AC130" s="148"/>
      <c r="AD130" s="148"/>
      <c r="AE130" s="148"/>
      <c r="AF130" s="148"/>
      <c r="AG130" s="148"/>
    </row>
    <row r="131" spans="1:33" ht="13.8">
      <c r="A131" s="153">
        <v>289</v>
      </c>
      <c r="B131" s="153" t="s">
        <v>9315</v>
      </c>
      <c r="C131" s="153" t="s">
        <v>9316</v>
      </c>
      <c r="D131" s="153">
        <v>3</v>
      </c>
      <c r="E131" s="153" t="s">
        <v>8878</v>
      </c>
      <c r="F131" s="153" t="s">
        <v>8956</v>
      </c>
      <c r="G131" s="153" t="s">
        <v>9317</v>
      </c>
      <c r="H131" s="154">
        <v>45811</v>
      </c>
      <c r="I131" s="149">
        <v>2025</v>
      </c>
      <c r="J131" s="149" t="s">
        <v>8985</v>
      </c>
      <c r="K131" s="149" t="s">
        <v>8887</v>
      </c>
      <c r="L131" s="155"/>
      <c r="M131" s="149" t="s">
        <v>5623</v>
      </c>
      <c r="N131" s="157">
        <v>45988</v>
      </c>
      <c r="O131" s="148"/>
      <c r="P131" s="148"/>
      <c r="Q131" s="148"/>
      <c r="R131" s="148"/>
      <c r="S131" s="148"/>
      <c r="T131" s="148"/>
      <c r="U131" s="148"/>
      <c r="V131" s="148"/>
      <c r="W131" s="148"/>
      <c r="X131" s="148"/>
      <c r="Y131" s="148"/>
      <c r="Z131" s="148"/>
      <c r="AA131" s="148"/>
      <c r="AB131" s="148"/>
      <c r="AC131" s="148"/>
      <c r="AD131" s="148"/>
      <c r="AE131" s="148"/>
      <c r="AF131" s="148"/>
      <c r="AG131" s="148"/>
    </row>
    <row r="132" spans="1:33" ht="13.8">
      <c r="A132" s="153">
        <v>290</v>
      </c>
      <c r="B132" s="153" t="s">
        <v>9318</v>
      </c>
      <c r="C132" s="153" t="s">
        <v>9319</v>
      </c>
      <c r="D132" s="153">
        <v>3</v>
      </c>
      <c r="E132" s="153" t="s">
        <v>8878</v>
      </c>
      <c r="F132" s="153" t="s">
        <v>8956</v>
      </c>
      <c r="G132" s="153" t="s">
        <v>9320</v>
      </c>
      <c r="H132" s="154">
        <v>45819</v>
      </c>
      <c r="I132" s="149">
        <v>2025</v>
      </c>
      <c r="J132" s="149" t="s">
        <v>8985</v>
      </c>
      <c r="K132" s="149" t="s">
        <v>8887</v>
      </c>
      <c r="L132" s="155"/>
      <c r="M132" s="149" t="s">
        <v>5623</v>
      </c>
      <c r="N132" s="157">
        <v>45988</v>
      </c>
      <c r="O132" s="148"/>
      <c r="P132" s="148"/>
      <c r="Q132" s="148"/>
      <c r="R132" s="148"/>
      <c r="S132" s="148"/>
      <c r="T132" s="148"/>
      <c r="U132" s="148"/>
      <c r="V132" s="148"/>
      <c r="W132" s="148"/>
      <c r="X132" s="148"/>
      <c r="Y132" s="148"/>
      <c r="Z132" s="148"/>
      <c r="AA132" s="148"/>
      <c r="AB132" s="148"/>
      <c r="AC132" s="148"/>
      <c r="AD132" s="148"/>
      <c r="AE132" s="148"/>
      <c r="AF132" s="148"/>
      <c r="AG132" s="148"/>
    </row>
    <row r="133" spans="1:33" ht="13.8">
      <c r="A133" s="153">
        <v>291</v>
      </c>
      <c r="B133" s="153" t="s">
        <v>9321</v>
      </c>
      <c r="C133" s="153" t="s">
        <v>9322</v>
      </c>
      <c r="D133" s="153">
        <v>4</v>
      </c>
      <c r="E133" s="153" t="s">
        <v>8878</v>
      </c>
      <c r="F133" s="153" t="s">
        <v>8956</v>
      </c>
      <c r="G133" s="153" t="s">
        <v>9323</v>
      </c>
      <c r="H133" s="154">
        <v>45778</v>
      </c>
      <c r="I133" s="149">
        <v>2025</v>
      </c>
      <c r="J133" s="149" t="s">
        <v>9324</v>
      </c>
      <c r="K133" s="149" t="s">
        <v>8887</v>
      </c>
      <c r="L133" s="155"/>
      <c r="M133" s="149" t="s">
        <v>5623</v>
      </c>
      <c r="N133" s="157">
        <v>45989</v>
      </c>
      <c r="O133" s="148"/>
      <c r="P133" s="148"/>
      <c r="Q133" s="148"/>
      <c r="R133" s="148"/>
      <c r="S133" s="148"/>
      <c r="T133" s="148"/>
      <c r="U133" s="148"/>
      <c r="V133" s="148"/>
      <c r="W133" s="148"/>
      <c r="X133" s="148"/>
      <c r="Y133" s="148"/>
      <c r="Z133" s="148"/>
      <c r="AA133" s="148"/>
      <c r="AB133" s="148"/>
      <c r="AC133" s="148"/>
      <c r="AD133" s="148"/>
      <c r="AE133" s="148"/>
      <c r="AF133" s="148"/>
      <c r="AG133" s="148"/>
    </row>
    <row r="134" spans="1:33" ht="13.8">
      <c r="A134" s="153">
        <v>292</v>
      </c>
      <c r="B134" s="153" t="s">
        <v>9325</v>
      </c>
      <c r="C134" s="153" t="s">
        <v>9326</v>
      </c>
      <c r="D134" s="153">
        <v>6</v>
      </c>
      <c r="E134" s="153" t="s">
        <v>8878</v>
      </c>
      <c r="F134" s="153" t="s">
        <v>9011</v>
      </c>
      <c r="G134" s="153" t="s">
        <v>9327</v>
      </c>
      <c r="H134" s="156">
        <v>45951</v>
      </c>
      <c r="I134" s="149">
        <v>2025</v>
      </c>
      <c r="J134" s="149" t="s">
        <v>8934</v>
      </c>
      <c r="K134" s="149" t="s">
        <v>8887</v>
      </c>
      <c r="L134" s="155"/>
      <c r="M134" s="149" t="s">
        <v>5858</v>
      </c>
      <c r="N134" s="157">
        <v>45982</v>
      </c>
      <c r="O134" s="148"/>
      <c r="P134" s="148"/>
      <c r="Q134" s="148"/>
      <c r="R134" s="148"/>
      <c r="S134" s="148"/>
      <c r="T134" s="148"/>
      <c r="U134" s="148"/>
      <c r="V134" s="148"/>
      <c r="W134" s="148"/>
      <c r="X134" s="148"/>
      <c r="Y134" s="148"/>
      <c r="Z134" s="148"/>
      <c r="AA134" s="148"/>
      <c r="AB134" s="148"/>
      <c r="AC134" s="148"/>
      <c r="AD134" s="148"/>
      <c r="AE134" s="148"/>
      <c r="AF134" s="148"/>
      <c r="AG134" s="148"/>
    </row>
    <row r="135" spans="1:33" ht="13.8">
      <c r="A135" s="153">
        <v>293</v>
      </c>
      <c r="B135" s="153" t="s">
        <v>9328</v>
      </c>
      <c r="C135" s="153" t="s">
        <v>9329</v>
      </c>
      <c r="D135" s="153">
        <v>10</v>
      </c>
      <c r="E135" s="153" t="s">
        <v>8878</v>
      </c>
      <c r="F135" s="153" t="s">
        <v>9011</v>
      </c>
      <c r="G135" s="153" t="s">
        <v>9330</v>
      </c>
      <c r="H135" s="154">
        <v>45875</v>
      </c>
      <c r="I135" s="149">
        <v>2025</v>
      </c>
      <c r="J135" s="155"/>
      <c r="K135" s="149" t="s">
        <v>8887</v>
      </c>
      <c r="L135" s="155"/>
      <c r="M135" s="149" t="s">
        <v>6086</v>
      </c>
      <c r="N135" s="157">
        <v>45986</v>
      </c>
      <c r="O135" s="148"/>
      <c r="P135" s="148"/>
      <c r="Q135" s="148"/>
      <c r="R135" s="148"/>
      <c r="S135" s="148"/>
      <c r="T135" s="148"/>
      <c r="U135" s="148"/>
      <c r="V135" s="148"/>
      <c r="W135" s="148"/>
      <c r="X135" s="148"/>
      <c r="Y135" s="148"/>
      <c r="Z135" s="148"/>
      <c r="AA135" s="148"/>
      <c r="AB135" s="148"/>
      <c r="AC135" s="148"/>
      <c r="AD135" s="148"/>
      <c r="AE135" s="148"/>
      <c r="AF135" s="148"/>
      <c r="AG135" s="148"/>
    </row>
    <row r="136" spans="1:33" ht="13.8">
      <c r="A136" s="153">
        <v>294</v>
      </c>
      <c r="B136" s="153" t="s">
        <v>9331</v>
      </c>
      <c r="C136" s="153" t="s">
        <v>9332</v>
      </c>
      <c r="D136" s="153">
        <v>6</v>
      </c>
      <c r="E136" s="153" t="s">
        <v>9023</v>
      </c>
      <c r="F136" s="153" t="s">
        <v>8885</v>
      </c>
      <c r="G136" s="153" t="s">
        <v>9333</v>
      </c>
      <c r="H136" s="154">
        <v>45870</v>
      </c>
      <c r="I136" s="149">
        <v>2025</v>
      </c>
      <c r="J136" s="149" t="s">
        <v>9334</v>
      </c>
      <c r="K136" s="149" t="s">
        <v>8887</v>
      </c>
      <c r="L136" s="155"/>
      <c r="M136" s="149" t="s">
        <v>6405</v>
      </c>
      <c r="N136" s="151">
        <v>45964</v>
      </c>
      <c r="O136" s="148"/>
      <c r="P136" s="148"/>
      <c r="Q136" s="148"/>
      <c r="R136" s="148"/>
      <c r="S136" s="148"/>
      <c r="T136" s="148"/>
      <c r="U136" s="148"/>
      <c r="V136" s="148"/>
      <c r="W136" s="148"/>
      <c r="X136" s="148"/>
      <c r="Y136" s="148"/>
      <c r="Z136" s="148"/>
      <c r="AA136" s="148"/>
      <c r="AB136" s="148"/>
      <c r="AC136" s="148"/>
      <c r="AD136" s="148"/>
      <c r="AE136" s="148"/>
      <c r="AF136" s="148"/>
      <c r="AG136" s="148"/>
    </row>
    <row r="137" spans="1:33" ht="13.8">
      <c r="A137" s="153">
        <v>295</v>
      </c>
      <c r="B137" s="153" t="s">
        <v>9335</v>
      </c>
      <c r="C137" s="153" t="s">
        <v>9336</v>
      </c>
      <c r="D137" s="153">
        <v>9</v>
      </c>
      <c r="E137" s="153" t="s">
        <v>9023</v>
      </c>
      <c r="F137" s="153" t="s">
        <v>8890</v>
      </c>
      <c r="G137" s="153" t="s">
        <v>9337</v>
      </c>
      <c r="H137" s="156">
        <v>45942</v>
      </c>
      <c r="I137" s="149">
        <v>2025</v>
      </c>
      <c r="J137" s="149" t="s">
        <v>8879</v>
      </c>
      <c r="K137" s="149" t="s">
        <v>8887</v>
      </c>
      <c r="L137" s="155"/>
      <c r="M137" s="149" t="s">
        <v>6405</v>
      </c>
      <c r="N137" s="151">
        <v>45964</v>
      </c>
      <c r="O137" s="148"/>
      <c r="P137" s="148"/>
      <c r="Q137" s="148"/>
      <c r="R137" s="148"/>
      <c r="S137" s="148"/>
      <c r="T137" s="148"/>
      <c r="U137" s="148"/>
      <c r="V137" s="148"/>
      <c r="W137" s="148"/>
      <c r="X137" s="148"/>
      <c r="Y137" s="148"/>
      <c r="Z137" s="148"/>
      <c r="AA137" s="148"/>
      <c r="AB137" s="148"/>
      <c r="AC137" s="148"/>
      <c r="AD137" s="148"/>
      <c r="AE137" s="148"/>
      <c r="AF137" s="148"/>
      <c r="AG137" s="148"/>
    </row>
    <row r="138" spans="1:33" ht="13.8">
      <c r="A138" s="153">
        <v>296</v>
      </c>
      <c r="B138" s="153" t="s">
        <v>9338</v>
      </c>
      <c r="C138" s="153" t="s">
        <v>9339</v>
      </c>
      <c r="D138" s="153">
        <v>3</v>
      </c>
      <c r="E138" s="153" t="s">
        <v>9023</v>
      </c>
      <c r="F138" s="153" t="s">
        <v>8890</v>
      </c>
      <c r="G138" s="153" t="s">
        <v>9340</v>
      </c>
      <c r="H138" s="154">
        <v>45891</v>
      </c>
      <c r="I138" s="149">
        <v>2025</v>
      </c>
      <c r="J138" s="149" t="s">
        <v>8934</v>
      </c>
      <c r="K138" s="149" t="s">
        <v>8887</v>
      </c>
      <c r="L138" s="155"/>
      <c r="M138" s="149" t="s">
        <v>5951</v>
      </c>
      <c r="N138" s="157">
        <v>45972</v>
      </c>
      <c r="O138" s="148"/>
      <c r="P138" s="148"/>
      <c r="Q138" s="148"/>
      <c r="R138" s="148"/>
      <c r="S138" s="148"/>
      <c r="T138" s="148"/>
      <c r="U138" s="148"/>
      <c r="V138" s="148"/>
      <c r="W138" s="148"/>
      <c r="X138" s="148"/>
      <c r="Y138" s="148"/>
      <c r="Z138" s="148"/>
      <c r="AA138" s="148"/>
      <c r="AB138" s="148"/>
      <c r="AC138" s="148"/>
      <c r="AD138" s="148"/>
      <c r="AE138" s="148"/>
      <c r="AF138" s="148"/>
      <c r="AG138" s="148"/>
    </row>
    <row r="139" spans="1:33" ht="13.8">
      <c r="A139" s="153">
        <v>297</v>
      </c>
      <c r="B139" s="153" t="s">
        <v>9341</v>
      </c>
      <c r="C139" s="153" t="s">
        <v>9342</v>
      </c>
      <c r="D139" s="153">
        <v>3</v>
      </c>
      <c r="E139" s="153" t="s">
        <v>9023</v>
      </c>
      <c r="F139" s="153" t="s">
        <v>8890</v>
      </c>
      <c r="G139" s="153" t="s">
        <v>9343</v>
      </c>
      <c r="H139" s="154">
        <v>45873</v>
      </c>
      <c r="I139" s="149">
        <v>2025</v>
      </c>
      <c r="J139" s="155"/>
      <c r="K139" s="149" t="s">
        <v>8887</v>
      </c>
      <c r="L139" s="155"/>
      <c r="M139" s="149" t="s">
        <v>4810</v>
      </c>
      <c r="N139" s="157">
        <v>45985</v>
      </c>
      <c r="O139" s="148"/>
      <c r="P139" s="148"/>
      <c r="Q139" s="148"/>
      <c r="R139" s="148"/>
      <c r="S139" s="148"/>
      <c r="T139" s="148"/>
      <c r="U139" s="148"/>
      <c r="V139" s="148"/>
      <c r="W139" s="148"/>
      <c r="X139" s="148"/>
      <c r="Y139" s="148"/>
      <c r="Z139" s="148"/>
      <c r="AA139" s="148"/>
      <c r="AB139" s="148"/>
      <c r="AC139" s="148"/>
      <c r="AD139" s="148"/>
      <c r="AE139" s="148"/>
      <c r="AF139" s="148"/>
      <c r="AG139" s="148"/>
    </row>
    <row r="140" spans="1:33" ht="13.8">
      <c r="A140" s="153">
        <v>298</v>
      </c>
      <c r="B140" s="153" t="s">
        <v>9344</v>
      </c>
      <c r="C140" s="153" t="s">
        <v>9345</v>
      </c>
      <c r="D140" s="153">
        <v>1</v>
      </c>
      <c r="E140" s="153" t="s">
        <v>9023</v>
      </c>
      <c r="F140" s="153" t="s">
        <v>8890</v>
      </c>
      <c r="G140" s="153" t="s">
        <v>9346</v>
      </c>
      <c r="H140" s="154">
        <v>45901</v>
      </c>
      <c r="I140" s="149">
        <v>2025</v>
      </c>
      <c r="J140" s="155"/>
      <c r="K140" s="149" t="s">
        <v>8887</v>
      </c>
      <c r="L140" s="155"/>
      <c r="M140" s="149" t="s">
        <v>7028</v>
      </c>
      <c r="N140" s="157">
        <v>45985</v>
      </c>
      <c r="O140" s="148"/>
      <c r="P140" s="148"/>
      <c r="Q140" s="148"/>
      <c r="R140" s="148"/>
      <c r="S140" s="148"/>
      <c r="T140" s="148"/>
      <c r="U140" s="148"/>
      <c r="V140" s="148"/>
      <c r="W140" s="148"/>
      <c r="X140" s="148"/>
      <c r="Y140" s="148"/>
      <c r="Z140" s="148"/>
      <c r="AA140" s="148"/>
      <c r="AB140" s="148"/>
      <c r="AC140" s="148"/>
      <c r="AD140" s="148"/>
      <c r="AE140" s="148"/>
      <c r="AF140" s="148"/>
      <c r="AG140" s="148"/>
    </row>
    <row r="141" spans="1:33" ht="13.8">
      <c r="A141" s="153">
        <v>299</v>
      </c>
      <c r="B141" s="153" t="s">
        <v>9347</v>
      </c>
      <c r="C141" s="153" t="s">
        <v>9348</v>
      </c>
      <c r="D141" s="153">
        <v>11</v>
      </c>
      <c r="E141" s="153" t="s">
        <v>9023</v>
      </c>
      <c r="F141" s="153" t="s">
        <v>8890</v>
      </c>
      <c r="G141" s="153" t="s">
        <v>9349</v>
      </c>
      <c r="H141" s="154">
        <v>45862</v>
      </c>
      <c r="I141" s="149">
        <v>2025</v>
      </c>
      <c r="J141" s="155"/>
      <c r="K141" s="149" t="s">
        <v>8887</v>
      </c>
      <c r="L141" s="155"/>
      <c r="M141" s="149" t="s">
        <v>6086</v>
      </c>
      <c r="N141" s="157">
        <v>45986</v>
      </c>
      <c r="O141" s="148"/>
      <c r="P141" s="148"/>
      <c r="Q141" s="148"/>
      <c r="R141" s="148"/>
      <c r="S141" s="148"/>
      <c r="T141" s="148"/>
      <c r="U141" s="148"/>
      <c r="V141" s="148"/>
      <c r="W141" s="148"/>
      <c r="X141" s="148"/>
      <c r="Y141" s="148"/>
      <c r="Z141" s="148"/>
      <c r="AA141" s="148"/>
      <c r="AB141" s="148"/>
      <c r="AC141" s="148"/>
      <c r="AD141" s="148"/>
      <c r="AE141" s="148"/>
      <c r="AF141" s="148"/>
      <c r="AG141" s="148"/>
    </row>
    <row r="142" spans="1:33" ht="13.8">
      <c r="A142" s="153">
        <v>300</v>
      </c>
      <c r="B142" s="153" t="s">
        <v>9350</v>
      </c>
      <c r="C142" s="153" t="s">
        <v>9351</v>
      </c>
      <c r="D142" s="153">
        <v>3</v>
      </c>
      <c r="E142" s="153" t="s">
        <v>9023</v>
      </c>
      <c r="F142" s="153" t="s">
        <v>8890</v>
      </c>
      <c r="G142" s="153" t="s">
        <v>9352</v>
      </c>
      <c r="H142" s="154">
        <v>45717</v>
      </c>
      <c r="I142" s="149">
        <v>2025</v>
      </c>
      <c r="J142" s="149" t="s">
        <v>9353</v>
      </c>
      <c r="K142" s="149" t="s">
        <v>8887</v>
      </c>
      <c r="L142" s="155"/>
      <c r="M142" s="149" t="s">
        <v>7051</v>
      </c>
      <c r="N142" s="157">
        <v>45987</v>
      </c>
      <c r="O142" s="148"/>
      <c r="P142" s="148"/>
      <c r="Q142" s="148"/>
      <c r="R142" s="148"/>
      <c r="S142" s="148"/>
      <c r="T142" s="148"/>
      <c r="U142" s="148"/>
      <c r="V142" s="148"/>
      <c r="W142" s="148"/>
      <c r="X142" s="148"/>
      <c r="Y142" s="148"/>
      <c r="Z142" s="148"/>
      <c r="AA142" s="148"/>
      <c r="AB142" s="148"/>
      <c r="AC142" s="148"/>
      <c r="AD142" s="148"/>
      <c r="AE142" s="148"/>
      <c r="AF142" s="148"/>
      <c r="AG142" s="148"/>
    </row>
    <row r="143" spans="1:33" ht="13.8">
      <c r="A143" s="153">
        <v>301</v>
      </c>
      <c r="B143" s="153" t="s">
        <v>9354</v>
      </c>
      <c r="C143" s="153" t="s">
        <v>9355</v>
      </c>
      <c r="D143" s="153">
        <v>2</v>
      </c>
      <c r="E143" s="153" t="s">
        <v>9023</v>
      </c>
      <c r="F143" s="153" t="s">
        <v>8890</v>
      </c>
      <c r="G143" s="153" t="s">
        <v>9356</v>
      </c>
      <c r="H143" s="154">
        <v>45838</v>
      </c>
      <c r="I143" s="149">
        <v>2025</v>
      </c>
      <c r="J143" s="155"/>
      <c r="K143" s="149" t="s">
        <v>8887</v>
      </c>
      <c r="L143" s="155"/>
      <c r="M143" s="149" t="s">
        <v>7051</v>
      </c>
      <c r="N143" s="157">
        <v>45987</v>
      </c>
      <c r="O143" s="148"/>
      <c r="P143" s="148"/>
      <c r="Q143" s="148"/>
      <c r="R143" s="148"/>
      <c r="S143" s="148"/>
      <c r="T143" s="148"/>
      <c r="U143" s="148"/>
      <c r="V143" s="148"/>
      <c r="W143" s="148"/>
      <c r="X143" s="148"/>
      <c r="Y143" s="148"/>
      <c r="Z143" s="148"/>
      <c r="AA143" s="148"/>
      <c r="AB143" s="148"/>
      <c r="AC143" s="148"/>
      <c r="AD143" s="148"/>
      <c r="AE143" s="148"/>
      <c r="AF143" s="148"/>
      <c r="AG143" s="148"/>
    </row>
    <row r="144" spans="1:33" ht="13.8">
      <c r="A144" s="153">
        <v>302</v>
      </c>
      <c r="B144" s="153" t="s">
        <v>9357</v>
      </c>
      <c r="C144" s="153" t="s">
        <v>9358</v>
      </c>
      <c r="D144" s="153">
        <v>1</v>
      </c>
      <c r="E144" s="153" t="s">
        <v>9023</v>
      </c>
      <c r="F144" s="153" t="s">
        <v>8890</v>
      </c>
      <c r="G144" s="153" t="s">
        <v>9359</v>
      </c>
      <c r="H144" s="156">
        <v>45985</v>
      </c>
      <c r="I144" s="149">
        <v>2025</v>
      </c>
      <c r="J144" s="155"/>
      <c r="K144" s="149" t="s">
        <v>8887</v>
      </c>
      <c r="L144" s="155"/>
      <c r="M144" s="149" t="s">
        <v>7051</v>
      </c>
      <c r="N144" s="157">
        <v>45987</v>
      </c>
      <c r="O144" s="148"/>
      <c r="P144" s="148"/>
      <c r="Q144" s="148"/>
      <c r="R144" s="148"/>
      <c r="S144" s="148"/>
      <c r="T144" s="148"/>
      <c r="U144" s="148"/>
      <c r="V144" s="148"/>
      <c r="W144" s="148"/>
      <c r="X144" s="148"/>
      <c r="Y144" s="148"/>
      <c r="Z144" s="148"/>
      <c r="AA144" s="148"/>
      <c r="AB144" s="148"/>
      <c r="AC144" s="148"/>
      <c r="AD144" s="148"/>
      <c r="AE144" s="148"/>
      <c r="AF144" s="148"/>
      <c r="AG144" s="148"/>
    </row>
    <row r="145" spans="1:33" ht="13.2">
      <c r="A145" s="153">
        <v>303</v>
      </c>
      <c r="B145" s="153" t="s">
        <v>9360</v>
      </c>
      <c r="C145" s="153" t="s">
        <v>9361</v>
      </c>
      <c r="D145" s="153">
        <v>1</v>
      </c>
      <c r="E145" s="153" t="s">
        <v>9023</v>
      </c>
      <c r="F145" s="153" t="s">
        <v>8890</v>
      </c>
      <c r="G145" s="153" t="s">
        <v>9362</v>
      </c>
      <c r="H145" s="156">
        <v>45988</v>
      </c>
      <c r="I145" s="149">
        <v>2025</v>
      </c>
      <c r="J145" s="149" t="s">
        <v>9363</v>
      </c>
      <c r="K145" s="149" t="s">
        <v>8873</v>
      </c>
      <c r="L145" s="149" t="s">
        <v>9364</v>
      </c>
      <c r="M145" s="149" t="s">
        <v>4826</v>
      </c>
      <c r="N145" s="157">
        <v>45990</v>
      </c>
      <c r="O145" s="148"/>
      <c r="P145" s="148"/>
      <c r="Q145" s="148"/>
      <c r="R145" s="148"/>
      <c r="S145" s="148"/>
      <c r="T145" s="148"/>
      <c r="U145" s="148"/>
      <c r="V145" s="148"/>
      <c r="W145" s="148"/>
      <c r="X145" s="148"/>
      <c r="Y145" s="148"/>
      <c r="Z145" s="148"/>
      <c r="AA145" s="148"/>
      <c r="AB145" s="148"/>
      <c r="AC145" s="148"/>
      <c r="AD145" s="148"/>
      <c r="AE145" s="148"/>
      <c r="AF145" s="148"/>
      <c r="AG145" s="148"/>
    </row>
    <row r="146" spans="1:33" ht="13.8">
      <c r="A146" s="153">
        <v>304</v>
      </c>
      <c r="B146" s="153" t="s">
        <v>9365</v>
      </c>
      <c r="C146" s="153" t="s">
        <v>9366</v>
      </c>
      <c r="D146" s="153">
        <v>6</v>
      </c>
      <c r="E146" s="153" t="s">
        <v>9023</v>
      </c>
      <c r="F146" s="153" t="s">
        <v>8956</v>
      </c>
      <c r="G146" s="153" t="s">
        <v>9367</v>
      </c>
      <c r="H146" s="154">
        <v>45915</v>
      </c>
      <c r="I146" s="149">
        <v>2025</v>
      </c>
      <c r="J146" s="149" t="s">
        <v>9368</v>
      </c>
      <c r="K146" s="149" t="s">
        <v>8887</v>
      </c>
      <c r="L146" s="155"/>
      <c r="M146" s="149" t="s">
        <v>6459</v>
      </c>
      <c r="N146" s="157">
        <v>45978</v>
      </c>
      <c r="O146" s="148"/>
      <c r="P146" s="148"/>
      <c r="Q146" s="148"/>
      <c r="R146" s="148"/>
      <c r="S146" s="148"/>
      <c r="T146" s="148"/>
      <c r="U146" s="148"/>
      <c r="V146" s="148"/>
      <c r="W146" s="148"/>
      <c r="X146" s="148"/>
      <c r="Y146" s="148"/>
      <c r="Z146" s="148"/>
      <c r="AA146" s="148"/>
      <c r="AB146" s="148"/>
      <c r="AC146" s="148"/>
      <c r="AD146" s="148"/>
      <c r="AE146" s="148"/>
      <c r="AF146" s="148"/>
      <c r="AG146" s="148"/>
    </row>
    <row r="147" spans="1:33" ht="13.8">
      <c r="A147" s="153">
        <v>305</v>
      </c>
      <c r="B147" s="153" t="s">
        <v>9369</v>
      </c>
      <c r="C147" s="153" t="s">
        <v>9370</v>
      </c>
      <c r="D147" s="153">
        <v>1</v>
      </c>
      <c r="E147" s="153" t="s">
        <v>9023</v>
      </c>
      <c r="F147" s="153" t="s">
        <v>8956</v>
      </c>
      <c r="G147" s="153" t="s">
        <v>9371</v>
      </c>
      <c r="H147" s="154">
        <v>45870</v>
      </c>
      <c r="I147" s="149">
        <v>2025</v>
      </c>
      <c r="J147" s="155"/>
      <c r="K147" s="149" t="s">
        <v>8887</v>
      </c>
      <c r="L147" s="155"/>
      <c r="M147" s="149" t="s">
        <v>5614</v>
      </c>
      <c r="N147" s="157">
        <v>45982</v>
      </c>
      <c r="O147" s="148"/>
      <c r="P147" s="148"/>
      <c r="Q147" s="148"/>
      <c r="R147" s="148"/>
      <c r="S147" s="148"/>
      <c r="T147" s="148"/>
      <c r="U147" s="148"/>
      <c r="V147" s="148"/>
      <c r="W147" s="148"/>
      <c r="X147" s="148"/>
      <c r="Y147" s="148"/>
      <c r="Z147" s="148"/>
      <c r="AA147" s="148"/>
      <c r="AB147" s="148"/>
      <c r="AC147" s="148"/>
      <c r="AD147" s="148"/>
      <c r="AE147" s="148"/>
      <c r="AF147" s="148"/>
      <c r="AG147" s="148"/>
    </row>
    <row r="148" spans="1:33" ht="13.8">
      <c r="A148" s="153">
        <v>306</v>
      </c>
      <c r="B148" s="153" t="s">
        <v>9372</v>
      </c>
      <c r="C148" s="153" t="s">
        <v>9373</v>
      </c>
      <c r="D148" s="153">
        <v>6</v>
      </c>
      <c r="E148" s="153" t="s">
        <v>9023</v>
      </c>
      <c r="F148" s="153" t="s">
        <v>8956</v>
      </c>
      <c r="G148" s="153" t="s">
        <v>9374</v>
      </c>
      <c r="H148" s="154">
        <v>45966</v>
      </c>
      <c r="I148" s="149">
        <v>2025</v>
      </c>
      <c r="J148" s="149" t="s">
        <v>9168</v>
      </c>
      <c r="K148" s="149" t="s">
        <v>8887</v>
      </c>
      <c r="L148" s="155"/>
      <c r="M148" s="149" t="s">
        <v>6842</v>
      </c>
      <c r="N148" s="157">
        <v>45983</v>
      </c>
      <c r="O148" s="148"/>
      <c r="P148" s="148"/>
      <c r="Q148" s="148"/>
      <c r="R148" s="148"/>
      <c r="S148" s="148"/>
      <c r="T148" s="148"/>
      <c r="U148" s="148"/>
      <c r="V148" s="148"/>
      <c r="W148" s="148"/>
      <c r="X148" s="148"/>
      <c r="Y148" s="148"/>
      <c r="Z148" s="148"/>
      <c r="AA148" s="148"/>
      <c r="AB148" s="148"/>
      <c r="AC148" s="148"/>
      <c r="AD148" s="148"/>
      <c r="AE148" s="148"/>
      <c r="AF148" s="148"/>
      <c r="AG148" s="148"/>
    </row>
    <row r="149" spans="1:33" ht="13.8">
      <c r="A149" s="153">
        <v>307</v>
      </c>
      <c r="B149" s="153" t="s">
        <v>9375</v>
      </c>
      <c r="C149" s="153" t="s">
        <v>9376</v>
      </c>
      <c r="D149" s="153">
        <v>8</v>
      </c>
      <c r="E149" s="153" t="s">
        <v>9023</v>
      </c>
      <c r="F149" s="153" t="s">
        <v>8956</v>
      </c>
      <c r="G149" s="153" t="s">
        <v>9377</v>
      </c>
      <c r="H149" s="154">
        <v>45934</v>
      </c>
      <c r="I149" s="149">
        <v>2025</v>
      </c>
      <c r="J149" s="155"/>
      <c r="K149" s="149" t="s">
        <v>8887</v>
      </c>
      <c r="L149" s="155"/>
      <c r="M149" s="149" t="s">
        <v>6086</v>
      </c>
      <c r="N149" s="157">
        <v>45986</v>
      </c>
      <c r="O149" s="148"/>
      <c r="P149" s="148"/>
      <c r="Q149" s="148"/>
      <c r="R149" s="148"/>
      <c r="S149" s="148"/>
      <c r="T149" s="148"/>
      <c r="U149" s="148"/>
      <c r="V149" s="148"/>
      <c r="W149" s="148"/>
      <c r="X149" s="148"/>
      <c r="Y149" s="148"/>
      <c r="Z149" s="148"/>
      <c r="AA149" s="148"/>
      <c r="AB149" s="148"/>
      <c r="AC149" s="148"/>
      <c r="AD149" s="148"/>
      <c r="AE149" s="148"/>
      <c r="AF149" s="148"/>
      <c r="AG149" s="148"/>
    </row>
    <row r="150" spans="1:33" ht="13.8">
      <c r="A150" s="153">
        <v>308</v>
      </c>
      <c r="B150" s="153" t="s">
        <v>9378</v>
      </c>
      <c r="C150" s="153" t="s">
        <v>9379</v>
      </c>
      <c r="D150" s="153">
        <v>10</v>
      </c>
      <c r="E150" s="153" t="s">
        <v>9023</v>
      </c>
      <c r="F150" s="153" t="s">
        <v>8956</v>
      </c>
      <c r="G150" s="153" t="s">
        <v>9380</v>
      </c>
      <c r="H150" s="154">
        <v>45894</v>
      </c>
      <c r="I150" s="149">
        <v>2025</v>
      </c>
      <c r="J150" s="155"/>
      <c r="K150" s="149" t="s">
        <v>8887</v>
      </c>
      <c r="L150" s="155"/>
      <c r="M150" s="149" t="s">
        <v>5896</v>
      </c>
      <c r="N150" s="157">
        <v>45986</v>
      </c>
      <c r="O150" s="148"/>
      <c r="P150" s="148"/>
      <c r="Q150" s="148"/>
      <c r="R150" s="148"/>
      <c r="S150" s="148"/>
      <c r="T150" s="148"/>
      <c r="U150" s="148"/>
      <c r="V150" s="148"/>
      <c r="W150" s="148"/>
      <c r="X150" s="148"/>
      <c r="Y150" s="148"/>
      <c r="Z150" s="148"/>
      <c r="AA150" s="148"/>
      <c r="AB150" s="148"/>
      <c r="AC150" s="148"/>
      <c r="AD150" s="148"/>
      <c r="AE150" s="148"/>
      <c r="AF150" s="148"/>
      <c r="AG150" s="148"/>
    </row>
    <row r="151" spans="1:33" ht="13.8">
      <c r="A151" s="153">
        <v>309</v>
      </c>
      <c r="B151" s="153" t="s">
        <v>9381</v>
      </c>
      <c r="C151" s="153" t="s">
        <v>9382</v>
      </c>
      <c r="D151" s="153">
        <v>2</v>
      </c>
      <c r="E151" s="153" t="s">
        <v>9023</v>
      </c>
      <c r="F151" s="153" t="s">
        <v>8956</v>
      </c>
      <c r="G151" s="153" t="s">
        <v>9383</v>
      </c>
      <c r="H151" s="154">
        <v>45901</v>
      </c>
      <c r="I151" s="149">
        <v>2025</v>
      </c>
      <c r="J151" s="155"/>
      <c r="K151" s="149" t="s">
        <v>8887</v>
      </c>
      <c r="L151" s="155"/>
      <c r="M151" s="149" t="s">
        <v>7051</v>
      </c>
      <c r="N151" s="157">
        <v>45987</v>
      </c>
      <c r="O151" s="148"/>
      <c r="P151" s="148"/>
      <c r="Q151" s="148"/>
      <c r="R151" s="148"/>
      <c r="S151" s="148"/>
      <c r="T151" s="148"/>
      <c r="U151" s="148"/>
      <c r="V151" s="148"/>
      <c r="W151" s="148"/>
      <c r="X151" s="148"/>
      <c r="Y151" s="148"/>
      <c r="Z151" s="148"/>
      <c r="AA151" s="148"/>
      <c r="AB151" s="148"/>
      <c r="AC151" s="148"/>
      <c r="AD151" s="148"/>
      <c r="AE151" s="148"/>
      <c r="AF151" s="148"/>
      <c r="AG151" s="148"/>
    </row>
    <row r="152" spans="1:33" ht="13.8">
      <c r="A152" s="153">
        <v>310</v>
      </c>
      <c r="B152" s="153" t="s">
        <v>9384</v>
      </c>
      <c r="C152" s="153" t="s">
        <v>9385</v>
      </c>
      <c r="D152" s="153">
        <v>2</v>
      </c>
      <c r="E152" s="153" t="s">
        <v>9023</v>
      </c>
      <c r="F152" s="153" t="s">
        <v>8956</v>
      </c>
      <c r="G152" s="153" t="s">
        <v>9386</v>
      </c>
      <c r="H152" s="154">
        <v>45931</v>
      </c>
      <c r="I152" s="149">
        <v>2025</v>
      </c>
      <c r="J152" s="155"/>
      <c r="K152" s="149" t="s">
        <v>8887</v>
      </c>
      <c r="L152" s="155"/>
      <c r="M152" s="149" t="s">
        <v>7051</v>
      </c>
      <c r="N152" s="157">
        <v>45987</v>
      </c>
      <c r="O152" s="148"/>
      <c r="P152" s="148"/>
      <c r="Q152" s="148"/>
      <c r="R152" s="148"/>
      <c r="S152" s="148"/>
      <c r="T152" s="148"/>
      <c r="U152" s="148"/>
      <c r="V152" s="148"/>
      <c r="W152" s="148"/>
      <c r="X152" s="148"/>
      <c r="Y152" s="148"/>
      <c r="Z152" s="148"/>
      <c r="AA152" s="148"/>
      <c r="AB152" s="148"/>
      <c r="AC152" s="148"/>
      <c r="AD152" s="148"/>
      <c r="AE152" s="148"/>
      <c r="AF152" s="148"/>
      <c r="AG152" s="148"/>
    </row>
    <row r="153" spans="1:33" ht="13.8">
      <c r="A153" s="153">
        <v>311</v>
      </c>
      <c r="B153" s="153" t="s">
        <v>9387</v>
      </c>
      <c r="C153" s="153" t="s">
        <v>9388</v>
      </c>
      <c r="D153" s="153">
        <v>3</v>
      </c>
      <c r="E153" s="153" t="s">
        <v>9023</v>
      </c>
      <c r="F153" s="153" t="s">
        <v>9011</v>
      </c>
      <c r="G153" s="153" t="s">
        <v>9389</v>
      </c>
      <c r="H153" s="154">
        <v>45882</v>
      </c>
      <c r="I153" s="149">
        <v>2025</v>
      </c>
      <c r="J153" s="155"/>
      <c r="K153" s="149" t="s">
        <v>8887</v>
      </c>
      <c r="L153" s="155"/>
      <c r="M153" s="149" t="s">
        <v>6354</v>
      </c>
      <c r="N153" s="157">
        <v>45985</v>
      </c>
      <c r="O153" s="148"/>
      <c r="P153" s="148"/>
      <c r="Q153" s="148"/>
      <c r="R153" s="148"/>
      <c r="S153" s="148"/>
      <c r="T153" s="148"/>
      <c r="U153" s="148"/>
      <c r="V153" s="148"/>
      <c r="W153" s="148"/>
      <c r="X153" s="148"/>
      <c r="Y153" s="148"/>
      <c r="Z153" s="148"/>
      <c r="AA153" s="148"/>
      <c r="AB153" s="148"/>
      <c r="AC153" s="148"/>
      <c r="AD153" s="148"/>
      <c r="AE153" s="148"/>
      <c r="AF153" s="148"/>
      <c r="AG153" s="148"/>
    </row>
    <row r="154" spans="1:33" ht="13.8">
      <c r="A154" s="153">
        <v>312</v>
      </c>
      <c r="B154" s="153" t="s">
        <v>9390</v>
      </c>
      <c r="C154" s="153" t="s">
        <v>9391</v>
      </c>
      <c r="D154" s="153">
        <v>2</v>
      </c>
      <c r="E154" s="153" t="s">
        <v>9023</v>
      </c>
      <c r="F154" s="153" t="s">
        <v>9011</v>
      </c>
      <c r="G154" s="153" t="s">
        <v>9392</v>
      </c>
      <c r="H154" s="154">
        <v>45930</v>
      </c>
      <c r="I154" s="149">
        <v>2025</v>
      </c>
      <c r="J154" s="155"/>
      <c r="K154" s="149" t="s">
        <v>8887</v>
      </c>
      <c r="L154" s="155"/>
      <c r="M154" s="149" t="s">
        <v>5562</v>
      </c>
      <c r="N154" s="157">
        <v>45988</v>
      </c>
      <c r="O154" s="148"/>
      <c r="P154" s="148"/>
      <c r="Q154" s="148"/>
      <c r="R154" s="148"/>
      <c r="S154" s="148"/>
      <c r="T154" s="148"/>
      <c r="U154" s="148"/>
      <c r="V154" s="148"/>
      <c r="W154" s="148"/>
      <c r="X154" s="148"/>
      <c r="Y154" s="148"/>
      <c r="Z154" s="148"/>
      <c r="AA154" s="148"/>
      <c r="AB154" s="148"/>
      <c r="AC154" s="148"/>
      <c r="AD154" s="148"/>
      <c r="AE154" s="148"/>
      <c r="AF154" s="148"/>
      <c r="AG154" s="148"/>
    </row>
    <row r="155" spans="1:33" ht="13.8">
      <c r="A155" s="153">
        <v>313</v>
      </c>
      <c r="B155" s="153" t="s">
        <v>9393</v>
      </c>
      <c r="C155" s="153" t="s">
        <v>9394</v>
      </c>
      <c r="D155" s="153">
        <v>3</v>
      </c>
      <c r="E155" s="153" t="s">
        <v>9023</v>
      </c>
      <c r="F155" s="153" t="s">
        <v>9011</v>
      </c>
      <c r="G155" s="153" t="s">
        <v>9395</v>
      </c>
      <c r="H155" s="154">
        <v>45705</v>
      </c>
      <c r="I155" s="149">
        <v>2025</v>
      </c>
      <c r="J155" s="149" t="s">
        <v>9396</v>
      </c>
      <c r="K155" s="149" t="s">
        <v>8887</v>
      </c>
      <c r="L155" s="155"/>
      <c r="M155" s="149" t="s">
        <v>5623</v>
      </c>
      <c r="N155" s="157">
        <v>45989</v>
      </c>
      <c r="O155" s="148"/>
      <c r="P155" s="148"/>
      <c r="Q155" s="148"/>
      <c r="R155" s="148"/>
      <c r="S155" s="148"/>
      <c r="T155" s="148"/>
      <c r="U155" s="148"/>
      <c r="V155" s="148"/>
      <c r="W155" s="148"/>
      <c r="X155" s="148"/>
      <c r="Y155" s="148"/>
      <c r="Z155" s="148"/>
      <c r="AA155" s="148"/>
      <c r="AB155" s="148"/>
      <c r="AC155" s="148"/>
      <c r="AD155" s="148"/>
      <c r="AE155" s="148"/>
      <c r="AF155" s="148"/>
      <c r="AG155" s="148"/>
    </row>
    <row r="156" spans="1:33" ht="13.8">
      <c r="A156" s="153">
        <v>314</v>
      </c>
      <c r="B156" s="153" t="s">
        <v>9397</v>
      </c>
      <c r="C156" s="153" t="s">
        <v>9398</v>
      </c>
      <c r="D156" s="153">
        <v>5</v>
      </c>
      <c r="E156" s="153" t="s">
        <v>9023</v>
      </c>
      <c r="F156" s="153" t="s">
        <v>9011</v>
      </c>
      <c r="G156" s="153" t="s">
        <v>9399</v>
      </c>
      <c r="H156" s="156">
        <v>45985</v>
      </c>
      <c r="I156" s="149">
        <v>2025</v>
      </c>
      <c r="J156" s="155"/>
      <c r="K156" s="149" t="s">
        <v>8887</v>
      </c>
      <c r="L156" s="155"/>
      <c r="M156" s="149" t="s">
        <v>6196</v>
      </c>
      <c r="N156" s="157">
        <v>45990</v>
      </c>
      <c r="O156" s="148"/>
      <c r="P156" s="148"/>
      <c r="Q156" s="148"/>
      <c r="R156" s="148"/>
      <c r="S156" s="148"/>
      <c r="T156" s="148"/>
      <c r="U156" s="148"/>
      <c r="V156" s="148"/>
      <c r="W156" s="148"/>
      <c r="X156" s="148"/>
      <c r="Y156" s="148"/>
      <c r="Z156" s="148"/>
      <c r="AA156" s="148"/>
      <c r="AB156" s="148"/>
      <c r="AC156" s="148"/>
      <c r="AD156" s="148"/>
      <c r="AE156" s="148"/>
      <c r="AF156" s="148"/>
      <c r="AG156" s="148"/>
    </row>
    <row r="157" spans="1:33" ht="13.8">
      <c r="A157" s="153">
        <v>315</v>
      </c>
      <c r="B157" s="153" t="s">
        <v>9400</v>
      </c>
      <c r="C157" s="153" t="s">
        <v>9401</v>
      </c>
      <c r="D157" s="153">
        <v>6</v>
      </c>
      <c r="E157" s="153" t="s">
        <v>9023</v>
      </c>
      <c r="F157" s="153" t="s">
        <v>9011</v>
      </c>
      <c r="G157" s="153" t="s">
        <v>9402</v>
      </c>
      <c r="H157" s="154">
        <v>45823</v>
      </c>
      <c r="I157" s="149">
        <v>2025</v>
      </c>
      <c r="J157" s="149" t="s">
        <v>9403</v>
      </c>
      <c r="K157" s="149" t="s">
        <v>8887</v>
      </c>
      <c r="L157" s="155"/>
      <c r="M157" s="149" t="s">
        <v>6691</v>
      </c>
      <c r="N157" s="151">
        <v>45992</v>
      </c>
      <c r="O157" s="148"/>
      <c r="P157" s="148"/>
      <c r="Q157" s="148"/>
      <c r="R157" s="148"/>
      <c r="S157" s="148"/>
      <c r="T157" s="148"/>
      <c r="U157" s="148"/>
      <c r="V157" s="148"/>
      <c r="W157" s="148"/>
      <c r="X157" s="148"/>
      <c r="Y157" s="148"/>
      <c r="Z157" s="148"/>
      <c r="AA157" s="148"/>
      <c r="AB157" s="148"/>
      <c r="AC157" s="148"/>
      <c r="AD157" s="148"/>
      <c r="AE157" s="148"/>
      <c r="AF157" s="148"/>
      <c r="AG157" s="148"/>
    </row>
    <row r="158" spans="1:33" ht="13.8">
      <c r="A158" s="153">
        <v>316</v>
      </c>
      <c r="B158" s="153" t="s">
        <v>9404</v>
      </c>
      <c r="C158" s="153" t="s">
        <v>9405</v>
      </c>
      <c r="D158" s="153">
        <v>7</v>
      </c>
      <c r="E158" s="153" t="s">
        <v>9023</v>
      </c>
      <c r="F158" s="153" t="s">
        <v>9011</v>
      </c>
      <c r="G158" s="153" t="s">
        <v>9406</v>
      </c>
      <c r="H158" s="154">
        <v>45823</v>
      </c>
      <c r="I158" s="149">
        <v>2025</v>
      </c>
      <c r="J158" s="149" t="s">
        <v>9407</v>
      </c>
      <c r="K158" s="149" t="s">
        <v>8887</v>
      </c>
      <c r="L158" s="155"/>
      <c r="M158" s="149" t="s">
        <v>6691</v>
      </c>
      <c r="N158" s="151">
        <v>45992</v>
      </c>
      <c r="O158" s="148"/>
      <c r="P158" s="148"/>
      <c r="Q158" s="148"/>
      <c r="R158" s="148"/>
      <c r="S158" s="148"/>
      <c r="T158" s="148"/>
      <c r="U158" s="148"/>
      <c r="V158" s="148"/>
      <c r="W158" s="148"/>
      <c r="X158" s="148"/>
      <c r="Y158" s="148"/>
      <c r="Z158" s="148"/>
      <c r="AA158" s="148"/>
      <c r="AB158" s="148"/>
      <c r="AC158" s="148"/>
      <c r="AD158" s="148"/>
      <c r="AE158" s="148"/>
      <c r="AF158" s="148"/>
      <c r="AG158" s="148"/>
    </row>
    <row r="159" spans="1:33" ht="13.8">
      <c r="A159" s="153">
        <v>317</v>
      </c>
      <c r="B159" s="153" t="s">
        <v>9408</v>
      </c>
      <c r="C159" s="153" t="s">
        <v>9409</v>
      </c>
      <c r="D159" s="153">
        <v>4</v>
      </c>
      <c r="E159" s="153" t="s">
        <v>9023</v>
      </c>
      <c r="F159" s="153" t="s">
        <v>9011</v>
      </c>
      <c r="G159" s="153" t="s">
        <v>9410</v>
      </c>
      <c r="H159" s="154">
        <v>45992</v>
      </c>
      <c r="I159" s="149">
        <v>2025</v>
      </c>
      <c r="J159" s="149" t="s">
        <v>9411</v>
      </c>
      <c r="K159" s="149" t="s">
        <v>8887</v>
      </c>
      <c r="L159" s="155"/>
      <c r="M159" s="149" t="s">
        <v>6166</v>
      </c>
      <c r="N159" s="151">
        <v>45993</v>
      </c>
      <c r="O159" s="148"/>
      <c r="P159" s="148"/>
      <c r="Q159" s="148"/>
      <c r="R159" s="148"/>
      <c r="S159" s="148"/>
      <c r="T159" s="148"/>
      <c r="U159" s="148"/>
      <c r="V159" s="148"/>
      <c r="W159" s="148"/>
      <c r="X159" s="148"/>
      <c r="Y159" s="148"/>
      <c r="Z159" s="148"/>
      <c r="AA159" s="148"/>
      <c r="AB159" s="148"/>
      <c r="AC159" s="148"/>
      <c r="AD159" s="148"/>
      <c r="AE159" s="148"/>
      <c r="AF159" s="148"/>
      <c r="AG159" s="148"/>
    </row>
    <row r="160" spans="1:33" ht="13.8">
      <c r="A160" s="153">
        <v>318</v>
      </c>
      <c r="B160" s="153" t="s">
        <v>9412</v>
      </c>
      <c r="C160" s="153" t="s">
        <v>9413</v>
      </c>
      <c r="D160" s="153">
        <v>3</v>
      </c>
      <c r="E160" s="153" t="s">
        <v>9023</v>
      </c>
      <c r="F160" s="153" t="s">
        <v>9019</v>
      </c>
      <c r="G160" s="153" t="s">
        <v>9414</v>
      </c>
      <c r="H160" s="154">
        <v>45902</v>
      </c>
      <c r="I160" s="149">
        <v>2025</v>
      </c>
      <c r="J160" s="155"/>
      <c r="K160" s="149" t="s">
        <v>8887</v>
      </c>
      <c r="L160" s="155"/>
      <c r="M160" s="149" t="s">
        <v>7608</v>
      </c>
      <c r="N160" s="157">
        <v>45976</v>
      </c>
      <c r="O160" s="148"/>
      <c r="P160" s="148"/>
      <c r="Q160" s="148"/>
      <c r="R160" s="148"/>
      <c r="S160" s="148"/>
      <c r="T160" s="148"/>
      <c r="U160" s="148"/>
      <c r="V160" s="148"/>
      <c r="W160" s="148"/>
      <c r="X160" s="148"/>
      <c r="Y160" s="148"/>
      <c r="Z160" s="148"/>
      <c r="AA160" s="148"/>
      <c r="AB160" s="148"/>
      <c r="AC160" s="148"/>
      <c r="AD160" s="148"/>
      <c r="AE160" s="148"/>
      <c r="AF160" s="148"/>
      <c r="AG160" s="148"/>
    </row>
    <row r="161" spans="1:33" ht="13.8">
      <c r="A161" s="153">
        <v>319</v>
      </c>
      <c r="B161" s="153" t="s">
        <v>9415</v>
      </c>
      <c r="C161" s="153" t="s">
        <v>9416</v>
      </c>
      <c r="D161" s="153">
        <v>2</v>
      </c>
      <c r="E161" s="153" t="s">
        <v>9023</v>
      </c>
      <c r="F161" s="153" t="s">
        <v>9019</v>
      </c>
      <c r="G161" s="153" t="s">
        <v>9417</v>
      </c>
      <c r="H161" s="156">
        <v>45973</v>
      </c>
      <c r="I161" s="149">
        <v>2025</v>
      </c>
      <c r="J161" s="155"/>
      <c r="K161" s="149" t="s">
        <v>8887</v>
      </c>
      <c r="L161" s="155"/>
      <c r="M161" s="149" t="s">
        <v>7608</v>
      </c>
      <c r="N161" s="157">
        <v>45976</v>
      </c>
      <c r="O161" s="148"/>
      <c r="P161" s="148"/>
      <c r="Q161" s="148"/>
      <c r="R161" s="148"/>
      <c r="S161" s="148"/>
      <c r="T161" s="148"/>
      <c r="U161" s="148"/>
      <c r="V161" s="148"/>
      <c r="W161" s="148"/>
      <c r="X161" s="148"/>
      <c r="Y161" s="148"/>
      <c r="Z161" s="148"/>
      <c r="AA161" s="148"/>
      <c r="AB161" s="148"/>
      <c r="AC161" s="148"/>
      <c r="AD161" s="148"/>
      <c r="AE161" s="148"/>
      <c r="AF161" s="148"/>
      <c r="AG161" s="148"/>
    </row>
    <row r="162" spans="1:33" ht="13.8">
      <c r="A162" s="153">
        <v>320</v>
      </c>
      <c r="B162" s="153" t="s">
        <v>9418</v>
      </c>
      <c r="C162" s="153" t="s">
        <v>9419</v>
      </c>
      <c r="D162" s="153">
        <v>3</v>
      </c>
      <c r="E162" s="153" t="s">
        <v>9023</v>
      </c>
      <c r="F162" s="153" t="s">
        <v>9019</v>
      </c>
      <c r="G162" s="153" t="s">
        <v>9420</v>
      </c>
      <c r="H162" s="154">
        <v>45965</v>
      </c>
      <c r="I162" s="149">
        <v>2025</v>
      </c>
      <c r="J162" s="155"/>
      <c r="K162" s="149" t="s">
        <v>8887</v>
      </c>
      <c r="L162" s="155"/>
      <c r="M162" s="149" t="s">
        <v>6875</v>
      </c>
      <c r="N162" s="157">
        <v>45987</v>
      </c>
      <c r="O162" s="148"/>
      <c r="P162" s="148"/>
      <c r="Q162" s="148"/>
      <c r="R162" s="148"/>
      <c r="S162" s="148"/>
      <c r="T162" s="148"/>
      <c r="U162" s="148"/>
      <c r="V162" s="148"/>
      <c r="W162" s="148"/>
      <c r="X162" s="148"/>
      <c r="Y162" s="148"/>
      <c r="Z162" s="148"/>
      <c r="AA162" s="148"/>
      <c r="AB162" s="148"/>
      <c r="AC162" s="148"/>
      <c r="AD162" s="148"/>
      <c r="AE162" s="148"/>
      <c r="AF162" s="148"/>
      <c r="AG162" s="148"/>
    </row>
    <row r="163" spans="1:33" ht="13.8">
      <c r="A163" s="153">
        <v>321</v>
      </c>
      <c r="B163" s="153" t="s">
        <v>9421</v>
      </c>
      <c r="C163" s="153" t="s">
        <v>9182</v>
      </c>
      <c r="D163" s="153">
        <v>3</v>
      </c>
      <c r="E163" s="153" t="s">
        <v>9023</v>
      </c>
      <c r="F163" s="153" t="s">
        <v>9019</v>
      </c>
      <c r="G163" s="153" t="s">
        <v>9422</v>
      </c>
      <c r="H163" s="154">
        <v>45840</v>
      </c>
      <c r="I163" s="149">
        <v>2025</v>
      </c>
      <c r="J163" s="149" t="s">
        <v>9423</v>
      </c>
      <c r="K163" s="149" t="s">
        <v>8887</v>
      </c>
      <c r="L163" s="155"/>
      <c r="M163" s="149" t="s">
        <v>6000</v>
      </c>
      <c r="N163" s="157">
        <v>45988</v>
      </c>
      <c r="O163" s="148"/>
      <c r="P163" s="148"/>
      <c r="Q163" s="148"/>
      <c r="R163" s="148"/>
      <c r="S163" s="148"/>
      <c r="T163" s="148"/>
      <c r="U163" s="148"/>
      <c r="V163" s="148"/>
      <c r="W163" s="148"/>
      <c r="X163" s="148"/>
      <c r="Y163" s="148"/>
      <c r="Z163" s="148"/>
      <c r="AA163" s="148"/>
      <c r="AB163" s="148"/>
      <c r="AC163" s="148"/>
      <c r="AD163" s="148"/>
      <c r="AE163" s="148"/>
      <c r="AF163" s="148"/>
      <c r="AG163" s="148"/>
    </row>
    <row r="164" spans="1:33" ht="13.8">
      <c r="A164" s="153">
        <v>322</v>
      </c>
      <c r="B164" s="153" t="s">
        <v>9424</v>
      </c>
      <c r="C164" s="153" t="s">
        <v>9425</v>
      </c>
      <c r="D164" s="153">
        <v>4</v>
      </c>
      <c r="E164" s="153" t="s">
        <v>9023</v>
      </c>
      <c r="F164" s="153" t="s">
        <v>9019</v>
      </c>
      <c r="G164" s="153" t="s">
        <v>9426</v>
      </c>
      <c r="H164" s="154">
        <v>45908</v>
      </c>
      <c r="I164" s="149">
        <v>2025</v>
      </c>
      <c r="J164" s="155"/>
      <c r="K164" s="149" t="s">
        <v>8887</v>
      </c>
      <c r="L164" s="155"/>
      <c r="M164" s="149" t="s">
        <v>7028</v>
      </c>
      <c r="N164" s="157">
        <v>45989</v>
      </c>
      <c r="O164" s="148"/>
      <c r="P164" s="148"/>
      <c r="Q164" s="148"/>
      <c r="R164" s="148"/>
      <c r="S164" s="148"/>
      <c r="T164" s="148"/>
      <c r="U164" s="148"/>
      <c r="V164" s="148"/>
      <c r="W164" s="148"/>
      <c r="X164" s="148"/>
      <c r="Y164" s="148"/>
      <c r="Z164" s="148"/>
      <c r="AA164" s="148"/>
      <c r="AB164" s="148"/>
      <c r="AC164" s="148"/>
      <c r="AD164" s="148"/>
      <c r="AE164" s="148"/>
      <c r="AF164" s="148"/>
      <c r="AG164" s="148"/>
    </row>
    <row r="165" spans="1:33" ht="13.2">
      <c r="A165" s="153">
        <v>323</v>
      </c>
      <c r="B165" s="153" t="s">
        <v>9427</v>
      </c>
      <c r="C165" s="153" t="s">
        <v>9428</v>
      </c>
      <c r="D165" s="153">
        <v>5</v>
      </c>
      <c r="E165" s="153" t="s">
        <v>9023</v>
      </c>
      <c r="F165" s="153" t="s">
        <v>9019</v>
      </c>
      <c r="G165" s="153" t="s">
        <v>9429</v>
      </c>
      <c r="H165" s="156">
        <v>45976</v>
      </c>
      <c r="I165" s="149">
        <v>2025</v>
      </c>
      <c r="J165" s="149" t="s">
        <v>9168</v>
      </c>
      <c r="K165" s="149" t="s">
        <v>8873</v>
      </c>
      <c r="L165" s="149" t="s">
        <v>9430</v>
      </c>
      <c r="M165" s="149" t="s">
        <v>5699</v>
      </c>
      <c r="N165" s="157">
        <v>45991</v>
      </c>
      <c r="O165" s="148"/>
      <c r="P165" s="148"/>
      <c r="Q165" s="148"/>
      <c r="R165" s="148"/>
      <c r="S165" s="148"/>
      <c r="T165" s="148"/>
      <c r="U165" s="148"/>
      <c r="V165" s="148"/>
      <c r="W165" s="148"/>
      <c r="X165" s="148"/>
      <c r="Y165" s="148"/>
      <c r="Z165" s="148"/>
      <c r="AA165" s="148"/>
      <c r="AB165" s="148"/>
      <c r="AC165" s="148"/>
      <c r="AD165" s="148"/>
      <c r="AE165" s="148"/>
      <c r="AF165" s="148"/>
      <c r="AG165" s="148"/>
    </row>
    <row r="166" spans="1:33" ht="13.2">
      <c r="A166" s="153">
        <v>324</v>
      </c>
      <c r="B166" s="153" t="s">
        <v>9431</v>
      </c>
      <c r="C166" s="153" t="s">
        <v>9432</v>
      </c>
      <c r="D166" s="153">
        <v>6</v>
      </c>
      <c r="E166" s="153" t="s">
        <v>9023</v>
      </c>
      <c r="F166" s="153" t="s">
        <v>9019</v>
      </c>
      <c r="G166" s="153" t="s">
        <v>9433</v>
      </c>
      <c r="H166" s="156">
        <v>45989</v>
      </c>
      <c r="I166" s="149">
        <v>2025</v>
      </c>
      <c r="J166" s="149" t="s">
        <v>9168</v>
      </c>
      <c r="K166" s="149" t="s">
        <v>8873</v>
      </c>
      <c r="L166" s="149" t="s">
        <v>9434</v>
      </c>
      <c r="M166" s="149" t="s">
        <v>5699</v>
      </c>
      <c r="N166" s="157">
        <v>45991</v>
      </c>
      <c r="O166" s="148"/>
      <c r="P166" s="148"/>
      <c r="Q166" s="148"/>
      <c r="R166" s="148"/>
      <c r="S166" s="148"/>
      <c r="T166" s="148"/>
      <c r="U166" s="148"/>
      <c r="V166" s="148"/>
      <c r="W166" s="148"/>
      <c r="X166" s="148"/>
      <c r="Y166" s="148"/>
      <c r="Z166" s="148"/>
      <c r="AA166" s="148"/>
      <c r="AB166" s="148"/>
      <c r="AC166" s="148"/>
      <c r="AD166" s="148"/>
      <c r="AE166" s="148"/>
      <c r="AF166" s="148"/>
      <c r="AG166" s="148"/>
    </row>
    <row r="167" spans="1:33" ht="13.8">
      <c r="A167" s="158">
        <v>325</v>
      </c>
      <c r="B167" s="159" t="s">
        <v>9189</v>
      </c>
      <c r="C167" s="160" t="s">
        <v>9190</v>
      </c>
      <c r="D167" s="160">
        <v>7</v>
      </c>
      <c r="E167" s="160" t="s">
        <v>8878</v>
      </c>
      <c r="F167" s="160" t="s">
        <v>8890</v>
      </c>
      <c r="G167" s="161" t="s">
        <v>9191</v>
      </c>
      <c r="H167" s="162">
        <v>45856</v>
      </c>
      <c r="I167" s="163">
        <v>2025</v>
      </c>
      <c r="J167" s="163" t="s">
        <v>9192</v>
      </c>
      <c r="K167" s="163" t="s">
        <v>8887</v>
      </c>
      <c r="L167" s="164"/>
      <c r="M167" s="163" t="s">
        <v>6361</v>
      </c>
      <c r="N167" s="165">
        <v>45967</v>
      </c>
      <c r="O167" s="148"/>
      <c r="P167" s="148"/>
      <c r="Q167" s="148"/>
      <c r="R167" s="148"/>
      <c r="S167" s="148"/>
      <c r="T167" s="148"/>
      <c r="U167" s="148"/>
      <c r="V167" s="148"/>
      <c r="W167" s="148"/>
      <c r="X167" s="148"/>
      <c r="Y167" s="148"/>
      <c r="Z167" s="148"/>
      <c r="AA167" s="148"/>
      <c r="AB167" s="148"/>
      <c r="AC167" s="148"/>
      <c r="AD167" s="148"/>
      <c r="AE167" s="148"/>
      <c r="AF167" s="148"/>
      <c r="AG167" s="148"/>
    </row>
    <row r="168" spans="1:33" ht="13.8">
      <c r="A168" s="166">
        <v>326</v>
      </c>
      <c r="B168" s="167" t="s">
        <v>9193</v>
      </c>
      <c r="C168" s="168" t="s">
        <v>9194</v>
      </c>
      <c r="D168" s="168">
        <v>6</v>
      </c>
      <c r="E168" s="168" t="s">
        <v>8878</v>
      </c>
      <c r="F168" s="168" t="s">
        <v>8890</v>
      </c>
      <c r="G168" s="169" t="s">
        <v>9195</v>
      </c>
      <c r="H168" s="154">
        <v>45897</v>
      </c>
      <c r="I168" s="168">
        <v>2025</v>
      </c>
      <c r="J168" s="168" t="s">
        <v>9192</v>
      </c>
      <c r="K168" s="168" t="s">
        <v>8887</v>
      </c>
      <c r="L168" s="170"/>
      <c r="M168" s="168" t="s">
        <v>6361</v>
      </c>
      <c r="N168" s="171">
        <v>45967</v>
      </c>
      <c r="O168" s="148"/>
      <c r="P168" s="148"/>
      <c r="Q168" s="148"/>
      <c r="R168" s="148"/>
      <c r="S168" s="148"/>
      <c r="T168" s="148"/>
      <c r="U168" s="148"/>
      <c r="V168" s="148"/>
      <c r="W168" s="148"/>
      <c r="X168" s="148"/>
      <c r="Y168" s="148"/>
      <c r="Z168" s="148"/>
      <c r="AA168" s="148"/>
      <c r="AB168" s="148"/>
      <c r="AC168" s="148"/>
      <c r="AD168" s="148"/>
      <c r="AE168" s="148"/>
      <c r="AF168" s="148"/>
      <c r="AG168" s="148"/>
    </row>
    <row r="169" spans="1:33" ht="13.8">
      <c r="A169" s="166">
        <v>327</v>
      </c>
      <c r="B169" s="167" t="s">
        <v>9196</v>
      </c>
      <c r="C169" s="168" t="s">
        <v>9197</v>
      </c>
      <c r="D169" s="168">
        <v>4</v>
      </c>
      <c r="E169" s="168" t="s">
        <v>8878</v>
      </c>
      <c r="F169" s="168" t="s">
        <v>8890</v>
      </c>
      <c r="G169" s="169" t="s">
        <v>9198</v>
      </c>
      <c r="H169" s="156">
        <v>45961</v>
      </c>
      <c r="I169" s="168">
        <v>2025</v>
      </c>
      <c r="J169" s="168" t="s">
        <v>9199</v>
      </c>
      <c r="K169" s="168" t="s">
        <v>8887</v>
      </c>
      <c r="L169" s="170"/>
      <c r="M169" s="168" t="s">
        <v>5136</v>
      </c>
      <c r="N169" s="171">
        <v>45968</v>
      </c>
      <c r="O169" s="148"/>
      <c r="P169" s="148"/>
      <c r="Q169" s="148"/>
      <c r="R169" s="148"/>
      <c r="S169" s="148"/>
      <c r="T169" s="148"/>
      <c r="U169" s="148"/>
      <c r="V169" s="148"/>
      <c r="W169" s="148"/>
      <c r="X169" s="148"/>
      <c r="Y169" s="148"/>
      <c r="Z169" s="148"/>
      <c r="AA169" s="148"/>
      <c r="AB169" s="148"/>
      <c r="AC169" s="148"/>
      <c r="AD169" s="148"/>
      <c r="AE169" s="148"/>
      <c r="AF169" s="148"/>
      <c r="AG169" s="148"/>
    </row>
    <row r="170" spans="1:33" ht="13.8">
      <c r="A170" s="166">
        <v>328</v>
      </c>
      <c r="B170" s="167" t="s">
        <v>9200</v>
      </c>
      <c r="C170" s="168" t="s">
        <v>9201</v>
      </c>
      <c r="D170" s="168">
        <v>8</v>
      </c>
      <c r="E170" s="168" t="s">
        <v>8878</v>
      </c>
      <c r="F170" s="168" t="s">
        <v>8890</v>
      </c>
      <c r="G170" s="169" t="s">
        <v>9202</v>
      </c>
      <c r="H170" s="154">
        <v>45903</v>
      </c>
      <c r="I170" s="168">
        <v>2025</v>
      </c>
      <c r="J170" s="170"/>
      <c r="K170" s="168" t="s">
        <v>8887</v>
      </c>
      <c r="L170" s="170"/>
      <c r="M170" s="168" t="s">
        <v>649</v>
      </c>
      <c r="N170" s="171">
        <v>45968</v>
      </c>
      <c r="O170" s="148"/>
      <c r="P170" s="148"/>
      <c r="Q170" s="148"/>
      <c r="R170" s="148"/>
      <c r="S170" s="148"/>
      <c r="T170" s="148"/>
      <c r="U170" s="148"/>
      <c r="V170" s="148"/>
      <c r="W170" s="148"/>
      <c r="X170" s="148"/>
      <c r="Y170" s="148"/>
      <c r="Z170" s="148"/>
      <c r="AA170" s="148"/>
      <c r="AB170" s="148"/>
      <c r="AC170" s="148"/>
      <c r="AD170" s="148"/>
      <c r="AE170" s="148"/>
      <c r="AF170" s="148"/>
      <c r="AG170" s="148"/>
    </row>
    <row r="171" spans="1:33" ht="13.8">
      <c r="A171" s="166">
        <v>329</v>
      </c>
      <c r="B171" s="167" t="s">
        <v>9203</v>
      </c>
      <c r="C171" s="168" t="s">
        <v>9204</v>
      </c>
      <c r="D171" s="168">
        <v>1</v>
      </c>
      <c r="E171" s="168" t="s">
        <v>8878</v>
      </c>
      <c r="F171" s="168" t="s">
        <v>8890</v>
      </c>
      <c r="G171" s="169" t="s">
        <v>9205</v>
      </c>
      <c r="H171" s="154">
        <v>45853</v>
      </c>
      <c r="I171" s="168">
        <v>2025</v>
      </c>
      <c r="J171" s="170"/>
      <c r="K171" s="168" t="s">
        <v>8887</v>
      </c>
      <c r="L171" s="170"/>
      <c r="M171" s="168" t="s">
        <v>5675</v>
      </c>
      <c r="N171" s="171">
        <v>45968</v>
      </c>
      <c r="O171" s="148"/>
      <c r="P171" s="148"/>
      <c r="Q171" s="148"/>
      <c r="R171" s="148"/>
      <c r="S171" s="148"/>
      <c r="T171" s="148"/>
      <c r="U171" s="148"/>
      <c r="V171" s="148"/>
      <c r="W171" s="148"/>
      <c r="X171" s="148"/>
      <c r="Y171" s="148"/>
      <c r="Z171" s="148"/>
      <c r="AA171" s="148"/>
      <c r="AB171" s="148"/>
      <c r="AC171" s="148"/>
      <c r="AD171" s="148"/>
      <c r="AE171" s="148"/>
      <c r="AF171" s="148"/>
      <c r="AG171" s="148"/>
    </row>
    <row r="172" spans="1:33" ht="13.8">
      <c r="A172" s="166">
        <v>330</v>
      </c>
      <c r="B172" s="167" t="s">
        <v>9206</v>
      </c>
      <c r="C172" s="168" t="s">
        <v>9207</v>
      </c>
      <c r="D172" s="168">
        <v>2</v>
      </c>
      <c r="E172" s="168" t="s">
        <v>8878</v>
      </c>
      <c r="F172" s="168" t="s">
        <v>8890</v>
      </c>
      <c r="G172" s="169" t="s">
        <v>9208</v>
      </c>
      <c r="H172" s="156">
        <v>45954</v>
      </c>
      <c r="I172" s="168">
        <v>2025</v>
      </c>
      <c r="J172" s="170"/>
      <c r="K172" s="168" t="s">
        <v>8887</v>
      </c>
      <c r="L172" s="170"/>
      <c r="M172" s="168" t="s">
        <v>5658</v>
      </c>
      <c r="N172" s="171">
        <v>45968</v>
      </c>
      <c r="O172" s="148"/>
      <c r="P172" s="148"/>
      <c r="Q172" s="148"/>
      <c r="R172" s="148"/>
      <c r="S172" s="148"/>
      <c r="T172" s="148"/>
      <c r="U172" s="148"/>
      <c r="V172" s="148"/>
      <c r="W172" s="148"/>
      <c r="X172" s="148"/>
      <c r="Y172" s="148"/>
      <c r="Z172" s="148"/>
      <c r="AA172" s="148"/>
      <c r="AB172" s="148"/>
      <c r="AC172" s="148"/>
      <c r="AD172" s="148"/>
      <c r="AE172" s="148"/>
      <c r="AF172" s="148"/>
      <c r="AG172" s="148"/>
    </row>
    <row r="173" spans="1:33" ht="13.8">
      <c r="A173" s="166">
        <v>331</v>
      </c>
      <c r="B173" s="167" t="s">
        <v>9209</v>
      </c>
      <c r="C173" s="168" t="s">
        <v>9210</v>
      </c>
      <c r="D173" s="168">
        <v>2</v>
      </c>
      <c r="E173" s="168" t="s">
        <v>8878</v>
      </c>
      <c r="F173" s="168" t="s">
        <v>8890</v>
      </c>
      <c r="G173" s="169" t="s">
        <v>9211</v>
      </c>
      <c r="H173" s="154">
        <v>45963</v>
      </c>
      <c r="I173" s="168">
        <v>2025</v>
      </c>
      <c r="J173" s="170"/>
      <c r="K173" s="168" t="s">
        <v>8887</v>
      </c>
      <c r="L173" s="170"/>
      <c r="M173" s="168" t="s">
        <v>5658</v>
      </c>
      <c r="N173" s="171">
        <v>45968</v>
      </c>
      <c r="O173" s="148"/>
      <c r="P173" s="148"/>
      <c r="Q173" s="148"/>
      <c r="R173" s="148"/>
      <c r="S173" s="148"/>
      <c r="T173" s="148"/>
      <c r="U173" s="148"/>
      <c r="V173" s="148"/>
      <c r="W173" s="148"/>
      <c r="X173" s="148"/>
      <c r="Y173" s="148"/>
      <c r="Z173" s="148"/>
      <c r="AA173" s="148"/>
      <c r="AB173" s="148"/>
      <c r="AC173" s="148"/>
      <c r="AD173" s="148"/>
      <c r="AE173" s="148"/>
      <c r="AF173" s="148"/>
      <c r="AG173" s="148"/>
    </row>
    <row r="174" spans="1:33" ht="13.8">
      <c r="A174" s="166">
        <v>332</v>
      </c>
      <c r="B174" s="167" t="s">
        <v>9212</v>
      </c>
      <c r="C174" s="168" t="s">
        <v>9213</v>
      </c>
      <c r="D174" s="168">
        <v>11</v>
      </c>
      <c r="E174" s="168" t="s">
        <v>8878</v>
      </c>
      <c r="F174" s="168" t="s">
        <v>8890</v>
      </c>
      <c r="G174" s="169" t="s">
        <v>9214</v>
      </c>
      <c r="H174" s="154">
        <v>45894</v>
      </c>
      <c r="I174" s="168">
        <v>2025</v>
      </c>
      <c r="J174" s="170"/>
      <c r="K174" s="168" t="s">
        <v>8887</v>
      </c>
      <c r="L174" s="170"/>
      <c r="M174" s="168" t="s">
        <v>6159</v>
      </c>
      <c r="N174" s="172">
        <v>45972</v>
      </c>
      <c r="O174" s="148"/>
      <c r="P174" s="148"/>
      <c r="Q174" s="148"/>
      <c r="R174" s="148"/>
      <c r="S174" s="148"/>
      <c r="T174" s="148"/>
      <c r="U174" s="148"/>
      <c r="V174" s="148"/>
      <c r="W174" s="148"/>
      <c r="X174" s="148"/>
      <c r="Y174" s="148"/>
      <c r="Z174" s="148"/>
      <c r="AA174" s="148"/>
      <c r="AB174" s="148"/>
      <c r="AC174" s="148"/>
      <c r="AD174" s="148"/>
      <c r="AE174" s="148"/>
      <c r="AF174" s="148"/>
      <c r="AG174" s="148"/>
    </row>
    <row r="175" spans="1:33" ht="13.8">
      <c r="A175" s="166">
        <v>333</v>
      </c>
      <c r="B175" s="167" t="s">
        <v>9215</v>
      </c>
      <c r="C175" s="168" t="s">
        <v>9216</v>
      </c>
      <c r="D175" s="168">
        <v>17</v>
      </c>
      <c r="E175" s="168" t="s">
        <v>8878</v>
      </c>
      <c r="F175" s="168" t="s">
        <v>8890</v>
      </c>
      <c r="G175" s="169" t="s">
        <v>9217</v>
      </c>
      <c r="H175" s="154">
        <v>45884</v>
      </c>
      <c r="I175" s="168">
        <v>2025</v>
      </c>
      <c r="J175" s="170"/>
      <c r="K175" s="168" t="s">
        <v>8887</v>
      </c>
      <c r="L175" s="170"/>
      <c r="M175" s="168" t="s">
        <v>7431</v>
      </c>
      <c r="N175" s="172">
        <v>45975</v>
      </c>
      <c r="O175" s="148"/>
      <c r="P175" s="148"/>
      <c r="Q175" s="148"/>
      <c r="R175" s="148"/>
      <c r="S175" s="148"/>
      <c r="T175" s="148"/>
      <c r="U175" s="148"/>
      <c r="V175" s="148"/>
      <c r="W175" s="148"/>
      <c r="X175" s="148"/>
      <c r="Y175" s="148"/>
      <c r="Z175" s="148"/>
      <c r="AA175" s="148"/>
      <c r="AB175" s="148"/>
      <c r="AC175" s="148"/>
      <c r="AD175" s="148"/>
      <c r="AE175" s="148"/>
      <c r="AF175" s="148"/>
      <c r="AG175" s="148"/>
    </row>
    <row r="176" spans="1:33" ht="13.8">
      <c r="A176" s="166">
        <v>334</v>
      </c>
      <c r="B176" s="167" t="s">
        <v>9218</v>
      </c>
      <c r="C176" s="168" t="s">
        <v>9219</v>
      </c>
      <c r="D176" s="168">
        <v>7</v>
      </c>
      <c r="E176" s="168" t="s">
        <v>8878</v>
      </c>
      <c r="F176" s="168" t="s">
        <v>8890</v>
      </c>
      <c r="G176" s="169" t="s">
        <v>9220</v>
      </c>
      <c r="H176" s="154">
        <v>45967</v>
      </c>
      <c r="I176" s="168">
        <v>2025</v>
      </c>
      <c r="J176" s="168" t="s">
        <v>9221</v>
      </c>
      <c r="K176" s="168" t="s">
        <v>8887</v>
      </c>
      <c r="L176" s="170"/>
      <c r="M176" s="168" t="s">
        <v>6459</v>
      </c>
      <c r="N176" s="172">
        <v>45978</v>
      </c>
      <c r="O176" s="148"/>
      <c r="P176" s="148"/>
      <c r="Q176" s="148"/>
      <c r="R176" s="148"/>
      <c r="S176" s="148"/>
      <c r="T176" s="148"/>
      <c r="U176" s="148"/>
      <c r="V176" s="148"/>
      <c r="W176" s="148"/>
      <c r="X176" s="148"/>
      <c r="Y176" s="148"/>
      <c r="Z176" s="148"/>
      <c r="AA176" s="148"/>
      <c r="AB176" s="148"/>
      <c r="AC176" s="148"/>
      <c r="AD176" s="148"/>
      <c r="AE176" s="148"/>
      <c r="AF176" s="148"/>
      <c r="AG176" s="148"/>
    </row>
    <row r="177" spans="1:33" ht="13.8">
      <c r="A177" s="166">
        <v>335</v>
      </c>
      <c r="B177" s="167" t="s">
        <v>9222</v>
      </c>
      <c r="C177" s="168" t="s">
        <v>9223</v>
      </c>
      <c r="D177" s="168">
        <v>4</v>
      </c>
      <c r="E177" s="168" t="s">
        <v>8878</v>
      </c>
      <c r="F177" s="168" t="s">
        <v>8890</v>
      </c>
      <c r="G177" s="169" t="s">
        <v>9224</v>
      </c>
      <c r="H177" s="154">
        <v>45967</v>
      </c>
      <c r="I177" s="168">
        <v>2025</v>
      </c>
      <c r="J177" s="168" t="s">
        <v>9225</v>
      </c>
      <c r="K177" s="168" t="s">
        <v>8887</v>
      </c>
      <c r="L177" s="170"/>
      <c r="M177" s="168" t="s">
        <v>6308</v>
      </c>
      <c r="N177" s="172">
        <v>45980</v>
      </c>
      <c r="O177" s="148"/>
      <c r="P177" s="148"/>
      <c r="Q177" s="148"/>
      <c r="R177" s="148"/>
      <c r="S177" s="148"/>
      <c r="T177" s="148"/>
      <c r="U177" s="148"/>
      <c r="V177" s="148"/>
      <c r="W177" s="148"/>
      <c r="X177" s="148"/>
      <c r="Y177" s="148"/>
      <c r="Z177" s="148"/>
      <c r="AA177" s="148"/>
      <c r="AB177" s="148"/>
      <c r="AC177" s="148"/>
      <c r="AD177" s="148"/>
      <c r="AE177" s="148"/>
      <c r="AF177" s="148"/>
      <c r="AG177" s="148"/>
    </row>
    <row r="178" spans="1:33" ht="13.8">
      <c r="A178" s="166">
        <v>336</v>
      </c>
      <c r="B178" s="167" t="s">
        <v>9226</v>
      </c>
      <c r="C178" s="168" t="s">
        <v>9227</v>
      </c>
      <c r="D178" s="168">
        <v>8</v>
      </c>
      <c r="E178" s="168" t="s">
        <v>8878</v>
      </c>
      <c r="F178" s="168" t="s">
        <v>8890</v>
      </c>
      <c r="G178" s="169" t="s">
        <v>9228</v>
      </c>
      <c r="H178" s="156">
        <v>45971</v>
      </c>
      <c r="I178" s="168">
        <v>2025</v>
      </c>
      <c r="J178" s="168" t="s">
        <v>9229</v>
      </c>
      <c r="K178" s="168" t="s">
        <v>8887</v>
      </c>
      <c r="L178" s="170"/>
      <c r="M178" s="168" t="s">
        <v>6308</v>
      </c>
      <c r="N178" s="172">
        <v>45980</v>
      </c>
      <c r="O178" s="148"/>
      <c r="P178" s="148"/>
      <c r="Q178" s="148"/>
      <c r="R178" s="148"/>
      <c r="S178" s="148"/>
      <c r="T178" s="148"/>
      <c r="U178" s="148"/>
      <c r="V178" s="148"/>
      <c r="W178" s="148"/>
      <c r="X178" s="148"/>
      <c r="Y178" s="148"/>
      <c r="Z178" s="148"/>
      <c r="AA178" s="148"/>
      <c r="AB178" s="148"/>
      <c r="AC178" s="148"/>
      <c r="AD178" s="148"/>
      <c r="AE178" s="148"/>
      <c r="AF178" s="148"/>
      <c r="AG178" s="148"/>
    </row>
    <row r="179" spans="1:33" ht="13.8">
      <c r="A179" s="166">
        <v>337</v>
      </c>
      <c r="B179" s="167" t="s">
        <v>9230</v>
      </c>
      <c r="C179" s="168" t="s">
        <v>9231</v>
      </c>
      <c r="D179" s="168">
        <v>7</v>
      </c>
      <c r="E179" s="168" t="s">
        <v>8878</v>
      </c>
      <c r="F179" s="168" t="s">
        <v>8890</v>
      </c>
      <c r="G179" s="169" t="s">
        <v>9232</v>
      </c>
      <c r="H179" s="156">
        <v>45954</v>
      </c>
      <c r="I179" s="168">
        <v>2025</v>
      </c>
      <c r="J179" s="170"/>
      <c r="K179" s="168" t="s">
        <v>8887</v>
      </c>
      <c r="L179" s="170"/>
      <c r="M179" s="168" t="s">
        <v>5087</v>
      </c>
      <c r="N179" s="172">
        <v>45982</v>
      </c>
      <c r="O179" s="148"/>
      <c r="P179" s="148"/>
      <c r="Q179" s="148"/>
      <c r="R179" s="148"/>
      <c r="S179" s="148"/>
      <c r="T179" s="148"/>
      <c r="U179" s="148"/>
      <c r="V179" s="148"/>
      <c r="W179" s="148"/>
      <c r="X179" s="148"/>
      <c r="Y179" s="148"/>
      <c r="Z179" s="148"/>
      <c r="AA179" s="148"/>
      <c r="AB179" s="148"/>
      <c r="AC179" s="148"/>
      <c r="AD179" s="148"/>
      <c r="AE179" s="148"/>
      <c r="AF179" s="148"/>
      <c r="AG179" s="148"/>
    </row>
    <row r="180" spans="1:33" ht="13.8">
      <c r="A180" s="166">
        <v>338</v>
      </c>
      <c r="B180" s="167" t="s">
        <v>9233</v>
      </c>
      <c r="C180" s="168" t="s">
        <v>9234</v>
      </c>
      <c r="D180" s="168">
        <v>6</v>
      </c>
      <c r="E180" s="168" t="s">
        <v>8878</v>
      </c>
      <c r="F180" s="168" t="s">
        <v>8890</v>
      </c>
      <c r="G180" s="169" t="s">
        <v>9235</v>
      </c>
      <c r="H180" s="156">
        <v>45953</v>
      </c>
      <c r="I180" s="168">
        <v>2025</v>
      </c>
      <c r="J180" s="170"/>
      <c r="K180" s="168" t="s">
        <v>8887</v>
      </c>
      <c r="L180" s="170"/>
      <c r="M180" s="168" t="s">
        <v>5087</v>
      </c>
      <c r="N180" s="172">
        <v>45982</v>
      </c>
      <c r="O180" s="148"/>
      <c r="P180" s="148"/>
      <c r="Q180" s="148"/>
      <c r="R180" s="148"/>
      <c r="S180" s="148"/>
      <c r="T180" s="148"/>
      <c r="U180" s="148"/>
      <c r="V180" s="148"/>
      <c r="W180" s="148"/>
      <c r="X180" s="148"/>
      <c r="Y180" s="148"/>
      <c r="Z180" s="148"/>
      <c r="AA180" s="148"/>
      <c r="AB180" s="148"/>
      <c r="AC180" s="148"/>
      <c r="AD180" s="148"/>
      <c r="AE180" s="148"/>
      <c r="AF180" s="148"/>
      <c r="AG180" s="148"/>
    </row>
    <row r="181" spans="1:33" ht="13.8">
      <c r="A181" s="166">
        <v>339</v>
      </c>
      <c r="B181" s="167" t="s">
        <v>9236</v>
      </c>
      <c r="C181" s="168" t="s">
        <v>9237</v>
      </c>
      <c r="D181" s="168">
        <v>9</v>
      </c>
      <c r="E181" s="168" t="s">
        <v>8878</v>
      </c>
      <c r="F181" s="168" t="s">
        <v>8890</v>
      </c>
      <c r="G181" s="169" t="s">
        <v>9238</v>
      </c>
      <c r="H181" s="154">
        <v>45886</v>
      </c>
      <c r="I181" s="168">
        <v>2025</v>
      </c>
      <c r="J181" s="170"/>
      <c r="K181" s="168" t="s">
        <v>8887</v>
      </c>
      <c r="L181" s="170"/>
      <c r="M181" s="168" t="s">
        <v>5977</v>
      </c>
      <c r="N181" s="172">
        <v>45982</v>
      </c>
      <c r="O181" s="148"/>
      <c r="P181" s="148"/>
      <c r="Q181" s="148"/>
      <c r="R181" s="148"/>
      <c r="S181" s="148"/>
      <c r="T181" s="148"/>
      <c r="U181" s="148"/>
      <c r="V181" s="148"/>
      <c r="W181" s="148"/>
      <c r="X181" s="148"/>
      <c r="Y181" s="148"/>
      <c r="Z181" s="148"/>
      <c r="AA181" s="148"/>
      <c r="AB181" s="148"/>
      <c r="AC181" s="148"/>
      <c r="AD181" s="148"/>
      <c r="AE181" s="148"/>
      <c r="AF181" s="148"/>
      <c r="AG181" s="148"/>
    </row>
    <row r="182" spans="1:33" ht="13.8">
      <c r="A182" s="166">
        <v>340</v>
      </c>
      <c r="B182" s="167" t="s">
        <v>9239</v>
      </c>
      <c r="C182" s="168" t="s">
        <v>9240</v>
      </c>
      <c r="D182" s="168">
        <v>6</v>
      </c>
      <c r="E182" s="168" t="s">
        <v>8878</v>
      </c>
      <c r="F182" s="168" t="s">
        <v>8890</v>
      </c>
      <c r="G182" s="169" t="s">
        <v>9241</v>
      </c>
      <c r="H182" s="154">
        <v>45903</v>
      </c>
      <c r="I182" s="168">
        <v>2025</v>
      </c>
      <c r="J182" s="170"/>
      <c r="K182" s="168" t="s">
        <v>8887</v>
      </c>
      <c r="L182" s="170"/>
      <c r="M182" s="168" t="s">
        <v>5959</v>
      </c>
      <c r="N182" s="172">
        <v>45982</v>
      </c>
      <c r="O182" s="148"/>
      <c r="P182" s="148"/>
      <c r="Q182" s="148"/>
      <c r="R182" s="148"/>
      <c r="S182" s="148"/>
      <c r="T182" s="148"/>
      <c r="U182" s="148"/>
      <c r="V182" s="148"/>
      <c r="W182" s="148"/>
      <c r="X182" s="148"/>
      <c r="Y182" s="148"/>
      <c r="Z182" s="148"/>
      <c r="AA182" s="148"/>
      <c r="AB182" s="148"/>
      <c r="AC182" s="148"/>
      <c r="AD182" s="148"/>
      <c r="AE182" s="148"/>
      <c r="AF182" s="148"/>
      <c r="AG182" s="148"/>
    </row>
    <row r="183" spans="1:33" ht="13.8">
      <c r="A183" s="166">
        <v>341</v>
      </c>
      <c r="B183" s="167" t="s">
        <v>9242</v>
      </c>
      <c r="C183" s="168" t="s">
        <v>9243</v>
      </c>
      <c r="D183" s="168">
        <v>11</v>
      </c>
      <c r="E183" s="168" t="s">
        <v>8878</v>
      </c>
      <c r="F183" s="168" t="s">
        <v>8890</v>
      </c>
      <c r="G183" s="169" t="s">
        <v>9244</v>
      </c>
      <c r="H183" s="154">
        <v>45890</v>
      </c>
      <c r="I183" s="168">
        <v>2025</v>
      </c>
      <c r="J183" s="170"/>
      <c r="K183" s="168" t="s">
        <v>8887</v>
      </c>
      <c r="L183" s="170"/>
      <c r="M183" s="168" t="s">
        <v>5977</v>
      </c>
      <c r="N183" s="172">
        <v>45982</v>
      </c>
      <c r="O183" s="148"/>
      <c r="P183" s="148"/>
      <c r="Q183" s="148"/>
      <c r="R183" s="148"/>
      <c r="S183" s="148"/>
      <c r="T183" s="148"/>
      <c r="U183" s="148"/>
      <c r="V183" s="148"/>
      <c r="W183" s="148"/>
      <c r="X183" s="148"/>
      <c r="Y183" s="148"/>
      <c r="Z183" s="148"/>
      <c r="AA183" s="148"/>
      <c r="AB183" s="148"/>
      <c r="AC183" s="148"/>
      <c r="AD183" s="148"/>
      <c r="AE183" s="148"/>
      <c r="AF183" s="148"/>
      <c r="AG183" s="148"/>
    </row>
    <row r="184" spans="1:33" ht="13.8">
      <c r="A184" s="166">
        <v>342</v>
      </c>
      <c r="B184" s="167" t="s">
        <v>9245</v>
      </c>
      <c r="C184" s="168" t="s">
        <v>9246</v>
      </c>
      <c r="D184" s="168">
        <v>3</v>
      </c>
      <c r="E184" s="168" t="s">
        <v>8878</v>
      </c>
      <c r="F184" s="168" t="s">
        <v>8890</v>
      </c>
      <c r="G184" s="169" t="s">
        <v>9247</v>
      </c>
      <c r="H184" s="154">
        <v>45839</v>
      </c>
      <c r="I184" s="168">
        <v>2025</v>
      </c>
      <c r="J184" s="170"/>
      <c r="K184" s="168" t="s">
        <v>8887</v>
      </c>
      <c r="L184" s="170"/>
      <c r="M184" s="168" t="s">
        <v>6174</v>
      </c>
      <c r="N184" s="172">
        <v>45983</v>
      </c>
      <c r="O184" s="148"/>
      <c r="P184" s="148"/>
      <c r="Q184" s="148"/>
      <c r="R184" s="148"/>
      <c r="S184" s="148"/>
      <c r="T184" s="148"/>
      <c r="U184" s="148"/>
      <c r="V184" s="148"/>
      <c r="W184" s="148"/>
      <c r="X184" s="148"/>
      <c r="Y184" s="148"/>
      <c r="Z184" s="148"/>
      <c r="AA184" s="148"/>
      <c r="AB184" s="148"/>
      <c r="AC184" s="148"/>
      <c r="AD184" s="148"/>
      <c r="AE184" s="148"/>
      <c r="AF184" s="148"/>
      <c r="AG184" s="148"/>
    </row>
    <row r="185" spans="1:33" ht="13.8">
      <c r="A185" s="166">
        <v>343</v>
      </c>
      <c r="B185" s="167" t="s">
        <v>9248</v>
      </c>
      <c r="C185" s="168" t="s">
        <v>9249</v>
      </c>
      <c r="D185" s="168">
        <v>3</v>
      </c>
      <c r="E185" s="168" t="s">
        <v>8878</v>
      </c>
      <c r="F185" s="168" t="s">
        <v>8890</v>
      </c>
      <c r="G185" s="169" t="s">
        <v>9250</v>
      </c>
      <c r="H185" s="154">
        <v>45962</v>
      </c>
      <c r="I185" s="168">
        <v>2025</v>
      </c>
      <c r="J185" s="170"/>
      <c r="K185" s="168" t="s">
        <v>8887</v>
      </c>
      <c r="L185" s="170"/>
      <c r="M185" s="168" t="s">
        <v>6174</v>
      </c>
      <c r="N185" s="172">
        <v>45983</v>
      </c>
      <c r="O185" s="148"/>
      <c r="P185" s="148"/>
      <c r="Q185" s="148"/>
      <c r="R185" s="148"/>
      <c r="S185" s="148"/>
      <c r="T185" s="148"/>
      <c r="U185" s="148"/>
      <c r="V185" s="148"/>
      <c r="W185" s="148"/>
      <c r="X185" s="148"/>
      <c r="Y185" s="148"/>
      <c r="Z185" s="148"/>
      <c r="AA185" s="148"/>
      <c r="AB185" s="148"/>
      <c r="AC185" s="148"/>
      <c r="AD185" s="148"/>
      <c r="AE185" s="148"/>
      <c r="AF185" s="148"/>
      <c r="AG185" s="148"/>
    </row>
    <row r="186" spans="1:33" ht="13.8">
      <c r="A186" s="166">
        <v>344</v>
      </c>
      <c r="B186" s="167" t="s">
        <v>9251</v>
      </c>
      <c r="C186" s="168" t="s">
        <v>9252</v>
      </c>
      <c r="D186" s="168">
        <v>5</v>
      </c>
      <c r="E186" s="168" t="s">
        <v>8878</v>
      </c>
      <c r="F186" s="168" t="s">
        <v>8890</v>
      </c>
      <c r="G186" s="169" t="s">
        <v>9253</v>
      </c>
      <c r="H186" s="156">
        <v>45971</v>
      </c>
      <c r="I186" s="168">
        <v>2025</v>
      </c>
      <c r="J186" s="170"/>
      <c r="K186" s="168" t="s">
        <v>8887</v>
      </c>
      <c r="L186" s="170"/>
      <c r="M186" s="168" t="s">
        <v>6174</v>
      </c>
      <c r="N186" s="172">
        <v>45983</v>
      </c>
      <c r="O186" s="148"/>
      <c r="P186" s="148"/>
      <c r="Q186" s="148"/>
      <c r="R186" s="148"/>
      <c r="S186" s="148"/>
      <c r="T186" s="148"/>
      <c r="U186" s="148"/>
      <c r="V186" s="148"/>
      <c r="W186" s="148"/>
      <c r="X186" s="148"/>
      <c r="Y186" s="148"/>
      <c r="Z186" s="148"/>
      <c r="AA186" s="148"/>
      <c r="AB186" s="148"/>
      <c r="AC186" s="148"/>
      <c r="AD186" s="148"/>
      <c r="AE186" s="148"/>
      <c r="AF186" s="148"/>
      <c r="AG186" s="148"/>
    </row>
    <row r="187" spans="1:33" ht="13.8">
      <c r="A187" s="166">
        <v>345</v>
      </c>
      <c r="B187" s="167" t="s">
        <v>9254</v>
      </c>
      <c r="C187" s="168" t="s">
        <v>9255</v>
      </c>
      <c r="D187" s="168">
        <v>17</v>
      </c>
      <c r="E187" s="168" t="s">
        <v>8878</v>
      </c>
      <c r="F187" s="168" t="s">
        <v>8890</v>
      </c>
      <c r="G187" s="169" t="s">
        <v>9256</v>
      </c>
      <c r="H187" s="156">
        <v>45983</v>
      </c>
      <c r="I187" s="168">
        <v>2025</v>
      </c>
      <c r="J187" s="170"/>
      <c r="K187" s="168" t="s">
        <v>8887</v>
      </c>
      <c r="L187" s="170"/>
      <c r="M187" s="168" t="s">
        <v>5977</v>
      </c>
      <c r="N187" s="172">
        <v>45983</v>
      </c>
      <c r="O187" s="148"/>
      <c r="P187" s="148"/>
      <c r="Q187" s="148"/>
      <c r="R187" s="148"/>
      <c r="S187" s="148"/>
      <c r="T187" s="148"/>
      <c r="U187" s="148"/>
      <c r="V187" s="148"/>
      <c r="W187" s="148"/>
      <c r="X187" s="148"/>
      <c r="Y187" s="148"/>
      <c r="Z187" s="148"/>
      <c r="AA187" s="148"/>
      <c r="AB187" s="148"/>
      <c r="AC187" s="148"/>
      <c r="AD187" s="148"/>
      <c r="AE187" s="148"/>
      <c r="AF187" s="148"/>
      <c r="AG187" s="148"/>
    </row>
    <row r="188" spans="1:33" ht="13.8">
      <c r="A188" s="166">
        <v>346</v>
      </c>
      <c r="B188" s="167" t="s">
        <v>9257</v>
      </c>
      <c r="C188" s="168" t="s">
        <v>9258</v>
      </c>
      <c r="D188" s="168">
        <v>5</v>
      </c>
      <c r="E188" s="168" t="s">
        <v>8878</v>
      </c>
      <c r="F188" s="168" t="s">
        <v>8890</v>
      </c>
      <c r="G188" s="169" t="s">
        <v>9259</v>
      </c>
      <c r="H188" s="154">
        <v>45839</v>
      </c>
      <c r="I188" s="168">
        <v>2025</v>
      </c>
      <c r="J188" s="168" t="s">
        <v>8934</v>
      </c>
      <c r="K188" s="168" t="s">
        <v>8887</v>
      </c>
      <c r="L188" s="170"/>
      <c r="M188" s="168" t="s">
        <v>6842</v>
      </c>
      <c r="N188" s="172">
        <v>45983</v>
      </c>
      <c r="O188" s="148"/>
      <c r="P188" s="148"/>
      <c r="Q188" s="148"/>
      <c r="R188" s="148"/>
      <c r="S188" s="148"/>
      <c r="T188" s="148"/>
      <c r="U188" s="148"/>
      <c r="V188" s="148"/>
      <c r="W188" s="148"/>
      <c r="X188" s="148"/>
      <c r="Y188" s="148"/>
      <c r="Z188" s="148"/>
      <c r="AA188" s="148"/>
      <c r="AB188" s="148"/>
      <c r="AC188" s="148"/>
      <c r="AD188" s="148"/>
      <c r="AE188" s="148"/>
      <c r="AF188" s="148"/>
      <c r="AG188" s="148"/>
    </row>
    <row r="189" spans="1:33" ht="13.8">
      <c r="A189" s="166">
        <v>347</v>
      </c>
      <c r="B189" s="167" t="s">
        <v>9260</v>
      </c>
      <c r="C189" s="168" t="s">
        <v>9261</v>
      </c>
      <c r="D189" s="168">
        <v>10</v>
      </c>
      <c r="E189" s="168" t="s">
        <v>8878</v>
      </c>
      <c r="F189" s="168" t="s">
        <v>8890</v>
      </c>
      <c r="G189" s="169" t="s">
        <v>9262</v>
      </c>
      <c r="H189" s="156">
        <v>45979</v>
      </c>
      <c r="I189" s="168">
        <v>2025</v>
      </c>
      <c r="J189" s="170"/>
      <c r="K189" s="168" t="s">
        <v>8887</v>
      </c>
      <c r="L189" s="170"/>
      <c r="M189" s="168" t="s">
        <v>4838</v>
      </c>
      <c r="N189" s="172">
        <v>45985</v>
      </c>
      <c r="O189" s="148"/>
      <c r="P189" s="148"/>
      <c r="Q189" s="148"/>
      <c r="R189" s="148"/>
      <c r="S189" s="148"/>
      <c r="T189" s="148"/>
      <c r="U189" s="148"/>
      <c r="V189" s="148"/>
      <c r="W189" s="148"/>
      <c r="X189" s="148"/>
      <c r="Y189" s="148"/>
      <c r="Z189" s="148"/>
      <c r="AA189" s="148"/>
      <c r="AB189" s="148"/>
      <c r="AC189" s="148"/>
      <c r="AD189" s="148"/>
      <c r="AE189" s="148"/>
      <c r="AF189" s="148"/>
      <c r="AG189" s="148"/>
    </row>
    <row r="190" spans="1:33" ht="13.8">
      <c r="A190" s="166">
        <v>349</v>
      </c>
      <c r="B190" s="167" t="s">
        <v>9263</v>
      </c>
      <c r="C190" s="168" t="s">
        <v>9264</v>
      </c>
      <c r="D190" s="168">
        <v>8</v>
      </c>
      <c r="E190" s="168" t="s">
        <v>8878</v>
      </c>
      <c r="F190" s="168" t="s">
        <v>8890</v>
      </c>
      <c r="G190" s="169" t="s">
        <v>9265</v>
      </c>
      <c r="H190" s="156">
        <v>45951</v>
      </c>
      <c r="I190" s="168">
        <v>2025</v>
      </c>
      <c r="J190" s="168" t="s">
        <v>9266</v>
      </c>
      <c r="K190" s="168" t="s">
        <v>8887</v>
      </c>
      <c r="L190" s="170"/>
      <c r="M190" s="168" t="s">
        <v>6432</v>
      </c>
      <c r="N190" s="172">
        <v>45986</v>
      </c>
      <c r="O190" s="148"/>
      <c r="P190" s="148"/>
      <c r="Q190" s="148"/>
      <c r="R190" s="148"/>
      <c r="S190" s="148"/>
      <c r="T190" s="148"/>
      <c r="U190" s="148"/>
      <c r="V190" s="148"/>
      <c r="W190" s="148"/>
      <c r="X190" s="148"/>
      <c r="Y190" s="148"/>
      <c r="Z190" s="148"/>
      <c r="AA190" s="148"/>
      <c r="AB190" s="148"/>
      <c r="AC190" s="148"/>
      <c r="AD190" s="148"/>
      <c r="AE190" s="148"/>
      <c r="AF190" s="148"/>
      <c r="AG190" s="148"/>
    </row>
    <row r="191" spans="1:33" ht="13.8">
      <c r="A191" s="166">
        <v>350</v>
      </c>
      <c r="B191" s="167" t="s">
        <v>9267</v>
      </c>
      <c r="C191" s="168" t="s">
        <v>9268</v>
      </c>
      <c r="D191" s="168">
        <v>5</v>
      </c>
      <c r="E191" s="168" t="s">
        <v>8878</v>
      </c>
      <c r="F191" s="168" t="s">
        <v>8890</v>
      </c>
      <c r="G191" s="169" t="s">
        <v>9269</v>
      </c>
      <c r="H191" s="154">
        <v>45884</v>
      </c>
      <c r="I191" s="168">
        <v>2025</v>
      </c>
      <c r="J191" s="168" t="s">
        <v>8934</v>
      </c>
      <c r="K191" s="168" t="s">
        <v>8887</v>
      </c>
      <c r="L191" s="170"/>
      <c r="M191" s="168" t="s">
        <v>6432</v>
      </c>
      <c r="N191" s="172">
        <v>45986</v>
      </c>
      <c r="O191" s="148"/>
      <c r="P191" s="148"/>
      <c r="Q191" s="148"/>
      <c r="R191" s="148"/>
      <c r="S191" s="148"/>
      <c r="T191" s="148"/>
      <c r="U191" s="148"/>
      <c r="V191" s="148"/>
      <c r="W191" s="148"/>
      <c r="X191" s="148"/>
      <c r="Y191" s="148"/>
      <c r="Z191" s="148"/>
      <c r="AA191" s="148"/>
      <c r="AB191" s="148"/>
      <c r="AC191" s="148"/>
      <c r="AD191" s="148"/>
      <c r="AE191" s="148"/>
      <c r="AF191" s="148"/>
      <c r="AG191" s="148"/>
    </row>
    <row r="192" spans="1:33" ht="13.8">
      <c r="A192" s="166">
        <v>351</v>
      </c>
      <c r="B192" s="167" t="s">
        <v>9270</v>
      </c>
      <c r="C192" s="168" t="s">
        <v>9271</v>
      </c>
      <c r="D192" s="168">
        <v>7</v>
      </c>
      <c r="E192" s="168" t="s">
        <v>8878</v>
      </c>
      <c r="F192" s="168" t="s">
        <v>8890</v>
      </c>
      <c r="G192" s="169" t="s">
        <v>9272</v>
      </c>
      <c r="H192" s="154">
        <v>45917</v>
      </c>
      <c r="I192" s="168">
        <v>2025</v>
      </c>
      <c r="J192" s="168" t="s">
        <v>9273</v>
      </c>
      <c r="K192" s="168" t="s">
        <v>8887</v>
      </c>
      <c r="L192" s="170"/>
      <c r="M192" s="168" t="s">
        <v>6432</v>
      </c>
      <c r="N192" s="172">
        <v>45986</v>
      </c>
      <c r="O192" s="148"/>
      <c r="P192" s="148"/>
      <c r="Q192" s="148"/>
      <c r="R192" s="148"/>
      <c r="S192" s="148"/>
      <c r="T192" s="148"/>
      <c r="U192" s="148"/>
      <c r="V192" s="148"/>
      <c r="W192" s="148"/>
      <c r="X192" s="148"/>
      <c r="Y192" s="148"/>
      <c r="Z192" s="148"/>
      <c r="AA192" s="148"/>
      <c r="AB192" s="148"/>
      <c r="AC192" s="148"/>
      <c r="AD192" s="148"/>
      <c r="AE192" s="148"/>
      <c r="AF192" s="148"/>
      <c r="AG192" s="148"/>
    </row>
    <row r="193" spans="1:33" ht="13.8">
      <c r="A193" s="166">
        <v>352</v>
      </c>
      <c r="B193" s="167" t="s">
        <v>9274</v>
      </c>
      <c r="C193" s="168" t="s">
        <v>9275</v>
      </c>
      <c r="D193" s="168">
        <v>6</v>
      </c>
      <c r="E193" s="168" t="s">
        <v>8878</v>
      </c>
      <c r="F193" s="168" t="s">
        <v>8890</v>
      </c>
      <c r="G193" s="169" t="s">
        <v>9276</v>
      </c>
      <c r="H193" s="154">
        <v>45927</v>
      </c>
      <c r="I193" s="168">
        <v>2025</v>
      </c>
      <c r="J193" s="170"/>
      <c r="K193" s="168" t="s">
        <v>8887</v>
      </c>
      <c r="L193" s="170"/>
      <c r="M193" s="168" t="s">
        <v>4780</v>
      </c>
      <c r="N193" s="171">
        <v>45992</v>
      </c>
      <c r="O193" s="148"/>
      <c r="P193" s="148"/>
      <c r="Q193" s="148"/>
      <c r="R193" s="148"/>
      <c r="S193" s="148"/>
      <c r="T193" s="148"/>
      <c r="U193" s="148"/>
      <c r="V193" s="148"/>
      <c r="W193" s="148"/>
      <c r="X193" s="148"/>
      <c r="Y193" s="148"/>
      <c r="Z193" s="148"/>
      <c r="AA193" s="148"/>
      <c r="AB193" s="148"/>
      <c r="AC193" s="148"/>
      <c r="AD193" s="148"/>
      <c r="AE193" s="148"/>
      <c r="AF193" s="148"/>
      <c r="AG193" s="148"/>
    </row>
    <row r="194" spans="1:33" ht="13.8">
      <c r="A194" s="166">
        <v>353</v>
      </c>
      <c r="B194" s="167" t="s">
        <v>9277</v>
      </c>
      <c r="C194" s="168" t="s">
        <v>9278</v>
      </c>
      <c r="D194" s="168">
        <v>3</v>
      </c>
      <c r="E194" s="168" t="s">
        <v>8878</v>
      </c>
      <c r="F194" s="168" t="s">
        <v>8890</v>
      </c>
      <c r="G194" s="169" t="s">
        <v>9279</v>
      </c>
      <c r="H194" s="154">
        <v>45849</v>
      </c>
      <c r="I194" s="168">
        <v>2025</v>
      </c>
      <c r="J194" s="170"/>
      <c r="K194" s="168" t="s">
        <v>8887</v>
      </c>
      <c r="L194" s="170"/>
      <c r="M194" s="168" t="s">
        <v>5675</v>
      </c>
      <c r="N194" s="171">
        <v>45992</v>
      </c>
      <c r="O194" s="148"/>
      <c r="P194" s="148"/>
      <c r="Q194" s="148"/>
      <c r="R194" s="148"/>
      <c r="S194" s="148"/>
      <c r="T194" s="148"/>
      <c r="U194" s="148"/>
      <c r="V194" s="148"/>
      <c r="W194" s="148"/>
      <c r="X194" s="148"/>
      <c r="Y194" s="148"/>
      <c r="Z194" s="148"/>
      <c r="AA194" s="148"/>
      <c r="AB194" s="148"/>
      <c r="AC194" s="148"/>
      <c r="AD194" s="148"/>
      <c r="AE194" s="148"/>
      <c r="AF194" s="148"/>
      <c r="AG194" s="148"/>
    </row>
    <row r="195" spans="1:33" ht="13.8">
      <c r="A195" s="166">
        <v>354</v>
      </c>
      <c r="B195" s="167" t="s">
        <v>9280</v>
      </c>
      <c r="C195" s="168" t="s">
        <v>9281</v>
      </c>
      <c r="D195" s="168">
        <v>4</v>
      </c>
      <c r="E195" s="168" t="s">
        <v>8878</v>
      </c>
      <c r="F195" s="168" t="s">
        <v>8956</v>
      </c>
      <c r="G195" s="169" t="s">
        <v>9282</v>
      </c>
      <c r="H195" s="154">
        <v>45845</v>
      </c>
      <c r="I195" s="168">
        <v>2025</v>
      </c>
      <c r="J195" s="170"/>
      <c r="K195" s="168" t="s">
        <v>8887</v>
      </c>
      <c r="L195" s="170"/>
      <c r="M195" s="168" t="s">
        <v>649</v>
      </c>
      <c r="N195" s="171">
        <v>45968</v>
      </c>
      <c r="O195" s="148"/>
      <c r="P195" s="148"/>
      <c r="Q195" s="148"/>
      <c r="R195" s="148"/>
      <c r="S195" s="148"/>
      <c r="T195" s="148"/>
      <c r="U195" s="148"/>
      <c r="V195" s="148"/>
      <c r="W195" s="148"/>
      <c r="X195" s="148"/>
      <c r="Y195" s="148"/>
      <c r="Z195" s="148"/>
      <c r="AA195" s="148"/>
      <c r="AB195" s="148"/>
      <c r="AC195" s="148"/>
      <c r="AD195" s="148"/>
      <c r="AE195" s="148"/>
      <c r="AF195" s="148"/>
      <c r="AG195" s="148"/>
    </row>
    <row r="196" spans="1:33" ht="13.8">
      <c r="A196" s="166">
        <v>355</v>
      </c>
      <c r="B196" s="167" t="s">
        <v>9283</v>
      </c>
      <c r="C196" s="168" t="s">
        <v>9284</v>
      </c>
      <c r="D196" s="168">
        <v>3</v>
      </c>
      <c r="E196" s="168" t="s">
        <v>8878</v>
      </c>
      <c r="F196" s="168" t="s">
        <v>8956</v>
      </c>
      <c r="G196" s="169" t="s">
        <v>9285</v>
      </c>
      <c r="H196" s="154">
        <v>45883</v>
      </c>
      <c r="I196" s="168">
        <v>2025</v>
      </c>
      <c r="J196" s="170"/>
      <c r="K196" s="168" t="s">
        <v>8887</v>
      </c>
      <c r="L196" s="170"/>
      <c r="M196" s="168" t="s">
        <v>4790</v>
      </c>
      <c r="N196" s="171">
        <v>45968</v>
      </c>
      <c r="O196" s="148"/>
      <c r="P196" s="148"/>
      <c r="Q196" s="148"/>
      <c r="R196" s="148"/>
      <c r="S196" s="148"/>
      <c r="T196" s="148"/>
      <c r="U196" s="148"/>
      <c r="V196" s="148"/>
      <c r="W196" s="148"/>
      <c r="X196" s="148"/>
      <c r="Y196" s="148"/>
      <c r="Z196" s="148"/>
      <c r="AA196" s="148"/>
      <c r="AB196" s="148"/>
      <c r="AC196" s="148"/>
      <c r="AD196" s="148"/>
      <c r="AE196" s="148"/>
      <c r="AF196" s="148"/>
      <c r="AG196" s="148"/>
    </row>
    <row r="197" spans="1:33" ht="13.8">
      <c r="A197" s="166">
        <v>356</v>
      </c>
      <c r="B197" s="167" t="s">
        <v>9286</v>
      </c>
      <c r="C197" s="168" t="s">
        <v>9287</v>
      </c>
      <c r="D197" s="168">
        <v>1</v>
      </c>
      <c r="E197" s="168" t="s">
        <v>8878</v>
      </c>
      <c r="F197" s="168" t="s">
        <v>8956</v>
      </c>
      <c r="G197" s="169" t="s">
        <v>9288</v>
      </c>
      <c r="H197" s="154">
        <v>45853</v>
      </c>
      <c r="I197" s="168">
        <v>2025</v>
      </c>
      <c r="J197" s="170"/>
      <c r="K197" s="168" t="s">
        <v>8887</v>
      </c>
      <c r="L197" s="170"/>
      <c r="M197" s="168" t="s">
        <v>5658</v>
      </c>
      <c r="N197" s="171">
        <v>45968</v>
      </c>
      <c r="O197" s="148"/>
      <c r="P197" s="148"/>
      <c r="Q197" s="148"/>
      <c r="R197" s="148"/>
      <c r="S197" s="148"/>
      <c r="T197" s="148"/>
      <c r="U197" s="148"/>
      <c r="V197" s="148"/>
      <c r="W197" s="148"/>
      <c r="X197" s="148"/>
      <c r="Y197" s="148"/>
      <c r="Z197" s="148"/>
      <c r="AA197" s="148"/>
      <c r="AB197" s="148"/>
      <c r="AC197" s="148"/>
      <c r="AD197" s="148"/>
      <c r="AE197" s="148"/>
      <c r="AF197" s="148"/>
      <c r="AG197" s="148"/>
    </row>
    <row r="198" spans="1:33" ht="13.8">
      <c r="A198" s="166">
        <v>357</v>
      </c>
      <c r="B198" s="167" t="s">
        <v>9289</v>
      </c>
      <c r="C198" s="168" t="s">
        <v>9290</v>
      </c>
      <c r="D198" s="168">
        <v>8</v>
      </c>
      <c r="E198" s="168" t="s">
        <v>8878</v>
      </c>
      <c r="F198" s="168" t="s">
        <v>8956</v>
      </c>
      <c r="G198" s="169" t="s">
        <v>9291</v>
      </c>
      <c r="H198" s="154">
        <v>45867</v>
      </c>
      <c r="I198" s="168">
        <v>2025</v>
      </c>
      <c r="J198" s="170"/>
      <c r="K198" s="168" t="s">
        <v>8887</v>
      </c>
      <c r="L198" s="170"/>
      <c r="M198" s="168" t="s">
        <v>5896</v>
      </c>
      <c r="N198" s="172">
        <v>45972</v>
      </c>
      <c r="O198" s="148"/>
      <c r="P198" s="148"/>
      <c r="Q198" s="148"/>
      <c r="R198" s="148"/>
      <c r="S198" s="148"/>
      <c r="T198" s="148"/>
      <c r="U198" s="148"/>
      <c r="V198" s="148"/>
      <c r="W198" s="148"/>
      <c r="X198" s="148"/>
      <c r="Y198" s="148"/>
      <c r="Z198" s="148"/>
      <c r="AA198" s="148"/>
      <c r="AB198" s="148"/>
      <c r="AC198" s="148"/>
      <c r="AD198" s="148"/>
      <c r="AE198" s="148"/>
      <c r="AF198" s="148"/>
      <c r="AG198" s="148"/>
    </row>
    <row r="199" spans="1:33" ht="13.8">
      <c r="A199" s="166">
        <v>358</v>
      </c>
      <c r="B199" s="167" t="s">
        <v>9292</v>
      </c>
      <c r="C199" s="168" t="s">
        <v>9293</v>
      </c>
      <c r="D199" s="168">
        <v>5</v>
      </c>
      <c r="E199" s="168" t="s">
        <v>8878</v>
      </c>
      <c r="F199" s="168" t="s">
        <v>8956</v>
      </c>
      <c r="G199" s="169" t="s">
        <v>9294</v>
      </c>
      <c r="H199" s="154">
        <v>45916</v>
      </c>
      <c r="I199" s="168">
        <v>2025</v>
      </c>
      <c r="J199" s="170"/>
      <c r="K199" s="168" t="s">
        <v>8887</v>
      </c>
      <c r="L199" s="170"/>
      <c r="M199" s="168" t="s">
        <v>6025</v>
      </c>
      <c r="N199" s="172">
        <v>45972</v>
      </c>
      <c r="O199" s="148"/>
      <c r="P199" s="148"/>
      <c r="Q199" s="148"/>
      <c r="R199" s="148"/>
      <c r="S199" s="148"/>
      <c r="T199" s="148"/>
      <c r="U199" s="148"/>
      <c r="V199" s="148"/>
      <c r="W199" s="148"/>
      <c r="X199" s="148"/>
      <c r="Y199" s="148"/>
      <c r="Z199" s="148"/>
      <c r="AA199" s="148"/>
      <c r="AB199" s="148"/>
      <c r="AC199" s="148"/>
      <c r="AD199" s="148"/>
      <c r="AE199" s="148"/>
      <c r="AF199" s="148"/>
      <c r="AG199" s="148"/>
    </row>
    <row r="200" spans="1:33" ht="13.8">
      <c r="A200" s="166">
        <v>359</v>
      </c>
      <c r="B200" s="167" t="s">
        <v>9295</v>
      </c>
      <c r="C200" s="168" t="s">
        <v>9296</v>
      </c>
      <c r="D200" s="168">
        <v>6</v>
      </c>
      <c r="E200" s="168" t="s">
        <v>8878</v>
      </c>
      <c r="F200" s="168" t="s">
        <v>8956</v>
      </c>
      <c r="G200" s="169" t="s">
        <v>9297</v>
      </c>
      <c r="H200" s="154">
        <v>45893</v>
      </c>
      <c r="I200" s="168">
        <v>2025</v>
      </c>
      <c r="J200" s="170"/>
      <c r="K200" s="168" t="s">
        <v>8887</v>
      </c>
      <c r="L200" s="170"/>
      <c r="M200" s="168" t="s">
        <v>6159</v>
      </c>
      <c r="N200" s="172">
        <v>45972</v>
      </c>
      <c r="O200" s="148"/>
      <c r="P200" s="148"/>
      <c r="Q200" s="148"/>
      <c r="R200" s="148"/>
      <c r="S200" s="148"/>
      <c r="T200" s="148"/>
      <c r="U200" s="148"/>
      <c r="V200" s="148"/>
      <c r="W200" s="148"/>
      <c r="X200" s="148"/>
      <c r="Y200" s="148"/>
      <c r="Z200" s="148"/>
      <c r="AA200" s="148"/>
      <c r="AB200" s="148"/>
      <c r="AC200" s="148"/>
      <c r="AD200" s="148"/>
      <c r="AE200" s="148"/>
      <c r="AF200" s="148"/>
      <c r="AG200" s="148"/>
    </row>
    <row r="201" spans="1:33" ht="13.8">
      <c r="A201" s="166">
        <v>360</v>
      </c>
      <c r="B201" s="167" t="s">
        <v>9298</v>
      </c>
      <c r="C201" s="168" t="s">
        <v>9299</v>
      </c>
      <c r="D201" s="168">
        <v>3</v>
      </c>
      <c r="E201" s="168" t="s">
        <v>8878</v>
      </c>
      <c r="F201" s="168" t="s">
        <v>8956</v>
      </c>
      <c r="G201" s="169" t="s">
        <v>9300</v>
      </c>
      <c r="H201" s="154">
        <v>45880</v>
      </c>
      <c r="I201" s="168">
        <v>2025</v>
      </c>
      <c r="J201" s="168" t="s">
        <v>9301</v>
      </c>
      <c r="K201" s="168" t="s">
        <v>8887</v>
      </c>
      <c r="L201" s="170"/>
      <c r="M201" s="168" t="s">
        <v>6308</v>
      </c>
      <c r="N201" s="172">
        <v>45979</v>
      </c>
      <c r="O201" s="148"/>
      <c r="P201" s="148"/>
      <c r="Q201" s="148"/>
      <c r="R201" s="148"/>
      <c r="S201" s="148"/>
      <c r="T201" s="148"/>
      <c r="U201" s="148"/>
      <c r="V201" s="148"/>
      <c r="W201" s="148"/>
      <c r="X201" s="148"/>
      <c r="Y201" s="148"/>
      <c r="Z201" s="148"/>
      <c r="AA201" s="148"/>
      <c r="AB201" s="148"/>
      <c r="AC201" s="148"/>
      <c r="AD201" s="148"/>
      <c r="AE201" s="148"/>
      <c r="AF201" s="148"/>
      <c r="AG201" s="148"/>
    </row>
    <row r="202" spans="1:33" ht="13.8">
      <c r="A202" s="166">
        <v>361</v>
      </c>
      <c r="B202" s="167" t="s">
        <v>9302</v>
      </c>
      <c r="C202" s="168" t="s">
        <v>9303</v>
      </c>
      <c r="D202" s="168">
        <v>12</v>
      </c>
      <c r="E202" s="168" t="s">
        <v>8878</v>
      </c>
      <c r="F202" s="168" t="s">
        <v>8956</v>
      </c>
      <c r="G202" s="169" t="s">
        <v>9304</v>
      </c>
      <c r="H202" s="154">
        <v>45782</v>
      </c>
      <c r="I202" s="168">
        <v>2025</v>
      </c>
      <c r="J202" s="170"/>
      <c r="K202" s="168" t="s">
        <v>8887</v>
      </c>
      <c r="L202" s="170"/>
      <c r="M202" s="168" t="s">
        <v>5977</v>
      </c>
      <c r="N202" s="172">
        <v>45982</v>
      </c>
      <c r="O202" s="148"/>
      <c r="P202" s="148"/>
      <c r="Q202" s="148"/>
      <c r="R202" s="148"/>
      <c r="S202" s="148"/>
      <c r="T202" s="148"/>
      <c r="U202" s="148"/>
      <c r="V202" s="148"/>
      <c r="W202" s="148"/>
      <c r="X202" s="148"/>
      <c r="Y202" s="148"/>
      <c r="Z202" s="148"/>
      <c r="AA202" s="148"/>
      <c r="AB202" s="148"/>
      <c r="AC202" s="148"/>
      <c r="AD202" s="148"/>
      <c r="AE202" s="148"/>
      <c r="AF202" s="148"/>
      <c r="AG202" s="148"/>
    </row>
    <row r="203" spans="1:33" ht="13.8">
      <c r="A203" s="166">
        <v>362</v>
      </c>
      <c r="B203" s="167" t="s">
        <v>9305</v>
      </c>
      <c r="C203" s="168" t="s">
        <v>9306</v>
      </c>
      <c r="D203" s="168">
        <v>7</v>
      </c>
      <c r="E203" s="168" t="s">
        <v>8878</v>
      </c>
      <c r="F203" s="168" t="s">
        <v>8956</v>
      </c>
      <c r="G203" s="169" t="s">
        <v>9307</v>
      </c>
      <c r="H203" s="154">
        <v>45873</v>
      </c>
      <c r="I203" s="168">
        <v>2025</v>
      </c>
      <c r="J203" s="170"/>
      <c r="K203" s="168" t="s">
        <v>8887</v>
      </c>
      <c r="L203" s="170"/>
      <c r="M203" s="168" t="s">
        <v>4838</v>
      </c>
      <c r="N203" s="172">
        <v>45985</v>
      </c>
      <c r="O203" s="148"/>
      <c r="P203" s="148"/>
      <c r="Q203" s="148"/>
      <c r="R203" s="148"/>
      <c r="S203" s="148"/>
      <c r="T203" s="148"/>
      <c r="U203" s="148"/>
      <c r="V203" s="148"/>
      <c r="W203" s="148"/>
      <c r="X203" s="148"/>
      <c r="Y203" s="148"/>
      <c r="Z203" s="148"/>
      <c r="AA203" s="148"/>
      <c r="AB203" s="148"/>
      <c r="AC203" s="148"/>
      <c r="AD203" s="148"/>
      <c r="AE203" s="148"/>
      <c r="AF203" s="148"/>
      <c r="AG203" s="148"/>
    </row>
    <row r="204" spans="1:33" ht="13.8">
      <c r="A204" s="166">
        <v>363</v>
      </c>
      <c r="B204" s="167" t="s">
        <v>9308</v>
      </c>
      <c r="C204" s="168" t="s">
        <v>9309</v>
      </c>
      <c r="D204" s="168">
        <v>3</v>
      </c>
      <c r="E204" s="168" t="s">
        <v>8878</v>
      </c>
      <c r="F204" s="168" t="s">
        <v>8956</v>
      </c>
      <c r="G204" s="169" t="s">
        <v>9310</v>
      </c>
      <c r="H204" s="154">
        <v>45878</v>
      </c>
      <c r="I204" s="168">
        <v>2025</v>
      </c>
      <c r="J204" s="168" t="s">
        <v>9311</v>
      </c>
      <c r="K204" s="168" t="s">
        <v>8887</v>
      </c>
      <c r="L204" s="170"/>
      <c r="M204" s="168" t="s">
        <v>5599</v>
      </c>
      <c r="N204" s="172">
        <v>45986</v>
      </c>
      <c r="O204" s="148"/>
      <c r="P204" s="148"/>
      <c r="Q204" s="148"/>
      <c r="R204" s="148"/>
      <c r="S204" s="148"/>
      <c r="T204" s="148"/>
      <c r="U204" s="148"/>
      <c r="V204" s="148"/>
      <c r="W204" s="148"/>
      <c r="X204" s="148"/>
      <c r="Y204" s="148"/>
      <c r="Z204" s="148"/>
      <c r="AA204" s="148"/>
      <c r="AB204" s="148"/>
      <c r="AC204" s="148"/>
      <c r="AD204" s="148"/>
      <c r="AE204" s="148"/>
      <c r="AF204" s="148"/>
      <c r="AG204" s="148"/>
    </row>
    <row r="205" spans="1:33" ht="13.8">
      <c r="A205" s="166">
        <v>364</v>
      </c>
      <c r="B205" s="167" t="s">
        <v>9312</v>
      </c>
      <c r="C205" s="168" t="s">
        <v>9313</v>
      </c>
      <c r="D205" s="168">
        <v>12</v>
      </c>
      <c r="E205" s="168" t="s">
        <v>8878</v>
      </c>
      <c r="F205" s="168" t="s">
        <v>8956</v>
      </c>
      <c r="G205" s="169" t="s">
        <v>9314</v>
      </c>
      <c r="H205" s="154">
        <v>45889</v>
      </c>
      <c r="I205" s="168">
        <v>2025</v>
      </c>
      <c r="J205" s="170"/>
      <c r="K205" s="168" t="s">
        <v>8887</v>
      </c>
      <c r="L205" s="170"/>
      <c r="M205" s="168" t="s">
        <v>6086</v>
      </c>
      <c r="N205" s="172">
        <v>45986</v>
      </c>
      <c r="O205" s="148"/>
      <c r="P205" s="148"/>
      <c r="Q205" s="148"/>
      <c r="R205" s="148"/>
      <c r="S205" s="148"/>
      <c r="T205" s="148"/>
      <c r="U205" s="148"/>
      <c r="V205" s="148"/>
      <c r="W205" s="148"/>
      <c r="X205" s="148"/>
      <c r="Y205" s="148"/>
      <c r="Z205" s="148"/>
      <c r="AA205" s="148"/>
      <c r="AB205" s="148"/>
      <c r="AC205" s="148"/>
      <c r="AD205" s="148"/>
      <c r="AE205" s="148"/>
      <c r="AF205" s="148"/>
      <c r="AG205" s="148"/>
    </row>
    <row r="206" spans="1:33" ht="13.8">
      <c r="A206" s="166">
        <v>365</v>
      </c>
      <c r="B206" s="167" t="s">
        <v>9315</v>
      </c>
      <c r="C206" s="168" t="s">
        <v>9316</v>
      </c>
      <c r="D206" s="168">
        <v>3</v>
      </c>
      <c r="E206" s="168" t="s">
        <v>8878</v>
      </c>
      <c r="F206" s="168" t="s">
        <v>8956</v>
      </c>
      <c r="G206" s="169" t="s">
        <v>9317</v>
      </c>
      <c r="H206" s="154">
        <v>45811</v>
      </c>
      <c r="I206" s="168">
        <v>2025</v>
      </c>
      <c r="J206" s="168" t="s">
        <v>8985</v>
      </c>
      <c r="K206" s="168" t="s">
        <v>8887</v>
      </c>
      <c r="L206" s="170"/>
      <c r="M206" s="168" t="s">
        <v>5623</v>
      </c>
      <c r="N206" s="172">
        <v>45988</v>
      </c>
      <c r="O206" s="148"/>
      <c r="P206" s="148"/>
      <c r="Q206" s="148"/>
      <c r="R206" s="148"/>
      <c r="S206" s="148"/>
      <c r="T206" s="148"/>
      <c r="U206" s="148"/>
      <c r="V206" s="148"/>
      <c r="W206" s="148"/>
      <c r="X206" s="148"/>
      <c r="Y206" s="148"/>
      <c r="Z206" s="148"/>
      <c r="AA206" s="148"/>
      <c r="AB206" s="148"/>
      <c r="AC206" s="148"/>
      <c r="AD206" s="148"/>
      <c r="AE206" s="148"/>
      <c r="AF206" s="148"/>
      <c r="AG206" s="148"/>
    </row>
    <row r="207" spans="1:33" ht="13.8">
      <c r="A207" s="166">
        <v>366</v>
      </c>
      <c r="B207" s="167" t="s">
        <v>9318</v>
      </c>
      <c r="C207" s="168" t="s">
        <v>9319</v>
      </c>
      <c r="D207" s="168">
        <v>3</v>
      </c>
      <c r="E207" s="168" t="s">
        <v>8878</v>
      </c>
      <c r="F207" s="168" t="s">
        <v>8956</v>
      </c>
      <c r="G207" s="169" t="s">
        <v>9320</v>
      </c>
      <c r="H207" s="154">
        <v>45819</v>
      </c>
      <c r="I207" s="168">
        <v>2025</v>
      </c>
      <c r="J207" s="168" t="s">
        <v>8985</v>
      </c>
      <c r="K207" s="168" t="s">
        <v>8887</v>
      </c>
      <c r="L207" s="170"/>
      <c r="M207" s="168" t="s">
        <v>5623</v>
      </c>
      <c r="N207" s="172">
        <v>45988</v>
      </c>
      <c r="O207" s="148"/>
      <c r="P207" s="148"/>
      <c r="Q207" s="148"/>
      <c r="R207" s="148"/>
      <c r="S207" s="148"/>
      <c r="T207" s="148"/>
      <c r="U207" s="148"/>
      <c r="V207" s="148"/>
      <c r="W207" s="148"/>
      <c r="X207" s="148"/>
      <c r="Y207" s="148"/>
      <c r="Z207" s="148"/>
      <c r="AA207" s="148"/>
      <c r="AB207" s="148"/>
      <c r="AC207" s="148"/>
      <c r="AD207" s="148"/>
      <c r="AE207" s="148"/>
      <c r="AF207" s="148"/>
      <c r="AG207" s="148"/>
    </row>
    <row r="208" spans="1:33" ht="13.8">
      <c r="A208" s="166">
        <v>367</v>
      </c>
      <c r="B208" s="167" t="s">
        <v>9321</v>
      </c>
      <c r="C208" s="168" t="s">
        <v>9322</v>
      </c>
      <c r="D208" s="168">
        <v>4</v>
      </c>
      <c r="E208" s="168" t="s">
        <v>8878</v>
      </c>
      <c r="F208" s="168" t="s">
        <v>8956</v>
      </c>
      <c r="G208" s="169" t="s">
        <v>9323</v>
      </c>
      <c r="H208" s="154">
        <v>45778</v>
      </c>
      <c r="I208" s="168">
        <v>2025</v>
      </c>
      <c r="J208" s="168" t="s">
        <v>9324</v>
      </c>
      <c r="K208" s="168" t="s">
        <v>8887</v>
      </c>
      <c r="L208" s="170"/>
      <c r="M208" s="168" t="s">
        <v>5623</v>
      </c>
      <c r="N208" s="172">
        <v>45989</v>
      </c>
      <c r="O208" s="148"/>
      <c r="P208" s="148"/>
      <c r="Q208" s="148"/>
      <c r="R208" s="148"/>
      <c r="S208" s="148"/>
      <c r="T208" s="148"/>
      <c r="U208" s="148"/>
      <c r="V208" s="148"/>
      <c r="W208" s="148"/>
      <c r="X208" s="148"/>
      <c r="Y208" s="148"/>
      <c r="Z208" s="148"/>
      <c r="AA208" s="148"/>
      <c r="AB208" s="148"/>
      <c r="AC208" s="148"/>
      <c r="AD208" s="148"/>
      <c r="AE208" s="148"/>
      <c r="AF208" s="148"/>
      <c r="AG208" s="148"/>
    </row>
    <row r="209" spans="1:33" ht="13.8">
      <c r="A209" s="166">
        <v>368</v>
      </c>
      <c r="B209" s="167" t="s">
        <v>9325</v>
      </c>
      <c r="C209" s="168" t="s">
        <v>9326</v>
      </c>
      <c r="D209" s="168">
        <v>6</v>
      </c>
      <c r="E209" s="168" t="s">
        <v>8878</v>
      </c>
      <c r="F209" s="168" t="s">
        <v>9011</v>
      </c>
      <c r="G209" s="169" t="s">
        <v>9327</v>
      </c>
      <c r="H209" s="156">
        <v>45951</v>
      </c>
      <c r="I209" s="168">
        <v>2025</v>
      </c>
      <c r="J209" s="168" t="s">
        <v>8934</v>
      </c>
      <c r="K209" s="168" t="s">
        <v>8887</v>
      </c>
      <c r="L209" s="170"/>
      <c r="M209" s="168" t="s">
        <v>5858</v>
      </c>
      <c r="N209" s="172">
        <v>45982</v>
      </c>
      <c r="O209" s="148"/>
      <c r="P209" s="148"/>
      <c r="Q209" s="148"/>
      <c r="R209" s="148"/>
      <c r="S209" s="148"/>
      <c r="T209" s="148"/>
      <c r="U209" s="148"/>
      <c r="V209" s="148"/>
      <c r="W209" s="148"/>
      <c r="X209" s="148"/>
      <c r="Y209" s="148"/>
      <c r="Z209" s="148"/>
      <c r="AA209" s="148"/>
      <c r="AB209" s="148"/>
      <c r="AC209" s="148"/>
      <c r="AD209" s="148"/>
      <c r="AE209" s="148"/>
      <c r="AF209" s="148"/>
      <c r="AG209" s="148"/>
    </row>
    <row r="210" spans="1:33" ht="13.8">
      <c r="A210" s="166">
        <v>369</v>
      </c>
      <c r="B210" s="167" t="s">
        <v>9328</v>
      </c>
      <c r="C210" s="168" t="s">
        <v>9329</v>
      </c>
      <c r="D210" s="168">
        <v>10</v>
      </c>
      <c r="E210" s="168" t="s">
        <v>8878</v>
      </c>
      <c r="F210" s="168" t="s">
        <v>9011</v>
      </c>
      <c r="G210" s="169" t="s">
        <v>9330</v>
      </c>
      <c r="H210" s="154">
        <v>45875</v>
      </c>
      <c r="I210" s="168">
        <v>2025</v>
      </c>
      <c r="J210" s="170"/>
      <c r="K210" s="168" t="s">
        <v>8887</v>
      </c>
      <c r="L210" s="170"/>
      <c r="M210" s="168" t="s">
        <v>6086</v>
      </c>
      <c r="N210" s="172">
        <v>45986</v>
      </c>
      <c r="O210" s="148"/>
      <c r="P210" s="148"/>
      <c r="Q210" s="148"/>
      <c r="R210" s="148"/>
      <c r="S210" s="148"/>
      <c r="T210" s="148"/>
      <c r="U210" s="148"/>
      <c r="V210" s="148"/>
      <c r="W210" s="148"/>
      <c r="X210" s="148"/>
      <c r="Y210" s="148"/>
      <c r="Z210" s="148"/>
      <c r="AA210" s="148"/>
      <c r="AB210" s="148"/>
      <c r="AC210" s="148"/>
      <c r="AD210" s="148"/>
      <c r="AE210" s="148"/>
      <c r="AF210" s="148"/>
      <c r="AG210" s="148"/>
    </row>
    <row r="211" spans="1:33" ht="13.8">
      <c r="A211" s="166">
        <v>370</v>
      </c>
      <c r="B211" s="167" t="s">
        <v>9331</v>
      </c>
      <c r="C211" s="168" t="s">
        <v>9332</v>
      </c>
      <c r="D211" s="168">
        <v>6</v>
      </c>
      <c r="E211" s="168" t="s">
        <v>9023</v>
      </c>
      <c r="F211" s="168" t="s">
        <v>8885</v>
      </c>
      <c r="G211" s="169" t="s">
        <v>9333</v>
      </c>
      <c r="H211" s="154">
        <v>45870</v>
      </c>
      <c r="I211" s="168">
        <v>2025</v>
      </c>
      <c r="J211" s="168" t="s">
        <v>9334</v>
      </c>
      <c r="K211" s="168" t="s">
        <v>8887</v>
      </c>
      <c r="L211" s="170"/>
      <c r="M211" s="168" t="s">
        <v>6405</v>
      </c>
      <c r="N211" s="171">
        <v>45964</v>
      </c>
      <c r="O211" s="148"/>
      <c r="P211" s="148"/>
      <c r="Q211" s="148"/>
      <c r="R211" s="148"/>
      <c r="S211" s="148"/>
      <c r="T211" s="148"/>
      <c r="U211" s="148"/>
      <c r="V211" s="148"/>
      <c r="W211" s="148"/>
      <c r="X211" s="148"/>
      <c r="Y211" s="148"/>
      <c r="Z211" s="148"/>
      <c r="AA211" s="148"/>
      <c r="AB211" s="148"/>
      <c r="AC211" s="148"/>
      <c r="AD211" s="148"/>
      <c r="AE211" s="148"/>
      <c r="AF211" s="148"/>
      <c r="AG211" s="148"/>
    </row>
    <row r="212" spans="1:33" ht="13.8">
      <c r="A212" s="166">
        <v>371</v>
      </c>
      <c r="B212" s="167" t="s">
        <v>9335</v>
      </c>
      <c r="C212" s="168" t="s">
        <v>9336</v>
      </c>
      <c r="D212" s="168">
        <v>9</v>
      </c>
      <c r="E212" s="168" t="s">
        <v>9023</v>
      </c>
      <c r="F212" s="168" t="s">
        <v>8890</v>
      </c>
      <c r="G212" s="169" t="s">
        <v>9337</v>
      </c>
      <c r="H212" s="156">
        <v>45942</v>
      </c>
      <c r="I212" s="168">
        <v>2025</v>
      </c>
      <c r="J212" s="168" t="s">
        <v>8879</v>
      </c>
      <c r="K212" s="168" t="s">
        <v>8887</v>
      </c>
      <c r="L212" s="170"/>
      <c r="M212" s="168" t="s">
        <v>6405</v>
      </c>
      <c r="N212" s="171">
        <v>45964</v>
      </c>
      <c r="O212" s="148"/>
      <c r="P212" s="148"/>
      <c r="Q212" s="148"/>
      <c r="R212" s="148"/>
      <c r="S212" s="148"/>
      <c r="T212" s="148"/>
      <c r="U212" s="148"/>
      <c r="V212" s="148"/>
      <c r="W212" s="148"/>
      <c r="X212" s="148"/>
      <c r="Y212" s="148"/>
      <c r="Z212" s="148"/>
      <c r="AA212" s="148"/>
      <c r="AB212" s="148"/>
      <c r="AC212" s="148"/>
      <c r="AD212" s="148"/>
      <c r="AE212" s="148"/>
      <c r="AF212" s="148"/>
      <c r="AG212" s="148"/>
    </row>
    <row r="213" spans="1:33" ht="13.8">
      <c r="A213" s="166">
        <v>372</v>
      </c>
      <c r="B213" s="167" t="s">
        <v>9338</v>
      </c>
      <c r="C213" s="168" t="s">
        <v>9339</v>
      </c>
      <c r="D213" s="168">
        <v>3</v>
      </c>
      <c r="E213" s="168" t="s">
        <v>9023</v>
      </c>
      <c r="F213" s="168" t="s">
        <v>8890</v>
      </c>
      <c r="G213" s="169" t="s">
        <v>9340</v>
      </c>
      <c r="H213" s="154">
        <v>45891</v>
      </c>
      <c r="I213" s="168">
        <v>2025</v>
      </c>
      <c r="J213" s="168" t="s">
        <v>8934</v>
      </c>
      <c r="K213" s="168" t="s">
        <v>8887</v>
      </c>
      <c r="L213" s="170"/>
      <c r="M213" s="168" t="s">
        <v>5951</v>
      </c>
      <c r="N213" s="172">
        <v>45972</v>
      </c>
      <c r="O213" s="148"/>
      <c r="P213" s="148"/>
      <c r="Q213" s="148"/>
      <c r="R213" s="148"/>
      <c r="S213" s="148"/>
      <c r="T213" s="148"/>
      <c r="U213" s="148"/>
      <c r="V213" s="148"/>
      <c r="W213" s="148"/>
      <c r="X213" s="148"/>
      <c r="Y213" s="148"/>
      <c r="Z213" s="148"/>
      <c r="AA213" s="148"/>
      <c r="AB213" s="148"/>
      <c r="AC213" s="148"/>
      <c r="AD213" s="148"/>
      <c r="AE213" s="148"/>
      <c r="AF213" s="148"/>
      <c r="AG213" s="148"/>
    </row>
    <row r="214" spans="1:33" ht="13.8">
      <c r="A214" s="166">
        <v>373</v>
      </c>
      <c r="B214" s="167" t="s">
        <v>9341</v>
      </c>
      <c r="C214" s="168" t="s">
        <v>9342</v>
      </c>
      <c r="D214" s="168">
        <v>3</v>
      </c>
      <c r="E214" s="168" t="s">
        <v>9023</v>
      </c>
      <c r="F214" s="168" t="s">
        <v>8890</v>
      </c>
      <c r="G214" s="169" t="s">
        <v>9343</v>
      </c>
      <c r="H214" s="154">
        <v>45873</v>
      </c>
      <c r="I214" s="168">
        <v>2025</v>
      </c>
      <c r="J214" s="170"/>
      <c r="K214" s="168" t="s">
        <v>8887</v>
      </c>
      <c r="L214" s="170"/>
      <c r="M214" s="168" t="s">
        <v>4810</v>
      </c>
      <c r="N214" s="172">
        <v>45985</v>
      </c>
      <c r="O214" s="148"/>
      <c r="P214" s="148"/>
      <c r="Q214" s="148"/>
      <c r="R214" s="148"/>
      <c r="S214" s="148"/>
      <c r="T214" s="148"/>
      <c r="U214" s="148"/>
      <c r="V214" s="148"/>
      <c r="W214" s="148"/>
      <c r="X214" s="148"/>
      <c r="Y214" s="148"/>
      <c r="Z214" s="148"/>
      <c r="AA214" s="148"/>
      <c r="AB214" s="148"/>
      <c r="AC214" s="148"/>
      <c r="AD214" s="148"/>
      <c r="AE214" s="148"/>
      <c r="AF214" s="148"/>
      <c r="AG214" s="148"/>
    </row>
    <row r="215" spans="1:33" ht="13.8">
      <c r="A215" s="166">
        <v>374</v>
      </c>
      <c r="B215" s="167" t="s">
        <v>9344</v>
      </c>
      <c r="C215" s="168" t="s">
        <v>9345</v>
      </c>
      <c r="D215" s="168">
        <v>1</v>
      </c>
      <c r="E215" s="168" t="s">
        <v>9023</v>
      </c>
      <c r="F215" s="168" t="s">
        <v>8890</v>
      </c>
      <c r="G215" s="169" t="s">
        <v>9346</v>
      </c>
      <c r="H215" s="154">
        <v>45901</v>
      </c>
      <c r="I215" s="168">
        <v>2025</v>
      </c>
      <c r="J215" s="170"/>
      <c r="K215" s="168" t="s">
        <v>8887</v>
      </c>
      <c r="L215" s="170"/>
      <c r="M215" s="168" t="s">
        <v>7028</v>
      </c>
      <c r="N215" s="172">
        <v>45985</v>
      </c>
      <c r="O215" s="148"/>
      <c r="P215" s="148"/>
      <c r="Q215" s="148"/>
      <c r="R215" s="148"/>
      <c r="S215" s="148"/>
      <c r="T215" s="148"/>
      <c r="U215" s="148"/>
      <c r="V215" s="148"/>
      <c r="W215" s="148"/>
      <c r="X215" s="148"/>
      <c r="Y215" s="148"/>
      <c r="Z215" s="148"/>
      <c r="AA215" s="148"/>
      <c r="AB215" s="148"/>
      <c r="AC215" s="148"/>
      <c r="AD215" s="148"/>
      <c r="AE215" s="148"/>
      <c r="AF215" s="148"/>
      <c r="AG215" s="148"/>
    </row>
    <row r="216" spans="1:33" ht="13.8">
      <c r="A216" s="166">
        <v>375</v>
      </c>
      <c r="B216" s="167" t="s">
        <v>9347</v>
      </c>
      <c r="C216" s="168" t="s">
        <v>9348</v>
      </c>
      <c r="D216" s="168">
        <v>11</v>
      </c>
      <c r="E216" s="168" t="s">
        <v>9023</v>
      </c>
      <c r="F216" s="168" t="s">
        <v>8890</v>
      </c>
      <c r="G216" s="169" t="s">
        <v>9349</v>
      </c>
      <c r="H216" s="154">
        <v>45862</v>
      </c>
      <c r="I216" s="168">
        <v>2025</v>
      </c>
      <c r="J216" s="170"/>
      <c r="K216" s="168" t="s">
        <v>8887</v>
      </c>
      <c r="L216" s="170"/>
      <c r="M216" s="168" t="s">
        <v>6086</v>
      </c>
      <c r="N216" s="172">
        <v>45986</v>
      </c>
      <c r="O216" s="148"/>
      <c r="P216" s="148"/>
      <c r="Q216" s="148"/>
      <c r="R216" s="148"/>
      <c r="S216" s="148"/>
      <c r="T216" s="148"/>
      <c r="U216" s="148"/>
      <c r="V216" s="148"/>
      <c r="W216" s="148"/>
      <c r="X216" s="148"/>
      <c r="Y216" s="148"/>
      <c r="Z216" s="148"/>
      <c r="AA216" s="148"/>
      <c r="AB216" s="148"/>
      <c r="AC216" s="148"/>
      <c r="AD216" s="148"/>
      <c r="AE216" s="148"/>
      <c r="AF216" s="148"/>
      <c r="AG216" s="148"/>
    </row>
    <row r="217" spans="1:33" ht="13.8">
      <c r="A217" s="166">
        <v>376</v>
      </c>
      <c r="B217" s="167" t="s">
        <v>9350</v>
      </c>
      <c r="C217" s="168" t="s">
        <v>9351</v>
      </c>
      <c r="D217" s="168">
        <v>3</v>
      </c>
      <c r="E217" s="168" t="s">
        <v>9023</v>
      </c>
      <c r="F217" s="168" t="s">
        <v>8890</v>
      </c>
      <c r="G217" s="169" t="s">
        <v>9352</v>
      </c>
      <c r="H217" s="154">
        <v>45717</v>
      </c>
      <c r="I217" s="168">
        <v>2025</v>
      </c>
      <c r="J217" s="168" t="s">
        <v>9353</v>
      </c>
      <c r="K217" s="168" t="s">
        <v>8887</v>
      </c>
      <c r="L217" s="170"/>
      <c r="M217" s="168" t="s">
        <v>7051</v>
      </c>
      <c r="N217" s="172">
        <v>45987</v>
      </c>
      <c r="O217" s="148"/>
      <c r="P217" s="148"/>
      <c r="Q217" s="148"/>
      <c r="R217" s="148"/>
      <c r="S217" s="148"/>
      <c r="T217" s="148"/>
      <c r="U217" s="148"/>
      <c r="V217" s="148"/>
      <c r="W217" s="148"/>
      <c r="X217" s="148"/>
      <c r="Y217" s="148"/>
      <c r="Z217" s="148"/>
      <c r="AA217" s="148"/>
      <c r="AB217" s="148"/>
      <c r="AC217" s="148"/>
      <c r="AD217" s="148"/>
      <c r="AE217" s="148"/>
      <c r="AF217" s="148"/>
      <c r="AG217" s="148"/>
    </row>
    <row r="218" spans="1:33" ht="13.8">
      <c r="A218" s="166">
        <v>377</v>
      </c>
      <c r="B218" s="167" t="s">
        <v>9354</v>
      </c>
      <c r="C218" s="168" t="s">
        <v>9355</v>
      </c>
      <c r="D218" s="168">
        <v>2</v>
      </c>
      <c r="E218" s="168" t="s">
        <v>9023</v>
      </c>
      <c r="F218" s="168" t="s">
        <v>8890</v>
      </c>
      <c r="G218" s="169" t="s">
        <v>9356</v>
      </c>
      <c r="H218" s="154">
        <v>45838</v>
      </c>
      <c r="I218" s="168">
        <v>2025</v>
      </c>
      <c r="J218" s="170"/>
      <c r="K218" s="168" t="s">
        <v>8887</v>
      </c>
      <c r="L218" s="170"/>
      <c r="M218" s="168" t="s">
        <v>7051</v>
      </c>
      <c r="N218" s="172">
        <v>45987</v>
      </c>
      <c r="O218" s="148"/>
      <c r="P218" s="148"/>
      <c r="Q218" s="148"/>
      <c r="R218" s="148"/>
      <c r="S218" s="148"/>
      <c r="T218" s="148"/>
      <c r="U218" s="148"/>
      <c r="V218" s="148"/>
      <c r="W218" s="148"/>
      <c r="X218" s="148"/>
      <c r="Y218" s="148"/>
      <c r="Z218" s="148"/>
      <c r="AA218" s="148"/>
      <c r="AB218" s="148"/>
      <c r="AC218" s="148"/>
      <c r="AD218" s="148"/>
      <c r="AE218" s="148"/>
      <c r="AF218" s="148"/>
      <c r="AG218" s="148"/>
    </row>
    <row r="219" spans="1:33" ht="13.8">
      <c r="A219" s="166">
        <v>378</v>
      </c>
      <c r="B219" s="167" t="s">
        <v>9357</v>
      </c>
      <c r="C219" s="168" t="s">
        <v>9358</v>
      </c>
      <c r="D219" s="168">
        <v>1</v>
      </c>
      <c r="E219" s="168" t="s">
        <v>9023</v>
      </c>
      <c r="F219" s="168" t="s">
        <v>8890</v>
      </c>
      <c r="G219" s="169" t="s">
        <v>9359</v>
      </c>
      <c r="H219" s="156">
        <v>45985</v>
      </c>
      <c r="I219" s="168">
        <v>2025</v>
      </c>
      <c r="J219" s="170"/>
      <c r="K219" s="168" t="s">
        <v>8887</v>
      </c>
      <c r="L219" s="170"/>
      <c r="M219" s="168" t="s">
        <v>7051</v>
      </c>
      <c r="N219" s="172">
        <v>45987</v>
      </c>
      <c r="O219" s="148"/>
      <c r="P219" s="148"/>
      <c r="Q219" s="148"/>
      <c r="R219" s="148"/>
      <c r="S219" s="148"/>
      <c r="T219" s="148"/>
      <c r="U219" s="148"/>
      <c r="V219" s="148"/>
      <c r="W219" s="148"/>
      <c r="X219" s="148"/>
      <c r="Y219" s="148"/>
      <c r="Z219" s="148"/>
      <c r="AA219" s="148"/>
      <c r="AB219" s="148"/>
      <c r="AC219" s="148"/>
      <c r="AD219" s="148"/>
      <c r="AE219" s="148"/>
      <c r="AF219" s="148"/>
      <c r="AG219" s="148"/>
    </row>
    <row r="220" spans="1:33" ht="13.2">
      <c r="A220" s="166">
        <v>379</v>
      </c>
      <c r="B220" s="167" t="s">
        <v>9360</v>
      </c>
      <c r="C220" s="168" t="s">
        <v>9361</v>
      </c>
      <c r="D220" s="168">
        <v>1</v>
      </c>
      <c r="E220" s="168" t="s">
        <v>9023</v>
      </c>
      <c r="F220" s="168" t="s">
        <v>8890</v>
      </c>
      <c r="G220" s="169" t="s">
        <v>9362</v>
      </c>
      <c r="H220" s="156">
        <v>45988</v>
      </c>
      <c r="I220" s="168">
        <v>2025</v>
      </c>
      <c r="J220" s="168" t="s">
        <v>9363</v>
      </c>
      <c r="K220" s="168" t="s">
        <v>8873</v>
      </c>
      <c r="L220" s="168" t="s">
        <v>9364</v>
      </c>
      <c r="M220" s="168" t="s">
        <v>4826</v>
      </c>
      <c r="N220" s="172">
        <v>45990</v>
      </c>
      <c r="O220" s="148"/>
      <c r="P220" s="148"/>
      <c r="Q220" s="148"/>
      <c r="R220" s="148"/>
      <c r="S220" s="148"/>
      <c r="T220" s="148"/>
      <c r="U220" s="148"/>
      <c r="V220" s="148"/>
      <c r="W220" s="148"/>
      <c r="X220" s="148"/>
      <c r="Y220" s="148"/>
      <c r="Z220" s="148"/>
      <c r="AA220" s="148"/>
      <c r="AB220" s="148"/>
      <c r="AC220" s="148"/>
      <c r="AD220" s="148"/>
      <c r="AE220" s="148"/>
      <c r="AF220" s="148"/>
      <c r="AG220" s="148"/>
    </row>
    <row r="221" spans="1:33" ht="13.8">
      <c r="A221" s="166">
        <v>380</v>
      </c>
      <c r="B221" s="167" t="s">
        <v>9365</v>
      </c>
      <c r="C221" s="168" t="s">
        <v>9366</v>
      </c>
      <c r="D221" s="168">
        <v>6</v>
      </c>
      <c r="E221" s="168" t="s">
        <v>9023</v>
      </c>
      <c r="F221" s="168" t="s">
        <v>8956</v>
      </c>
      <c r="G221" s="169" t="s">
        <v>9367</v>
      </c>
      <c r="H221" s="154">
        <v>45915</v>
      </c>
      <c r="I221" s="168">
        <v>2025</v>
      </c>
      <c r="J221" s="168" t="s">
        <v>9368</v>
      </c>
      <c r="K221" s="168" t="s">
        <v>8887</v>
      </c>
      <c r="L221" s="170"/>
      <c r="M221" s="168" t="s">
        <v>6459</v>
      </c>
      <c r="N221" s="172">
        <v>45978</v>
      </c>
      <c r="O221" s="148"/>
      <c r="P221" s="148"/>
      <c r="Q221" s="148"/>
      <c r="R221" s="148"/>
      <c r="S221" s="148"/>
      <c r="T221" s="148"/>
      <c r="U221" s="148"/>
      <c r="V221" s="148"/>
      <c r="W221" s="148"/>
      <c r="X221" s="148"/>
      <c r="Y221" s="148"/>
      <c r="Z221" s="148"/>
      <c r="AA221" s="148"/>
      <c r="AB221" s="148"/>
      <c r="AC221" s="148"/>
      <c r="AD221" s="148"/>
      <c r="AE221" s="148"/>
      <c r="AF221" s="148"/>
      <c r="AG221" s="148"/>
    </row>
    <row r="222" spans="1:33" ht="13.8">
      <c r="A222" s="166">
        <v>381</v>
      </c>
      <c r="B222" s="167" t="s">
        <v>9369</v>
      </c>
      <c r="C222" s="168" t="s">
        <v>9370</v>
      </c>
      <c r="D222" s="168">
        <v>1</v>
      </c>
      <c r="E222" s="168" t="s">
        <v>9023</v>
      </c>
      <c r="F222" s="168" t="s">
        <v>8956</v>
      </c>
      <c r="G222" s="169" t="s">
        <v>9371</v>
      </c>
      <c r="H222" s="154">
        <v>45870</v>
      </c>
      <c r="I222" s="168">
        <v>2025</v>
      </c>
      <c r="J222" s="170"/>
      <c r="K222" s="168" t="s">
        <v>8887</v>
      </c>
      <c r="L222" s="170"/>
      <c r="M222" s="168" t="s">
        <v>5614</v>
      </c>
      <c r="N222" s="172">
        <v>45982</v>
      </c>
      <c r="O222" s="148"/>
      <c r="P222" s="148"/>
      <c r="Q222" s="148"/>
      <c r="R222" s="148"/>
      <c r="S222" s="148"/>
      <c r="T222" s="148"/>
      <c r="U222" s="148"/>
      <c r="V222" s="148"/>
      <c r="W222" s="148"/>
      <c r="X222" s="148"/>
      <c r="Y222" s="148"/>
      <c r="Z222" s="148"/>
      <c r="AA222" s="148"/>
      <c r="AB222" s="148"/>
      <c r="AC222" s="148"/>
      <c r="AD222" s="148"/>
      <c r="AE222" s="148"/>
      <c r="AF222" s="148"/>
      <c r="AG222" s="148"/>
    </row>
    <row r="223" spans="1:33" ht="13.8">
      <c r="A223" s="166">
        <v>382</v>
      </c>
      <c r="B223" s="167" t="s">
        <v>9372</v>
      </c>
      <c r="C223" s="168" t="s">
        <v>9373</v>
      </c>
      <c r="D223" s="168">
        <v>6</v>
      </c>
      <c r="E223" s="168" t="s">
        <v>9023</v>
      </c>
      <c r="F223" s="168" t="s">
        <v>8956</v>
      </c>
      <c r="G223" s="169" t="s">
        <v>9374</v>
      </c>
      <c r="H223" s="154">
        <v>45966</v>
      </c>
      <c r="I223" s="168">
        <v>2025</v>
      </c>
      <c r="J223" s="168" t="s">
        <v>9168</v>
      </c>
      <c r="K223" s="168" t="s">
        <v>8887</v>
      </c>
      <c r="L223" s="170"/>
      <c r="M223" s="168" t="s">
        <v>6842</v>
      </c>
      <c r="N223" s="172">
        <v>45983</v>
      </c>
      <c r="O223" s="148"/>
      <c r="P223" s="148"/>
      <c r="Q223" s="148"/>
      <c r="R223" s="148"/>
      <c r="S223" s="148"/>
      <c r="T223" s="148"/>
      <c r="U223" s="148"/>
      <c r="V223" s="148"/>
      <c r="W223" s="148"/>
      <c r="X223" s="148"/>
      <c r="Y223" s="148"/>
      <c r="Z223" s="148"/>
      <c r="AA223" s="148"/>
      <c r="AB223" s="148"/>
      <c r="AC223" s="148"/>
      <c r="AD223" s="148"/>
      <c r="AE223" s="148"/>
      <c r="AF223" s="148"/>
      <c r="AG223" s="148"/>
    </row>
    <row r="224" spans="1:33" ht="13.8">
      <c r="A224" s="166">
        <v>383</v>
      </c>
      <c r="B224" s="167" t="s">
        <v>9375</v>
      </c>
      <c r="C224" s="168" t="s">
        <v>9376</v>
      </c>
      <c r="D224" s="168">
        <v>8</v>
      </c>
      <c r="E224" s="168" t="s">
        <v>9023</v>
      </c>
      <c r="F224" s="168" t="s">
        <v>8956</v>
      </c>
      <c r="G224" s="169" t="s">
        <v>9377</v>
      </c>
      <c r="H224" s="154">
        <v>45934</v>
      </c>
      <c r="I224" s="168">
        <v>2025</v>
      </c>
      <c r="J224" s="170"/>
      <c r="K224" s="168" t="s">
        <v>8887</v>
      </c>
      <c r="L224" s="170"/>
      <c r="M224" s="168" t="s">
        <v>6086</v>
      </c>
      <c r="N224" s="172">
        <v>45986</v>
      </c>
      <c r="O224" s="148"/>
      <c r="P224" s="148"/>
      <c r="Q224" s="148"/>
      <c r="R224" s="148"/>
      <c r="S224" s="148"/>
      <c r="T224" s="148"/>
      <c r="U224" s="148"/>
      <c r="V224" s="148"/>
      <c r="W224" s="148"/>
      <c r="X224" s="148"/>
      <c r="Y224" s="148"/>
      <c r="Z224" s="148"/>
      <c r="AA224" s="148"/>
      <c r="AB224" s="148"/>
      <c r="AC224" s="148"/>
      <c r="AD224" s="148"/>
      <c r="AE224" s="148"/>
      <c r="AF224" s="148"/>
      <c r="AG224" s="148"/>
    </row>
    <row r="225" spans="1:33" ht="13.8">
      <c r="A225" s="166">
        <v>384</v>
      </c>
      <c r="B225" s="167" t="s">
        <v>9378</v>
      </c>
      <c r="C225" s="168" t="s">
        <v>9379</v>
      </c>
      <c r="D225" s="168">
        <v>10</v>
      </c>
      <c r="E225" s="168" t="s">
        <v>9023</v>
      </c>
      <c r="F225" s="168" t="s">
        <v>8956</v>
      </c>
      <c r="G225" s="169" t="s">
        <v>9380</v>
      </c>
      <c r="H225" s="154">
        <v>45894</v>
      </c>
      <c r="I225" s="168">
        <v>2025</v>
      </c>
      <c r="J225" s="170"/>
      <c r="K225" s="168" t="s">
        <v>8887</v>
      </c>
      <c r="L225" s="170"/>
      <c r="M225" s="168" t="s">
        <v>5896</v>
      </c>
      <c r="N225" s="172">
        <v>45986</v>
      </c>
      <c r="O225" s="148"/>
      <c r="P225" s="148"/>
      <c r="Q225" s="148"/>
      <c r="R225" s="148"/>
      <c r="S225" s="148"/>
      <c r="T225" s="148"/>
      <c r="U225" s="148"/>
      <c r="V225" s="148"/>
      <c r="W225" s="148"/>
      <c r="X225" s="148"/>
      <c r="Y225" s="148"/>
      <c r="Z225" s="148"/>
      <c r="AA225" s="148"/>
      <c r="AB225" s="148"/>
      <c r="AC225" s="148"/>
      <c r="AD225" s="148"/>
      <c r="AE225" s="148"/>
      <c r="AF225" s="148"/>
      <c r="AG225" s="148"/>
    </row>
    <row r="226" spans="1:33" ht="13.8">
      <c r="A226" s="166">
        <v>385</v>
      </c>
      <c r="B226" s="167" t="s">
        <v>9381</v>
      </c>
      <c r="C226" s="168" t="s">
        <v>9382</v>
      </c>
      <c r="D226" s="168">
        <v>2</v>
      </c>
      <c r="E226" s="168" t="s">
        <v>9023</v>
      </c>
      <c r="F226" s="168" t="s">
        <v>8956</v>
      </c>
      <c r="G226" s="169" t="s">
        <v>9383</v>
      </c>
      <c r="H226" s="154">
        <v>45901</v>
      </c>
      <c r="I226" s="168">
        <v>2025</v>
      </c>
      <c r="J226" s="170"/>
      <c r="K226" s="168" t="s">
        <v>8887</v>
      </c>
      <c r="L226" s="170"/>
      <c r="M226" s="168" t="s">
        <v>7051</v>
      </c>
      <c r="N226" s="172">
        <v>45987</v>
      </c>
      <c r="O226" s="148"/>
      <c r="P226" s="148"/>
      <c r="Q226" s="148"/>
      <c r="R226" s="148"/>
      <c r="S226" s="148"/>
      <c r="T226" s="148"/>
      <c r="U226" s="148"/>
      <c r="V226" s="148"/>
      <c r="W226" s="148"/>
      <c r="X226" s="148"/>
      <c r="Y226" s="148"/>
      <c r="Z226" s="148"/>
      <c r="AA226" s="148"/>
      <c r="AB226" s="148"/>
      <c r="AC226" s="148"/>
      <c r="AD226" s="148"/>
      <c r="AE226" s="148"/>
      <c r="AF226" s="148"/>
      <c r="AG226" s="148"/>
    </row>
    <row r="227" spans="1:33" ht="13.8">
      <c r="A227" s="166">
        <v>386</v>
      </c>
      <c r="B227" s="167" t="s">
        <v>9384</v>
      </c>
      <c r="C227" s="168" t="s">
        <v>9385</v>
      </c>
      <c r="D227" s="168">
        <v>2</v>
      </c>
      <c r="E227" s="168" t="s">
        <v>9023</v>
      </c>
      <c r="F227" s="168" t="s">
        <v>8956</v>
      </c>
      <c r="G227" s="169" t="s">
        <v>9386</v>
      </c>
      <c r="H227" s="154">
        <v>45931</v>
      </c>
      <c r="I227" s="168">
        <v>2025</v>
      </c>
      <c r="J227" s="170"/>
      <c r="K227" s="168" t="s">
        <v>8887</v>
      </c>
      <c r="L227" s="170"/>
      <c r="M227" s="168" t="s">
        <v>7051</v>
      </c>
      <c r="N227" s="172">
        <v>45987</v>
      </c>
      <c r="O227" s="148"/>
      <c r="P227" s="148"/>
      <c r="Q227" s="148"/>
      <c r="R227" s="148"/>
      <c r="S227" s="148"/>
      <c r="T227" s="148"/>
      <c r="U227" s="148"/>
      <c r="V227" s="148"/>
      <c r="W227" s="148"/>
      <c r="X227" s="148"/>
      <c r="Y227" s="148"/>
      <c r="Z227" s="148"/>
      <c r="AA227" s="148"/>
      <c r="AB227" s="148"/>
      <c r="AC227" s="148"/>
      <c r="AD227" s="148"/>
      <c r="AE227" s="148"/>
      <c r="AF227" s="148"/>
      <c r="AG227" s="148"/>
    </row>
    <row r="228" spans="1:33" ht="13.8">
      <c r="A228" s="166">
        <v>387</v>
      </c>
      <c r="B228" s="167" t="s">
        <v>9387</v>
      </c>
      <c r="C228" s="168" t="s">
        <v>9388</v>
      </c>
      <c r="D228" s="168">
        <v>3</v>
      </c>
      <c r="E228" s="168" t="s">
        <v>9023</v>
      </c>
      <c r="F228" s="168" t="s">
        <v>9011</v>
      </c>
      <c r="G228" s="169" t="s">
        <v>9389</v>
      </c>
      <c r="H228" s="154">
        <v>45882</v>
      </c>
      <c r="I228" s="168">
        <v>2025</v>
      </c>
      <c r="J228" s="170"/>
      <c r="K228" s="168" t="s">
        <v>8887</v>
      </c>
      <c r="L228" s="170"/>
      <c r="M228" s="168" t="s">
        <v>6354</v>
      </c>
      <c r="N228" s="172">
        <v>45985</v>
      </c>
      <c r="O228" s="148"/>
      <c r="P228" s="148"/>
      <c r="Q228" s="148"/>
      <c r="R228" s="148"/>
      <c r="S228" s="148"/>
      <c r="T228" s="148"/>
      <c r="U228" s="148"/>
      <c r="V228" s="148"/>
      <c r="W228" s="148"/>
      <c r="X228" s="148"/>
      <c r="Y228" s="148"/>
      <c r="Z228" s="148"/>
      <c r="AA228" s="148"/>
      <c r="AB228" s="148"/>
      <c r="AC228" s="148"/>
      <c r="AD228" s="148"/>
      <c r="AE228" s="148"/>
      <c r="AF228" s="148"/>
      <c r="AG228" s="148"/>
    </row>
    <row r="229" spans="1:33" ht="13.8">
      <c r="A229" s="166">
        <v>388</v>
      </c>
      <c r="B229" s="167" t="s">
        <v>9390</v>
      </c>
      <c r="C229" s="168" t="s">
        <v>9391</v>
      </c>
      <c r="D229" s="168">
        <v>2</v>
      </c>
      <c r="E229" s="168" t="s">
        <v>9023</v>
      </c>
      <c r="F229" s="168" t="s">
        <v>9011</v>
      </c>
      <c r="G229" s="169" t="s">
        <v>9392</v>
      </c>
      <c r="H229" s="154">
        <v>45930</v>
      </c>
      <c r="I229" s="168">
        <v>2025</v>
      </c>
      <c r="J229" s="170"/>
      <c r="K229" s="168" t="s">
        <v>8887</v>
      </c>
      <c r="L229" s="170"/>
      <c r="M229" s="168" t="s">
        <v>5562</v>
      </c>
      <c r="N229" s="172">
        <v>45988</v>
      </c>
      <c r="O229" s="148"/>
      <c r="P229" s="148"/>
      <c r="Q229" s="148"/>
      <c r="R229" s="148"/>
      <c r="S229" s="148"/>
      <c r="T229" s="148"/>
      <c r="U229" s="148"/>
      <c r="V229" s="148"/>
      <c r="W229" s="148"/>
      <c r="X229" s="148"/>
      <c r="Y229" s="148"/>
      <c r="Z229" s="148"/>
      <c r="AA229" s="148"/>
      <c r="AB229" s="148"/>
      <c r="AC229" s="148"/>
      <c r="AD229" s="148"/>
      <c r="AE229" s="148"/>
      <c r="AF229" s="148"/>
      <c r="AG229" s="148"/>
    </row>
    <row r="230" spans="1:33" ht="13.8">
      <c r="A230" s="166">
        <v>389</v>
      </c>
      <c r="B230" s="167" t="s">
        <v>9393</v>
      </c>
      <c r="C230" s="168" t="s">
        <v>9394</v>
      </c>
      <c r="D230" s="168">
        <v>3</v>
      </c>
      <c r="E230" s="168" t="s">
        <v>9023</v>
      </c>
      <c r="F230" s="168" t="s">
        <v>9011</v>
      </c>
      <c r="G230" s="169" t="s">
        <v>9395</v>
      </c>
      <c r="H230" s="154">
        <v>45705</v>
      </c>
      <c r="I230" s="168">
        <v>2025</v>
      </c>
      <c r="J230" s="168" t="s">
        <v>9396</v>
      </c>
      <c r="K230" s="168" t="s">
        <v>8887</v>
      </c>
      <c r="L230" s="170"/>
      <c r="M230" s="168" t="s">
        <v>5623</v>
      </c>
      <c r="N230" s="172">
        <v>45989</v>
      </c>
      <c r="O230" s="148"/>
      <c r="P230" s="148"/>
      <c r="Q230" s="148"/>
      <c r="R230" s="148"/>
      <c r="S230" s="148"/>
      <c r="T230" s="148"/>
      <c r="U230" s="148"/>
      <c r="V230" s="148"/>
      <c r="W230" s="148"/>
      <c r="X230" s="148"/>
      <c r="Y230" s="148"/>
      <c r="Z230" s="148"/>
      <c r="AA230" s="148"/>
      <c r="AB230" s="148"/>
      <c r="AC230" s="148"/>
      <c r="AD230" s="148"/>
      <c r="AE230" s="148"/>
      <c r="AF230" s="148"/>
      <c r="AG230" s="148"/>
    </row>
    <row r="231" spans="1:33" ht="13.8">
      <c r="A231" s="166">
        <v>390</v>
      </c>
      <c r="B231" s="167" t="s">
        <v>9397</v>
      </c>
      <c r="C231" s="168" t="s">
        <v>9398</v>
      </c>
      <c r="D231" s="168">
        <v>5</v>
      </c>
      <c r="E231" s="168" t="s">
        <v>9023</v>
      </c>
      <c r="F231" s="168" t="s">
        <v>9011</v>
      </c>
      <c r="G231" s="169" t="s">
        <v>9399</v>
      </c>
      <c r="H231" s="156">
        <v>45985</v>
      </c>
      <c r="I231" s="168">
        <v>2025</v>
      </c>
      <c r="J231" s="170"/>
      <c r="K231" s="168" t="s">
        <v>8887</v>
      </c>
      <c r="L231" s="170"/>
      <c r="M231" s="168" t="s">
        <v>6196</v>
      </c>
      <c r="N231" s="172">
        <v>45990</v>
      </c>
      <c r="O231" s="148"/>
      <c r="P231" s="148"/>
      <c r="Q231" s="148"/>
      <c r="R231" s="148"/>
      <c r="S231" s="148"/>
      <c r="T231" s="148"/>
      <c r="U231" s="148"/>
      <c r="V231" s="148"/>
      <c r="W231" s="148"/>
      <c r="X231" s="148"/>
      <c r="Y231" s="148"/>
      <c r="Z231" s="148"/>
      <c r="AA231" s="148"/>
      <c r="AB231" s="148"/>
      <c r="AC231" s="148"/>
      <c r="AD231" s="148"/>
      <c r="AE231" s="148"/>
      <c r="AF231" s="148"/>
      <c r="AG231" s="148"/>
    </row>
    <row r="232" spans="1:33" ht="13.8">
      <c r="A232" s="166">
        <v>391</v>
      </c>
      <c r="B232" s="167" t="s">
        <v>9400</v>
      </c>
      <c r="C232" s="168" t="s">
        <v>9401</v>
      </c>
      <c r="D232" s="168">
        <v>6</v>
      </c>
      <c r="E232" s="168" t="s">
        <v>9023</v>
      </c>
      <c r="F232" s="168" t="s">
        <v>9011</v>
      </c>
      <c r="G232" s="169" t="s">
        <v>9402</v>
      </c>
      <c r="H232" s="154">
        <v>45823</v>
      </c>
      <c r="I232" s="168">
        <v>2025</v>
      </c>
      <c r="J232" s="168" t="s">
        <v>9403</v>
      </c>
      <c r="K232" s="168" t="s">
        <v>8887</v>
      </c>
      <c r="L232" s="170"/>
      <c r="M232" s="168" t="s">
        <v>6691</v>
      </c>
      <c r="N232" s="171">
        <v>45992</v>
      </c>
      <c r="O232" s="148"/>
      <c r="P232" s="148"/>
      <c r="Q232" s="148"/>
      <c r="R232" s="148"/>
      <c r="S232" s="148"/>
      <c r="T232" s="148"/>
      <c r="U232" s="148"/>
      <c r="V232" s="148"/>
      <c r="W232" s="148"/>
      <c r="X232" s="148"/>
      <c r="Y232" s="148"/>
      <c r="Z232" s="148"/>
      <c r="AA232" s="148"/>
      <c r="AB232" s="148"/>
      <c r="AC232" s="148"/>
      <c r="AD232" s="148"/>
      <c r="AE232" s="148"/>
      <c r="AF232" s="148"/>
      <c r="AG232" s="148"/>
    </row>
    <row r="233" spans="1:33" ht="13.8">
      <c r="A233" s="166">
        <v>392</v>
      </c>
      <c r="B233" s="167" t="s">
        <v>9404</v>
      </c>
      <c r="C233" s="168" t="s">
        <v>9405</v>
      </c>
      <c r="D233" s="168">
        <v>7</v>
      </c>
      <c r="E233" s="168" t="s">
        <v>9023</v>
      </c>
      <c r="F233" s="168" t="s">
        <v>9011</v>
      </c>
      <c r="G233" s="169" t="s">
        <v>9406</v>
      </c>
      <c r="H233" s="154">
        <v>45823</v>
      </c>
      <c r="I233" s="168">
        <v>2025</v>
      </c>
      <c r="J233" s="168" t="s">
        <v>9407</v>
      </c>
      <c r="K233" s="168" t="s">
        <v>8887</v>
      </c>
      <c r="L233" s="170"/>
      <c r="M233" s="168" t="s">
        <v>6691</v>
      </c>
      <c r="N233" s="171">
        <v>45992</v>
      </c>
      <c r="O233" s="148"/>
      <c r="P233" s="148"/>
      <c r="Q233" s="148"/>
      <c r="R233" s="148"/>
      <c r="S233" s="148"/>
      <c r="T233" s="148"/>
      <c r="U233" s="148"/>
      <c r="V233" s="148"/>
      <c r="W233" s="148"/>
      <c r="X233" s="148"/>
      <c r="Y233" s="148"/>
      <c r="Z233" s="148"/>
      <c r="AA233" s="148"/>
      <c r="AB233" s="148"/>
      <c r="AC233" s="148"/>
      <c r="AD233" s="148"/>
      <c r="AE233" s="148"/>
      <c r="AF233" s="148"/>
      <c r="AG233" s="148"/>
    </row>
    <row r="234" spans="1:33" ht="13.8">
      <c r="A234" s="166">
        <v>393</v>
      </c>
      <c r="B234" s="167" t="s">
        <v>9408</v>
      </c>
      <c r="C234" s="168" t="s">
        <v>9409</v>
      </c>
      <c r="D234" s="168">
        <v>4</v>
      </c>
      <c r="E234" s="168" t="s">
        <v>9023</v>
      </c>
      <c r="F234" s="168" t="s">
        <v>9011</v>
      </c>
      <c r="G234" s="169" t="s">
        <v>9410</v>
      </c>
      <c r="H234" s="154">
        <v>45992</v>
      </c>
      <c r="I234" s="168">
        <v>2025</v>
      </c>
      <c r="J234" s="168" t="s">
        <v>9411</v>
      </c>
      <c r="K234" s="168" t="s">
        <v>8887</v>
      </c>
      <c r="L234" s="170"/>
      <c r="M234" s="168" t="s">
        <v>6166</v>
      </c>
      <c r="N234" s="171">
        <v>45993</v>
      </c>
      <c r="O234" s="148"/>
      <c r="P234" s="148"/>
      <c r="Q234" s="148"/>
      <c r="R234" s="148"/>
      <c r="S234" s="148"/>
      <c r="T234" s="148"/>
      <c r="U234" s="148"/>
      <c r="V234" s="148"/>
      <c r="W234" s="148"/>
      <c r="X234" s="148"/>
      <c r="Y234" s="148"/>
      <c r="Z234" s="148"/>
      <c r="AA234" s="148"/>
      <c r="AB234" s="148"/>
      <c r="AC234" s="148"/>
      <c r="AD234" s="148"/>
      <c r="AE234" s="148"/>
      <c r="AF234" s="148"/>
      <c r="AG234" s="148"/>
    </row>
    <row r="235" spans="1:33" ht="13.8">
      <c r="A235" s="166">
        <v>394</v>
      </c>
      <c r="B235" s="167" t="s">
        <v>9412</v>
      </c>
      <c r="C235" s="168" t="s">
        <v>9413</v>
      </c>
      <c r="D235" s="168">
        <v>3</v>
      </c>
      <c r="E235" s="168" t="s">
        <v>9023</v>
      </c>
      <c r="F235" s="168" t="s">
        <v>9019</v>
      </c>
      <c r="G235" s="169" t="s">
        <v>9414</v>
      </c>
      <c r="H235" s="154">
        <v>45902</v>
      </c>
      <c r="I235" s="168">
        <v>2025</v>
      </c>
      <c r="J235" s="170"/>
      <c r="K235" s="168" t="s">
        <v>8887</v>
      </c>
      <c r="L235" s="170"/>
      <c r="M235" s="168" t="s">
        <v>7608</v>
      </c>
      <c r="N235" s="172">
        <v>45976</v>
      </c>
      <c r="O235" s="148"/>
      <c r="P235" s="148"/>
      <c r="Q235" s="148"/>
      <c r="R235" s="148"/>
      <c r="S235" s="148"/>
      <c r="T235" s="148"/>
      <c r="U235" s="148"/>
      <c r="V235" s="148"/>
      <c r="W235" s="148"/>
      <c r="X235" s="148"/>
      <c r="Y235" s="148"/>
      <c r="Z235" s="148"/>
      <c r="AA235" s="148"/>
      <c r="AB235" s="148"/>
      <c r="AC235" s="148"/>
      <c r="AD235" s="148"/>
      <c r="AE235" s="148"/>
      <c r="AF235" s="148"/>
      <c r="AG235" s="148"/>
    </row>
    <row r="236" spans="1:33" ht="13.8">
      <c r="A236" s="166">
        <v>395</v>
      </c>
      <c r="B236" s="167" t="s">
        <v>9415</v>
      </c>
      <c r="C236" s="168" t="s">
        <v>9416</v>
      </c>
      <c r="D236" s="168">
        <v>2</v>
      </c>
      <c r="E236" s="168" t="s">
        <v>9023</v>
      </c>
      <c r="F236" s="168" t="s">
        <v>9019</v>
      </c>
      <c r="G236" s="169" t="s">
        <v>9417</v>
      </c>
      <c r="H236" s="156">
        <v>45973</v>
      </c>
      <c r="I236" s="168">
        <v>2025</v>
      </c>
      <c r="J236" s="170"/>
      <c r="K236" s="168" t="s">
        <v>8887</v>
      </c>
      <c r="L236" s="170"/>
      <c r="M236" s="168" t="s">
        <v>7608</v>
      </c>
      <c r="N236" s="172">
        <v>45976</v>
      </c>
      <c r="O236" s="148"/>
      <c r="P236" s="148"/>
      <c r="Q236" s="148"/>
      <c r="R236" s="148"/>
      <c r="S236" s="148"/>
      <c r="T236" s="148"/>
      <c r="U236" s="148"/>
      <c r="V236" s="148"/>
      <c r="W236" s="148"/>
      <c r="X236" s="148"/>
      <c r="Y236" s="148"/>
      <c r="Z236" s="148"/>
      <c r="AA236" s="148"/>
      <c r="AB236" s="148"/>
      <c r="AC236" s="148"/>
      <c r="AD236" s="148"/>
      <c r="AE236" s="148"/>
      <c r="AF236" s="148"/>
      <c r="AG236" s="148"/>
    </row>
    <row r="237" spans="1:33" ht="13.8">
      <c r="A237" s="166">
        <v>396</v>
      </c>
      <c r="B237" s="167" t="s">
        <v>9418</v>
      </c>
      <c r="C237" s="168" t="s">
        <v>9419</v>
      </c>
      <c r="D237" s="168">
        <v>3</v>
      </c>
      <c r="E237" s="168" t="s">
        <v>9023</v>
      </c>
      <c r="F237" s="168" t="s">
        <v>9019</v>
      </c>
      <c r="G237" s="169" t="s">
        <v>9420</v>
      </c>
      <c r="H237" s="154">
        <v>45965</v>
      </c>
      <c r="I237" s="168">
        <v>2025</v>
      </c>
      <c r="J237" s="170"/>
      <c r="K237" s="168" t="s">
        <v>8887</v>
      </c>
      <c r="L237" s="170"/>
      <c r="M237" s="168" t="s">
        <v>6875</v>
      </c>
      <c r="N237" s="172">
        <v>45987</v>
      </c>
      <c r="O237" s="148"/>
      <c r="P237" s="148"/>
      <c r="Q237" s="148"/>
      <c r="R237" s="148"/>
      <c r="S237" s="148"/>
      <c r="T237" s="148"/>
      <c r="U237" s="148"/>
      <c r="V237" s="148"/>
      <c r="W237" s="148"/>
      <c r="X237" s="148"/>
      <c r="Y237" s="148"/>
      <c r="Z237" s="148"/>
      <c r="AA237" s="148"/>
      <c r="AB237" s="148"/>
      <c r="AC237" s="148"/>
      <c r="AD237" s="148"/>
      <c r="AE237" s="148"/>
      <c r="AF237" s="148"/>
      <c r="AG237" s="148"/>
    </row>
    <row r="238" spans="1:33" ht="13.8">
      <c r="A238" s="166">
        <v>397</v>
      </c>
      <c r="B238" s="167" t="s">
        <v>9421</v>
      </c>
      <c r="C238" s="168" t="s">
        <v>9182</v>
      </c>
      <c r="D238" s="168">
        <v>3</v>
      </c>
      <c r="E238" s="168" t="s">
        <v>9023</v>
      </c>
      <c r="F238" s="168" t="s">
        <v>9019</v>
      </c>
      <c r="G238" s="169" t="s">
        <v>9422</v>
      </c>
      <c r="H238" s="154">
        <v>45840</v>
      </c>
      <c r="I238" s="168">
        <v>2025</v>
      </c>
      <c r="J238" s="168" t="s">
        <v>9423</v>
      </c>
      <c r="K238" s="168" t="s">
        <v>8887</v>
      </c>
      <c r="L238" s="170"/>
      <c r="M238" s="168" t="s">
        <v>6000</v>
      </c>
      <c r="N238" s="172">
        <v>45988</v>
      </c>
      <c r="O238" s="148"/>
      <c r="P238" s="148"/>
      <c r="Q238" s="148"/>
      <c r="R238" s="148"/>
      <c r="S238" s="148"/>
      <c r="T238" s="148"/>
      <c r="U238" s="148"/>
      <c r="V238" s="148"/>
      <c r="W238" s="148"/>
      <c r="X238" s="148"/>
      <c r="Y238" s="148"/>
      <c r="Z238" s="148"/>
      <c r="AA238" s="148"/>
      <c r="AB238" s="148"/>
      <c r="AC238" s="148"/>
      <c r="AD238" s="148"/>
      <c r="AE238" s="148"/>
      <c r="AF238" s="148"/>
      <c r="AG238" s="148"/>
    </row>
    <row r="239" spans="1:33" ht="13.8">
      <c r="A239" s="166">
        <v>398</v>
      </c>
      <c r="B239" s="167" t="s">
        <v>9424</v>
      </c>
      <c r="C239" s="168" t="s">
        <v>9425</v>
      </c>
      <c r="D239" s="168">
        <v>4</v>
      </c>
      <c r="E239" s="168" t="s">
        <v>9023</v>
      </c>
      <c r="F239" s="168" t="s">
        <v>9019</v>
      </c>
      <c r="G239" s="169" t="s">
        <v>9426</v>
      </c>
      <c r="H239" s="154">
        <v>45908</v>
      </c>
      <c r="I239" s="168">
        <v>2025</v>
      </c>
      <c r="J239" s="170"/>
      <c r="K239" s="168" t="s">
        <v>8887</v>
      </c>
      <c r="L239" s="170"/>
      <c r="M239" s="168" t="s">
        <v>7028</v>
      </c>
      <c r="N239" s="172">
        <v>45989</v>
      </c>
      <c r="O239" s="148"/>
      <c r="P239" s="148"/>
      <c r="Q239" s="148"/>
      <c r="R239" s="148"/>
      <c r="S239" s="148"/>
      <c r="T239" s="148"/>
      <c r="U239" s="148"/>
      <c r="V239" s="148"/>
      <c r="W239" s="148"/>
      <c r="X239" s="148"/>
      <c r="Y239" s="148"/>
      <c r="Z239" s="148"/>
      <c r="AA239" s="148"/>
      <c r="AB239" s="148"/>
      <c r="AC239" s="148"/>
      <c r="AD239" s="148"/>
      <c r="AE239" s="148"/>
      <c r="AF239" s="148"/>
      <c r="AG239" s="148"/>
    </row>
    <row r="240" spans="1:33" ht="13.2">
      <c r="A240" s="166">
        <v>399</v>
      </c>
      <c r="B240" s="167" t="s">
        <v>9427</v>
      </c>
      <c r="C240" s="168" t="s">
        <v>9428</v>
      </c>
      <c r="D240" s="168">
        <v>5</v>
      </c>
      <c r="E240" s="168" t="s">
        <v>9023</v>
      </c>
      <c r="F240" s="168" t="s">
        <v>9019</v>
      </c>
      <c r="G240" s="169" t="s">
        <v>9429</v>
      </c>
      <c r="H240" s="156">
        <v>45976</v>
      </c>
      <c r="I240" s="168">
        <v>2025</v>
      </c>
      <c r="J240" s="168" t="s">
        <v>9168</v>
      </c>
      <c r="K240" s="168" t="s">
        <v>8873</v>
      </c>
      <c r="L240" s="168" t="s">
        <v>9430</v>
      </c>
      <c r="M240" s="168" t="s">
        <v>5699</v>
      </c>
      <c r="N240" s="172">
        <v>45991</v>
      </c>
      <c r="O240" s="148"/>
      <c r="P240" s="148"/>
      <c r="Q240" s="148"/>
      <c r="R240" s="148"/>
      <c r="S240" s="148"/>
      <c r="T240" s="148"/>
      <c r="U240" s="148"/>
      <c r="V240" s="148"/>
      <c r="W240" s="148"/>
      <c r="X240" s="148"/>
      <c r="Y240" s="148"/>
      <c r="Z240" s="148"/>
      <c r="AA240" s="148"/>
      <c r="AB240" s="148"/>
      <c r="AC240" s="148"/>
      <c r="AD240" s="148"/>
      <c r="AE240" s="148"/>
      <c r="AF240" s="148"/>
      <c r="AG240" s="148"/>
    </row>
    <row r="241" spans="1:33" ht="13.2">
      <c r="A241" s="166">
        <v>400</v>
      </c>
      <c r="B241" s="167" t="s">
        <v>9431</v>
      </c>
      <c r="C241" s="168" t="s">
        <v>9432</v>
      </c>
      <c r="D241" s="168">
        <v>6</v>
      </c>
      <c r="E241" s="168" t="s">
        <v>9023</v>
      </c>
      <c r="F241" s="168" t="s">
        <v>9019</v>
      </c>
      <c r="G241" s="169" t="s">
        <v>9433</v>
      </c>
      <c r="H241" s="156">
        <v>45989</v>
      </c>
      <c r="I241" s="168">
        <v>2025</v>
      </c>
      <c r="J241" s="168" t="s">
        <v>9168</v>
      </c>
      <c r="K241" s="168" t="s">
        <v>8873</v>
      </c>
      <c r="L241" s="168" t="s">
        <v>9434</v>
      </c>
      <c r="M241" s="168" t="s">
        <v>5699</v>
      </c>
      <c r="N241" s="172">
        <v>45991</v>
      </c>
      <c r="O241" s="148"/>
      <c r="P241" s="148"/>
      <c r="Q241" s="148"/>
      <c r="R241" s="148"/>
      <c r="S241" s="148"/>
      <c r="T241" s="148"/>
      <c r="U241" s="148"/>
      <c r="V241" s="148"/>
      <c r="W241" s="148"/>
      <c r="X241" s="148"/>
      <c r="Y241" s="148"/>
      <c r="Z241" s="148"/>
      <c r="AA241" s="148"/>
      <c r="AB241" s="148"/>
      <c r="AC241" s="148"/>
      <c r="AD241" s="148"/>
      <c r="AE241" s="148"/>
      <c r="AF241" s="148"/>
      <c r="AG241" s="148"/>
    </row>
    <row r="242" spans="1:33" ht="13.2">
      <c r="A242" s="223">
        <v>1</v>
      </c>
      <c r="B242" s="221" t="s">
        <v>9435</v>
      </c>
      <c r="C242" s="221" t="s">
        <v>9436</v>
      </c>
      <c r="D242" s="224">
        <v>8</v>
      </c>
      <c r="E242" s="221" t="s">
        <v>8878</v>
      </c>
      <c r="F242" s="221" t="s">
        <v>8885</v>
      </c>
      <c r="G242" s="173" t="s">
        <v>9437</v>
      </c>
      <c r="H242" s="174"/>
      <c r="I242" s="168">
        <v>2026</v>
      </c>
      <c r="J242" s="221" t="s">
        <v>9438</v>
      </c>
      <c r="K242" s="221" t="s">
        <v>9185</v>
      </c>
      <c r="L242" s="221"/>
      <c r="M242" s="221" t="s">
        <v>5858</v>
      </c>
      <c r="N242" s="222">
        <v>46101</v>
      </c>
      <c r="O242" s="148"/>
      <c r="P242" s="148"/>
      <c r="Q242" s="148"/>
      <c r="R242" s="148"/>
      <c r="S242" s="148"/>
      <c r="T242" s="148"/>
      <c r="U242" s="148"/>
      <c r="V242" s="148"/>
      <c r="W242" s="148"/>
      <c r="X242" s="148"/>
      <c r="Y242" s="148"/>
      <c r="Z242" s="148"/>
      <c r="AA242" s="148"/>
      <c r="AB242" s="148"/>
      <c r="AC242" s="148"/>
      <c r="AD242" s="148"/>
      <c r="AE242" s="148"/>
      <c r="AF242" s="148"/>
      <c r="AG242" s="148"/>
    </row>
    <row r="243" spans="1:33" ht="13.2">
      <c r="A243" s="215"/>
      <c r="B243" s="215"/>
      <c r="C243" s="215"/>
      <c r="D243" s="215"/>
      <c r="E243" s="215"/>
      <c r="F243" s="215"/>
      <c r="G243" s="175" t="s">
        <v>9439</v>
      </c>
      <c r="H243" s="176"/>
      <c r="I243" s="168"/>
      <c r="J243" s="215"/>
      <c r="K243" s="215"/>
      <c r="L243" s="215"/>
      <c r="M243" s="215"/>
      <c r="N243" s="215"/>
      <c r="O243" s="148"/>
      <c r="P243" s="148"/>
      <c r="Q243" s="148"/>
      <c r="R243" s="148"/>
      <c r="S243" s="148"/>
      <c r="T243" s="148"/>
      <c r="U243" s="148"/>
      <c r="V243" s="148"/>
      <c r="W243" s="148"/>
      <c r="X243" s="148"/>
      <c r="Y243" s="148"/>
      <c r="Z243" s="148"/>
      <c r="AA243" s="148"/>
      <c r="AB243" s="148"/>
      <c r="AC243" s="148"/>
      <c r="AD243" s="148"/>
      <c r="AE243" s="148"/>
      <c r="AF243" s="148"/>
      <c r="AG243" s="148"/>
    </row>
    <row r="244" spans="1:33" ht="13.2">
      <c r="A244" s="215"/>
      <c r="B244" s="215"/>
      <c r="C244" s="215"/>
      <c r="D244" s="215"/>
      <c r="E244" s="215"/>
      <c r="F244" s="215"/>
      <c r="G244" s="175" t="s">
        <v>9440</v>
      </c>
      <c r="H244" s="176"/>
      <c r="I244" s="168"/>
      <c r="J244" s="215"/>
      <c r="K244" s="215"/>
      <c r="L244" s="215"/>
      <c r="M244" s="215"/>
      <c r="N244" s="215"/>
      <c r="O244" s="148"/>
      <c r="P244" s="148"/>
      <c r="Q244" s="148"/>
      <c r="R244" s="148"/>
      <c r="S244" s="148"/>
      <c r="T244" s="148"/>
      <c r="U244" s="148"/>
      <c r="V244" s="148"/>
      <c r="W244" s="148"/>
      <c r="X244" s="148"/>
      <c r="Y244" s="148"/>
      <c r="Z244" s="148"/>
      <c r="AA244" s="148"/>
      <c r="AB244" s="148"/>
      <c r="AC244" s="148"/>
      <c r="AD244" s="148"/>
      <c r="AE244" s="148"/>
      <c r="AF244" s="148"/>
      <c r="AG244" s="148"/>
    </row>
    <row r="245" spans="1:33" ht="13.2">
      <c r="A245" s="215"/>
      <c r="B245" s="215"/>
      <c r="C245" s="215"/>
      <c r="D245" s="215"/>
      <c r="E245" s="215"/>
      <c r="F245" s="215"/>
      <c r="G245" s="175" t="s">
        <v>9441</v>
      </c>
      <c r="H245" s="176"/>
      <c r="I245" s="168"/>
      <c r="J245" s="215"/>
      <c r="K245" s="215"/>
      <c r="L245" s="215"/>
      <c r="M245" s="215"/>
      <c r="N245" s="215"/>
      <c r="O245" s="148"/>
      <c r="P245" s="148"/>
      <c r="Q245" s="148"/>
      <c r="R245" s="148"/>
      <c r="S245" s="148"/>
      <c r="T245" s="148"/>
      <c r="U245" s="148"/>
      <c r="V245" s="148"/>
      <c r="W245" s="148"/>
      <c r="X245" s="148"/>
      <c r="Y245" s="148"/>
      <c r="Z245" s="148"/>
      <c r="AA245" s="148"/>
      <c r="AB245" s="148"/>
      <c r="AC245" s="148"/>
      <c r="AD245" s="148"/>
      <c r="AE245" s="148"/>
      <c r="AF245" s="148"/>
      <c r="AG245" s="148"/>
    </row>
    <row r="246" spans="1:33" ht="13.2">
      <c r="A246" s="215"/>
      <c r="B246" s="215"/>
      <c r="C246" s="215"/>
      <c r="D246" s="215"/>
      <c r="E246" s="215"/>
      <c r="F246" s="215"/>
      <c r="G246" s="176"/>
      <c r="H246" s="176"/>
      <c r="I246" s="168"/>
      <c r="J246" s="215"/>
      <c r="K246" s="215"/>
      <c r="L246" s="215"/>
      <c r="M246" s="215"/>
      <c r="N246" s="215"/>
      <c r="O246" s="148"/>
      <c r="P246" s="148"/>
      <c r="Q246" s="148"/>
      <c r="R246" s="148"/>
      <c r="S246" s="148"/>
      <c r="T246" s="148"/>
      <c r="U246" s="148"/>
      <c r="V246" s="148"/>
      <c r="W246" s="148"/>
      <c r="X246" s="148"/>
      <c r="Y246" s="148"/>
      <c r="Z246" s="148"/>
      <c r="AA246" s="148"/>
      <c r="AB246" s="148"/>
      <c r="AC246" s="148"/>
      <c r="AD246" s="148"/>
      <c r="AE246" s="148"/>
      <c r="AF246" s="148"/>
      <c r="AG246" s="148"/>
    </row>
    <row r="247" spans="1:33" ht="13.2">
      <c r="A247" s="215"/>
      <c r="B247" s="215"/>
      <c r="C247" s="215"/>
      <c r="D247" s="215"/>
      <c r="E247" s="215"/>
      <c r="F247" s="215"/>
      <c r="G247" s="176"/>
      <c r="H247" s="176"/>
      <c r="I247" s="168"/>
      <c r="J247" s="215"/>
      <c r="K247" s="215"/>
      <c r="L247" s="215"/>
      <c r="M247" s="215"/>
      <c r="N247" s="215"/>
      <c r="O247" s="148"/>
      <c r="P247" s="148"/>
      <c r="Q247" s="148"/>
      <c r="R247" s="148"/>
      <c r="S247" s="148"/>
      <c r="T247" s="148"/>
      <c r="U247" s="148"/>
      <c r="V247" s="148"/>
      <c r="W247" s="148"/>
      <c r="X247" s="148"/>
      <c r="Y247" s="148"/>
      <c r="Z247" s="148"/>
      <c r="AA247" s="148"/>
      <c r="AB247" s="148"/>
      <c r="AC247" s="148"/>
      <c r="AD247" s="148"/>
      <c r="AE247" s="148"/>
      <c r="AF247" s="148"/>
      <c r="AG247" s="148"/>
    </row>
    <row r="248" spans="1:33" ht="13.2">
      <c r="A248" s="215"/>
      <c r="B248" s="215"/>
      <c r="C248" s="215"/>
      <c r="D248" s="215"/>
      <c r="E248" s="215"/>
      <c r="F248" s="215"/>
      <c r="G248" s="176"/>
      <c r="H248" s="176"/>
      <c r="I248" s="168"/>
      <c r="J248" s="215"/>
      <c r="K248" s="215"/>
      <c r="L248" s="215"/>
      <c r="M248" s="215"/>
      <c r="N248" s="215"/>
      <c r="O248" s="148"/>
      <c r="P248" s="148"/>
      <c r="Q248" s="148"/>
      <c r="R248" s="148"/>
      <c r="S248" s="148"/>
      <c r="T248" s="148"/>
      <c r="U248" s="148"/>
      <c r="V248" s="148"/>
      <c r="W248" s="148"/>
      <c r="X248" s="148"/>
      <c r="Y248" s="148"/>
      <c r="Z248" s="148"/>
      <c r="AA248" s="148"/>
      <c r="AB248" s="148"/>
      <c r="AC248" s="148"/>
      <c r="AD248" s="148"/>
      <c r="AE248" s="148"/>
      <c r="AF248" s="148"/>
      <c r="AG248" s="148"/>
    </row>
    <row r="249" spans="1:33" ht="13.2">
      <c r="A249" s="216"/>
      <c r="B249" s="216"/>
      <c r="C249" s="216"/>
      <c r="D249" s="216"/>
      <c r="E249" s="216"/>
      <c r="F249" s="216"/>
      <c r="G249" s="177"/>
      <c r="H249" s="177"/>
      <c r="I249" s="168"/>
      <c r="J249" s="216"/>
      <c r="K249" s="216"/>
      <c r="L249" s="216"/>
      <c r="M249" s="216"/>
      <c r="N249" s="216"/>
      <c r="O249" s="148"/>
      <c r="P249" s="148"/>
      <c r="Q249" s="148"/>
      <c r="R249" s="148"/>
      <c r="S249" s="148"/>
      <c r="T249" s="148"/>
      <c r="U249" s="148"/>
      <c r="V249" s="148"/>
      <c r="W249" s="148"/>
      <c r="X249" s="148"/>
      <c r="Y249" s="148"/>
      <c r="Z249" s="148"/>
      <c r="AA249" s="148"/>
      <c r="AB249" s="148"/>
      <c r="AC249" s="148"/>
      <c r="AD249" s="148"/>
      <c r="AE249" s="148"/>
      <c r="AF249" s="148"/>
      <c r="AG249" s="148"/>
    </row>
    <row r="250" spans="1:33" ht="13.2">
      <c r="A250" s="218">
        <v>2</v>
      </c>
      <c r="B250" s="214" t="s">
        <v>9442</v>
      </c>
      <c r="C250" s="214" t="s">
        <v>9443</v>
      </c>
      <c r="D250" s="219">
        <v>6</v>
      </c>
      <c r="E250" s="214" t="s">
        <v>8878</v>
      </c>
      <c r="F250" s="214" t="s">
        <v>8890</v>
      </c>
      <c r="G250" s="175" t="s">
        <v>9444</v>
      </c>
      <c r="H250" s="176"/>
      <c r="I250" s="168">
        <v>2026</v>
      </c>
      <c r="J250" s="214" t="s">
        <v>9445</v>
      </c>
      <c r="K250" s="214" t="s">
        <v>8887</v>
      </c>
      <c r="L250" s="214"/>
      <c r="M250" s="214" t="s">
        <v>5985</v>
      </c>
      <c r="N250" s="217">
        <v>46082</v>
      </c>
      <c r="O250" s="148"/>
      <c r="P250" s="148"/>
      <c r="Q250" s="148"/>
      <c r="R250" s="148"/>
      <c r="S250" s="148"/>
      <c r="T250" s="148"/>
      <c r="U250" s="148"/>
      <c r="V250" s="148"/>
      <c r="W250" s="148"/>
      <c r="X250" s="148"/>
      <c r="Y250" s="148"/>
      <c r="Z250" s="148"/>
      <c r="AA250" s="148"/>
      <c r="AB250" s="148"/>
      <c r="AC250" s="148"/>
      <c r="AD250" s="148"/>
      <c r="AE250" s="148"/>
      <c r="AF250" s="148"/>
      <c r="AG250" s="148"/>
    </row>
    <row r="251" spans="1:33" ht="13.2">
      <c r="A251" s="215"/>
      <c r="B251" s="215"/>
      <c r="C251" s="215"/>
      <c r="D251" s="215"/>
      <c r="E251" s="215"/>
      <c r="F251" s="215"/>
      <c r="G251" s="175" t="s">
        <v>9446</v>
      </c>
      <c r="H251" s="176"/>
      <c r="I251" s="168"/>
      <c r="J251" s="215"/>
      <c r="K251" s="215"/>
      <c r="L251" s="215"/>
      <c r="M251" s="215"/>
      <c r="N251" s="215"/>
      <c r="O251" s="148"/>
      <c r="P251" s="148"/>
      <c r="Q251" s="148"/>
      <c r="R251" s="148"/>
      <c r="S251" s="148"/>
      <c r="T251" s="148"/>
      <c r="U251" s="148"/>
      <c r="V251" s="148"/>
      <c r="W251" s="148"/>
      <c r="X251" s="148"/>
      <c r="Y251" s="148"/>
      <c r="Z251" s="148"/>
      <c r="AA251" s="148"/>
      <c r="AB251" s="148"/>
      <c r="AC251" s="148"/>
      <c r="AD251" s="148"/>
      <c r="AE251" s="148"/>
      <c r="AF251" s="148"/>
      <c r="AG251" s="148"/>
    </row>
    <row r="252" spans="1:33" ht="13.2">
      <c r="A252" s="215"/>
      <c r="B252" s="215"/>
      <c r="C252" s="215"/>
      <c r="D252" s="215"/>
      <c r="E252" s="215"/>
      <c r="F252" s="215"/>
      <c r="G252" s="175" t="s">
        <v>9447</v>
      </c>
      <c r="H252" s="176"/>
      <c r="I252" s="168"/>
      <c r="J252" s="215"/>
      <c r="K252" s="215"/>
      <c r="L252" s="215"/>
      <c r="M252" s="215"/>
      <c r="N252" s="215"/>
      <c r="O252" s="148"/>
      <c r="P252" s="148"/>
      <c r="Q252" s="148"/>
      <c r="R252" s="148"/>
      <c r="S252" s="148"/>
      <c r="T252" s="148"/>
      <c r="U252" s="148"/>
      <c r="V252" s="148"/>
      <c r="W252" s="148"/>
      <c r="X252" s="148"/>
      <c r="Y252" s="148"/>
      <c r="Z252" s="148"/>
      <c r="AA252" s="148"/>
      <c r="AB252" s="148"/>
      <c r="AC252" s="148"/>
      <c r="AD252" s="148"/>
      <c r="AE252" s="148"/>
      <c r="AF252" s="148"/>
      <c r="AG252" s="148"/>
    </row>
    <row r="253" spans="1:33" ht="13.2">
      <c r="A253" s="215"/>
      <c r="B253" s="215"/>
      <c r="C253" s="215"/>
      <c r="D253" s="215"/>
      <c r="E253" s="215"/>
      <c r="F253" s="215"/>
      <c r="G253" s="175" t="s">
        <v>9448</v>
      </c>
      <c r="H253" s="176"/>
      <c r="I253" s="168"/>
      <c r="J253" s="215"/>
      <c r="K253" s="215"/>
      <c r="L253" s="215"/>
      <c r="M253" s="215"/>
      <c r="N253" s="215"/>
      <c r="O253" s="148"/>
      <c r="P253" s="148"/>
      <c r="Q253" s="148"/>
      <c r="R253" s="148"/>
      <c r="S253" s="148"/>
      <c r="T253" s="148"/>
      <c r="U253" s="148"/>
      <c r="V253" s="148"/>
      <c r="W253" s="148"/>
      <c r="X253" s="148"/>
      <c r="Y253" s="148"/>
      <c r="Z253" s="148"/>
      <c r="AA253" s="148"/>
      <c r="AB253" s="148"/>
      <c r="AC253" s="148"/>
      <c r="AD253" s="148"/>
      <c r="AE253" s="148"/>
      <c r="AF253" s="148"/>
      <c r="AG253" s="148"/>
    </row>
    <row r="254" spans="1:33" ht="13.2">
      <c r="A254" s="215"/>
      <c r="B254" s="215"/>
      <c r="C254" s="215"/>
      <c r="D254" s="215"/>
      <c r="E254" s="215"/>
      <c r="F254" s="215"/>
      <c r="G254" s="176"/>
      <c r="H254" s="176"/>
      <c r="I254" s="168"/>
      <c r="J254" s="215"/>
      <c r="K254" s="215"/>
      <c r="L254" s="215"/>
      <c r="M254" s="215"/>
      <c r="N254" s="215"/>
      <c r="O254" s="148"/>
      <c r="P254" s="148"/>
      <c r="Q254" s="148"/>
      <c r="R254" s="148"/>
      <c r="S254" s="148"/>
      <c r="T254" s="148"/>
      <c r="U254" s="148"/>
      <c r="V254" s="148"/>
      <c r="W254" s="148"/>
      <c r="X254" s="148"/>
      <c r="Y254" s="148"/>
      <c r="Z254" s="148"/>
      <c r="AA254" s="148"/>
      <c r="AB254" s="148"/>
      <c r="AC254" s="148"/>
      <c r="AD254" s="148"/>
      <c r="AE254" s="148"/>
      <c r="AF254" s="148"/>
      <c r="AG254" s="148"/>
    </row>
    <row r="255" spans="1:33" ht="13.2">
      <c r="A255" s="216"/>
      <c r="B255" s="216"/>
      <c r="C255" s="216"/>
      <c r="D255" s="216"/>
      <c r="E255" s="216"/>
      <c r="F255" s="216"/>
      <c r="G255" s="177"/>
      <c r="H255" s="177"/>
      <c r="I255" s="168"/>
      <c r="J255" s="216"/>
      <c r="K255" s="216"/>
      <c r="L255" s="216"/>
      <c r="M255" s="216"/>
      <c r="N255" s="216"/>
      <c r="O255" s="148"/>
      <c r="P255" s="148"/>
      <c r="Q255" s="148"/>
      <c r="R255" s="148"/>
      <c r="S255" s="148"/>
      <c r="T255" s="148"/>
      <c r="U255" s="148"/>
      <c r="V255" s="148"/>
      <c r="W255" s="148"/>
      <c r="X255" s="148"/>
      <c r="Y255" s="148"/>
      <c r="Z255" s="148"/>
      <c r="AA255" s="148"/>
      <c r="AB255" s="148"/>
      <c r="AC255" s="148"/>
      <c r="AD255" s="148"/>
      <c r="AE255" s="148"/>
      <c r="AF255" s="148"/>
      <c r="AG255" s="148"/>
    </row>
    <row r="256" spans="1:33" ht="13.2">
      <c r="A256" s="218">
        <v>3</v>
      </c>
      <c r="B256" s="214" t="s">
        <v>9449</v>
      </c>
      <c r="C256" s="214" t="s">
        <v>9450</v>
      </c>
      <c r="D256" s="219">
        <v>5</v>
      </c>
      <c r="E256" s="214" t="s">
        <v>8878</v>
      </c>
      <c r="F256" s="214" t="s">
        <v>8956</v>
      </c>
      <c r="G256" s="175" t="s">
        <v>9451</v>
      </c>
      <c r="H256" s="176"/>
      <c r="I256" s="168">
        <v>2026</v>
      </c>
      <c r="J256" s="214" t="s">
        <v>9452</v>
      </c>
      <c r="K256" s="214" t="s">
        <v>8887</v>
      </c>
      <c r="L256" s="214"/>
      <c r="M256" s="214" t="s">
        <v>6308</v>
      </c>
      <c r="N256" s="217">
        <v>46052</v>
      </c>
      <c r="O256" s="148"/>
      <c r="P256" s="148"/>
      <c r="Q256" s="148"/>
      <c r="R256" s="148"/>
      <c r="S256" s="148"/>
      <c r="T256" s="148"/>
      <c r="U256" s="148"/>
      <c r="V256" s="148"/>
      <c r="W256" s="148"/>
      <c r="X256" s="148"/>
      <c r="Y256" s="148"/>
      <c r="Z256" s="148"/>
      <c r="AA256" s="148"/>
      <c r="AB256" s="148"/>
      <c r="AC256" s="148"/>
      <c r="AD256" s="148"/>
      <c r="AE256" s="148"/>
      <c r="AF256" s="148"/>
      <c r="AG256" s="148"/>
    </row>
    <row r="257" spans="1:33" ht="13.2">
      <c r="A257" s="215"/>
      <c r="B257" s="215"/>
      <c r="C257" s="215"/>
      <c r="D257" s="215"/>
      <c r="E257" s="215"/>
      <c r="F257" s="215"/>
      <c r="G257" s="175" t="s">
        <v>9453</v>
      </c>
      <c r="H257" s="176"/>
      <c r="I257" s="168"/>
      <c r="J257" s="215"/>
      <c r="K257" s="215"/>
      <c r="L257" s="215"/>
      <c r="M257" s="215"/>
      <c r="N257" s="215"/>
      <c r="O257" s="148"/>
      <c r="P257" s="148"/>
      <c r="Q257" s="148"/>
      <c r="R257" s="148"/>
      <c r="S257" s="148"/>
      <c r="T257" s="148"/>
      <c r="U257" s="148"/>
      <c r="V257" s="148"/>
      <c r="W257" s="148"/>
      <c r="X257" s="148"/>
      <c r="Y257" s="148"/>
      <c r="Z257" s="148"/>
      <c r="AA257" s="148"/>
      <c r="AB257" s="148"/>
      <c r="AC257" s="148"/>
      <c r="AD257" s="148"/>
      <c r="AE257" s="148"/>
      <c r="AF257" s="148"/>
      <c r="AG257" s="148"/>
    </row>
    <row r="258" spans="1:33" ht="13.2">
      <c r="A258" s="215"/>
      <c r="B258" s="215"/>
      <c r="C258" s="215"/>
      <c r="D258" s="215"/>
      <c r="E258" s="215"/>
      <c r="F258" s="215"/>
      <c r="G258" s="175" t="s">
        <v>9454</v>
      </c>
      <c r="H258" s="176"/>
      <c r="I258" s="168"/>
      <c r="J258" s="215"/>
      <c r="K258" s="215"/>
      <c r="L258" s="215"/>
      <c r="M258" s="215"/>
      <c r="N258" s="215"/>
      <c r="O258" s="148"/>
      <c r="P258" s="148"/>
      <c r="Q258" s="148"/>
      <c r="R258" s="148"/>
      <c r="S258" s="148"/>
      <c r="T258" s="148"/>
      <c r="U258" s="148"/>
      <c r="V258" s="148"/>
      <c r="W258" s="148"/>
      <c r="X258" s="148"/>
      <c r="Y258" s="148"/>
      <c r="Z258" s="148"/>
      <c r="AA258" s="148"/>
      <c r="AB258" s="148"/>
      <c r="AC258" s="148"/>
      <c r="AD258" s="148"/>
      <c r="AE258" s="148"/>
      <c r="AF258" s="148"/>
      <c r="AG258" s="148"/>
    </row>
    <row r="259" spans="1:33" ht="13.2">
      <c r="A259" s="215"/>
      <c r="B259" s="215"/>
      <c r="C259" s="215"/>
      <c r="D259" s="215"/>
      <c r="E259" s="215"/>
      <c r="F259" s="215"/>
      <c r="G259" s="176"/>
      <c r="H259" s="176"/>
      <c r="I259" s="168"/>
      <c r="J259" s="215"/>
      <c r="K259" s="215"/>
      <c r="L259" s="215"/>
      <c r="M259" s="215"/>
      <c r="N259" s="215"/>
      <c r="O259" s="148"/>
      <c r="P259" s="148"/>
      <c r="Q259" s="148"/>
      <c r="R259" s="148"/>
      <c r="S259" s="148"/>
      <c r="T259" s="148"/>
      <c r="U259" s="148"/>
      <c r="V259" s="148"/>
      <c r="W259" s="148"/>
      <c r="X259" s="148"/>
      <c r="Y259" s="148"/>
      <c r="Z259" s="148"/>
      <c r="AA259" s="148"/>
      <c r="AB259" s="148"/>
      <c r="AC259" s="148"/>
      <c r="AD259" s="148"/>
      <c r="AE259" s="148"/>
      <c r="AF259" s="148"/>
      <c r="AG259" s="148"/>
    </row>
    <row r="260" spans="1:33" ht="13.2">
      <c r="A260" s="216"/>
      <c r="B260" s="216"/>
      <c r="C260" s="216"/>
      <c r="D260" s="216"/>
      <c r="E260" s="216"/>
      <c r="F260" s="216"/>
      <c r="G260" s="177"/>
      <c r="H260" s="177"/>
      <c r="I260" s="168"/>
      <c r="J260" s="216"/>
      <c r="K260" s="216"/>
      <c r="L260" s="216"/>
      <c r="M260" s="216"/>
      <c r="N260" s="216"/>
      <c r="O260" s="148"/>
      <c r="P260" s="148"/>
      <c r="Q260" s="148"/>
      <c r="R260" s="148"/>
      <c r="S260" s="148"/>
      <c r="T260" s="148"/>
      <c r="U260" s="148"/>
      <c r="V260" s="148"/>
      <c r="W260" s="148"/>
      <c r="X260" s="148"/>
      <c r="Y260" s="148"/>
      <c r="Z260" s="148"/>
      <c r="AA260" s="148"/>
      <c r="AB260" s="148"/>
      <c r="AC260" s="148"/>
      <c r="AD260" s="148"/>
      <c r="AE260" s="148"/>
      <c r="AF260" s="148"/>
      <c r="AG260" s="148"/>
    </row>
    <row r="261" spans="1:33" ht="13.2">
      <c r="A261" s="218">
        <v>4</v>
      </c>
      <c r="B261" s="214" t="s">
        <v>9455</v>
      </c>
      <c r="C261" s="214" t="s">
        <v>9456</v>
      </c>
      <c r="D261" s="219">
        <v>7</v>
      </c>
      <c r="E261" s="214" t="s">
        <v>8878</v>
      </c>
      <c r="F261" s="214" t="s">
        <v>8956</v>
      </c>
      <c r="G261" s="175" t="s">
        <v>9457</v>
      </c>
      <c r="H261" s="176"/>
      <c r="I261" s="168">
        <v>2026</v>
      </c>
      <c r="J261" s="220"/>
      <c r="K261" s="214" t="s">
        <v>8887</v>
      </c>
      <c r="L261" s="214"/>
      <c r="M261" s="214" t="s">
        <v>4821</v>
      </c>
      <c r="N261" s="217">
        <v>46057</v>
      </c>
      <c r="O261" s="148"/>
      <c r="P261" s="148"/>
      <c r="Q261" s="148"/>
      <c r="R261" s="148"/>
      <c r="S261" s="148"/>
      <c r="T261" s="148"/>
      <c r="U261" s="148"/>
      <c r="V261" s="148"/>
      <c r="W261" s="148"/>
      <c r="X261" s="148"/>
      <c r="Y261" s="148"/>
      <c r="Z261" s="148"/>
      <c r="AA261" s="148"/>
      <c r="AB261" s="148"/>
      <c r="AC261" s="148"/>
      <c r="AD261" s="148"/>
      <c r="AE261" s="148"/>
      <c r="AF261" s="148"/>
      <c r="AG261" s="148"/>
    </row>
    <row r="262" spans="1:33" ht="13.2">
      <c r="A262" s="215"/>
      <c r="B262" s="215"/>
      <c r="C262" s="215"/>
      <c r="D262" s="215"/>
      <c r="E262" s="215"/>
      <c r="F262" s="215"/>
      <c r="G262" s="175" t="s">
        <v>9458</v>
      </c>
      <c r="H262" s="176"/>
      <c r="I262" s="168"/>
      <c r="J262" s="215"/>
      <c r="K262" s="215"/>
      <c r="L262" s="215"/>
      <c r="M262" s="215"/>
      <c r="N262" s="215"/>
      <c r="O262" s="148"/>
      <c r="P262" s="148"/>
      <c r="Q262" s="148"/>
      <c r="R262" s="148"/>
      <c r="S262" s="148"/>
      <c r="T262" s="148"/>
      <c r="U262" s="148"/>
      <c r="V262" s="148"/>
      <c r="W262" s="148"/>
      <c r="X262" s="148"/>
      <c r="Y262" s="148"/>
      <c r="Z262" s="148"/>
      <c r="AA262" s="148"/>
      <c r="AB262" s="148"/>
      <c r="AC262" s="148"/>
      <c r="AD262" s="148"/>
      <c r="AE262" s="148"/>
      <c r="AF262" s="148"/>
      <c r="AG262" s="148"/>
    </row>
    <row r="263" spans="1:33" ht="13.2">
      <c r="A263" s="215"/>
      <c r="B263" s="215"/>
      <c r="C263" s="215"/>
      <c r="D263" s="215"/>
      <c r="E263" s="215"/>
      <c r="F263" s="215"/>
      <c r="G263" s="175" t="s">
        <v>9459</v>
      </c>
      <c r="H263" s="176"/>
      <c r="I263" s="168"/>
      <c r="J263" s="215"/>
      <c r="K263" s="215"/>
      <c r="L263" s="215"/>
      <c r="M263" s="215"/>
      <c r="N263" s="215"/>
      <c r="O263" s="148"/>
      <c r="P263" s="148"/>
      <c r="Q263" s="148"/>
      <c r="R263" s="148"/>
      <c r="S263" s="148"/>
      <c r="T263" s="148"/>
      <c r="U263" s="148"/>
      <c r="V263" s="148"/>
      <c r="W263" s="148"/>
      <c r="X263" s="148"/>
      <c r="Y263" s="148"/>
      <c r="Z263" s="148"/>
      <c r="AA263" s="148"/>
      <c r="AB263" s="148"/>
      <c r="AC263" s="148"/>
      <c r="AD263" s="148"/>
      <c r="AE263" s="148"/>
      <c r="AF263" s="148"/>
      <c r="AG263" s="148"/>
    </row>
    <row r="264" spans="1:33" ht="13.2">
      <c r="A264" s="215"/>
      <c r="B264" s="215"/>
      <c r="C264" s="215"/>
      <c r="D264" s="215"/>
      <c r="E264" s="215"/>
      <c r="F264" s="215"/>
      <c r="G264" s="175" t="s">
        <v>9460</v>
      </c>
      <c r="H264" s="176"/>
      <c r="I264" s="168"/>
      <c r="J264" s="215"/>
      <c r="K264" s="215"/>
      <c r="L264" s="215"/>
      <c r="M264" s="215"/>
      <c r="N264" s="215"/>
      <c r="O264" s="148"/>
      <c r="P264" s="148"/>
      <c r="Q264" s="148"/>
      <c r="R264" s="148"/>
      <c r="S264" s="148"/>
      <c r="T264" s="148"/>
      <c r="U264" s="148"/>
      <c r="V264" s="148"/>
      <c r="W264" s="148"/>
      <c r="X264" s="148"/>
      <c r="Y264" s="148"/>
      <c r="Z264" s="148"/>
      <c r="AA264" s="148"/>
      <c r="AB264" s="148"/>
      <c r="AC264" s="148"/>
      <c r="AD264" s="148"/>
      <c r="AE264" s="148"/>
      <c r="AF264" s="148"/>
      <c r="AG264" s="148"/>
    </row>
    <row r="265" spans="1:33" ht="13.2">
      <c r="A265" s="215"/>
      <c r="B265" s="215"/>
      <c r="C265" s="215"/>
      <c r="D265" s="215"/>
      <c r="E265" s="215"/>
      <c r="F265" s="215"/>
      <c r="G265" s="176"/>
      <c r="H265" s="176"/>
      <c r="I265" s="168"/>
      <c r="J265" s="215"/>
      <c r="K265" s="215"/>
      <c r="L265" s="215"/>
      <c r="M265" s="215"/>
      <c r="N265" s="215"/>
      <c r="O265" s="148"/>
      <c r="P265" s="148"/>
      <c r="Q265" s="148"/>
      <c r="R265" s="148"/>
      <c r="S265" s="148"/>
      <c r="T265" s="148"/>
      <c r="U265" s="148"/>
      <c r="V265" s="148"/>
      <c r="W265" s="148"/>
      <c r="X265" s="148"/>
      <c r="Y265" s="148"/>
      <c r="Z265" s="148"/>
      <c r="AA265" s="148"/>
      <c r="AB265" s="148"/>
      <c r="AC265" s="148"/>
      <c r="AD265" s="148"/>
      <c r="AE265" s="148"/>
      <c r="AF265" s="148"/>
      <c r="AG265" s="148"/>
    </row>
    <row r="266" spans="1:33" ht="13.2">
      <c r="A266" s="215"/>
      <c r="B266" s="215"/>
      <c r="C266" s="215"/>
      <c r="D266" s="215"/>
      <c r="E266" s="215"/>
      <c r="F266" s="215"/>
      <c r="G266" s="176"/>
      <c r="H266" s="176"/>
      <c r="I266" s="168"/>
      <c r="J266" s="215"/>
      <c r="K266" s="215"/>
      <c r="L266" s="215"/>
      <c r="M266" s="215"/>
      <c r="N266" s="215"/>
      <c r="O266" s="148"/>
      <c r="P266" s="148"/>
      <c r="Q266" s="148"/>
      <c r="R266" s="148"/>
      <c r="S266" s="148"/>
      <c r="T266" s="148"/>
      <c r="U266" s="148"/>
      <c r="V266" s="148"/>
      <c r="W266" s="148"/>
      <c r="X266" s="148"/>
      <c r="Y266" s="148"/>
      <c r="Z266" s="148"/>
      <c r="AA266" s="148"/>
      <c r="AB266" s="148"/>
      <c r="AC266" s="148"/>
      <c r="AD266" s="148"/>
      <c r="AE266" s="148"/>
      <c r="AF266" s="148"/>
      <c r="AG266" s="148"/>
    </row>
    <row r="267" spans="1:33" ht="13.2">
      <c r="A267" s="216"/>
      <c r="B267" s="216"/>
      <c r="C267" s="216"/>
      <c r="D267" s="216"/>
      <c r="E267" s="216"/>
      <c r="F267" s="216"/>
      <c r="G267" s="177"/>
      <c r="H267" s="177"/>
      <c r="I267" s="168"/>
      <c r="J267" s="216"/>
      <c r="K267" s="216"/>
      <c r="L267" s="216"/>
      <c r="M267" s="216"/>
      <c r="N267" s="216"/>
      <c r="O267" s="148"/>
      <c r="P267" s="148"/>
      <c r="Q267" s="148"/>
      <c r="R267" s="148"/>
      <c r="S267" s="148"/>
      <c r="T267" s="148"/>
      <c r="U267" s="148"/>
      <c r="V267" s="148"/>
      <c r="W267" s="148"/>
      <c r="X267" s="148"/>
      <c r="Y267" s="148"/>
      <c r="Z267" s="148"/>
      <c r="AA267" s="148"/>
      <c r="AB267" s="148"/>
      <c r="AC267" s="148"/>
      <c r="AD267" s="148"/>
      <c r="AE267" s="148"/>
      <c r="AF267" s="148"/>
      <c r="AG267" s="148"/>
    </row>
    <row r="268" spans="1:33" ht="13.2">
      <c r="A268" s="218">
        <v>5</v>
      </c>
      <c r="B268" s="214" t="s">
        <v>9461</v>
      </c>
      <c r="C268" s="214" t="s">
        <v>9462</v>
      </c>
      <c r="D268" s="219">
        <v>3</v>
      </c>
      <c r="E268" s="214" t="s">
        <v>8878</v>
      </c>
      <c r="F268" s="214" t="s">
        <v>8956</v>
      </c>
      <c r="G268" s="175" t="s">
        <v>9463</v>
      </c>
      <c r="H268" s="176"/>
      <c r="I268" s="168">
        <v>2026</v>
      </c>
      <c r="J268" s="214" t="s">
        <v>9324</v>
      </c>
      <c r="K268" s="214" t="s">
        <v>8887</v>
      </c>
      <c r="L268" s="214"/>
      <c r="M268" s="214" t="s">
        <v>5623</v>
      </c>
      <c r="N268" s="217">
        <v>46097</v>
      </c>
      <c r="O268" s="148"/>
      <c r="P268" s="148"/>
      <c r="Q268" s="148"/>
      <c r="R268" s="148"/>
      <c r="S268" s="148"/>
      <c r="T268" s="148"/>
      <c r="U268" s="148"/>
      <c r="V268" s="148"/>
      <c r="W268" s="148"/>
      <c r="X268" s="148"/>
      <c r="Y268" s="148"/>
      <c r="Z268" s="148"/>
      <c r="AA268" s="148"/>
      <c r="AB268" s="148"/>
      <c r="AC268" s="148"/>
      <c r="AD268" s="148"/>
      <c r="AE268" s="148"/>
      <c r="AF268" s="148"/>
      <c r="AG268" s="148"/>
    </row>
    <row r="269" spans="1:33" ht="13.2">
      <c r="A269" s="215"/>
      <c r="B269" s="215"/>
      <c r="C269" s="215"/>
      <c r="D269" s="215"/>
      <c r="E269" s="215"/>
      <c r="F269" s="215"/>
      <c r="G269" s="175" t="s">
        <v>9464</v>
      </c>
      <c r="H269" s="176"/>
      <c r="I269" s="168"/>
      <c r="J269" s="215"/>
      <c r="K269" s="215"/>
      <c r="L269" s="215"/>
      <c r="M269" s="215"/>
      <c r="N269" s="215"/>
      <c r="O269" s="148"/>
      <c r="P269" s="148"/>
      <c r="Q269" s="148"/>
      <c r="R269" s="148"/>
      <c r="S269" s="148"/>
      <c r="T269" s="148"/>
      <c r="U269" s="148"/>
      <c r="V269" s="148"/>
      <c r="W269" s="148"/>
      <c r="X269" s="148"/>
      <c r="Y269" s="148"/>
      <c r="Z269" s="148"/>
      <c r="AA269" s="148"/>
      <c r="AB269" s="148"/>
      <c r="AC269" s="148"/>
      <c r="AD269" s="148"/>
      <c r="AE269" s="148"/>
      <c r="AF269" s="148"/>
      <c r="AG269" s="148"/>
    </row>
    <row r="270" spans="1:33" ht="13.2">
      <c r="A270" s="215"/>
      <c r="B270" s="215"/>
      <c r="C270" s="215"/>
      <c r="D270" s="215"/>
      <c r="E270" s="215"/>
      <c r="F270" s="215"/>
      <c r="G270" s="175" t="s">
        <v>9465</v>
      </c>
      <c r="H270" s="176"/>
      <c r="I270" s="168"/>
      <c r="J270" s="215"/>
      <c r="K270" s="215"/>
      <c r="L270" s="215"/>
      <c r="M270" s="215"/>
      <c r="N270" s="215"/>
      <c r="O270" s="148"/>
      <c r="P270" s="148"/>
      <c r="Q270" s="148"/>
      <c r="R270" s="148"/>
      <c r="S270" s="148"/>
      <c r="T270" s="148"/>
      <c r="U270" s="148"/>
      <c r="V270" s="148"/>
      <c r="W270" s="148"/>
      <c r="X270" s="148"/>
      <c r="Y270" s="148"/>
      <c r="Z270" s="148"/>
      <c r="AA270" s="148"/>
      <c r="AB270" s="148"/>
      <c r="AC270" s="148"/>
      <c r="AD270" s="148"/>
      <c r="AE270" s="148"/>
      <c r="AF270" s="148"/>
      <c r="AG270" s="148"/>
    </row>
    <row r="271" spans="1:33" ht="13.2">
      <c r="A271" s="216"/>
      <c r="B271" s="216"/>
      <c r="C271" s="216"/>
      <c r="D271" s="216"/>
      <c r="E271" s="216"/>
      <c r="F271" s="216"/>
      <c r="G271" s="178" t="s">
        <v>9466</v>
      </c>
      <c r="H271" s="177"/>
      <c r="I271" s="168"/>
      <c r="J271" s="216"/>
      <c r="K271" s="216"/>
      <c r="L271" s="216"/>
      <c r="M271" s="216"/>
      <c r="N271" s="216"/>
      <c r="O271" s="148"/>
      <c r="P271" s="148"/>
      <c r="Q271" s="148"/>
      <c r="R271" s="148"/>
      <c r="S271" s="148"/>
      <c r="T271" s="148"/>
      <c r="U271" s="148"/>
      <c r="V271" s="148"/>
      <c r="W271" s="148"/>
      <c r="X271" s="148"/>
      <c r="Y271" s="148"/>
      <c r="Z271" s="148"/>
      <c r="AA271" s="148"/>
      <c r="AB271" s="148"/>
      <c r="AC271" s="148"/>
      <c r="AD271" s="148"/>
      <c r="AE271" s="148"/>
      <c r="AF271" s="148"/>
      <c r="AG271" s="148"/>
    </row>
    <row r="272" spans="1:33" ht="13.2">
      <c r="A272" s="218">
        <v>6</v>
      </c>
      <c r="B272" s="214" t="s">
        <v>9467</v>
      </c>
      <c r="C272" s="214" t="s">
        <v>9468</v>
      </c>
      <c r="D272" s="219">
        <v>4</v>
      </c>
      <c r="E272" s="214" t="s">
        <v>9023</v>
      </c>
      <c r="F272" s="214" t="s">
        <v>8890</v>
      </c>
      <c r="G272" s="175" t="s">
        <v>9469</v>
      </c>
      <c r="H272" s="176"/>
      <c r="I272" s="168">
        <v>2026</v>
      </c>
      <c r="J272" s="220"/>
      <c r="K272" s="214" t="s">
        <v>8887</v>
      </c>
      <c r="L272" s="214"/>
      <c r="M272" s="214" t="s">
        <v>4790</v>
      </c>
      <c r="N272" s="217">
        <v>46090</v>
      </c>
      <c r="O272" s="148"/>
      <c r="P272" s="148"/>
      <c r="Q272" s="148"/>
      <c r="R272" s="148"/>
      <c r="S272" s="148"/>
      <c r="T272" s="148"/>
      <c r="U272" s="148"/>
      <c r="V272" s="148"/>
      <c r="W272" s="148"/>
      <c r="X272" s="148"/>
      <c r="Y272" s="148"/>
      <c r="Z272" s="148"/>
      <c r="AA272" s="148"/>
      <c r="AB272" s="148"/>
      <c r="AC272" s="148"/>
      <c r="AD272" s="148"/>
      <c r="AE272" s="148"/>
      <c r="AF272" s="148"/>
      <c r="AG272" s="148"/>
    </row>
    <row r="273" spans="1:33" ht="13.2">
      <c r="A273" s="215"/>
      <c r="B273" s="215"/>
      <c r="C273" s="215"/>
      <c r="D273" s="215"/>
      <c r="E273" s="215"/>
      <c r="F273" s="215"/>
      <c r="G273" s="175" t="s">
        <v>9470</v>
      </c>
      <c r="H273" s="176"/>
      <c r="I273" s="168"/>
      <c r="J273" s="215"/>
      <c r="K273" s="215"/>
      <c r="L273" s="215"/>
      <c r="M273" s="215"/>
      <c r="N273" s="215"/>
      <c r="O273" s="148"/>
      <c r="P273" s="148"/>
      <c r="Q273" s="148"/>
      <c r="R273" s="148"/>
      <c r="S273" s="148"/>
      <c r="T273" s="148"/>
      <c r="U273" s="148"/>
      <c r="V273" s="148"/>
      <c r="W273" s="148"/>
      <c r="X273" s="148"/>
      <c r="Y273" s="148"/>
      <c r="Z273" s="148"/>
      <c r="AA273" s="148"/>
      <c r="AB273" s="148"/>
      <c r="AC273" s="148"/>
      <c r="AD273" s="148"/>
      <c r="AE273" s="148"/>
      <c r="AF273" s="148"/>
      <c r="AG273" s="148"/>
    </row>
    <row r="274" spans="1:33" ht="13.2">
      <c r="A274" s="215"/>
      <c r="B274" s="215"/>
      <c r="C274" s="215"/>
      <c r="D274" s="215"/>
      <c r="E274" s="215"/>
      <c r="F274" s="215"/>
      <c r="G274" s="176"/>
      <c r="H274" s="176"/>
      <c r="I274" s="168"/>
      <c r="J274" s="215"/>
      <c r="K274" s="215"/>
      <c r="L274" s="215"/>
      <c r="M274" s="215"/>
      <c r="N274" s="215"/>
      <c r="O274" s="148"/>
      <c r="P274" s="148"/>
      <c r="Q274" s="148"/>
      <c r="R274" s="148"/>
      <c r="S274" s="148"/>
      <c r="T274" s="148"/>
      <c r="U274" s="148"/>
      <c r="V274" s="148"/>
      <c r="W274" s="148"/>
      <c r="X274" s="148"/>
      <c r="Y274" s="148"/>
      <c r="Z274" s="148"/>
      <c r="AA274" s="148"/>
      <c r="AB274" s="148"/>
      <c r="AC274" s="148"/>
      <c r="AD274" s="148"/>
      <c r="AE274" s="148"/>
      <c r="AF274" s="148"/>
      <c r="AG274" s="148"/>
    </row>
    <row r="275" spans="1:33" ht="13.2">
      <c r="A275" s="216"/>
      <c r="B275" s="216"/>
      <c r="C275" s="216"/>
      <c r="D275" s="216"/>
      <c r="E275" s="216"/>
      <c r="F275" s="216"/>
      <c r="G275" s="177"/>
      <c r="H275" s="177"/>
      <c r="I275" s="168"/>
      <c r="J275" s="216"/>
      <c r="K275" s="216"/>
      <c r="L275" s="216"/>
      <c r="M275" s="216"/>
      <c r="N275" s="216"/>
      <c r="O275" s="148"/>
      <c r="P275" s="148"/>
      <c r="Q275" s="148"/>
      <c r="R275" s="148"/>
      <c r="S275" s="148"/>
      <c r="T275" s="148"/>
      <c r="U275" s="148"/>
      <c r="V275" s="148"/>
      <c r="W275" s="148"/>
      <c r="X275" s="148"/>
      <c r="Y275" s="148"/>
      <c r="Z275" s="148"/>
      <c r="AA275" s="148"/>
      <c r="AB275" s="148"/>
      <c r="AC275" s="148"/>
      <c r="AD275" s="148"/>
      <c r="AE275" s="148"/>
      <c r="AF275" s="148"/>
      <c r="AG275" s="148"/>
    </row>
    <row r="276" spans="1:33" ht="13.2">
      <c r="A276" s="218">
        <v>7</v>
      </c>
      <c r="B276" s="214" t="s">
        <v>9471</v>
      </c>
      <c r="C276" s="214" t="s">
        <v>9472</v>
      </c>
      <c r="D276" s="219">
        <v>2</v>
      </c>
      <c r="E276" s="214" t="s">
        <v>9023</v>
      </c>
      <c r="F276" s="214" t="s">
        <v>8890</v>
      </c>
      <c r="G276" s="175" t="s">
        <v>9473</v>
      </c>
      <c r="H276" s="176"/>
      <c r="I276" s="168">
        <v>2026</v>
      </c>
      <c r="J276" s="220"/>
      <c r="K276" s="214" t="s">
        <v>8887</v>
      </c>
      <c r="L276" s="214"/>
      <c r="M276" s="214" t="s">
        <v>5853</v>
      </c>
      <c r="N276" s="217">
        <v>46091</v>
      </c>
      <c r="O276" s="148"/>
      <c r="P276" s="148"/>
      <c r="Q276" s="148"/>
      <c r="R276" s="148"/>
      <c r="S276" s="148"/>
      <c r="T276" s="148"/>
      <c r="U276" s="148"/>
      <c r="V276" s="148"/>
      <c r="W276" s="148"/>
      <c r="X276" s="148"/>
      <c r="Y276" s="148"/>
      <c r="Z276" s="148"/>
      <c r="AA276" s="148"/>
      <c r="AB276" s="148"/>
      <c r="AC276" s="148"/>
      <c r="AD276" s="148"/>
      <c r="AE276" s="148"/>
      <c r="AF276" s="148"/>
      <c r="AG276" s="148"/>
    </row>
    <row r="277" spans="1:33" ht="13.2">
      <c r="A277" s="215"/>
      <c r="B277" s="215"/>
      <c r="C277" s="215"/>
      <c r="D277" s="215"/>
      <c r="E277" s="215"/>
      <c r="F277" s="215"/>
      <c r="G277" s="175" t="s">
        <v>9474</v>
      </c>
      <c r="H277" s="176"/>
      <c r="I277" s="168"/>
      <c r="J277" s="215"/>
      <c r="K277" s="215"/>
      <c r="L277" s="215"/>
      <c r="M277" s="215"/>
      <c r="N277" s="215"/>
      <c r="O277" s="148"/>
      <c r="P277" s="148"/>
      <c r="Q277" s="148"/>
      <c r="R277" s="148"/>
      <c r="S277" s="148"/>
      <c r="T277" s="148"/>
      <c r="U277" s="148"/>
      <c r="V277" s="148"/>
      <c r="W277" s="148"/>
      <c r="X277" s="148"/>
      <c r="Y277" s="148"/>
      <c r="Z277" s="148"/>
      <c r="AA277" s="148"/>
      <c r="AB277" s="148"/>
      <c r="AC277" s="148"/>
      <c r="AD277" s="148"/>
      <c r="AE277" s="148"/>
      <c r="AF277" s="148"/>
      <c r="AG277" s="148"/>
    </row>
    <row r="278" spans="1:33" ht="13.2">
      <c r="A278" s="216"/>
      <c r="B278" s="216"/>
      <c r="C278" s="216"/>
      <c r="D278" s="216"/>
      <c r="E278" s="216"/>
      <c r="F278" s="216"/>
      <c r="G278" s="178" t="s">
        <v>9475</v>
      </c>
      <c r="H278" s="177"/>
      <c r="I278" s="168"/>
      <c r="J278" s="216"/>
      <c r="K278" s="216"/>
      <c r="L278" s="216"/>
      <c r="M278" s="216"/>
      <c r="N278" s="216"/>
      <c r="O278" s="148"/>
      <c r="P278" s="148"/>
      <c r="Q278" s="148"/>
      <c r="R278" s="148"/>
      <c r="S278" s="148"/>
      <c r="T278" s="148"/>
      <c r="U278" s="148"/>
      <c r="V278" s="148"/>
      <c r="W278" s="148"/>
      <c r="X278" s="148"/>
      <c r="Y278" s="148"/>
      <c r="Z278" s="148"/>
      <c r="AA278" s="148"/>
      <c r="AB278" s="148"/>
      <c r="AC278" s="148"/>
      <c r="AD278" s="148"/>
      <c r="AE278" s="148"/>
      <c r="AF278" s="148"/>
      <c r="AG278" s="148"/>
    </row>
    <row r="279" spans="1:33" ht="13.2">
      <c r="A279" s="218">
        <v>8</v>
      </c>
      <c r="B279" s="214" t="s">
        <v>9476</v>
      </c>
      <c r="C279" s="214" t="s">
        <v>9477</v>
      </c>
      <c r="D279" s="219">
        <v>6</v>
      </c>
      <c r="E279" s="214" t="s">
        <v>9023</v>
      </c>
      <c r="F279" s="214" t="s">
        <v>9011</v>
      </c>
      <c r="G279" s="175" t="s">
        <v>9478</v>
      </c>
      <c r="H279" s="176"/>
      <c r="I279" s="168">
        <v>2026</v>
      </c>
      <c r="J279" s="220"/>
      <c r="K279" s="214" t="s">
        <v>8887</v>
      </c>
      <c r="L279" s="214"/>
      <c r="M279" s="214" t="s">
        <v>6094</v>
      </c>
      <c r="N279" s="217">
        <v>46076</v>
      </c>
      <c r="O279" s="148"/>
      <c r="P279" s="148"/>
      <c r="Q279" s="148"/>
      <c r="R279" s="148"/>
      <c r="S279" s="148"/>
      <c r="T279" s="148"/>
      <c r="U279" s="148"/>
      <c r="V279" s="148"/>
      <c r="W279" s="148"/>
      <c r="X279" s="148"/>
      <c r="Y279" s="148"/>
      <c r="Z279" s="148"/>
      <c r="AA279" s="148"/>
      <c r="AB279" s="148"/>
      <c r="AC279" s="148"/>
      <c r="AD279" s="148"/>
      <c r="AE279" s="148"/>
      <c r="AF279" s="148"/>
      <c r="AG279" s="148"/>
    </row>
    <row r="280" spans="1:33" ht="13.2">
      <c r="A280" s="215"/>
      <c r="B280" s="215"/>
      <c r="C280" s="215"/>
      <c r="D280" s="215"/>
      <c r="E280" s="215"/>
      <c r="F280" s="215"/>
      <c r="G280" s="175" t="s">
        <v>9479</v>
      </c>
      <c r="H280" s="176"/>
      <c r="I280" s="168"/>
      <c r="J280" s="215"/>
      <c r="K280" s="215"/>
      <c r="L280" s="215"/>
      <c r="M280" s="215"/>
      <c r="N280" s="215"/>
      <c r="O280" s="148"/>
      <c r="P280" s="148"/>
      <c r="Q280" s="148"/>
      <c r="R280" s="148"/>
      <c r="S280" s="148"/>
      <c r="T280" s="148"/>
      <c r="U280" s="148"/>
      <c r="V280" s="148"/>
      <c r="W280" s="148"/>
      <c r="X280" s="148"/>
      <c r="Y280" s="148"/>
      <c r="Z280" s="148"/>
      <c r="AA280" s="148"/>
      <c r="AB280" s="148"/>
      <c r="AC280" s="148"/>
      <c r="AD280" s="148"/>
      <c r="AE280" s="148"/>
      <c r="AF280" s="148"/>
      <c r="AG280" s="148"/>
    </row>
    <row r="281" spans="1:33" ht="13.2">
      <c r="A281" s="215"/>
      <c r="B281" s="215"/>
      <c r="C281" s="215"/>
      <c r="D281" s="215"/>
      <c r="E281" s="215"/>
      <c r="F281" s="215"/>
      <c r="G281" s="176"/>
      <c r="H281" s="176"/>
      <c r="I281" s="168"/>
      <c r="J281" s="215"/>
      <c r="K281" s="215"/>
      <c r="L281" s="215"/>
      <c r="M281" s="215"/>
      <c r="N281" s="215"/>
      <c r="O281" s="148"/>
      <c r="P281" s="148"/>
      <c r="Q281" s="148"/>
      <c r="R281" s="148"/>
      <c r="S281" s="148"/>
      <c r="T281" s="148"/>
      <c r="U281" s="148"/>
      <c r="V281" s="148"/>
      <c r="W281" s="148"/>
      <c r="X281" s="148"/>
      <c r="Y281" s="148"/>
      <c r="Z281" s="148"/>
      <c r="AA281" s="148"/>
      <c r="AB281" s="148"/>
      <c r="AC281" s="148"/>
      <c r="AD281" s="148"/>
      <c r="AE281" s="148"/>
      <c r="AF281" s="148"/>
      <c r="AG281" s="148"/>
    </row>
    <row r="282" spans="1:33" ht="13.2">
      <c r="A282" s="215"/>
      <c r="B282" s="215"/>
      <c r="C282" s="215"/>
      <c r="D282" s="215"/>
      <c r="E282" s="215"/>
      <c r="F282" s="215"/>
      <c r="G282" s="176"/>
      <c r="H282" s="176"/>
      <c r="I282" s="168"/>
      <c r="J282" s="215"/>
      <c r="K282" s="215"/>
      <c r="L282" s="215"/>
      <c r="M282" s="215"/>
      <c r="N282" s="215"/>
      <c r="O282" s="148"/>
      <c r="P282" s="148"/>
      <c r="Q282" s="148"/>
      <c r="R282" s="148"/>
      <c r="S282" s="148"/>
      <c r="T282" s="148"/>
      <c r="U282" s="148"/>
      <c r="V282" s="148"/>
      <c r="W282" s="148"/>
      <c r="X282" s="148"/>
      <c r="Y282" s="148"/>
      <c r="Z282" s="148"/>
      <c r="AA282" s="148"/>
      <c r="AB282" s="148"/>
      <c r="AC282" s="148"/>
      <c r="AD282" s="148"/>
      <c r="AE282" s="148"/>
      <c r="AF282" s="148"/>
      <c r="AG282" s="148"/>
    </row>
    <row r="283" spans="1:33" ht="13.2">
      <c r="A283" s="215"/>
      <c r="B283" s="215"/>
      <c r="C283" s="215"/>
      <c r="D283" s="215"/>
      <c r="E283" s="215"/>
      <c r="F283" s="215"/>
      <c r="G283" s="176"/>
      <c r="H283" s="176"/>
      <c r="I283" s="168"/>
      <c r="J283" s="215"/>
      <c r="K283" s="215"/>
      <c r="L283" s="215"/>
      <c r="M283" s="215"/>
      <c r="N283" s="215"/>
      <c r="O283" s="148"/>
      <c r="P283" s="148"/>
      <c r="Q283" s="148"/>
      <c r="R283" s="148"/>
      <c r="S283" s="148"/>
      <c r="T283" s="148"/>
      <c r="U283" s="148"/>
      <c r="V283" s="148"/>
      <c r="W283" s="148"/>
      <c r="X283" s="148"/>
      <c r="Y283" s="148"/>
      <c r="Z283" s="148"/>
      <c r="AA283" s="148"/>
      <c r="AB283" s="148"/>
      <c r="AC283" s="148"/>
      <c r="AD283" s="148"/>
      <c r="AE283" s="148"/>
      <c r="AF283" s="148"/>
      <c r="AG283" s="148"/>
    </row>
    <row r="284" spans="1:33" ht="13.2">
      <c r="A284" s="216"/>
      <c r="B284" s="216"/>
      <c r="C284" s="216"/>
      <c r="D284" s="216"/>
      <c r="E284" s="216"/>
      <c r="F284" s="216"/>
      <c r="G284" s="177"/>
      <c r="H284" s="177"/>
      <c r="I284" s="168"/>
      <c r="J284" s="216"/>
      <c r="K284" s="216"/>
      <c r="L284" s="216"/>
      <c r="M284" s="216"/>
      <c r="N284" s="216"/>
      <c r="O284" s="148"/>
      <c r="P284" s="148"/>
      <c r="Q284" s="148"/>
      <c r="R284" s="148"/>
      <c r="S284" s="148"/>
      <c r="T284" s="148"/>
      <c r="U284" s="148"/>
      <c r="V284" s="148"/>
      <c r="W284" s="148"/>
      <c r="X284" s="148"/>
      <c r="Y284" s="148"/>
      <c r="Z284" s="148"/>
      <c r="AA284" s="148"/>
      <c r="AB284" s="148"/>
      <c r="AC284" s="148"/>
      <c r="AD284" s="148"/>
      <c r="AE284" s="148"/>
      <c r="AF284" s="148"/>
      <c r="AG284" s="148"/>
    </row>
    <row r="285" spans="1:33" ht="13.2">
      <c r="A285" s="218">
        <v>9</v>
      </c>
      <c r="B285" s="214" t="s">
        <v>9480</v>
      </c>
      <c r="C285" s="214" t="s">
        <v>9481</v>
      </c>
      <c r="D285" s="219">
        <v>3</v>
      </c>
      <c r="E285" s="214" t="s">
        <v>9023</v>
      </c>
      <c r="F285" s="214" t="s">
        <v>9011</v>
      </c>
      <c r="G285" s="175" t="s">
        <v>9482</v>
      </c>
      <c r="H285" s="176"/>
      <c r="I285" s="168">
        <v>2026</v>
      </c>
      <c r="J285" s="220"/>
      <c r="K285" s="214" t="s">
        <v>8887</v>
      </c>
      <c r="L285" s="214"/>
      <c r="M285" s="214" t="s">
        <v>6875</v>
      </c>
      <c r="N285" s="217">
        <v>46097</v>
      </c>
      <c r="O285" s="148"/>
      <c r="P285" s="148"/>
      <c r="Q285" s="148"/>
      <c r="R285" s="148"/>
      <c r="S285" s="148"/>
      <c r="T285" s="148"/>
      <c r="U285" s="148"/>
      <c r="V285" s="148"/>
      <c r="W285" s="148"/>
      <c r="X285" s="148"/>
      <c r="Y285" s="148"/>
      <c r="Z285" s="148"/>
      <c r="AA285" s="148"/>
      <c r="AB285" s="148"/>
      <c r="AC285" s="148"/>
      <c r="AD285" s="148"/>
      <c r="AE285" s="148"/>
      <c r="AF285" s="148"/>
      <c r="AG285" s="148"/>
    </row>
    <row r="286" spans="1:33" ht="13.2">
      <c r="A286" s="215"/>
      <c r="B286" s="215"/>
      <c r="C286" s="215"/>
      <c r="D286" s="215"/>
      <c r="E286" s="215"/>
      <c r="F286" s="215"/>
      <c r="G286" s="175" t="s">
        <v>9483</v>
      </c>
      <c r="H286" s="176"/>
      <c r="I286" s="168"/>
      <c r="J286" s="215"/>
      <c r="K286" s="215"/>
      <c r="L286" s="215"/>
      <c r="M286" s="215"/>
      <c r="N286" s="215"/>
      <c r="O286" s="148"/>
      <c r="P286" s="148"/>
      <c r="Q286" s="148"/>
      <c r="R286" s="148"/>
      <c r="S286" s="148"/>
      <c r="T286" s="148"/>
      <c r="U286" s="148"/>
      <c r="V286" s="148"/>
      <c r="W286" s="148"/>
      <c r="X286" s="148"/>
      <c r="Y286" s="148"/>
      <c r="Z286" s="148"/>
      <c r="AA286" s="148"/>
      <c r="AB286" s="148"/>
      <c r="AC286" s="148"/>
      <c r="AD286" s="148"/>
      <c r="AE286" s="148"/>
      <c r="AF286" s="148"/>
      <c r="AG286" s="148"/>
    </row>
    <row r="287" spans="1:33" ht="13.2">
      <c r="A287" s="216"/>
      <c r="B287" s="216"/>
      <c r="C287" s="216"/>
      <c r="D287" s="216"/>
      <c r="E287" s="216"/>
      <c r="F287" s="216"/>
      <c r="G287" s="177"/>
      <c r="H287" s="177"/>
      <c r="I287" s="168"/>
      <c r="J287" s="216"/>
      <c r="K287" s="216"/>
      <c r="L287" s="216"/>
      <c r="M287" s="216"/>
      <c r="N287" s="216"/>
      <c r="O287" s="148"/>
      <c r="P287" s="148"/>
      <c r="Q287" s="148"/>
      <c r="R287" s="148"/>
      <c r="S287" s="148"/>
      <c r="T287" s="148"/>
      <c r="U287" s="148"/>
      <c r="V287" s="148"/>
      <c r="W287" s="148"/>
      <c r="X287" s="148"/>
      <c r="Y287" s="148"/>
      <c r="Z287" s="148"/>
      <c r="AA287" s="148"/>
      <c r="AB287" s="148"/>
      <c r="AC287" s="148"/>
      <c r="AD287" s="148"/>
      <c r="AE287" s="148"/>
      <c r="AF287" s="148"/>
      <c r="AG287" s="148"/>
    </row>
    <row r="288" spans="1:33" ht="13.8">
      <c r="A288" s="148"/>
      <c r="B288" s="148"/>
      <c r="C288" s="148"/>
      <c r="D288" s="148"/>
      <c r="E288" s="148"/>
      <c r="F288" s="148"/>
      <c r="G288" s="179"/>
      <c r="H288" s="148"/>
      <c r="I288" s="148"/>
      <c r="J288" s="180"/>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row>
    <row r="289" spans="1:33" ht="13.8">
      <c r="A289" s="148"/>
      <c r="B289" s="148"/>
      <c r="C289" s="148"/>
      <c r="D289" s="148"/>
      <c r="E289" s="148"/>
      <c r="F289" s="148"/>
      <c r="G289" s="179"/>
      <c r="H289" s="148"/>
      <c r="I289" s="148"/>
      <c r="J289" s="180"/>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row>
    <row r="290" spans="1:33" ht="13.8">
      <c r="A290" s="148"/>
      <c r="B290" s="148"/>
      <c r="C290" s="148"/>
      <c r="D290" s="148"/>
      <c r="E290" s="148"/>
      <c r="F290" s="148"/>
      <c r="G290" s="179"/>
      <c r="H290" s="148"/>
      <c r="I290" s="148"/>
      <c r="J290" s="180"/>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row>
    <row r="291" spans="1:33" ht="13.8">
      <c r="A291" s="148"/>
      <c r="B291" s="148"/>
      <c r="C291" s="148"/>
      <c r="D291" s="148"/>
      <c r="E291" s="148"/>
      <c r="F291" s="148"/>
      <c r="G291" s="179"/>
      <c r="H291" s="148"/>
      <c r="I291" s="148"/>
      <c r="J291" s="180"/>
      <c r="K291" s="148"/>
      <c r="L291" s="148"/>
      <c r="M291" s="148"/>
      <c r="N291" s="148"/>
      <c r="O291" s="148"/>
      <c r="P291" s="148"/>
      <c r="Q291" s="148"/>
      <c r="R291" s="148"/>
      <c r="S291" s="148"/>
      <c r="T291" s="148"/>
      <c r="U291" s="148"/>
      <c r="V291" s="148"/>
      <c r="W291" s="148"/>
      <c r="X291" s="148"/>
      <c r="Y291" s="148"/>
      <c r="Z291" s="148"/>
      <c r="AA291" s="148"/>
      <c r="AB291" s="148"/>
      <c r="AC291" s="148"/>
      <c r="AD291" s="148"/>
      <c r="AE291" s="148"/>
      <c r="AF291" s="148"/>
      <c r="AG291" s="148"/>
    </row>
    <row r="292" spans="1:33" ht="13.8">
      <c r="A292" s="148"/>
      <c r="B292" s="148"/>
      <c r="C292" s="148"/>
      <c r="D292" s="148"/>
      <c r="E292" s="148"/>
      <c r="F292" s="148"/>
      <c r="G292" s="179"/>
      <c r="H292" s="148"/>
      <c r="I292" s="148"/>
      <c r="J292" s="180"/>
      <c r="K292" s="148"/>
      <c r="L292" s="148"/>
      <c r="M292" s="148"/>
      <c r="N292" s="148"/>
      <c r="O292" s="148"/>
      <c r="P292" s="148"/>
      <c r="Q292" s="148"/>
      <c r="R292" s="148"/>
      <c r="S292" s="148"/>
      <c r="T292" s="148"/>
      <c r="U292" s="148"/>
      <c r="V292" s="148"/>
      <c r="W292" s="148"/>
      <c r="X292" s="148"/>
      <c r="Y292" s="148"/>
      <c r="Z292" s="148"/>
      <c r="AA292" s="148"/>
      <c r="AB292" s="148"/>
      <c r="AC292" s="148"/>
      <c r="AD292" s="148"/>
      <c r="AE292" s="148"/>
      <c r="AF292" s="148"/>
      <c r="AG292" s="148"/>
    </row>
    <row r="293" spans="1:33" ht="13.8">
      <c r="A293" s="148"/>
      <c r="B293" s="148"/>
      <c r="C293" s="148"/>
      <c r="D293" s="148"/>
      <c r="E293" s="148"/>
      <c r="F293" s="148"/>
      <c r="G293" s="179"/>
      <c r="H293" s="148"/>
      <c r="I293" s="148"/>
      <c r="J293" s="180"/>
      <c r="K293" s="148"/>
      <c r="L293" s="148"/>
      <c r="M293" s="148"/>
      <c r="N293" s="148"/>
      <c r="O293" s="148"/>
      <c r="P293" s="148"/>
      <c r="Q293" s="148"/>
      <c r="R293" s="148"/>
      <c r="S293" s="148"/>
      <c r="T293" s="148"/>
      <c r="U293" s="148"/>
      <c r="V293" s="148"/>
      <c r="W293" s="148"/>
      <c r="X293" s="148"/>
      <c r="Y293" s="148"/>
      <c r="Z293" s="148"/>
      <c r="AA293" s="148"/>
      <c r="AB293" s="148"/>
      <c r="AC293" s="148"/>
      <c r="AD293" s="148"/>
      <c r="AE293" s="148"/>
      <c r="AF293" s="148"/>
      <c r="AG293" s="148"/>
    </row>
    <row r="294" spans="1:33" ht="13.8">
      <c r="A294" s="148"/>
      <c r="B294" s="148"/>
      <c r="C294" s="148"/>
      <c r="D294" s="148"/>
      <c r="E294" s="148"/>
      <c r="F294" s="148"/>
      <c r="G294" s="179"/>
      <c r="H294" s="148"/>
      <c r="I294" s="148"/>
      <c r="J294" s="180"/>
      <c r="K294" s="148"/>
      <c r="L294" s="148"/>
      <c r="M294" s="148"/>
      <c r="N294" s="148"/>
      <c r="O294" s="148"/>
      <c r="P294" s="148"/>
      <c r="Q294" s="148"/>
      <c r="R294" s="148"/>
      <c r="S294" s="148"/>
      <c r="T294" s="148"/>
      <c r="U294" s="148"/>
      <c r="V294" s="148"/>
      <c r="W294" s="148"/>
      <c r="X294" s="148"/>
      <c r="Y294" s="148"/>
      <c r="Z294" s="148"/>
      <c r="AA294" s="148"/>
      <c r="AB294" s="148"/>
      <c r="AC294" s="148"/>
      <c r="AD294" s="148"/>
      <c r="AE294" s="148"/>
      <c r="AF294" s="148"/>
      <c r="AG294" s="148"/>
    </row>
    <row r="295" spans="1:33" ht="13.8">
      <c r="A295" s="148"/>
      <c r="B295" s="148"/>
      <c r="C295" s="148"/>
      <c r="D295" s="148"/>
      <c r="E295" s="148"/>
      <c r="F295" s="148"/>
      <c r="G295" s="179"/>
      <c r="H295" s="148"/>
      <c r="I295" s="148"/>
      <c r="J295" s="180"/>
      <c r="K295" s="148"/>
      <c r="L295" s="148"/>
      <c r="M295" s="148"/>
      <c r="N295" s="148"/>
      <c r="O295" s="148"/>
      <c r="P295" s="148"/>
      <c r="Q295" s="148"/>
      <c r="R295" s="148"/>
      <c r="S295" s="148"/>
      <c r="T295" s="148"/>
      <c r="U295" s="148"/>
      <c r="V295" s="148"/>
      <c r="W295" s="148"/>
      <c r="X295" s="148"/>
      <c r="Y295" s="148"/>
      <c r="Z295" s="148"/>
      <c r="AA295" s="148"/>
      <c r="AB295" s="148"/>
      <c r="AC295" s="148"/>
      <c r="AD295" s="148"/>
      <c r="AE295" s="148"/>
      <c r="AF295" s="148"/>
      <c r="AG295" s="148"/>
    </row>
    <row r="296" spans="1:33" ht="13.8">
      <c r="A296" s="148"/>
      <c r="B296" s="148"/>
      <c r="C296" s="148"/>
      <c r="D296" s="148"/>
      <c r="E296" s="148"/>
      <c r="F296" s="148"/>
      <c r="G296" s="179"/>
      <c r="H296" s="148"/>
      <c r="I296" s="148"/>
      <c r="J296" s="180"/>
      <c r="K296" s="148"/>
      <c r="L296" s="148"/>
      <c r="M296" s="148"/>
      <c r="N296" s="148"/>
      <c r="O296" s="148"/>
      <c r="P296" s="148"/>
      <c r="Q296" s="148"/>
      <c r="R296" s="148"/>
      <c r="S296" s="148"/>
      <c r="T296" s="148"/>
      <c r="U296" s="148"/>
      <c r="V296" s="148"/>
      <c r="W296" s="148"/>
      <c r="X296" s="148"/>
      <c r="Y296" s="148"/>
      <c r="Z296" s="148"/>
      <c r="AA296" s="148"/>
      <c r="AB296" s="148"/>
      <c r="AC296" s="148"/>
      <c r="AD296" s="148"/>
      <c r="AE296" s="148"/>
      <c r="AF296" s="148"/>
      <c r="AG296" s="148"/>
    </row>
    <row r="297" spans="1:33" ht="13.8">
      <c r="A297" s="148"/>
      <c r="B297" s="148"/>
      <c r="C297" s="148"/>
      <c r="D297" s="148"/>
      <c r="E297" s="148"/>
      <c r="F297" s="148"/>
      <c r="G297" s="179"/>
      <c r="H297" s="148"/>
      <c r="I297" s="148"/>
      <c r="J297" s="180"/>
      <c r="K297" s="148"/>
      <c r="L297" s="148"/>
      <c r="M297" s="148"/>
      <c r="N297" s="148"/>
      <c r="O297" s="148"/>
      <c r="P297" s="148"/>
      <c r="Q297" s="148"/>
      <c r="R297" s="148"/>
      <c r="S297" s="148"/>
      <c r="T297" s="148"/>
      <c r="U297" s="148"/>
      <c r="V297" s="148"/>
      <c r="W297" s="148"/>
      <c r="X297" s="148"/>
      <c r="Y297" s="148"/>
      <c r="Z297" s="148"/>
      <c r="AA297" s="148"/>
      <c r="AB297" s="148"/>
      <c r="AC297" s="148"/>
      <c r="AD297" s="148"/>
      <c r="AE297" s="148"/>
      <c r="AF297" s="148"/>
      <c r="AG297" s="148"/>
    </row>
    <row r="298" spans="1:33" ht="13.8">
      <c r="A298" s="148"/>
      <c r="B298" s="148"/>
      <c r="C298" s="148"/>
      <c r="D298" s="148"/>
      <c r="E298" s="148"/>
      <c r="F298" s="148"/>
      <c r="G298" s="179"/>
      <c r="H298" s="148"/>
      <c r="I298" s="148"/>
      <c r="J298" s="180"/>
      <c r="K298" s="148"/>
      <c r="L298" s="148"/>
      <c r="M298" s="148"/>
      <c r="N298" s="148"/>
      <c r="O298" s="148"/>
      <c r="P298" s="148"/>
      <c r="Q298" s="148"/>
      <c r="R298" s="148"/>
      <c r="S298" s="148"/>
      <c r="T298" s="148"/>
      <c r="U298" s="148"/>
      <c r="V298" s="148"/>
      <c r="W298" s="148"/>
      <c r="X298" s="148"/>
      <c r="Y298" s="148"/>
      <c r="Z298" s="148"/>
      <c r="AA298" s="148"/>
      <c r="AB298" s="148"/>
      <c r="AC298" s="148"/>
      <c r="AD298" s="148"/>
      <c r="AE298" s="148"/>
      <c r="AF298" s="148"/>
      <c r="AG298" s="148"/>
    </row>
    <row r="299" spans="1:33" ht="13.8">
      <c r="A299" s="148"/>
      <c r="B299" s="148"/>
      <c r="C299" s="148"/>
      <c r="D299" s="148"/>
      <c r="E299" s="148"/>
      <c r="F299" s="148"/>
      <c r="G299" s="179"/>
      <c r="H299" s="148"/>
      <c r="I299" s="148"/>
      <c r="J299" s="180"/>
      <c r="K299" s="148"/>
      <c r="L299" s="148"/>
      <c r="M299" s="148"/>
      <c r="N299" s="148"/>
      <c r="O299" s="148"/>
      <c r="P299" s="148"/>
      <c r="Q299" s="148"/>
      <c r="R299" s="148"/>
      <c r="S299" s="148"/>
      <c r="T299" s="148"/>
      <c r="U299" s="148"/>
      <c r="V299" s="148"/>
      <c r="W299" s="148"/>
      <c r="X299" s="148"/>
      <c r="Y299" s="148"/>
      <c r="Z299" s="148"/>
      <c r="AA299" s="148"/>
      <c r="AB299" s="148"/>
      <c r="AC299" s="148"/>
      <c r="AD299" s="148"/>
      <c r="AE299" s="148"/>
      <c r="AF299" s="148"/>
      <c r="AG299" s="148"/>
    </row>
    <row r="300" spans="1:33" ht="13.8">
      <c r="A300" s="148"/>
      <c r="B300" s="148"/>
      <c r="C300" s="148"/>
      <c r="D300" s="148"/>
      <c r="E300" s="148"/>
      <c r="F300" s="148"/>
      <c r="G300" s="179"/>
      <c r="H300" s="148"/>
      <c r="I300" s="148"/>
      <c r="J300" s="180"/>
      <c r="K300" s="148"/>
      <c r="L300" s="148"/>
      <c r="M300" s="148"/>
      <c r="N300" s="148"/>
      <c r="O300" s="148"/>
      <c r="P300" s="148"/>
      <c r="Q300" s="148"/>
      <c r="R300" s="148"/>
      <c r="S300" s="148"/>
      <c r="T300" s="148"/>
      <c r="U300" s="148"/>
      <c r="V300" s="148"/>
      <c r="W300" s="148"/>
      <c r="X300" s="148"/>
      <c r="Y300" s="148"/>
      <c r="Z300" s="148"/>
      <c r="AA300" s="148"/>
      <c r="AB300" s="148"/>
      <c r="AC300" s="148"/>
      <c r="AD300" s="148"/>
      <c r="AE300" s="148"/>
      <c r="AF300" s="148"/>
      <c r="AG300" s="148"/>
    </row>
    <row r="301" spans="1:33" ht="13.8">
      <c r="A301" s="148"/>
      <c r="B301" s="148"/>
      <c r="C301" s="148"/>
      <c r="D301" s="148"/>
      <c r="E301" s="148"/>
      <c r="F301" s="148"/>
      <c r="G301" s="179"/>
      <c r="H301" s="148"/>
      <c r="I301" s="148"/>
      <c r="J301" s="180"/>
      <c r="K301" s="148"/>
      <c r="L301" s="148"/>
      <c r="M301" s="148"/>
      <c r="N301" s="148"/>
      <c r="O301" s="148"/>
      <c r="P301" s="148"/>
      <c r="Q301" s="148"/>
      <c r="R301" s="148"/>
      <c r="S301" s="148"/>
      <c r="T301" s="148"/>
      <c r="U301" s="148"/>
      <c r="V301" s="148"/>
      <c r="W301" s="148"/>
      <c r="X301" s="148"/>
      <c r="Y301" s="148"/>
      <c r="Z301" s="148"/>
      <c r="AA301" s="148"/>
      <c r="AB301" s="148"/>
      <c r="AC301" s="148"/>
      <c r="AD301" s="148"/>
      <c r="AE301" s="148"/>
      <c r="AF301" s="148"/>
      <c r="AG301" s="148"/>
    </row>
    <row r="302" spans="1:33" ht="13.8">
      <c r="A302" s="148"/>
      <c r="B302" s="148"/>
      <c r="C302" s="148"/>
      <c r="D302" s="148"/>
      <c r="E302" s="148"/>
      <c r="F302" s="148"/>
      <c r="G302" s="179"/>
      <c r="H302" s="148"/>
      <c r="I302" s="148"/>
      <c r="J302" s="180"/>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row>
    <row r="303" spans="1:33" ht="13.8">
      <c r="A303" s="148"/>
      <c r="B303" s="148"/>
      <c r="C303" s="148"/>
      <c r="D303" s="148"/>
      <c r="E303" s="148"/>
      <c r="F303" s="148"/>
      <c r="G303" s="179"/>
      <c r="H303" s="148"/>
      <c r="I303" s="148"/>
      <c r="J303" s="180"/>
      <c r="K303" s="148"/>
      <c r="L303" s="148"/>
      <c r="M303" s="148"/>
      <c r="N303" s="148"/>
      <c r="O303" s="148"/>
      <c r="P303" s="148"/>
      <c r="Q303" s="148"/>
      <c r="R303" s="148"/>
      <c r="S303" s="148"/>
      <c r="T303" s="148"/>
      <c r="U303" s="148"/>
      <c r="V303" s="148"/>
      <c r="W303" s="148"/>
      <c r="X303" s="148"/>
      <c r="Y303" s="148"/>
      <c r="Z303" s="148"/>
      <c r="AA303" s="148"/>
      <c r="AB303" s="148"/>
      <c r="AC303" s="148"/>
      <c r="AD303" s="148"/>
      <c r="AE303" s="148"/>
      <c r="AF303" s="148"/>
      <c r="AG303" s="148"/>
    </row>
    <row r="304" spans="1:33" ht="13.8">
      <c r="A304" s="148"/>
      <c r="B304" s="148"/>
      <c r="C304" s="148"/>
      <c r="D304" s="148"/>
      <c r="E304" s="148"/>
      <c r="F304" s="148"/>
      <c r="G304" s="179"/>
      <c r="H304" s="148"/>
      <c r="I304" s="148"/>
      <c r="J304" s="180"/>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row>
    <row r="305" spans="1:33" ht="13.8">
      <c r="A305" s="148"/>
      <c r="B305" s="148"/>
      <c r="C305" s="148"/>
      <c r="D305" s="148"/>
      <c r="E305" s="148"/>
      <c r="F305" s="148"/>
      <c r="G305" s="179"/>
      <c r="H305" s="148"/>
      <c r="I305" s="148"/>
      <c r="J305" s="180"/>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row>
    <row r="306" spans="1:33" ht="13.8">
      <c r="A306" s="148"/>
      <c r="B306" s="148"/>
      <c r="C306" s="148"/>
      <c r="D306" s="148"/>
      <c r="E306" s="148"/>
      <c r="F306" s="148"/>
      <c r="G306" s="179"/>
      <c r="H306" s="148"/>
      <c r="I306" s="148"/>
      <c r="J306" s="180"/>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row>
    <row r="307" spans="1:33" ht="13.8">
      <c r="A307" s="148"/>
      <c r="B307" s="148"/>
      <c r="C307" s="148"/>
      <c r="D307" s="148"/>
      <c r="E307" s="148"/>
      <c r="F307" s="148"/>
      <c r="G307" s="179"/>
      <c r="H307" s="148"/>
      <c r="I307" s="148"/>
      <c r="J307" s="180"/>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row>
    <row r="308" spans="1:33" ht="13.8">
      <c r="A308" s="148"/>
      <c r="B308" s="148"/>
      <c r="C308" s="148"/>
      <c r="D308" s="148"/>
      <c r="E308" s="148"/>
      <c r="F308" s="148"/>
      <c r="G308" s="179"/>
      <c r="H308" s="148"/>
      <c r="I308" s="148"/>
      <c r="J308" s="180"/>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row>
    <row r="309" spans="1:33" ht="13.8">
      <c r="A309" s="148"/>
      <c r="B309" s="148"/>
      <c r="C309" s="148"/>
      <c r="D309" s="148"/>
      <c r="E309" s="148"/>
      <c r="F309" s="148"/>
      <c r="G309" s="179"/>
      <c r="H309" s="148"/>
      <c r="I309" s="148"/>
      <c r="J309" s="180"/>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row>
    <row r="310" spans="1:33" ht="13.8">
      <c r="A310" s="148"/>
      <c r="B310" s="148"/>
      <c r="C310" s="148"/>
      <c r="D310" s="148"/>
      <c r="E310" s="148"/>
      <c r="F310" s="148"/>
      <c r="G310" s="179"/>
      <c r="H310" s="148"/>
      <c r="I310" s="148"/>
      <c r="J310" s="180"/>
      <c r="K310" s="148"/>
      <c r="L310" s="148"/>
      <c r="M310" s="148"/>
      <c r="N310" s="148"/>
      <c r="O310" s="148"/>
      <c r="P310" s="148"/>
      <c r="Q310" s="148"/>
      <c r="R310" s="148"/>
      <c r="S310" s="148"/>
      <c r="T310" s="148"/>
      <c r="U310" s="148"/>
      <c r="V310" s="148"/>
      <c r="W310" s="148"/>
      <c r="X310" s="148"/>
      <c r="Y310" s="148"/>
      <c r="Z310" s="148"/>
      <c r="AA310" s="148"/>
      <c r="AB310" s="148"/>
      <c r="AC310" s="148"/>
      <c r="AD310" s="148"/>
      <c r="AE310" s="148"/>
      <c r="AF310" s="148"/>
      <c r="AG310" s="148"/>
    </row>
    <row r="311" spans="1:33" ht="13.8">
      <c r="A311" s="148"/>
      <c r="B311" s="148"/>
      <c r="C311" s="148"/>
      <c r="D311" s="148"/>
      <c r="E311" s="148"/>
      <c r="F311" s="148"/>
      <c r="G311" s="179"/>
      <c r="H311" s="148"/>
      <c r="I311" s="148"/>
      <c r="J311" s="180"/>
      <c r="K311" s="148"/>
      <c r="L311" s="148"/>
      <c r="M311" s="148"/>
      <c r="N311" s="148"/>
      <c r="O311" s="148"/>
      <c r="P311" s="148"/>
      <c r="Q311" s="148"/>
      <c r="R311" s="148"/>
      <c r="S311" s="148"/>
      <c r="T311" s="148"/>
      <c r="U311" s="148"/>
      <c r="V311" s="148"/>
      <c r="W311" s="148"/>
      <c r="X311" s="148"/>
      <c r="Y311" s="148"/>
      <c r="Z311" s="148"/>
      <c r="AA311" s="148"/>
      <c r="AB311" s="148"/>
      <c r="AC311" s="148"/>
      <c r="AD311" s="148"/>
      <c r="AE311" s="148"/>
      <c r="AF311" s="148"/>
      <c r="AG311" s="148"/>
    </row>
    <row r="312" spans="1:33" ht="13.8">
      <c r="A312" s="148"/>
      <c r="B312" s="148"/>
      <c r="C312" s="148"/>
      <c r="D312" s="148"/>
      <c r="E312" s="148"/>
      <c r="F312" s="148"/>
      <c r="G312" s="179"/>
      <c r="H312" s="148"/>
      <c r="I312" s="148"/>
      <c r="J312" s="180"/>
      <c r="K312" s="148"/>
      <c r="L312" s="148"/>
      <c r="M312" s="148"/>
      <c r="N312" s="148"/>
      <c r="O312" s="148"/>
      <c r="P312" s="148"/>
      <c r="Q312" s="148"/>
      <c r="R312" s="148"/>
      <c r="S312" s="148"/>
      <c r="T312" s="148"/>
      <c r="U312" s="148"/>
      <c r="V312" s="148"/>
      <c r="W312" s="148"/>
      <c r="X312" s="148"/>
      <c r="Y312" s="148"/>
      <c r="Z312" s="148"/>
      <c r="AA312" s="148"/>
      <c r="AB312" s="148"/>
      <c r="AC312" s="148"/>
      <c r="AD312" s="148"/>
      <c r="AE312" s="148"/>
      <c r="AF312" s="148"/>
      <c r="AG312" s="148"/>
    </row>
    <row r="313" spans="1:33" ht="13.8">
      <c r="A313" s="148"/>
      <c r="B313" s="148"/>
      <c r="C313" s="148"/>
      <c r="D313" s="148"/>
      <c r="E313" s="148"/>
      <c r="F313" s="148"/>
      <c r="G313" s="179"/>
      <c r="H313" s="148"/>
      <c r="I313" s="148"/>
      <c r="J313" s="180"/>
      <c r="K313" s="148"/>
      <c r="L313" s="148"/>
      <c r="M313" s="148"/>
      <c r="N313" s="148"/>
      <c r="O313" s="148"/>
      <c r="P313" s="148"/>
      <c r="Q313" s="148"/>
      <c r="R313" s="148"/>
      <c r="S313" s="148"/>
      <c r="T313" s="148"/>
      <c r="U313" s="148"/>
      <c r="V313" s="148"/>
      <c r="W313" s="148"/>
      <c r="X313" s="148"/>
      <c r="Y313" s="148"/>
      <c r="Z313" s="148"/>
      <c r="AA313" s="148"/>
      <c r="AB313" s="148"/>
      <c r="AC313" s="148"/>
      <c r="AD313" s="148"/>
      <c r="AE313" s="148"/>
      <c r="AF313" s="148"/>
      <c r="AG313" s="148"/>
    </row>
    <row r="314" spans="1:33" ht="13.8">
      <c r="A314" s="148"/>
      <c r="B314" s="148"/>
      <c r="C314" s="148"/>
      <c r="D314" s="148"/>
      <c r="E314" s="148"/>
      <c r="F314" s="148"/>
      <c r="G314" s="179"/>
      <c r="H314" s="148"/>
      <c r="I314" s="148"/>
      <c r="J314" s="180"/>
      <c r="K314" s="148"/>
      <c r="L314" s="148"/>
      <c r="M314" s="148"/>
      <c r="N314" s="148"/>
      <c r="O314" s="148"/>
      <c r="P314" s="148"/>
      <c r="Q314" s="148"/>
      <c r="R314" s="148"/>
      <c r="S314" s="148"/>
      <c r="T314" s="148"/>
      <c r="U314" s="148"/>
      <c r="V314" s="148"/>
      <c r="W314" s="148"/>
      <c r="X314" s="148"/>
      <c r="Y314" s="148"/>
      <c r="Z314" s="148"/>
      <c r="AA314" s="148"/>
      <c r="AB314" s="148"/>
      <c r="AC314" s="148"/>
      <c r="AD314" s="148"/>
      <c r="AE314" s="148"/>
      <c r="AF314" s="148"/>
      <c r="AG314" s="148"/>
    </row>
    <row r="315" spans="1:33" ht="13.8">
      <c r="A315" s="148"/>
      <c r="B315" s="148"/>
      <c r="C315" s="148"/>
      <c r="D315" s="148"/>
      <c r="E315" s="148"/>
      <c r="F315" s="148"/>
      <c r="G315" s="179"/>
      <c r="H315" s="148"/>
      <c r="I315" s="148"/>
      <c r="J315" s="180"/>
      <c r="K315" s="148"/>
      <c r="L315" s="148"/>
      <c r="M315" s="148"/>
      <c r="N315" s="148"/>
      <c r="O315" s="148"/>
      <c r="P315" s="148"/>
      <c r="Q315" s="148"/>
      <c r="R315" s="148"/>
      <c r="S315" s="148"/>
      <c r="T315" s="148"/>
      <c r="U315" s="148"/>
      <c r="V315" s="148"/>
      <c r="W315" s="148"/>
      <c r="X315" s="148"/>
      <c r="Y315" s="148"/>
      <c r="Z315" s="148"/>
      <c r="AA315" s="148"/>
      <c r="AB315" s="148"/>
      <c r="AC315" s="148"/>
      <c r="AD315" s="148"/>
      <c r="AE315" s="148"/>
      <c r="AF315" s="148"/>
      <c r="AG315" s="148"/>
    </row>
    <row r="316" spans="1:33" ht="13.8">
      <c r="A316" s="148"/>
      <c r="B316" s="148"/>
      <c r="C316" s="148"/>
      <c r="D316" s="148"/>
      <c r="E316" s="148"/>
      <c r="F316" s="148"/>
      <c r="G316" s="179"/>
      <c r="H316" s="148"/>
      <c r="I316" s="148"/>
      <c r="J316" s="180"/>
      <c r="K316" s="148"/>
      <c r="L316" s="148"/>
      <c r="M316" s="148"/>
      <c r="N316" s="148"/>
      <c r="O316" s="148"/>
      <c r="P316" s="148"/>
      <c r="Q316" s="148"/>
      <c r="R316" s="148"/>
      <c r="S316" s="148"/>
      <c r="T316" s="148"/>
      <c r="U316" s="148"/>
      <c r="V316" s="148"/>
      <c r="W316" s="148"/>
      <c r="X316" s="148"/>
      <c r="Y316" s="148"/>
      <c r="Z316" s="148"/>
      <c r="AA316" s="148"/>
      <c r="AB316" s="148"/>
      <c r="AC316" s="148"/>
      <c r="AD316" s="148"/>
      <c r="AE316" s="148"/>
      <c r="AF316" s="148"/>
      <c r="AG316" s="148"/>
    </row>
    <row r="317" spans="1:33" ht="13.8">
      <c r="A317" s="148"/>
      <c r="B317" s="148"/>
      <c r="C317" s="148"/>
      <c r="D317" s="148"/>
      <c r="E317" s="148"/>
      <c r="F317" s="148"/>
      <c r="G317" s="179"/>
      <c r="H317" s="148"/>
      <c r="I317" s="148"/>
      <c r="J317" s="180"/>
      <c r="K317" s="148"/>
      <c r="L317" s="148"/>
      <c r="M317" s="148"/>
      <c r="N317" s="148"/>
      <c r="O317" s="148"/>
      <c r="P317" s="148"/>
      <c r="Q317" s="148"/>
      <c r="R317" s="148"/>
      <c r="S317" s="148"/>
      <c r="T317" s="148"/>
      <c r="U317" s="148"/>
      <c r="V317" s="148"/>
      <c r="W317" s="148"/>
      <c r="X317" s="148"/>
      <c r="Y317" s="148"/>
      <c r="Z317" s="148"/>
      <c r="AA317" s="148"/>
      <c r="AB317" s="148"/>
      <c r="AC317" s="148"/>
      <c r="AD317" s="148"/>
      <c r="AE317" s="148"/>
      <c r="AF317" s="148"/>
      <c r="AG317" s="148"/>
    </row>
    <row r="318" spans="1:33" ht="13.8">
      <c r="A318" s="148"/>
      <c r="B318" s="148"/>
      <c r="C318" s="148"/>
      <c r="D318" s="148"/>
      <c r="E318" s="148"/>
      <c r="F318" s="148"/>
      <c r="G318" s="179"/>
      <c r="H318" s="148"/>
      <c r="I318" s="148"/>
      <c r="J318" s="180"/>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row>
    <row r="319" spans="1:33" ht="13.8">
      <c r="A319" s="148"/>
      <c r="B319" s="148"/>
      <c r="C319" s="148"/>
      <c r="D319" s="148"/>
      <c r="E319" s="148"/>
      <c r="F319" s="148"/>
      <c r="G319" s="179"/>
      <c r="H319" s="148"/>
      <c r="I319" s="148"/>
      <c r="J319" s="180"/>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row>
    <row r="320" spans="1:33" ht="13.8">
      <c r="A320" s="148"/>
      <c r="B320" s="148"/>
      <c r="C320" s="148"/>
      <c r="D320" s="148"/>
      <c r="E320" s="148"/>
      <c r="F320" s="148"/>
      <c r="G320" s="179"/>
      <c r="H320" s="148"/>
      <c r="I320" s="148"/>
      <c r="J320" s="180"/>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row>
    <row r="321" spans="1:33" ht="13.8">
      <c r="A321" s="148"/>
      <c r="B321" s="148"/>
      <c r="C321" s="148"/>
      <c r="D321" s="148"/>
      <c r="E321" s="148"/>
      <c r="F321" s="148"/>
      <c r="G321" s="179"/>
      <c r="H321" s="148"/>
      <c r="I321" s="148"/>
      <c r="J321" s="180"/>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row>
    <row r="322" spans="1:33" ht="13.8">
      <c r="A322" s="148"/>
      <c r="B322" s="148"/>
      <c r="C322" s="148"/>
      <c r="D322" s="148"/>
      <c r="E322" s="148"/>
      <c r="F322" s="148"/>
      <c r="G322" s="179"/>
      <c r="H322" s="148"/>
      <c r="I322" s="148"/>
      <c r="J322" s="180"/>
      <c r="K322" s="148"/>
      <c r="L322" s="148"/>
      <c r="M322" s="148"/>
      <c r="N322" s="148"/>
      <c r="O322" s="148"/>
      <c r="P322" s="148"/>
      <c r="Q322" s="148"/>
      <c r="R322" s="148"/>
      <c r="S322" s="148"/>
      <c r="T322" s="148"/>
      <c r="U322" s="148"/>
      <c r="V322" s="148"/>
      <c r="W322" s="148"/>
      <c r="X322" s="148"/>
      <c r="Y322" s="148"/>
      <c r="Z322" s="148"/>
      <c r="AA322" s="148"/>
      <c r="AB322" s="148"/>
      <c r="AC322" s="148"/>
      <c r="AD322" s="148"/>
      <c r="AE322" s="148"/>
      <c r="AF322" s="148"/>
      <c r="AG322" s="148"/>
    </row>
    <row r="323" spans="1:33" ht="13.8">
      <c r="A323" s="148"/>
      <c r="B323" s="148"/>
      <c r="C323" s="148"/>
      <c r="D323" s="148"/>
      <c r="E323" s="148"/>
      <c r="F323" s="148"/>
      <c r="G323" s="179"/>
      <c r="H323" s="148"/>
      <c r="I323" s="148"/>
      <c r="J323" s="180"/>
      <c r="K323" s="148"/>
      <c r="L323" s="148"/>
      <c r="M323" s="148"/>
      <c r="N323" s="148"/>
      <c r="O323" s="148"/>
      <c r="P323" s="148"/>
      <c r="Q323" s="148"/>
      <c r="R323" s="148"/>
      <c r="S323" s="148"/>
      <c r="T323" s="148"/>
      <c r="U323" s="148"/>
      <c r="V323" s="148"/>
      <c r="W323" s="148"/>
      <c r="X323" s="148"/>
      <c r="Y323" s="148"/>
      <c r="Z323" s="148"/>
      <c r="AA323" s="148"/>
      <c r="AB323" s="148"/>
      <c r="AC323" s="148"/>
      <c r="AD323" s="148"/>
      <c r="AE323" s="148"/>
      <c r="AF323" s="148"/>
      <c r="AG323" s="148"/>
    </row>
    <row r="324" spans="1:33" ht="13.8">
      <c r="A324" s="148"/>
      <c r="B324" s="148"/>
      <c r="C324" s="148"/>
      <c r="D324" s="148"/>
      <c r="E324" s="148"/>
      <c r="F324" s="148"/>
      <c r="G324" s="179"/>
      <c r="H324" s="148"/>
      <c r="I324" s="148"/>
      <c r="J324" s="180"/>
      <c r="K324" s="148"/>
      <c r="L324" s="148"/>
      <c r="M324" s="148"/>
      <c r="N324" s="148"/>
      <c r="O324" s="148"/>
      <c r="P324" s="148"/>
      <c r="Q324" s="148"/>
      <c r="R324" s="148"/>
      <c r="S324" s="148"/>
      <c r="T324" s="148"/>
      <c r="U324" s="148"/>
      <c r="V324" s="148"/>
      <c r="W324" s="148"/>
      <c r="X324" s="148"/>
      <c r="Y324" s="148"/>
      <c r="Z324" s="148"/>
      <c r="AA324" s="148"/>
      <c r="AB324" s="148"/>
      <c r="AC324" s="148"/>
      <c r="AD324" s="148"/>
      <c r="AE324" s="148"/>
      <c r="AF324" s="148"/>
      <c r="AG324" s="148"/>
    </row>
    <row r="325" spans="1:33" ht="13.8">
      <c r="A325" s="148"/>
      <c r="B325" s="148"/>
      <c r="C325" s="148"/>
      <c r="D325" s="148"/>
      <c r="E325" s="148"/>
      <c r="F325" s="148"/>
      <c r="G325" s="179"/>
      <c r="H325" s="148"/>
      <c r="I325" s="148"/>
      <c r="J325" s="180"/>
      <c r="K325" s="148"/>
      <c r="L325" s="148"/>
      <c r="M325" s="148"/>
      <c r="N325" s="148"/>
      <c r="O325" s="148"/>
      <c r="P325" s="148"/>
      <c r="Q325" s="148"/>
      <c r="R325" s="148"/>
      <c r="S325" s="148"/>
      <c r="T325" s="148"/>
      <c r="U325" s="148"/>
      <c r="V325" s="148"/>
      <c r="W325" s="148"/>
      <c r="X325" s="148"/>
      <c r="Y325" s="148"/>
      <c r="Z325" s="148"/>
      <c r="AA325" s="148"/>
      <c r="AB325" s="148"/>
      <c r="AC325" s="148"/>
      <c r="AD325" s="148"/>
      <c r="AE325" s="148"/>
      <c r="AF325" s="148"/>
      <c r="AG325" s="148"/>
    </row>
    <row r="326" spans="1:33" ht="13.8">
      <c r="A326" s="148"/>
      <c r="B326" s="148"/>
      <c r="C326" s="148"/>
      <c r="D326" s="148"/>
      <c r="E326" s="148"/>
      <c r="F326" s="148"/>
      <c r="G326" s="179"/>
      <c r="H326" s="148"/>
      <c r="I326" s="148"/>
      <c r="J326" s="180"/>
      <c r="K326" s="148"/>
      <c r="L326" s="148"/>
      <c r="M326" s="148"/>
      <c r="N326" s="148"/>
      <c r="O326" s="148"/>
      <c r="P326" s="148"/>
      <c r="Q326" s="148"/>
      <c r="R326" s="148"/>
      <c r="S326" s="148"/>
      <c r="T326" s="148"/>
      <c r="U326" s="148"/>
      <c r="V326" s="148"/>
      <c r="W326" s="148"/>
      <c r="X326" s="148"/>
      <c r="Y326" s="148"/>
      <c r="Z326" s="148"/>
      <c r="AA326" s="148"/>
      <c r="AB326" s="148"/>
      <c r="AC326" s="148"/>
      <c r="AD326" s="148"/>
      <c r="AE326" s="148"/>
      <c r="AF326" s="148"/>
      <c r="AG326" s="148"/>
    </row>
    <row r="327" spans="1:33" ht="13.8">
      <c r="A327" s="148"/>
      <c r="B327" s="148"/>
      <c r="C327" s="148"/>
      <c r="D327" s="148"/>
      <c r="E327" s="148"/>
      <c r="F327" s="148"/>
      <c r="G327" s="179"/>
      <c r="H327" s="148"/>
      <c r="I327" s="148"/>
      <c r="J327" s="180"/>
      <c r="K327" s="148"/>
      <c r="L327" s="148"/>
      <c r="M327" s="148"/>
      <c r="N327" s="148"/>
      <c r="O327" s="148"/>
      <c r="P327" s="148"/>
      <c r="Q327" s="148"/>
      <c r="R327" s="148"/>
      <c r="S327" s="148"/>
      <c r="T327" s="148"/>
      <c r="U327" s="148"/>
      <c r="V327" s="148"/>
      <c r="W327" s="148"/>
      <c r="X327" s="148"/>
      <c r="Y327" s="148"/>
      <c r="Z327" s="148"/>
      <c r="AA327" s="148"/>
      <c r="AB327" s="148"/>
      <c r="AC327" s="148"/>
      <c r="AD327" s="148"/>
      <c r="AE327" s="148"/>
      <c r="AF327" s="148"/>
      <c r="AG327" s="148"/>
    </row>
    <row r="328" spans="1:33" ht="13.8">
      <c r="A328" s="148"/>
      <c r="B328" s="148"/>
      <c r="C328" s="148"/>
      <c r="D328" s="148"/>
      <c r="E328" s="148"/>
      <c r="F328" s="148"/>
      <c r="G328" s="179"/>
      <c r="H328" s="148"/>
      <c r="I328" s="148"/>
      <c r="J328" s="180"/>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row>
    <row r="329" spans="1:33" ht="13.8">
      <c r="A329" s="148"/>
      <c r="B329" s="148"/>
      <c r="C329" s="148"/>
      <c r="D329" s="148"/>
      <c r="E329" s="148"/>
      <c r="F329" s="148"/>
      <c r="G329" s="179"/>
      <c r="H329" s="148"/>
      <c r="I329" s="148"/>
      <c r="J329" s="180"/>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row>
    <row r="330" spans="1:33" ht="13.8">
      <c r="A330" s="148"/>
      <c r="B330" s="148"/>
      <c r="C330" s="148"/>
      <c r="D330" s="148"/>
      <c r="E330" s="148"/>
      <c r="F330" s="148"/>
      <c r="G330" s="179"/>
      <c r="H330" s="148"/>
      <c r="I330" s="148"/>
      <c r="J330" s="180"/>
      <c r="K330" s="148"/>
      <c r="L330" s="148"/>
      <c r="M330" s="148"/>
      <c r="N330" s="148"/>
      <c r="O330" s="148"/>
      <c r="P330" s="148"/>
      <c r="Q330" s="148"/>
      <c r="R330" s="148"/>
      <c r="S330" s="148"/>
      <c r="T330" s="148"/>
      <c r="U330" s="148"/>
      <c r="V330" s="148"/>
      <c r="W330" s="148"/>
      <c r="X330" s="148"/>
      <c r="Y330" s="148"/>
      <c r="Z330" s="148"/>
      <c r="AA330" s="148"/>
      <c r="AB330" s="148"/>
      <c r="AC330" s="148"/>
      <c r="AD330" s="148"/>
      <c r="AE330" s="148"/>
      <c r="AF330" s="148"/>
      <c r="AG330" s="148"/>
    </row>
    <row r="331" spans="1:33" ht="13.8">
      <c r="A331" s="148"/>
      <c r="B331" s="148"/>
      <c r="C331" s="148"/>
      <c r="D331" s="148"/>
      <c r="E331" s="148"/>
      <c r="F331" s="148"/>
      <c r="G331" s="179"/>
      <c r="H331" s="148"/>
      <c r="I331" s="148"/>
      <c r="J331" s="180"/>
      <c r="K331" s="148"/>
      <c r="L331" s="148"/>
      <c r="M331" s="148"/>
      <c r="N331" s="148"/>
      <c r="O331" s="148"/>
      <c r="P331" s="148"/>
      <c r="Q331" s="148"/>
      <c r="R331" s="148"/>
      <c r="S331" s="148"/>
      <c r="T331" s="148"/>
      <c r="U331" s="148"/>
      <c r="V331" s="148"/>
      <c r="W331" s="148"/>
      <c r="X331" s="148"/>
      <c r="Y331" s="148"/>
      <c r="Z331" s="148"/>
      <c r="AA331" s="148"/>
      <c r="AB331" s="148"/>
      <c r="AC331" s="148"/>
      <c r="AD331" s="148"/>
      <c r="AE331" s="148"/>
      <c r="AF331" s="148"/>
      <c r="AG331" s="148"/>
    </row>
    <row r="332" spans="1:33" ht="13.8">
      <c r="A332" s="148"/>
      <c r="B332" s="148"/>
      <c r="C332" s="148"/>
      <c r="D332" s="148"/>
      <c r="E332" s="148"/>
      <c r="F332" s="148"/>
      <c r="G332" s="179"/>
      <c r="H332" s="148"/>
      <c r="I332" s="148"/>
      <c r="J332" s="180"/>
      <c r="K332" s="148"/>
      <c r="L332" s="148"/>
      <c r="M332" s="148"/>
      <c r="N332" s="148"/>
      <c r="O332" s="148"/>
      <c r="P332" s="148"/>
      <c r="Q332" s="148"/>
      <c r="R332" s="148"/>
      <c r="S332" s="148"/>
      <c r="T332" s="148"/>
      <c r="U332" s="148"/>
      <c r="V332" s="148"/>
      <c r="W332" s="148"/>
      <c r="X332" s="148"/>
      <c r="Y332" s="148"/>
      <c r="Z332" s="148"/>
      <c r="AA332" s="148"/>
      <c r="AB332" s="148"/>
      <c r="AC332" s="148"/>
      <c r="AD332" s="148"/>
      <c r="AE332" s="148"/>
      <c r="AF332" s="148"/>
      <c r="AG332" s="148"/>
    </row>
    <row r="333" spans="1:33" ht="13.8">
      <c r="A333" s="148"/>
      <c r="B333" s="148"/>
      <c r="C333" s="148"/>
      <c r="D333" s="148"/>
      <c r="E333" s="148"/>
      <c r="F333" s="148"/>
      <c r="G333" s="179"/>
      <c r="H333" s="148"/>
      <c r="I333" s="148"/>
      <c r="J333" s="180"/>
      <c r="K333" s="148"/>
      <c r="L333" s="148"/>
      <c r="M333" s="148"/>
      <c r="N333" s="148"/>
      <c r="O333" s="148"/>
      <c r="P333" s="148"/>
      <c r="Q333" s="148"/>
      <c r="R333" s="148"/>
      <c r="S333" s="148"/>
      <c r="T333" s="148"/>
      <c r="U333" s="148"/>
      <c r="V333" s="148"/>
      <c r="W333" s="148"/>
      <c r="X333" s="148"/>
      <c r="Y333" s="148"/>
      <c r="Z333" s="148"/>
      <c r="AA333" s="148"/>
      <c r="AB333" s="148"/>
      <c r="AC333" s="148"/>
      <c r="AD333" s="148"/>
      <c r="AE333" s="148"/>
      <c r="AF333" s="148"/>
      <c r="AG333" s="148"/>
    </row>
    <row r="334" spans="1:33" ht="13.8">
      <c r="A334" s="148"/>
      <c r="B334" s="148"/>
      <c r="C334" s="148"/>
      <c r="D334" s="148"/>
      <c r="E334" s="148"/>
      <c r="F334" s="148"/>
      <c r="G334" s="179"/>
      <c r="H334" s="148"/>
      <c r="I334" s="148"/>
      <c r="J334" s="180"/>
      <c r="K334" s="148"/>
      <c r="L334" s="148"/>
      <c r="M334" s="148"/>
      <c r="N334" s="148"/>
      <c r="O334" s="148"/>
      <c r="P334" s="148"/>
      <c r="Q334" s="148"/>
      <c r="R334" s="148"/>
      <c r="S334" s="148"/>
      <c r="T334" s="148"/>
      <c r="U334" s="148"/>
      <c r="V334" s="148"/>
      <c r="W334" s="148"/>
      <c r="X334" s="148"/>
      <c r="Y334" s="148"/>
      <c r="Z334" s="148"/>
      <c r="AA334" s="148"/>
      <c r="AB334" s="148"/>
      <c r="AC334" s="148"/>
      <c r="AD334" s="148"/>
      <c r="AE334" s="148"/>
      <c r="AF334" s="148"/>
      <c r="AG334" s="148"/>
    </row>
    <row r="335" spans="1:33" ht="13.8">
      <c r="A335" s="148"/>
      <c r="B335" s="148"/>
      <c r="C335" s="148"/>
      <c r="D335" s="148"/>
      <c r="E335" s="148"/>
      <c r="F335" s="148"/>
      <c r="G335" s="179"/>
      <c r="H335" s="148"/>
      <c r="I335" s="148"/>
      <c r="J335" s="180"/>
      <c r="K335" s="148"/>
      <c r="L335" s="148"/>
      <c r="M335" s="148"/>
      <c r="N335" s="148"/>
      <c r="O335" s="148"/>
      <c r="P335" s="148"/>
      <c r="Q335" s="148"/>
      <c r="R335" s="148"/>
      <c r="S335" s="148"/>
      <c r="T335" s="148"/>
      <c r="U335" s="148"/>
      <c r="V335" s="148"/>
      <c r="W335" s="148"/>
      <c r="X335" s="148"/>
      <c r="Y335" s="148"/>
      <c r="Z335" s="148"/>
      <c r="AA335" s="148"/>
      <c r="AB335" s="148"/>
      <c r="AC335" s="148"/>
      <c r="AD335" s="148"/>
      <c r="AE335" s="148"/>
      <c r="AF335" s="148"/>
      <c r="AG335" s="148"/>
    </row>
    <row r="336" spans="1:33" ht="13.8">
      <c r="A336" s="148"/>
      <c r="B336" s="148"/>
      <c r="C336" s="148"/>
      <c r="D336" s="148"/>
      <c r="E336" s="148"/>
      <c r="F336" s="148"/>
      <c r="G336" s="179"/>
      <c r="H336" s="148"/>
      <c r="I336" s="148"/>
      <c r="J336" s="180"/>
      <c r="K336" s="148"/>
      <c r="L336" s="148"/>
      <c r="M336" s="148"/>
      <c r="N336" s="148"/>
      <c r="O336" s="148"/>
      <c r="P336" s="148"/>
      <c r="Q336" s="148"/>
      <c r="R336" s="148"/>
      <c r="S336" s="148"/>
      <c r="T336" s="148"/>
      <c r="U336" s="148"/>
      <c r="V336" s="148"/>
      <c r="W336" s="148"/>
      <c r="X336" s="148"/>
      <c r="Y336" s="148"/>
      <c r="Z336" s="148"/>
      <c r="AA336" s="148"/>
      <c r="AB336" s="148"/>
      <c r="AC336" s="148"/>
      <c r="AD336" s="148"/>
      <c r="AE336" s="148"/>
      <c r="AF336" s="148"/>
      <c r="AG336" s="148"/>
    </row>
    <row r="337" spans="1:33" ht="13.8">
      <c r="A337" s="148"/>
      <c r="B337" s="148"/>
      <c r="C337" s="148"/>
      <c r="D337" s="148"/>
      <c r="E337" s="148"/>
      <c r="F337" s="148"/>
      <c r="G337" s="179"/>
      <c r="H337" s="148"/>
      <c r="I337" s="148"/>
      <c r="J337" s="180"/>
      <c r="K337" s="148"/>
      <c r="L337" s="148"/>
      <c r="M337" s="148"/>
      <c r="N337" s="148"/>
      <c r="O337" s="148"/>
      <c r="P337" s="148"/>
      <c r="Q337" s="148"/>
      <c r="R337" s="148"/>
      <c r="S337" s="148"/>
      <c r="T337" s="148"/>
      <c r="U337" s="148"/>
      <c r="V337" s="148"/>
      <c r="W337" s="148"/>
      <c r="X337" s="148"/>
      <c r="Y337" s="148"/>
      <c r="Z337" s="148"/>
      <c r="AA337" s="148"/>
      <c r="AB337" s="148"/>
      <c r="AC337" s="148"/>
      <c r="AD337" s="148"/>
      <c r="AE337" s="148"/>
      <c r="AF337" s="148"/>
      <c r="AG337" s="148"/>
    </row>
    <row r="338" spans="1:33" ht="13.8">
      <c r="A338" s="148"/>
      <c r="B338" s="148"/>
      <c r="C338" s="148"/>
      <c r="D338" s="148"/>
      <c r="E338" s="148"/>
      <c r="F338" s="148"/>
      <c r="G338" s="179"/>
      <c r="H338" s="148"/>
      <c r="I338" s="148"/>
      <c r="J338" s="180"/>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row>
    <row r="339" spans="1:33" ht="13.8">
      <c r="A339" s="148"/>
      <c r="B339" s="148"/>
      <c r="C339" s="148"/>
      <c r="D339" s="148"/>
      <c r="E339" s="148"/>
      <c r="F339" s="148"/>
      <c r="G339" s="179"/>
      <c r="H339" s="148"/>
      <c r="I339" s="148"/>
      <c r="J339" s="180"/>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148"/>
    </row>
    <row r="340" spans="1:33" ht="13.8">
      <c r="A340" s="148"/>
      <c r="B340" s="148"/>
      <c r="C340" s="148"/>
      <c r="D340" s="148"/>
      <c r="E340" s="148"/>
      <c r="F340" s="148"/>
      <c r="G340" s="179"/>
      <c r="H340" s="148"/>
      <c r="I340" s="148"/>
      <c r="J340" s="180"/>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148"/>
    </row>
    <row r="341" spans="1:33" ht="13.8">
      <c r="A341" s="148"/>
      <c r="B341" s="148"/>
      <c r="C341" s="148"/>
      <c r="D341" s="148"/>
      <c r="E341" s="148"/>
      <c r="F341" s="148"/>
      <c r="G341" s="179"/>
      <c r="H341" s="148"/>
      <c r="I341" s="148"/>
      <c r="J341" s="180"/>
      <c r="K341" s="148"/>
      <c r="L341" s="148"/>
      <c r="M341" s="148"/>
      <c r="N341" s="148"/>
      <c r="O341" s="148"/>
      <c r="P341" s="148"/>
      <c r="Q341" s="148"/>
      <c r="R341" s="148"/>
      <c r="S341" s="148"/>
      <c r="T341" s="148"/>
      <c r="U341" s="148"/>
      <c r="V341" s="148"/>
      <c r="W341" s="148"/>
      <c r="X341" s="148"/>
      <c r="Y341" s="148"/>
      <c r="Z341" s="148"/>
      <c r="AA341" s="148"/>
      <c r="AB341" s="148"/>
      <c r="AC341" s="148"/>
      <c r="AD341" s="148"/>
      <c r="AE341" s="148"/>
      <c r="AF341" s="148"/>
      <c r="AG341" s="148"/>
    </row>
    <row r="342" spans="1:33" ht="13.8">
      <c r="A342" s="148"/>
      <c r="B342" s="148"/>
      <c r="C342" s="148"/>
      <c r="D342" s="148"/>
      <c r="E342" s="148"/>
      <c r="F342" s="148"/>
      <c r="G342" s="179"/>
      <c r="H342" s="148"/>
      <c r="I342" s="148"/>
      <c r="J342" s="180"/>
      <c r="K342" s="148"/>
      <c r="L342" s="148"/>
      <c r="M342" s="148"/>
      <c r="N342" s="148"/>
      <c r="O342" s="148"/>
      <c r="P342" s="148"/>
      <c r="Q342" s="148"/>
      <c r="R342" s="148"/>
      <c r="S342" s="148"/>
      <c r="T342" s="148"/>
      <c r="U342" s="148"/>
      <c r="V342" s="148"/>
      <c r="W342" s="148"/>
      <c r="X342" s="148"/>
      <c r="Y342" s="148"/>
      <c r="Z342" s="148"/>
      <c r="AA342" s="148"/>
      <c r="AB342" s="148"/>
      <c r="AC342" s="148"/>
      <c r="AD342" s="148"/>
      <c r="AE342" s="148"/>
      <c r="AF342" s="148"/>
      <c r="AG342" s="148"/>
    </row>
    <row r="343" spans="1:33" ht="13.8">
      <c r="A343" s="148"/>
      <c r="B343" s="148"/>
      <c r="C343" s="148"/>
      <c r="D343" s="148"/>
      <c r="E343" s="148"/>
      <c r="F343" s="148"/>
      <c r="G343" s="179"/>
      <c r="H343" s="148"/>
      <c r="I343" s="148"/>
      <c r="J343" s="180"/>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148"/>
    </row>
    <row r="344" spans="1:33" ht="13.8">
      <c r="A344" s="148"/>
      <c r="B344" s="148"/>
      <c r="C344" s="148"/>
      <c r="D344" s="148"/>
      <c r="E344" s="148"/>
      <c r="F344" s="148"/>
      <c r="G344" s="179"/>
      <c r="H344" s="148"/>
      <c r="I344" s="148"/>
      <c r="J344" s="180"/>
      <c r="K344" s="148"/>
      <c r="L344" s="148"/>
      <c r="M344" s="148"/>
      <c r="N344" s="148"/>
      <c r="O344" s="148"/>
      <c r="P344" s="148"/>
      <c r="Q344" s="148"/>
      <c r="R344" s="148"/>
      <c r="S344" s="148"/>
      <c r="T344" s="148"/>
      <c r="U344" s="148"/>
      <c r="V344" s="148"/>
      <c r="W344" s="148"/>
      <c r="X344" s="148"/>
      <c r="Y344" s="148"/>
      <c r="Z344" s="148"/>
      <c r="AA344" s="148"/>
      <c r="AB344" s="148"/>
      <c r="AC344" s="148"/>
      <c r="AD344" s="148"/>
      <c r="AE344" s="148"/>
      <c r="AF344" s="148"/>
      <c r="AG344" s="148"/>
    </row>
    <row r="345" spans="1:33" ht="13.8">
      <c r="A345" s="148"/>
      <c r="B345" s="148"/>
      <c r="C345" s="148"/>
      <c r="D345" s="148"/>
      <c r="E345" s="148"/>
      <c r="F345" s="148"/>
      <c r="G345" s="179"/>
      <c r="H345" s="148"/>
      <c r="I345" s="148"/>
      <c r="J345" s="180"/>
      <c r="K345" s="148"/>
      <c r="L345" s="148"/>
      <c r="M345" s="148"/>
      <c r="N345" s="148"/>
      <c r="O345" s="148"/>
      <c r="P345" s="148"/>
      <c r="Q345" s="148"/>
      <c r="R345" s="148"/>
      <c r="S345" s="148"/>
      <c r="T345" s="148"/>
      <c r="U345" s="148"/>
      <c r="V345" s="148"/>
      <c r="W345" s="148"/>
      <c r="X345" s="148"/>
      <c r="Y345" s="148"/>
      <c r="Z345" s="148"/>
      <c r="AA345" s="148"/>
      <c r="AB345" s="148"/>
      <c r="AC345" s="148"/>
      <c r="AD345" s="148"/>
      <c r="AE345" s="148"/>
      <c r="AF345" s="148"/>
      <c r="AG345" s="148"/>
    </row>
    <row r="346" spans="1:33" ht="13.8">
      <c r="A346" s="148"/>
      <c r="B346" s="148"/>
      <c r="C346" s="148"/>
      <c r="D346" s="148"/>
      <c r="E346" s="148"/>
      <c r="F346" s="148"/>
      <c r="G346" s="179"/>
      <c r="H346" s="148"/>
      <c r="I346" s="148"/>
      <c r="J346" s="180"/>
      <c r="K346" s="148"/>
      <c r="L346" s="148"/>
      <c r="M346" s="148"/>
      <c r="N346" s="148"/>
      <c r="O346" s="148"/>
      <c r="P346" s="148"/>
      <c r="Q346" s="148"/>
      <c r="R346" s="148"/>
      <c r="S346" s="148"/>
      <c r="T346" s="148"/>
      <c r="U346" s="148"/>
      <c r="V346" s="148"/>
      <c r="W346" s="148"/>
      <c r="X346" s="148"/>
      <c r="Y346" s="148"/>
      <c r="Z346" s="148"/>
      <c r="AA346" s="148"/>
      <c r="AB346" s="148"/>
      <c r="AC346" s="148"/>
      <c r="AD346" s="148"/>
      <c r="AE346" s="148"/>
      <c r="AF346" s="148"/>
      <c r="AG346" s="148"/>
    </row>
    <row r="347" spans="1:33" ht="13.8">
      <c r="A347" s="148"/>
      <c r="B347" s="148"/>
      <c r="C347" s="148"/>
      <c r="D347" s="148"/>
      <c r="E347" s="148"/>
      <c r="F347" s="148"/>
      <c r="G347" s="179"/>
      <c r="H347" s="148"/>
      <c r="I347" s="148"/>
      <c r="J347" s="180"/>
      <c r="K347" s="148"/>
      <c r="L347" s="148"/>
      <c r="M347" s="148"/>
      <c r="N347" s="148"/>
      <c r="O347" s="148"/>
      <c r="P347" s="148"/>
      <c r="Q347" s="148"/>
      <c r="R347" s="148"/>
      <c r="S347" s="148"/>
      <c r="T347" s="148"/>
      <c r="U347" s="148"/>
      <c r="V347" s="148"/>
      <c r="W347" s="148"/>
      <c r="X347" s="148"/>
      <c r="Y347" s="148"/>
      <c r="Z347" s="148"/>
      <c r="AA347" s="148"/>
      <c r="AB347" s="148"/>
      <c r="AC347" s="148"/>
      <c r="AD347" s="148"/>
      <c r="AE347" s="148"/>
      <c r="AF347" s="148"/>
      <c r="AG347" s="148"/>
    </row>
    <row r="348" spans="1:33" ht="13.8">
      <c r="A348" s="148"/>
      <c r="B348" s="148"/>
      <c r="C348" s="148"/>
      <c r="D348" s="148"/>
      <c r="E348" s="148"/>
      <c r="F348" s="148"/>
      <c r="G348" s="179"/>
      <c r="H348" s="148"/>
      <c r="I348" s="148"/>
      <c r="J348" s="180"/>
      <c r="K348" s="148"/>
      <c r="L348" s="148"/>
      <c r="M348" s="148"/>
      <c r="N348" s="148"/>
      <c r="O348" s="148"/>
      <c r="P348" s="148"/>
      <c r="Q348" s="148"/>
      <c r="R348" s="148"/>
      <c r="S348" s="148"/>
      <c r="T348" s="148"/>
      <c r="U348" s="148"/>
      <c r="V348" s="148"/>
      <c r="W348" s="148"/>
      <c r="X348" s="148"/>
      <c r="Y348" s="148"/>
      <c r="Z348" s="148"/>
      <c r="AA348" s="148"/>
      <c r="AB348" s="148"/>
      <c r="AC348" s="148"/>
      <c r="AD348" s="148"/>
      <c r="AE348" s="148"/>
      <c r="AF348" s="148"/>
      <c r="AG348" s="148"/>
    </row>
    <row r="349" spans="1:33" ht="13.8">
      <c r="A349" s="148"/>
      <c r="B349" s="148"/>
      <c r="C349" s="148"/>
      <c r="D349" s="148"/>
      <c r="E349" s="148"/>
      <c r="F349" s="148"/>
      <c r="G349" s="179"/>
      <c r="H349" s="148"/>
      <c r="I349" s="148"/>
      <c r="J349" s="180"/>
      <c r="K349" s="148"/>
      <c r="L349" s="148"/>
      <c r="M349" s="148"/>
      <c r="N349" s="148"/>
      <c r="O349" s="148"/>
      <c r="P349" s="148"/>
      <c r="Q349" s="148"/>
      <c r="R349" s="148"/>
      <c r="S349" s="148"/>
      <c r="T349" s="148"/>
      <c r="U349" s="148"/>
      <c r="V349" s="148"/>
      <c r="W349" s="148"/>
      <c r="X349" s="148"/>
      <c r="Y349" s="148"/>
      <c r="Z349" s="148"/>
      <c r="AA349" s="148"/>
      <c r="AB349" s="148"/>
      <c r="AC349" s="148"/>
      <c r="AD349" s="148"/>
      <c r="AE349" s="148"/>
      <c r="AF349" s="148"/>
      <c r="AG349" s="148"/>
    </row>
    <row r="350" spans="1:33" ht="13.8">
      <c r="A350" s="148"/>
      <c r="B350" s="148"/>
      <c r="C350" s="148"/>
      <c r="D350" s="148"/>
      <c r="E350" s="148"/>
      <c r="F350" s="148"/>
      <c r="G350" s="179"/>
      <c r="H350" s="148"/>
      <c r="I350" s="148"/>
      <c r="J350" s="180"/>
      <c r="K350" s="148"/>
      <c r="L350" s="148"/>
      <c r="M350" s="148"/>
      <c r="N350" s="148"/>
      <c r="O350" s="148"/>
      <c r="P350" s="148"/>
      <c r="Q350" s="148"/>
      <c r="R350" s="148"/>
      <c r="S350" s="148"/>
      <c r="T350" s="148"/>
      <c r="U350" s="148"/>
      <c r="V350" s="148"/>
      <c r="W350" s="148"/>
      <c r="X350" s="148"/>
      <c r="Y350" s="148"/>
      <c r="Z350" s="148"/>
      <c r="AA350" s="148"/>
      <c r="AB350" s="148"/>
      <c r="AC350" s="148"/>
      <c r="AD350" s="148"/>
      <c r="AE350" s="148"/>
      <c r="AF350" s="148"/>
      <c r="AG350" s="148"/>
    </row>
    <row r="351" spans="1:33" ht="13.8">
      <c r="A351" s="148"/>
      <c r="B351" s="148"/>
      <c r="C351" s="148"/>
      <c r="D351" s="148"/>
      <c r="E351" s="148"/>
      <c r="F351" s="148"/>
      <c r="G351" s="179"/>
      <c r="H351" s="148"/>
      <c r="I351" s="148"/>
      <c r="J351" s="180"/>
      <c r="K351" s="148"/>
      <c r="L351" s="148"/>
      <c r="M351" s="148"/>
      <c r="N351" s="148"/>
      <c r="O351" s="148"/>
      <c r="P351" s="148"/>
      <c r="Q351" s="148"/>
      <c r="R351" s="148"/>
      <c r="S351" s="148"/>
      <c r="T351" s="148"/>
      <c r="U351" s="148"/>
      <c r="V351" s="148"/>
      <c r="W351" s="148"/>
      <c r="X351" s="148"/>
      <c r="Y351" s="148"/>
      <c r="Z351" s="148"/>
      <c r="AA351" s="148"/>
      <c r="AB351" s="148"/>
      <c r="AC351" s="148"/>
      <c r="AD351" s="148"/>
      <c r="AE351" s="148"/>
      <c r="AF351" s="148"/>
      <c r="AG351" s="148"/>
    </row>
    <row r="352" spans="1:33" ht="13.8">
      <c r="A352" s="148"/>
      <c r="B352" s="148"/>
      <c r="C352" s="148"/>
      <c r="D352" s="148"/>
      <c r="E352" s="148"/>
      <c r="F352" s="148"/>
      <c r="G352" s="179"/>
      <c r="H352" s="148"/>
      <c r="I352" s="148"/>
      <c r="J352" s="180"/>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148"/>
    </row>
    <row r="353" spans="1:33" ht="13.8">
      <c r="A353" s="148"/>
      <c r="B353" s="148"/>
      <c r="C353" s="148"/>
      <c r="D353" s="148"/>
      <c r="E353" s="148"/>
      <c r="F353" s="148"/>
      <c r="G353" s="179"/>
      <c r="H353" s="148"/>
      <c r="I353" s="148"/>
      <c r="J353" s="180"/>
      <c r="K353" s="148"/>
      <c r="L353" s="148"/>
      <c r="M353" s="148"/>
      <c r="N353" s="148"/>
      <c r="O353" s="148"/>
      <c r="P353" s="148"/>
      <c r="Q353" s="148"/>
      <c r="R353" s="148"/>
      <c r="S353" s="148"/>
      <c r="T353" s="148"/>
      <c r="U353" s="148"/>
      <c r="V353" s="148"/>
      <c r="W353" s="148"/>
      <c r="X353" s="148"/>
      <c r="Y353" s="148"/>
      <c r="Z353" s="148"/>
      <c r="AA353" s="148"/>
      <c r="AB353" s="148"/>
      <c r="AC353" s="148"/>
      <c r="AD353" s="148"/>
      <c r="AE353" s="148"/>
      <c r="AF353" s="148"/>
      <c r="AG353" s="148"/>
    </row>
    <row r="354" spans="1:33" ht="13.8">
      <c r="A354" s="148"/>
      <c r="B354" s="148"/>
      <c r="C354" s="148"/>
      <c r="D354" s="148"/>
      <c r="E354" s="148"/>
      <c r="F354" s="148"/>
      <c r="G354" s="179"/>
      <c r="H354" s="148"/>
      <c r="I354" s="148"/>
      <c r="J354" s="180"/>
      <c r="K354" s="148"/>
      <c r="L354" s="148"/>
      <c r="M354" s="148"/>
      <c r="N354" s="148"/>
      <c r="O354" s="148"/>
      <c r="P354" s="148"/>
      <c r="Q354" s="148"/>
      <c r="R354" s="148"/>
      <c r="S354" s="148"/>
      <c r="T354" s="148"/>
      <c r="U354" s="148"/>
      <c r="V354" s="148"/>
      <c r="W354" s="148"/>
      <c r="X354" s="148"/>
      <c r="Y354" s="148"/>
      <c r="Z354" s="148"/>
      <c r="AA354" s="148"/>
      <c r="AB354" s="148"/>
      <c r="AC354" s="148"/>
      <c r="AD354" s="148"/>
      <c r="AE354" s="148"/>
      <c r="AF354" s="148"/>
      <c r="AG354" s="148"/>
    </row>
    <row r="355" spans="1:33" ht="13.8">
      <c r="A355" s="148"/>
      <c r="B355" s="148"/>
      <c r="C355" s="148"/>
      <c r="D355" s="148"/>
      <c r="E355" s="148"/>
      <c r="F355" s="148"/>
      <c r="G355" s="179"/>
      <c r="H355" s="148"/>
      <c r="I355" s="148"/>
      <c r="J355" s="180"/>
      <c r="K355" s="148"/>
      <c r="L355" s="148"/>
      <c r="M355" s="148"/>
      <c r="N355" s="148"/>
      <c r="O355" s="148"/>
      <c r="P355" s="148"/>
      <c r="Q355" s="148"/>
      <c r="R355" s="148"/>
      <c r="S355" s="148"/>
      <c r="T355" s="148"/>
      <c r="U355" s="148"/>
      <c r="V355" s="148"/>
      <c r="W355" s="148"/>
      <c r="X355" s="148"/>
      <c r="Y355" s="148"/>
      <c r="Z355" s="148"/>
      <c r="AA355" s="148"/>
      <c r="AB355" s="148"/>
      <c r="AC355" s="148"/>
      <c r="AD355" s="148"/>
      <c r="AE355" s="148"/>
      <c r="AF355" s="148"/>
      <c r="AG355" s="148"/>
    </row>
    <row r="356" spans="1:33" ht="13.8">
      <c r="A356" s="148"/>
      <c r="B356" s="148"/>
      <c r="C356" s="148"/>
      <c r="D356" s="148"/>
      <c r="E356" s="148"/>
      <c r="F356" s="148"/>
      <c r="G356" s="179"/>
      <c r="H356" s="148"/>
      <c r="I356" s="148"/>
      <c r="J356" s="180"/>
      <c r="K356" s="148"/>
      <c r="L356" s="148"/>
      <c r="M356" s="148"/>
      <c r="N356" s="148"/>
      <c r="O356" s="148"/>
      <c r="P356" s="148"/>
      <c r="Q356" s="148"/>
      <c r="R356" s="148"/>
      <c r="S356" s="148"/>
      <c r="T356" s="148"/>
      <c r="U356" s="148"/>
      <c r="V356" s="148"/>
      <c r="W356" s="148"/>
      <c r="X356" s="148"/>
      <c r="Y356" s="148"/>
      <c r="Z356" s="148"/>
      <c r="AA356" s="148"/>
      <c r="AB356" s="148"/>
      <c r="AC356" s="148"/>
      <c r="AD356" s="148"/>
      <c r="AE356" s="148"/>
      <c r="AF356" s="148"/>
      <c r="AG356" s="148"/>
    </row>
    <row r="357" spans="1:33" ht="13.8">
      <c r="A357" s="148"/>
      <c r="B357" s="148"/>
      <c r="C357" s="148"/>
      <c r="D357" s="148"/>
      <c r="E357" s="148"/>
      <c r="F357" s="148"/>
      <c r="G357" s="179"/>
      <c r="H357" s="148"/>
      <c r="I357" s="148"/>
      <c r="J357" s="180"/>
      <c r="K357" s="148"/>
      <c r="L357" s="148"/>
      <c r="M357" s="148"/>
      <c r="N357" s="148"/>
      <c r="O357" s="148"/>
      <c r="P357" s="148"/>
      <c r="Q357" s="148"/>
      <c r="R357" s="148"/>
      <c r="S357" s="148"/>
      <c r="T357" s="148"/>
      <c r="U357" s="148"/>
      <c r="V357" s="148"/>
      <c r="W357" s="148"/>
      <c r="X357" s="148"/>
      <c r="Y357" s="148"/>
      <c r="Z357" s="148"/>
      <c r="AA357" s="148"/>
      <c r="AB357" s="148"/>
      <c r="AC357" s="148"/>
      <c r="AD357" s="148"/>
      <c r="AE357" s="148"/>
      <c r="AF357" s="148"/>
      <c r="AG357" s="148"/>
    </row>
    <row r="358" spans="1:33" ht="13.8">
      <c r="A358" s="148"/>
      <c r="B358" s="148"/>
      <c r="C358" s="148"/>
      <c r="D358" s="148"/>
      <c r="E358" s="148"/>
      <c r="F358" s="148"/>
      <c r="G358" s="179"/>
      <c r="H358" s="148"/>
      <c r="I358" s="148"/>
      <c r="J358" s="180"/>
      <c r="K358" s="148"/>
      <c r="L358" s="148"/>
      <c r="M358" s="148"/>
      <c r="N358" s="148"/>
      <c r="O358" s="148"/>
      <c r="P358" s="148"/>
      <c r="Q358" s="148"/>
      <c r="R358" s="148"/>
      <c r="S358" s="148"/>
      <c r="T358" s="148"/>
      <c r="U358" s="148"/>
      <c r="V358" s="148"/>
      <c r="W358" s="148"/>
      <c r="X358" s="148"/>
      <c r="Y358" s="148"/>
      <c r="Z358" s="148"/>
      <c r="AA358" s="148"/>
      <c r="AB358" s="148"/>
      <c r="AC358" s="148"/>
      <c r="AD358" s="148"/>
      <c r="AE358" s="148"/>
      <c r="AF358" s="148"/>
      <c r="AG358" s="148"/>
    </row>
    <row r="359" spans="1:33" ht="13.8">
      <c r="A359" s="148"/>
      <c r="B359" s="148"/>
      <c r="C359" s="148"/>
      <c r="D359" s="148"/>
      <c r="E359" s="148"/>
      <c r="F359" s="148"/>
      <c r="G359" s="179"/>
      <c r="H359" s="148"/>
      <c r="I359" s="148"/>
      <c r="J359" s="180"/>
      <c r="K359" s="148"/>
      <c r="L359" s="148"/>
      <c r="M359" s="148"/>
      <c r="N359" s="148"/>
      <c r="O359" s="148"/>
      <c r="P359" s="148"/>
      <c r="Q359" s="148"/>
      <c r="R359" s="148"/>
      <c r="S359" s="148"/>
      <c r="T359" s="148"/>
      <c r="U359" s="148"/>
      <c r="V359" s="148"/>
      <c r="W359" s="148"/>
      <c r="X359" s="148"/>
      <c r="Y359" s="148"/>
      <c r="Z359" s="148"/>
      <c r="AA359" s="148"/>
      <c r="AB359" s="148"/>
      <c r="AC359" s="148"/>
      <c r="AD359" s="148"/>
      <c r="AE359" s="148"/>
      <c r="AF359" s="148"/>
      <c r="AG359" s="148"/>
    </row>
    <row r="360" spans="1:33" ht="13.8">
      <c r="A360" s="148"/>
      <c r="B360" s="148"/>
      <c r="C360" s="148"/>
      <c r="D360" s="148"/>
      <c r="E360" s="148"/>
      <c r="F360" s="148"/>
      <c r="G360" s="179"/>
      <c r="H360" s="148"/>
      <c r="I360" s="148"/>
      <c r="J360" s="180"/>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row>
    <row r="361" spans="1:33" ht="13.8">
      <c r="A361" s="148"/>
      <c r="B361" s="148"/>
      <c r="C361" s="148"/>
      <c r="D361" s="148"/>
      <c r="E361" s="148"/>
      <c r="F361" s="148"/>
      <c r="G361" s="179"/>
      <c r="H361" s="148"/>
      <c r="I361" s="148"/>
      <c r="J361" s="180"/>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row>
    <row r="362" spans="1:33" ht="13.8">
      <c r="A362" s="148"/>
      <c r="B362" s="148"/>
      <c r="C362" s="148"/>
      <c r="D362" s="148"/>
      <c r="E362" s="148"/>
      <c r="F362" s="148"/>
      <c r="G362" s="179"/>
      <c r="H362" s="148"/>
      <c r="I362" s="148"/>
      <c r="J362" s="180"/>
      <c r="K362" s="148"/>
      <c r="L362" s="148"/>
      <c r="M362" s="148"/>
      <c r="N362" s="148"/>
      <c r="O362" s="148"/>
      <c r="P362" s="148"/>
      <c r="Q362" s="148"/>
      <c r="R362" s="148"/>
      <c r="S362" s="148"/>
      <c r="T362" s="148"/>
      <c r="U362" s="148"/>
      <c r="V362" s="148"/>
      <c r="W362" s="148"/>
      <c r="X362" s="148"/>
      <c r="Y362" s="148"/>
      <c r="Z362" s="148"/>
      <c r="AA362" s="148"/>
      <c r="AB362" s="148"/>
      <c r="AC362" s="148"/>
      <c r="AD362" s="148"/>
      <c r="AE362" s="148"/>
      <c r="AF362" s="148"/>
      <c r="AG362" s="148"/>
    </row>
    <row r="363" spans="1:33" ht="13.8">
      <c r="A363" s="148"/>
      <c r="B363" s="148"/>
      <c r="C363" s="148"/>
      <c r="D363" s="148"/>
      <c r="E363" s="148"/>
      <c r="F363" s="148"/>
      <c r="G363" s="179"/>
      <c r="H363" s="148"/>
      <c r="I363" s="148"/>
      <c r="J363" s="180"/>
      <c r="K363" s="148"/>
      <c r="L363" s="148"/>
      <c r="M363" s="148"/>
      <c r="N363" s="148"/>
      <c r="O363" s="148"/>
      <c r="P363" s="148"/>
      <c r="Q363" s="148"/>
      <c r="R363" s="148"/>
      <c r="S363" s="148"/>
      <c r="T363" s="148"/>
      <c r="U363" s="148"/>
      <c r="V363" s="148"/>
      <c r="W363" s="148"/>
      <c r="X363" s="148"/>
      <c r="Y363" s="148"/>
      <c r="Z363" s="148"/>
      <c r="AA363" s="148"/>
      <c r="AB363" s="148"/>
      <c r="AC363" s="148"/>
      <c r="AD363" s="148"/>
      <c r="AE363" s="148"/>
      <c r="AF363" s="148"/>
      <c r="AG363" s="148"/>
    </row>
  </sheetData>
  <mergeCells count="99">
    <mergeCell ref="K261:K267"/>
    <mergeCell ref="L261:L267"/>
    <mergeCell ref="M261:M267"/>
    <mergeCell ref="N261:N267"/>
    <mergeCell ref="A261:A267"/>
    <mergeCell ref="B261:B267"/>
    <mergeCell ref="C261:C267"/>
    <mergeCell ref="D261:D267"/>
    <mergeCell ref="E261:E267"/>
    <mergeCell ref="F261:F267"/>
    <mergeCell ref="J261:J267"/>
    <mergeCell ref="K268:K271"/>
    <mergeCell ref="L268:L271"/>
    <mergeCell ref="M268:M271"/>
    <mergeCell ref="N268:N271"/>
    <mergeCell ref="A268:A271"/>
    <mergeCell ref="B268:B271"/>
    <mergeCell ref="C268:C271"/>
    <mergeCell ref="D268:D271"/>
    <mergeCell ref="E268:E271"/>
    <mergeCell ref="F268:F271"/>
    <mergeCell ref="J268:J271"/>
    <mergeCell ref="K272:K275"/>
    <mergeCell ref="L272:L275"/>
    <mergeCell ref="M272:M275"/>
    <mergeCell ref="N272:N275"/>
    <mergeCell ref="A272:A275"/>
    <mergeCell ref="B272:B275"/>
    <mergeCell ref="C272:C275"/>
    <mergeCell ref="D272:D275"/>
    <mergeCell ref="E272:E275"/>
    <mergeCell ref="F272:F275"/>
    <mergeCell ref="J272:J275"/>
    <mergeCell ref="K276:K278"/>
    <mergeCell ref="L276:L278"/>
    <mergeCell ref="M276:M278"/>
    <mergeCell ref="N276:N278"/>
    <mergeCell ref="A276:A278"/>
    <mergeCell ref="B276:B278"/>
    <mergeCell ref="C276:C278"/>
    <mergeCell ref="D276:D278"/>
    <mergeCell ref="E276:E278"/>
    <mergeCell ref="F276:F278"/>
    <mergeCell ref="J276:J278"/>
    <mergeCell ref="K279:K284"/>
    <mergeCell ref="L279:L284"/>
    <mergeCell ref="M279:M284"/>
    <mergeCell ref="N279:N284"/>
    <mergeCell ref="A279:A284"/>
    <mergeCell ref="B279:B284"/>
    <mergeCell ref="C279:C284"/>
    <mergeCell ref="D279:D284"/>
    <mergeCell ref="E279:E284"/>
    <mergeCell ref="F279:F284"/>
    <mergeCell ref="J279:J284"/>
    <mergeCell ref="K242:K249"/>
    <mergeCell ref="L242:L249"/>
    <mergeCell ref="M242:M249"/>
    <mergeCell ref="N242:N249"/>
    <mergeCell ref="A242:A249"/>
    <mergeCell ref="B242:B249"/>
    <mergeCell ref="C242:C249"/>
    <mergeCell ref="D242:D249"/>
    <mergeCell ref="E242:E249"/>
    <mergeCell ref="F242:F249"/>
    <mergeCell ref="J242:J249"/>
    <mergeCell ref="K250:K255"/>
    <mergeCell ref="L250:L255"/>
    <mergeCell ref="M250:M255"/>
    <mergeCell ref="N250:N255"/>
    <mergeCell ref="A250:A255"/>
    <mergeCell ref="B250:B255"/>
    <mergeCell ref="C250:C255"/>
    <mergeCell ref="D250:D255"/>
    <mergeCell ref="E250:E255"/>
    <mergeCell ref="F250:F255"/>
    <mergeCell ref="J250:J255"/>
    <mergeCell ref="K256:K260"/>
    <mergeCell ref="L256:L260"/>
    <mergeCell ref="M256:M260"/>
    <mergeCell ref="N256:N260"/>
    <mergeCell ref="A256:A260"/>
    <mergeCell ref="B256:B260"/>
    <mergeCell ref="C256:C260"/>
    <mergeCell ref="D256:D260"/>
    <mergeCell ref="E256:E260"/>
    <mergeCell ref="F256:F260"/>
    <mergeCell ref="J256:J260"/>
    <mergeCell ref="K285:K287"/>
    <mergeCell ref="L285:L287"/>
    <mergeCell ref="M285:M287"/>
    <mergeCell ref="N285:N287"/>
    <mergeCell ref="A285:A287"/>
    <mergeCell ref="B285:B287"/>
    <mergeCell ref="C285:C287"/>
    <mergeCell ref="D285:D287"/>
    <mergeCell ref="E285:E287"/>
    <mergeCell ref="F285:F287"/>
    <mergeCell ref="J285:J2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02"/>
  <sheetViews>
    <sheetView workbookViewId="0"/>
  </sheetViews>
  <sheetFormatPr defaultColWidth="12.6640625" defaultRowHeight="15.75" customHeight="1"/>
  <sheetData>
    <row r="1" spans="1:12" ht="15.75" customHeight="1">
      <c r="A1" s="181" t="s">
        <v>2638</v>
      </c>
      <c r="B1" s="181" t="s">
        <v>9484</v>
      </c>
      <c r="C1" s="181" t="s">
        <v>9485</v>
      </c>
      <c r="D1" s="181" t="s">
        <v>9486</v>
      </c>
      <c r="E1" s="181" t="s">
        <v>9487</v>
      </c>
      <c r="F1" s="181" t="s">
        <v>9488</v>
      </c>
      <c r="G1" s="181" t="s">
        <v>9489</v>
      </c>
      <c r="H1" s="181" t="s">
        <v>2639</v>
      </c>
      <c r="I1" s="181" t="s">
        <v>9490</v>
      </c>
      <c r="J1" s="181" t="s">
        <v>9491</v>
      </c>
      <c r="K1" s="182" t="s">
        <v>9492</v>
      </c>
      <c r="L1" s="183" t="s">
        <v>9493</v>
      </c>
    </row>
    <row r="2" spans="1:12" ht="15.75" customHeight="1">
      <c r="A2" s="184">
        <v>1</v>
      </c>
      <c r="B2" s="185"/>
      <c r="C2" s="184" t="s">
        <v>3200</v>
      </c>
      <c r="D2" s="184" t="s">
        <v>9494</v>
      </c>
      <c r="E2" s="184" t="s">
        <v>9495</v>
      </c>
      <c r="F2" s="184">
        <v>2</v>
      </c>
      <c r="G2" s="184">
        <v>15</v>
      </c>
      <c r="H2" s="186">
        <v>45748</v>
      </c>
      <c r="I2" s="186">
        <v>45748</v>
      </c>
      <c r="J2" s="184">
        <v>1</v>
      </c>
      <c r="K2" s="187" t="s">
        <v>1329</v>
      </c>
      <c r="L2" s="188" t="s">
        <v>1328</v>
      </c>
    </row>
    <row r="3" spans="1:12" ht="15.75" customHeight="1">
      <c r="A3" s="184">
        <v>2</v>
      </c>
      <c r="B3" s="185"/>
      <c r="C3" s="184" t="s">
        <v>2931</v>
      </c>
      <c r="D3" s="185"/>
      <c r="E3" s="184" t="s">
        <v>9496</v>
      </c>
      <c r="F3" s="184">
        <v>3</v>
      </c>
      <c r="G3" s="185"/>
      <c r="H3" s="186">
        <v>45962</v>
      </c>
      <c r="I3" s="184" t="s">
        <v>9497</v>
      </c>
      <c r="J3" s="189">
        <v>2</v>
      </c>
      <c r="K3" s="187" t="s">
        <v>1352</v>
      </c>
      <c r="L3" s="188" t="s">
        <v>1975</v>
      </c>
    </row>
    <row r="4" spans="1:12" ht="15.75" customHeight="1">
      <c r="A4" s="184">
        <v>3</v>
      </c>
      <c r="B4" s="185"/>
      <c r="C4" s="184" t="s">
        <v>2915</v>
      </c>
      <c r="D4" s="184" t="s">
        <v>9498</v>
      </c>
      <c r="E4" s="184" t="s">
        <v>9499</v>
      </c>
      <c r="F4" s="184">
        <v>5</v>
      </c>
      <c r="G4" s="185"/>
      <c r="H4" s="190">
        <v>45672</v>
      </c>
      <c r="I4" s="190">
        <v>45672</v>
      </c>
      <c r="J4" s="184">
        <v>1</v>
      </c>
      <c r="K4" s="187" t="s">
        <v>1370</v>
      </c>
      <c r="L4" s="188" t="s">
        <v>2606</v>
      </c>
    </row>
    <row r="5" spans="1:12" ht="15.75" customHeight="1">
      <c r="A5" s="184">
        <v>4</v>
      </c>
      <c r="B5" s="185"/>
      <c r="C5" s="184" t="s">
        <v>2699</v>
      </c>
      <c r="D5" s="184" t="s">
        <v>9500</v>
      </c>
      <c r="E5" s="184" t="s">
        <v>9501</v>
      </c>
      <c r="F5" s="184">
        <v>3</v>
      </c>
      <c r="G5" s="185"/>
      <c r="H5" s="186">
        <v>45809</v>
      </c>
      <c r="I5" s="186">
        <v>45809</v>
      </c>
      <c r="J5" s="184">
        <v>1</v>
      </c>
      <c r="K5" s="187" t="s">
        <v>1393</v>
      </c>
      <c r="L5" s="188" t="s">
        <v>2158</v>
      </c>
    </row>
    <row r="6" spans="1:12" ht="15.75" customHeight="1">
      <c r="A6" s="184">
        <v>5</v>
      </c>
      <c r="B6" s="185"/>
      <c r="C6" s="184" t="s">
        <v>2931</v>
      </c>
      <c r="D6" s="184" t="s">
        <v>9502</v>
      </c>
      <c r="E6" s="184" t="s">
        <v>9503</v>
      </c>
      <c r="F6" s="185"/>
      <c r="G6" s="185"/>
      <c r="H6" s="186">
        <v>45809</v>
      </c>
      <c r="I6" s="185"/>
      <c r="J6" s="189">
        <v>1</v>
      </c>
      <c r="K6" s="187" t="s">
        <v>1417</v>
      </c>
      <c r="L6" s="188" t="s">
        <v>2361</v>
      </c>
    </row>
    <row r="7" spans="1:12" ht="15.75" customHeight="1">
      <c r="A7" s="184">
        <v>6</v>
      </c>
      <c r="B7" s="185"/>
      <c r="C7" s="184" t="s">
        <v>2915</v>
      </c>
      <c r="D7" s="184" t="s">
        <v>9504</v>
      </c>
      <c r="E7" s="184" t="s">
        <v>9505</v>
      </c>
      <c r="F7" s="184">
        <v>3</v>
      </c>
      <c r="G7" s="185"/>
      <c r="H7" s="186">
        <v>45839</v>
      </c>
      <c r="I7" s="185"/>
      <c r="J7" s="189">
        <v>1</v>
      </c>
      <c r="K7" s="187" t="s">
        <v>1437</v>
      </c>
      <c r="L7" s="188" t="s">
        <v>1478</v>
      </c>
    </row>
    <row r="8" spans="1:12" ht="15.75" customHeight="1">
      <c r="A8" s="184">
        <v>7</v>
      </c>
      <c r="B8" s="185"/>
      <c r="C8" s="184" t="s">
        <v>3200</v>
      </c>
      <c r="D8" s="184" t="s">
        <v>9506</v>
      </c>
      <c r="E8" s="184" t="s">
        <v>9507</v>
      </c>
      <c r="F8" s="185"/>
      <c r="G8" s="185"/>
      <c r="H8" s="190">
        <v>45708</v>
      </c>
      <c r="I8" s="185"/>
      <c r="J8" s="184">
        <v>1</v>
      </c>
      <c r="K8" s="187" t="s">
        <v>1462</v>
      </c>
      <c r="L8" s="188" t="s">
        <v>1820</v>
      </c>
    </row>
    <row r="9" spans="1:12" ht="15.75" customHeight="1">
      <c r="A9" s="184">
        <v>8</v>
      </c>
      <c r="B9" s="185"/>
      <c r="C9" s="184" t="s">
        <v>9508</v>
      </c>
      <c r="D9" s="185"/>
      <c r="E9" s="184" t="s">
        <v>9509</v>
      </c>
      <c r="F9" s="184">
        <v>4</v>
      </c>
      <c r="G9" s="185"/>
      <c r="H9" s="190">
        <v>45715</v>
      </c>
      <c r="I9" s="185"/>
      <c r="J9" s="189">
        <v>1</v>
      </c>
      <c r="K9" s="187" t="s">
        <v>1512</v>
      </c>
      <c r="L9" s="188" t="s">
        <v>1939</v>
      </c>
    </row>
    <row r="10" spans="1:12" ht="15.75" customHeight="1">
      <c r="A10" s="184">
        <v>9</v>
      </c>
      <c r="B10" s="185"/>
      <c r="C10" s="184" t="s">
        <v>9510</v>
      </c>
      <c r="D10" s="184" t="s">
        <v>9511</v>
      </c>
      <c r="E10" s="184" t="s">
        <v>9507</v>
      </c>
      <c r="F10" s="184">
        <v>2</v>
      </c>
      <c r="G10" s="185"/>
      <c r="H10" s="186">
        <v>45715</v>
      </c>
      <c r="I10" s="185"/>
      <c r="J10" s="184">
        <v>1</v>
      </c>
      <c r="K10" s="187" t="s">
        <v>1329</v>
      </c>
      <c r="L10" s="188" t="s">
        <v>1328</v>
      </c>
    </row>
    <row r="11" spans="1:12" ht="15.75" customHeight="1">
      <c r="A11" s="184">
        <v>10</v>
      </c>
      <c r="B11" s="185"/>
      <c r="C11" s="184" t="s">
        <v>9512</v>
      </c>
      <c r="D11" s="184" t="s">
        <v>9513</v>
      </c>
      <c r="E11" s="184" t="s">
        <v>9514</v>
      </c>
      <c r="F11" s="184">
        <v>27</v>
      </c>
      <c r="G11" s="185"/>
      <c r="H11" s="186">
        <v>45719</v>
      </c>
      <c r="I11" s="185"/>
      <c r="J11" s="184">
        <v>1</v>
      </c>
      <c r="K11" s="187" t="s">
        <v>1352</v>
      </c>
      <c r="L11" s="188" t="s">
        <v>1975</v>
      </c>
    </row>
    <row r="12" spans="1:12" ht="15.75" customHeight="1">
      <c r="A12" s="184">
        <v>11</v>
      </c>
      <c r="B12" s="185"/>
      <c r="C12" s="184" t="s">
        <v>4305</v>
      </c>
      <c r="D12" s="184" t="s">
        <v>9515</v>
      </c>
      <c r="E12" s="184" t="s">
        <v>9516</v>
      </c>
      <c r="F12" s="184">
        <v>3</v>
      </c>
      <c r="G12" s="185"/>
      <c r="H12" s="186">
        <v>45750</v>
      </c>
      <c r="I12" s="185"/>
      <c r="J12" s="189">
        <v>1</v>
      </c>
      <c r="K12" s="187" t="s">
        <v>1370</v>
      </c>
      <c r="L12" s="188" t="s">
        <v>2606</v>
      </c>
    </row>
    <row r="13" spans="1:12" ht="15.75" customHeight="1">
      <c r="A13" s="184">
        <v>12</v>
      </c>
      <c r="B13" s="185"/>
      <c r="C13" s="184" t="s">
        <v>2931</v>
      </c>
      <c r="D13" s="184" t="s">
        <v>9517</v>
      </c>
      <c r="E13" s="184" t="s">
        <v>9518</v>
      </c>
      <c r="F13" s="184">
        <v>3</v>
      </c>
      <c r="G13" s="184">
        <v>6</v>
      </c>
      <c r="H13" s="186">
        <v>45872</v>
      </c>
      <c r="I13" s="186">
        <v>45994</v>
      </c>
      <c r="J13" s="189">
        <v>4</v>
      </c>
      <c r="K13" s="187" t="s">
        <v>1393</v>
      </c>
      <c r="L13" s="188" t="s">
        <v>2158</v>
      </c>
    </row>
    <row r="14" spans="1:12" ht="15.75" customHeight="1">
      <c r="A14" s="184">
        <v>13</v>
      </c>
      <c r="B14" s="185"/>
      <c r="C14" s="184" t="s">
        <v>4190</v>
      </c>
      <c r="D14" s="184" t="s">
        <v>9519</v>
      </c>
      <c r="E14" s="184" t="s">
        <v>9520</v>
      </c>
      <c r="F14" s="184">
        <v>1</v>
      </c>
      <c r="G14" s="185"/>
      <c r="H14" s="190">
        <v>45729</v>
      </c>
      <c r="I14" s="185"/>
      <c r="J14" s="184">
        <v>1</v>
      </c>
      <c r="K14" s="187" t="s">
        <v>1417</v>
      </c>
      <c r="L14" s="188" t="s">
        <v>2361</v>
      </c>
    </row>
    <row r="15" spans="1:12" ht="15.75" customHeight="1">
      <c r="A15" s="184">
        <v>14</v>
      </c>
      <c r="B15" s="185"/>
      <c r="C15" s="184" t="s">
        <v>3200</v>
      </c>
      <c r="D15" s="184" t="s">
        <v>9521</v>
      </c>
      <c r="E15" s="184" t="s">
        <v>9522</v>
      </c>
      <c r="F15" s="184">
        <v>1</v>
      </c>
      <c r="G15" s="185"/>
      <c r="H15" s="190">
        <v>45731</v>
      </c>
      <c r="I15" s="185"/>
      <c r="J15" s="184">
        <v>1</v>
      </c>
      <c r="K15" s="187" t="s">
        <v>1437</v>
      </c>
      <c r="L15" s="188" t="s">
        <v>1478</v>
      </c>
    </row>
    <row r="16" spans="1:12" ht="15.75" customHeight="1">
      <c r="A16" s="184">
        <v>15</v>
      </c>
      <c r="B16" s="185"/>
      <c r="C16" s="184" t="s">
        <v>2931</v>
      </c>
      <c r="D16" s="184" t="s">
        <v>9523</v>
      </c>
      <c r="E16" s="184" t="s">
        <v>9524</v>
      </c>
      <c r="F16" s="184">
        <v>13</v>
      </c>
      <c r="G16" s="185"/>
      <c r="H16" s="190">
        <v>45734</v>
      </c>
      <c r="I16" s="185"/>
      <c r="J16" s="184">
        <v>1</v>
      </c>
      <c r="K16" s="187" t="s">
        <v>1462</v>
      </c>
      <c r="L16" s="188" t="s">
        <v>1820</v>
      </c>
    </row>
    <row r="17" spans="1:12" ht="15.75" customHeight="1">
      <c r="A17" s="184">
        <v>16</v>
      </c>
      <c r="B17" s="185"/>
      <c r="C17" s="184" t="s">
        <v>2699</v>
      </c>
      <c r="D17" s="184" t="s">
        <v>9525</v>
      </c>
      <c r="E17" s="184" t="s">
        <v>9526</v>
      </c>
      <c r="F17" s="184">
        <v>8</v>
      </c>
      <c r="G17" s="185"/>
      <c r="H17" s="190">
        <v>45736</v>
      </c>
      <c r="I17" s="190">
        <v>45738</v>
      </c>
      <c r="J17" s="184">
        <v>3</v>
      </c>
      <c r="K17" s="187" t="s">
        <v>1512</v>
      </c>
      <c r="L17" s="188" t="s">
        <v>1939</v>
      </c>
    </row>
    <row r="18" spans="1:12" ht="15.75" customHeight="1">
      <c r="A18" s="184">
        <v>17</v>
      </c>
      <c r="B18" s="185"/>
      <c r="C18" s="184" t="s">
        <v>9527</v>
      </c>
      <c r="D18" s="184" t="s">
        <v>9528</v>
      </c>
      <c r="E18" s="184" t="s">
        <v>9526</v>
      </c>
      <c r="F18" s="184">
        <v>1</v>
      </c>
      <c r="G18" s="185"/>
      <c r="H18" s="190">
        <v>45736</v>
      </c>
      <c r="I18" s="190">
        <v>45738</v>
      </c>
      <c r="J18" s="189">
        <v>2</v>
      </c>
      <c r="K18" s="187" t="s">
        <v>1329</v>
      </c>
      <c r="L18" s="188" t="s">
        <v>1328</v>
      </c>
    </row>
    <row r="19" spans="1:12" ht="15.75" customHeight="1">
      <c r="A19" s="184">
        <v>18</v>
      </c>
      <c r="B19" s="185"/>
      <c r="C19" s="184" t="s">
        <v>2915</v>
      </c>
      <c r="D19" s="184" t="s">
        <v>9529</v>
      </c>
      <c r="E19" s="184" t="s">
        <v>9526</v>
      </c>
      <c r="F19" s="184">
        <v>4</v>
      </c>
      <c r="G19" s="185"/>
      <c r="H19" s="190">
        <v>45736</v>
      </c>
      <c r="I19" s="190">
        <v>45738</v>
      </c>
      <c r="J19" s="189">
        <v>2</v>
      </c>
      <c r="K19" s="187" t="s">
        <v>1352</v>
      </c>
      <c r="L19" s="188" t="s">
        <v>1975</v>
      </c>
    </row>
    <row r="20" spans="1:12" ht="15.75" customHeight="1">
      <c r="A20" s="184">
        <v>19</v>
      </c>
      <c r="B20" s="185"/>
      <c r="C20" s="184" t="s">
        <v>5783</v>
      </c>
      <c r="D20" s="185"/>
      <c r="E20" s="184" t="s">
        <v>9526</v>
      </c>
      <c r="F20" s="184">
        <v>1</v>
      </c>
      <c r="G20" s="185"/>
      <c r="H20" s="190">
        <v>45736</v>
      </c>
      <c r="I20" s="190">
        <v>45738</v>
      </c>
      <c r="J20" s="189">
        <v>2</v>
      </c>
      <c r="K20" s="187" t="s">
        <v>1370</v>
      </c>
      <c r="L20" s="188" t="s">
        <v>2606</v>
      </c>
    </row>
    <row r="21" spans="1:12" ht="15.75" customHeight="1">
      <c r="A21" s="184">
        <v>20</v>
      </c>
      <c r="B21" s="185"/>
      <c r="C21" s="184" t="s">
        <v>2915</v>
      </c>
      <c r="D21" s="185"/>
      <c r="E21" s="184" t="s">
        <v>9530</v>
      </c>
      <c r="F21" s="184">
        <v>1</v>
      </c>
      <c r="G21" s="185"/>
      <c r="H21" s="190">
        <v>45736</v>
      </c>
      <c r="I21" s="190">
        <v>45738</v>
      </c>
      <c r="J21" s="184">
        <v>3</v>
      </c>
      <c r="K21" s="187" t="s">
        <v>1393</v>
      </c>
      <c r="L21" s="188" t="s">
        <v>2158</v>
      </c>
    </row>
    <row r="22" spans="1:12" ht="15.75" customHeight="1">
      <c r="A22" s="184">
        <v>21</v>
      </c>
      <c r="B22" s="185"/>
      <c r="C22" s="185"/>
      <c r="D22" s="184" t="s">
        <v>9531</v>
      </c>
      <c r="E22" s="184" t="s">
        <v>9532</v>
      </c>
      <c r="F22" s="184">
        <v>1</v>
      </c>
      <c r="G22" s="185"/>
      <c r="H22" s="190">
        <v>45736</v>
      </c>
      <c r="I22" s="190">
        <v>45738</v>
      </c>
      <c r="J22" s="184">
        <v>3</v>
      </c>
      <c r="K22" s="187" t="s">
        <v>1417</v>
      </c>
      <c r="L22" s="188" t="s">
        <v>2361</v>
      </c>
    </row>
    <row r="23" spans="1:12" ht="15.75" customHeight="1">
      <c r="A23" s="184">
        <v>22</v>
      </c>
      <c r="B23" s="185"/>
      <c r="C23" s="184" t="s">
        <v>2699</v>
      </c>
      <c r="D23" s="184" t="s">
        <v>9533</v>
      </c>
      <c r="E23" s="184" t="s">
        <v>9534</v>
      </c>
      <c r="F23" s="184">
        <v>49</v>
      </c>
      <c r="G23" s="185"/>
      <c r="H23" s="190">
        <v>45747</v>
      </c>
      <c r="I23" s="185"/>
      <c r="J23" s="184">
        <v>1</v>
      </c>
      <c r="K23" s="187" t="s">
        <v>1437</v>
      </c>
      <c r="L23" s="188" t="s">
        <v>1478</v>
      </c>
    </row>
    <row r="24" spans="1:12" ht="15.75" customHeight="1">
      <c r="A24" s="184">
        <v>23</v>
      </c>
      <c r="B24" s="185"/>
      <c r="C24" s="184" t="s">
        <v>6226</v>
      </c>
      <c r="D24" s="185"/>
      <c r="E24" s="184" t="s">
        <v>9535</v>
      </c>
      <c r="F24" s="184">
        <v>1</v>
      </c>
      <c r="G24" s="185"/>
      <c r="H24" s="186">
        <v>45720</v>
      </c>
      <c r="I24" s="190">
        <v>45833</v>
      </c>
      <c r="J24" s="189">
        <v>83</v>
      </c>
      <c r="K24" s="187" t="s">
        <v>1462</v>
      </c>
      <c r="L24" s="188" t="s">
        <v>1820</v>
      </c>
    </row>
    <row r="25" spans="1:12" ht="15.75" customHeight="1">
      <c r="A25" s="184">
        <v>24</v>
      </c>
      <c r="B25" s="185"/>
      <c r="C25" s="184" t="s">
        <v>2699</v>
      </c>
      <c r="D25" s="184" t="s">
        <v>9536</v>
      </c>
      <c r="E25" s="184" t="s">
        <v>9537</v>
      </c>
      <c r="F25" s="184">
        <v>35</v>
      </c>
      <c r="G25" s="185"/>
      <c r="H25" s="186">
        <v>45751</v>
      </c>
      <c r="I25" s="185"/>
      <c r="J25" s="184">
        <v>1</v>
      </c>
      <c r="K25" s="187" t="s">
        <v>1512</v>
      </c>
      <c r="L25" s="188" t="s">
        <v>1939</v>
      </c>
    </row>
    <row r="26" spans="1:12" ht="15.75" customHeight="1">
      <c r="A26" s="184">
        <v>25</v>
      </c>
      <c r="B26" s="185"/>
      <c r="C26" s="184" t="s">
        <v>9538</v>
      </c>
      <c r="D26" s="184" t="s">
        <v>9539</v>
      </c>
      <c r="E26" s="184" t="s">
        <v>9540</v>
      </c>
      <c r="F26" s="184">
        <v>3</v>
      </c>
      <c r="G26" s="185"/>
      <c r="H26" s="186">
        <v>45751</v>
      </c>
      <c r="I26" s="185"/>
      <c r="J26" s="184">
        <v>1</v>
      </c>
      <c r="K26" s="187" t="s">
        <v>1329</v>
      </c>
      <c r="L26" s="188" t="s">
        <v>1328</v>
      </c>
    </row>
    <row r="27" spans="1:12" ht="15.75" customHeight="1">
      <c r="A27" s="184">
        <v>26</v>
      </c>
      <c r="B27" s="185"/>
      <c r="C27" s="184" t="s">
        <v>3216</v>
      </c>
      <c r="D27" s="184" t="s">
        <v>9541</v>
      </c>
      <c r="E27" s="184" t="s">
        <v>9542</v>
      </c>
      <c r="F27" s="184">
        <v>7</v>
      </c>
      <c r="G27" s="185"/>
      <c r="H27" s="186">
        <v>45996</v>
      </c>
      <c r="I27" s="185"/>
      <c r="J27" s="184">
        <v>1</v>
      </c>
      <c r="K27" s="187" t="s">
        <v>1352</v>
      </c>
      <c r="L27" s="188" t="s">
        <v>1975</v>
      </c>
    </row>
    <row r="28" spans="1:12" ht="15.75" customHeight="1">
      <c r="A28" s="184">
        <v>27</v>
      </c>
      <c r="B28" s="185"/>
      <c r="C28" s="184" t="s">
        <v>9543</v>
      </c>
      <c r="D28" s="184" t="s">
        <v>9544</v>
      </c>
      <c r="E28" s="184" t="s">
        <v>9545</v>
      </c>
      <c r="F28" s="184">
        <v>2</v>
      </c>
      <c r="G28" s="185"/>
      <c r="H28" s="190">
        <v>45790</v>
      </c>
      <c r="I28" s="185"/>
      <c r="J28" s="184">
        <v>1</v>
      </c>
      <c r="K28" s="187" t="s">
        <v>1370</v>
      </c>
      <c r="L28" s="188" t="s">
        <v>2606</v>
      </c>
    </row>
    <row r="29" spans="1:12" ht="15.75" customHeight="1">
      <c r="A29" s="184">
        <v>28</v>
      </c>
      <c r="B29" s="185"/>
      <c r="C29" s="184" t="s">
        <v>2699</v>
      </c>
      <c r="D29" s="184" t="s">
        <v>9525</v>
      </c>
      <c r="E29" s="184" t="s">
        <v>9546</v>
      </c>
      <c r="F29" s="184">
        <v>16</v>
      </c>
      <c r="G29" s="185"/>
      <c r="H29" s="190">
        <v>45791</v>
      </c>
      <c r="I29" s="185"/>
      <c r="J29" s="184">
        <v>1</v>
      </c>
      <c r="K29" s="187" t="s">
        <v>1393</v>
      </c>
      <c r="L29" s="188" t="s">
        <v>2158</v>
      </c>
    </row>
    <row r="30" spans="1:12" ht="15.75" customHeight="1">
      <c r="A30" s="184">
        <v>29</v>
      </c>
      <c r="B30" s="184">
        <v>838</v>
      </c>
      <c r="C30" s="184" t="s">
        <v>9547</v>
      </c>
      <c r="D30" s="185"/>
      <c r="E30" s="184" t="s">
        <v>9548</v>
      </c>
      <c r="F30" s="184">
        <v>2</v>
      </c>
      <c r="G30" s="185"/>
      <c r="H30" s="190">
        <v>45807</v>
      </c>
      <c r="I30" s="186">
        <v>45663</v>
      </c>
      <c r="J30" s="184">
        <v>3</v>
      </c>
      <c r="K30" s="187" t="s">
        <v>1417</v>
      </c>
      <c r="L30" s="188" t="s">
        <v>2361</v>
      </c>
    </row>
    <row r="31" spans="1:12" ht="15.75" customHeight="1">
      <c r="A31" s="184">
        <v>30</v>
      </c>
      <c r="B31" s="185"/>
      <c r="C31" s="184" t="s">
        <v>9549</v>
      </c>
      <c r="D31" s="184" t="s">
        <v>9550</v>
      </c>
      <c r="E31" s="184" t="s">
        <v>9551</v>
      </c>
      <c r="F31" s="185"/>
      <c r="G31" s="184">
        <v>71</v>
      </c>
      <c r="H31" s="190">
        <v>45807</v>
      </c>
      <c r="I31" s="190">
        <v>45808</v>
      </c>
      <c r="J31" s="184">
        <v>2</v>
      </c>
      <c r="K31" s="187" t="s">
        <v>1437</v>
      </c>
      <c r="L31" s="188" t="s">
        <v>1478</v>
      </c>
    </row>
    <row r="32" spans="1:12" ht="15.75" customHeight="1">
      <c r="A32" s="184">
        <v>31</v>
      </c>
      <c r="B32" s="185"/>
      <c r="C32" s="184" t="s">
        <v>4207</v>
      </c>
      <c r="D32" s="184" t="s">
        <v>9552</v>
      </c>
      <c r="E32" s="184" t="s">
        <v>9553</v>
      </c>
      <c r="F32" s="184">
        <v>3</v>
      </c>
      <c r="G32" s="185"/>
      <c r="H32" s="186">
        <v>45694</v>
      </c>
      <c r="I32" s="186">
        <v>45694</v>
      </c>
      <c r="J32" s="184">
        <v>1</v>
      </c>
      <c r="K32" s="187" t="s">
        <v>1462</v>
      </c>
      <c r="L32" s="188" t="s">
        <v>1820</v>
      </c>
    </row>
    <row r="33" spans="1:12" ht="14.4">
      <c r="A33" s="184">
        <v>32</v>
      </c>
      <c r="B33" s="185"/>
      <c r="C33" s="184" t="s">
        <v>2699</v>
      </c>
      <c r="D33" s="184" t="s">
        <v>9554</v>
      </c>
      <c r="E33" s="184" t="s">
        <v>9555</v>
      </c>
      <c r="F33" s="184">
        <v>61</v>
      </c>
      <c r="G33" s="185"/>
      <c r="H33" s="186">
        <v>45694</v>
      </c>
      <c r="I33" s="186">
        <v>45694</v>
      </c>
      <c r="J33" s="184">
        <v>1</v>
      </c>
      <c r="K33" s="187" t="s">
        <v>1512</v>
      </c>
      <c r="L33" s="188" t="s">
        <v>1939</v>
      </c>
    </row>
    <row r="34" spans="1:12" ht="13.8">
      <c r="A34" s="184">
        <v>33</v>
      </c>
      <c r="B34" s="184">
        <v>864</v>
      </c>
      <c r="C34" s="184" t="s">
        <v>3200</v>
      </c>
      <c r="D34" s="184" t="s">
        <v>9556</v>
      </c>
      <c r="E34" s="184" t="s">
        <v>9557</v>
      </c>
      <c r="F34" s="184">
        <v>5</v>
      </c>
      <c r="G34" s="184">
        <v>12</v>
      </c>
      <c r="H34" s="186">
        <v>45753</v>
      </c>
      <c r="I34" s="186">
        <v>45753</v>
      </c>
      <c r="J34" s="184">
        <v>1</v>
      </c>
      <c r="K34" s="187" t="s">
        <v>1329</v>
      </c>
      <c r="L34" s="188" t="s">
        <v>1328</v>
      </c>
    </row>
    <row r="35" spans="1:12" ht="14.4">
      <c r="A35" s="184">
        <v>34</v>
      </c>
      <c r="B35" s="184">
        <v>910</v>
      </c>
      <c r="C35" s="184" t="s">
        <v>2699</v>
      </c>
      <c r="D35" s="184" t="s">
        <v>9558</v>
      </c>
      <c r="E35" s="184" t="s">
        <v>9534</v>
      </c>
      <c r="F35" s="184">
        <v>6</v>
      </c>
      <c r="G35" s="185"/>
      <c r="H35" s="186">
        <v>45783</v>
      </c>
      <c r="I35" s="186">
        <v>45783</v>
      </c>
      <c r="J35" s="184">
        <v>1</v>
      </c>
      <c r="K35" s="187" t="s">
        <v>1352</v>
      </c>
      <c r="L35" s="188" t="s">
        <v>1975</v>
      </c>
    </row>
    <row r="36" spans="1:12" ht="13.8">
      <c r="A36" s="184">
        <v>35</v>
      </c>
      <c r="B36" s="184">
        <v>911</v>
      </c>
      <c r="C36" s="184" t="s">
        <v>2657</v>
      </c>
      <c r="D36" s="184" t="s">
        <v>9559</v>
      </c>
      <c r="E36" s="184" t="s">
        <v>9560</v>
      </c>
      <c r="F36" s="184">
        <v>10</v>
      </c>
      <c r="G36" s="184">
        <v>34</v>
      </c>
      <c r="H36" s="186">
        <v>45814</v>
      </c>
      <c r="I36" s="186">
        <v>45814</v>
      </c>
      <c r="J36" s="184">
        <v>1</v>
      </c>
      <c r="K36" s="187" t="s">
        <v>1370</v>
      </c>
      <c r="L36" s="188" t="s">
        <v>2606</v>
      </c>
    </row>
    <row r="37" spans="1:12" ht="14.4">
      <c r="A37" s="184">
        <v>36</v>
      </c>
      <c r="B37" s="184">
        <v>939</v>
      </c>
      <c r="C37" s="184" t="s">
        <v>2931</v>
      </c>
      <c r="D37" s="184" t="s">
        <v>9561</v>
      </c>
      <c r="E37" s="184" t="s">
        <v>9562</v>
      </c>
      <c r="F37" s="184">
        <v>1</v>
      </c>
      <c r="G37" s="185"/>
      <c r="H37" s="190">
        <v>45821</v>
      </c>
      <c r="I37" s="190">
        <v>45821</v>
      </c>
      <c r="J37" s="184">
        <v>1</v>
      </c>
      <c r="K37" s="187" t="s">
        <v>1393</v>
      </c>
      <c r="L37" s="188" t="s">
        <v>2158</v>
      </c>
    </row>
    <row r="38" spans="1:12" ht="14.4">
      <c r="A38" s="184">
        <v>37</v>
      </c>
      <c r="B38" s="185"/>
      <c r="C38" s="184" t="s">
        <v>3209</v>
      </c>
      <c r="D38" s="184" t="s">
        <v>9563</v>
      </c>
      <c r="E38" s="184" t="s">
        <v>9564</v>
      </c>
      <c r="F38" s="184">
        <v>2</v>
      </c>
      <c r="G38" s="185"/>
      <c r="H38" s="190">
        <v>45826</v>
      </c>
      <c r="I38" s="190">
        <v>45826</v>
      </c>
      <c r="J38" s="184">
        <v>1</v>
      </c>
      <c r="K38" s="187" t="s">
        <v>1417</v>
      </c>
      <c r="L38" s="188" t="s">
        <v>2361</v>
      </c>
    </row>
    <row r="39" spans="1:12" ht="14.4">
      <c r="A39" s="184">
        <v>38</v>
      </c>
      <c r="B39" s="185"/>
      <c r="C39" s="184" t="s">
        <v>3200</v>
      </c>
      <c r="D39" s="184" t="s">
        <v>9565</v>
      </c>
      <c r="E39" s="184" t="s">
        <v>9566</v>
      </c>
      <c r="F39" s="184">
        <v>3</v>
      </c>
      <c r="G39" s="185"/>
      <c r="H39" s="190">
        <v>45827</v>
      </c>
      <c r="I39" s="190">
        <v>45827</v>
      </c>
      <c r="J39" s="184">
        <v>1</v>
      </c>
      <c r="K39" s="187" t="s">
        <v>1437</v>
      </c>
      <c r="L39" s="188" t="s">
        <v>1478</v>
      </c>
    </row>
    <row r="40" spans="1:12" ht="14.4">
      <c r="A40" s="184">
        <v>39</v>
      </c>
      <c r="B40" s="184">
        <v>1047</v>
      </c>
      <c r="C40" s="184" t="s">
        <v>2657</v>
      </c>
      <c r="D40" s="184" t="s">
        <v>9567</v>
      </c>
      <c r="E40" s="184" t="s">
        <v>9568</v>
      </c>
      <c r="F40" s="184">
        <v>23</v>
      </c>
      <c r="G40" s="185"/>
      <c r="H40" s="190">
        <v>45835</v>
      </c>
      <c r="I40" s="190">
        <v>45835</v>
      </c>
      <c r="J40" s="184">
        <v>1</v>
      </c>
      <c r="K40" s="187" t="s">
        <v>1462</v>
      </c>
      <c r="L40" s="188" t="s">
        <v>1820</v>
      </c>
    </row>
    <row r="41" spans="1:12" ht="14.4">
      <c r="A41" s="184">
        <v>40</v>
      </c>
      <c r="B41" s="184">
        <v>1048</v>
      </c>
      <c r="C41" s="184" t="s">
        <v>2657</v>
      </c>
      <c r="D41" s="184" t="s">
        <v>9569</v>
      </c>
      <c r="E41" s="184" t="s">
        <v>9560</v>
      </c>
      <c r="F41" s="184">
        <v>19</v>
      </c>
      <c r="G41" s="185"/>
      <c r="H41" s="190">
        <v>45835</v>
      </c>
      <c r="I41" s="190">
        <v>45835</v>
      </c>
      <c r="J41" s="184">
        <v>1</v>
      </c>
      <c r="K41" s="187" t="s">
        <v>1512</v>
      </c>
      <c r="L41" s="188" t="s">
        <v>1939</v>
      </c>
    </row>
    <row r="42" spans="1:12" ht="14.4">
      <c r="A42" s="184">
        <v>41</v>
      </c>
      <c r="B42" s="184">
        <v>1102</v>
      </c>
      <c r="C42" s="184" t="s">
        <v>2931</v>
      </c>
      <c r="D42" s="184" t="s">
        <v>9570</v>
      </c>
      <c r="E42" s="184" t="s">
        <v>9507</v>
      </c>
      <c r="F42" s="184">
        <v>2</v>
      </c>
      <c r="G42" s="185"/>
      <c r="H42" s="186">
        <v>45754</v>
      </c>
      <c r="I42" s="186">
        <v>45754</v>
      </c>
      <c r="J42" s="184">
        <v>1</v>
      </c>
      <c r="K42" s="187" t="s">
        <v>1329</v>
      </c>
      <c r="L42" s="188" t="s">
        <v>1328</v>
      </c>
    </row>
    <row r="43" spans="1:12" ht="14.4">
      <c r="A43" s="184">
        <v>42</v>
      </c>
      <c r="B43" s="184">
        <v>1081</v>
      </c>
      <c r="C43" s="184" t="s">
        <v>2699</v>
      </c>
      <c r="D43" s="184" t="s">
        <v>9571</v>
      </c>
      <c r="E43" s="184" t="s">
        <v>9568</v>
      </c>
      <c r="F43" s="184">
        <v>26</v>
      </c>
      <c r="G43" s="185"/>
      <c r="H43" s="186">
        <v>45754</v>
      </c>
      <c r="I43" s="186">
        <v>45754</v>
      </c>
      <c r="J43" s="184">
        <v>1</v>
      </c>
      <c r="K43" s="187" t="s">
        <v>1352</v>
      </c>
      <c r="L43" s="188" t="s">
        <v>1975</v>
      </c>
    </row>
    <row r="44" spans="1:12" ht="14.4">
      <c r="A44" s="184">
        <v>43</v>
      </c>
      <c r="B44" s="184">
        <v>1098</v>
      </c>
      <c r="C44" s="184" t="s">
        <v>2931</v>
      </c>
      <c r="D44" s="184" t="s">
        <v>9572</v>
      </c>
      <c r="E44" s="184" t="s">
        <v>9573</v>
      </c>
      <c r="F44" s="184">
        <v>12</v>
      </c>
      <c r="G44" s="185"/>
      <c r="H44" s="186">
        <v>45876</v>
      </c>
      <c r="I44" s="186">
        <v>45876</v>
      </c>
      <c r="J44" s="184">
        <v>1</v>
      </c>
      <c r="K44" s="187" t="s">
        <v>1370</v>
      </c>
      <c r="L44" s="188" t="s">
        <v>2606</v>
      </c>
    </row>
    <row r="45" spans="1:12" ht="14.4">
      <c r="A45" s="184">
        <v>44</v>
      </c>
      <c r="B45" s="184">
        <v>1125</v>
      </c>
      <c r="C45" s="184" t="s">
        <v>2674</v>
      </c>
      <c r="D45" s="184" t="s">
        <v>9574</v>
      </c>
      <c r="E45" s="184" t="s">
        <v>9575</v>
      </c>
      <c r="F45" s="184">
        <v>1</v>
      </c>
      <c r="G45" s="185"/>
      <c r="H45" s="190">
        <v>45853</v>
      </c>
      <c r="I45" s="190">
        <v>45853</v>
      </c>
      <c r="J45" s="184">
        <v>1</v>
      </c>
      <c r="K45" s="187" t="s">
        <v>1393</v>
      </c>
      <c r="L45" s="188" t="s">
        <v>2158</v>
      </c>
    </row>
    <row r="46" spans="1:12" ht="14.4">
      <c r="A46" s="184">
        <v>45</v>
      </c>
      <c r="B46" s="184">
        <v>1145</v>
      </c>
      <c r="C46" s="184" t="s">
        <v>6817</v>
      </c>
      <c r="D46" s="184" t="s">
        <v>9576</v>
      </c>
      <c r="E46" s="184" t="s">
        <v>9575</v>
      </c>
      <c r="F46" s="184">
        <v>1</v>
      </c>
      <c r="G46" s="185"/>
      <c r="H46" s="190">
        <v>45852</v>
      </c>
      <c r="I46" s="190">
        <v>45852</v>
      </c>
      <c r="J46" s="184">
        <v>1</v>
      </c>
      <c r="K46" s="187" t="s">
        <v>1417</v>
      </c>
      <c r="L46" s="188" t="s">
        <v>2361</v>
      </c>
    </row>
    <row r="47" spans="1:12" ht="14.4">
      <c r="A47" s="184">
        <v>46</v>
      </c>
      <c r="B47" s="184">
        <v>1180</v>
      </c>
      <c r="C47" s="184" t="s">
        <v>2657</v>
      </c>
      <c r="D47" s="184" t="s">
        <v>9577</v>
      </c>
      <c r="E47" s="184" t="s">
        <v>9578</v>
      </c>
      <c r="F47" s="184">
        <v>15</v>
      </c>
      <c r="G47" s="185"/>
      <c r="H47" s="190">
        <v>45867</v>
      </c>
      <c r="I47" s="190">
        <v>45867</v>
      </c>
      <c r="J47" s="184">
        <v>1</v>
      </c>
      <c r="K47" s="187" t="s">
        <v>1437</v>
      </c>
      <c r="L47" s="188" t="s">
        <v>1478</v>
      </c>
    </row>
    <row r="48" spans="1:12" ht="14.4">
      <c r="A48" s="184">
        <v>47</v>
      </c>
      <c r="B48" s="184">
        <v>1224</v>
      </c>
      <c r="C48" s="184" t="s">
        <v>2915</v>
      </c>
      <c r="D48" s="184" t="s">
        <v>9579</v>
      </c>
      <c r="E48" s="184" t="s">
        <v>9580</v>
      </c>
      <c r="F48" s="184">
        <v>1</v>
      </c>
      <c r="G48" s="185"/>
      <c r="H48" s="190">
        <v>45869</v>
      </c>
      <c r="I48" s="185"/>
      <c r="J48" s="185"/>
      <c r="K48" s="187" t="s">
        <v>1462</v>
      </c>
      <c r="L48" s="188" t="s">
        <v>1820</v>
      </c>
    </row>
    <row r="49" spans="1:12" ht="14.4">
      <c r="A49" s="184">
        <v>48</v>
      </c>
      <c r="B49" s="184">
        <v>1254</v>
      </c>
      <c r="C49" s="184" t="s">
        <v>2699</v>
      </c>
      <c r="D49" s="184" t="s">
        <v>9581</v>
      </c>
      <c r="E49" s="184" t="s">
        <v>9568</v>
      </c>
      <c r="F49" s="184">
        <v>16</v>
      </c>
      <c r="G49" s="185"/>
      <c r="H49" s="186">
        <v>45846</v>
      </c>
      <c r="I49" s="186">
        <v>45846</v>
      </c>
      <c r="J49" s="184">
        <v>1</v>
      </c>
      <c r="K49" s="187" t="s">
        <v>1512</v>
      </c>
      <c r="L49" s="188" t="s">
        <v>1939</v>
      </c>
    </row>
    <row r="50" spans="1:12" ht="14.4">
      <c r="A50" s="184">
        <v>49</v>
      </c>
      <c r="B50" s="184">
        <v>1181</v>
      </c>
      <c r="C50" s="184" t="s">
        <v>2657</v>
      </c>
      <c r="D50" s="184" t="s">
        <v>9582</v>
      </c>
      <c r="E50" s="184" t="s">
        <v>9583</v>
      </c>
      <c r="F50" s="184">
        <v>20</v>
      </c>
      <c r="G50" s="185"/>
      <c r="H50" s="190">
        <v>45884</v>
      </c>
      <c r="I50" s="190">
        <v>45991</v>
      </c>
      <c r="J50" s="185"/>
      <c r="K50" s="187" t="s">
        <v>1329</v>
      </c>
      <c r="L50" s="188" t="s">
        <v>1328</v>
      </c>
    </row>
    <row r="51" spans="1:12" ht="14.4">
      <c r="A51" s="184">
        <v>50</v>
      </c>
      <c r="B51" s="184">
        <v>1323</v>
      </c>
      <c r="C51" s="184" t="s">
        <v>2931</v>
      </c>
      <c r="D51" s="184" t="s">
        <v>9584</v>
      </c>
      <c r="E51" s="184" t="s">
        <v>9585</v>
      </c>
      <c r="F51" s="184">
        <v>2</v>
      </c>
      <c r="G51" s="185"/>
      <c r="H51" s="190">
        <v>45888</v>
      </c>
      <c r="I51" s="190">
        <v>45888</v>
      </c>
      <c r="J51" s="184">
        <v>1</v>
      </c>
      <c r="K51" s="187" t="s">
        <v>1352</v>
      </c>
      <c r="L51" s="188" t="s">
        <v>1975</v>
      </c>
    </row>
    <row r="52" spans="1:12" ht="14.4">
      <c r="A52" s="184">
        <v>51</v>
      </c>
      <c r="B52" s="184">
        <v>1253</v>
      </c>
      <c r="C52" s="184" t="s">
        <v>2699</v>
      </c>
      <c r="D52" s="184" t="s">
        <v>9586</v>
      </c>
      <c r="E52" s="184" t="s">
        <v>9587</v>
      </c>
      <c r="F52" s="184">
        <v>8</v>
      </c>
      <c r="G52" s="185"/>
      <c r="H52" s="190">
        <v>45889</v>
      </c>
      <c r="I52" s="190">
        <v>45892</v>
      </c>
      <c r="J52" s="189">
        <v>3</v>
      </c>
      <c r="K52" s="187" t="s">
        <v>1370</v>
      </c>
      <c r="L52" s="188" t="s">
        <v>2606</v>
      </c>
    </row>
    <row r="53" spans="1:12" ht="14.4">
      <c r="A53" s="184">
        <v>52</v>
      </c>
      <c r="B53" s="184">
        <v>1321</v>
      </c>
      <c r="C53" s="184" t="s">
        <v>9588</v>
      </c>
      <c r="D53" s="185"/>
      <c r="E53" s="184" t="s">
        <v>9589</v>
      </c>
      <c r="F53" s="184">
        <v>33</v>
      </c>
      <c r="G53" s="185"/>
      <c r="H53" s="190">
        <v>45890</v>
      </c>
      <c r="I53" s="190">
        <v>45890</v>
      </c>
      <c r="J53" s="184">
        <v>1</v>
      </c>
      <c r="K53" s="187" t="s">
        <v>1393</v>
      </c>
      <c r="L53" s="188" t="s">
        <v>2158</v>
      </c>
    </row>
    <row r="54" spans="1:12" ht="14.4">
      <c r="A54" s="184">
        <v>53</v>
      </c>
      <c r="B54" s="184">
        <v>1330</v>
      </c>
      <c r="C54" s="184" t="s">
        <v>9590</v>
      </c>
      <c r="D54" s="184" t="s">
        <v>9591</v>
      </c>
      <c r="E54" s="184" t="s">
        <v>9592</v>
      </c>
      <c r="F54" s="184">
        <v>1</v>
      </c>
      <c r="G54" s="185"/>
      <c r="H54" s="190">
        <v>45892</v>
      </c>
      <c r="I54" s="185"/>
      <c r="J54" s="189">
        <v>1</v>
      </c>
      <c r="K54" s="187" t="s">
        <v>1417</v>
      </c>
      <c r="L54" s="188" t="s">
        <v>2361</v>
      </c>
    </row>
    <row r="55" spans="1:12" ht="14.4">
      <c r="A55" s="184">
        <v>54</v>
      </c>
      <c r="B55" s="184">
        <v>1423</v>
      </c>
      <c r="C55" s="184" t="s">
        <v>2674</v>
      </c>
      <c r="D55" s="184" t="s">
        <v>9593</v>
      </c>
      <c r="E55" s="184" t="s">
        <v>9594</v>
      </c>
      <c r="F55" s="184">
        <v>2</v>
      </c>
      <c r="G55" s="185"/>
      <c r="H55" s="186">
        <v>45909</v>
      </c>
      <c r="I55" s="185"/>
      <c r="J55" s="189">
        <v>1</v>
      </c>
      <c r="K55" s="187" t="s">
        <v>1437</v>
      </c>
      <c r="L55" s="188" t="s">
        <v>1478</v>
      </c>
    </row>
    <row r="56" spans="1:12" ht="14.4">
      <c r="A56" s="184">
        <v>55</v>
      </c>
      <c r="B56" s="184">
        <v>1280</v>
      </c>
      <c r="C56" s="184" t="s">
        <v>2699</v>
      </c>
      <c r="D56" s="184" t="s">
        <v>9595</v>
      </c>
      <c r="E56" s="184" t="s">
        <v>9540</v>
      </c>
      <c r="F56" s="185"/>
      <c r="G56" s="185"/>
      <c r="H56" s="186">
        <v>45939</v>
      </c>
      <c r="I56" s="190">
        <v>45920</v>
      </c>
      <c r="J56" s="189">
        <v>10</v>
      </c>
      <c r="K56" s="187" t="s">
        <v>1462</v>
      </c>
      <c r="L56" s="188" t="s">
        <v>1820</v>
      </c>
    </row>
    <row r="57" spans="1:12" ht="14.4">
      <c r="A57" s="184">
        <v>56</v>
      </c>
      <c r="B57" s="184">
        <v>1492</v>
      </c>
      <c r="C57" s="184" t="s">
        <v>9543</v>
      </c>
      <c r="D57" s="184" t="s">
        <v>9596</v>
      </c>
      <c r="E57" s="184" t="s">
        <v>9540</v>
      </c>
      <c r="F57" s="184">
        <v>2</v>
      </c>
      <c r="G57" s="185"/>
      <c r="H57" s="190">
        <v>45917</v>
      </c>
      <c r="I57" s="185"/>
      <c r="J57" s="189">
        <v>1</v>
      </c>
      <c r="K57" s="187" t="s">
        <v>1512</v>
      </c>
      <c r="L57" s="188" t="s">
        <v>1939</v>
      </c>
    </row>
    <row r="58" spans="1:12" ht="14.4">
      <c r="A58" s="184">
        <v>57</v>
      </c>
      <c r="B58" s="184">
        <v>1375</v>
      </c>
      <c r="C58" s="184" t="s">
        <v>2699</v>
      </c>
      <c r="D58" s="184" t="s">
        <v>9597</v>
      </c>
      <c r="E58" s="184" t="s">
        <v>9578</v>
      </c>
      <c r="F58" s="184">
        <v>5</v>
      </c>
      <c r="G58" s="184">
        <v>25</v>
      </c>
      <c r="H58" s="190">
        <v>45923</v>
      </c>
      <c r="I58" s="185"/>
      <c r="J58" s="189">
        <v>1</v>
      </c>
      <c r="K58" s="187" t="s">
        <v>1329</v>
      </c>
      <c r="L58" s="188" t="s">
        <v>1328</v>
      </c>
    </row>
    <row r="59" spans="1:12" ht="14.4">
      <c r="A59" s="184">
        <v>58</v>
      </c>
      <c r="B59" s="184">
        <v>1550</v>
      </c>
      <c r="C59" s="184" t="s">
        <v>9598</v>
      </c>
      <c r="D59" s="184" t="s">
        <v>9599</v>
      </c>
      <c r="E59" s="184" t="s">
        <v>9600</v>
      </c>
      <c r="F59" s="184">
        <v>1</v>
      </c>
      <c r="G59" s="185"/>
      <c r="H59" s="190">
        <v>45924</v>
      </c>
      <c r="I59" s="185"/>
      <c r="J59" s="189">
        <v>1</v>
      </c>
      <c r="K59" s="187" t="s">
        <v>1352</v>
      </c>
      <c r="L59" s="188" t="s">
        <v>1975</v>
      </c>
    </row>
    <row r="60" spans="1:12" ht="14.4">
      <c r="A60" s="184">
        <v>59</v>
      </c>
      <c r="B60" s="184">
        <v>1575</v>
      </c>
      <c r="C60" s="184" t="s">
        <v>2674</v>
      </c>
      <c r="D60" s="184" t="s">
        <v>9601</v>
      </c>
      <c r="E60" s="184" t="s">
        <v>9568</v>
      </c>
      <c r="F60" s="184">
        <v>3</v>
      </c>
      <c r="G60" s="185"/>
      <c r="H60" s="190">
        <v>45926</v>
      </c>
      <c r="I60" s="185"/>
      <c r="J60" s="189">
        <v>1</v>
      </c>
      <c r="K60" s="187" t="s">
        <v>1370</v>
      </c>
      <c r="L60" s="188" t="s">
        <v>2606</v>
      </c>
    </row>
    <row r="61" spans="1:12" ht="14.4">
      <c r="A61" s="184">
        <v>60</v>
      </c>
      <c r="B61" s="184">
        <v>1674</v>
      </c>
      <c r="C61" s="184" t="s">
        <v>2657</v>
      </c>
      <c r="D61" s="184" t="s">
        <v>9602</v>
      </c>
      <c r="E61" s="184" t="s">
        <v>9603</v>
      </c>
      <c r="F61" s="184">
        <v>5</v>
      </c>
      <c r="G61" s="185"/>
      <c r="H61" s="190">
        <v>45940</v>
      </c>
      <c r="I61" s="190">
        <v>46001</v>
      </c>
      <c r="J61" s="189">
        <v>2</v>
      </c>
      <c r="K61" s="187" t="s">
        <v>1393</v>
      </c>
      <c r="L61" s="188" t="s">
        <v>2158</v>
      </c>
    </row>
    <row r="62" spans="1:12" ht="14.4">
      <c r="A62" s="184">
        <v>61</v>
      </c>
      <c r="B62" s="184">
        <v>1701</v>
      </c>
      <c r="C62" s="184" t="s">
        <v>4207</v>
      </c>
      <c r="D62" s="184" t="s">
        <v>9604</v>
      </c>
      <c r="E62" s="184" t="s">
        <v>9605</v>
      </c>
      <c r="F62" s="184">
        <v>1</v>
      </c>
      <c r="G62" s="185"/>
      <c r="H62" s="190">
        <v>45944</v>
      </c>
      <c r="I62" s="190">
        <v>45944</v>
      </c>
      <c r="J62" s="189">
        <v>1</v>
      </c>
      <c r="K62" s="187" t="s">
        <v>1417</v>
      </c>
      <c r="L62" s="188" t="s">
        <v>2361</v>
      </c>
    </row>
    <row r="63" spans="1:12" ht="14.4">
      <c r="A63" s="184">
        <v>62</v>
      </c>
      <c r="B63" s="185"/>
      <c r="C63" s="184" t="s">
        <v>9538</v>
      </c>
      <c r="D63" s="184" t="s">
        <v>5747</v>
      </c>
      <c r="E63" s="184" t="s">
        <v>9606</v>
      </c>
      <c r="F63" s="185"/>
      <c r="G63" s="185"/>
      <c r="H63" s="190">
        <v>45947</v>
      </c>
      <c r="I63" s="185"/>
      <c r="J63" s="189">
        <v>1</v>
      </c>
      <c r="K63" s="187" t="s">
        <v>1437</v>
      </c>
      <c r="L63" s="188" t="s">
        <v>1478</v>
      </c>
    </row>
    <row r="64" spans="1:12" ht="14.4">
      <c r="A64" s="184">
        <v>63</v>
      </c>
      <c r="B64" s="184">
        <v>1772</v>
      </c>
      <c r="C64" s="184" t="s">
        <v>2931</v>
      </c>
      <c r="D64" s="184" t="s">
        <v>9607</v>
      </c>
      <c r="E64" s="184" t="s">
        <v>9608</v>
      </c>
      <c r="F64" s="184">
        <v>6</v>
      </c>
      <c r="G64" s="185"/>
      <c r="H64" s="190">
        <v>45950</v>
      </c>
      <c r="I64" s="190">
        <v>45950</v>
      </c>
      <c r="J64" s="189">
        <v>1</v>
      </c>
      <c r="K64" s="187" t="s">
        <v>1462</v>
      </c>
      <c r="L64" s="188" t="s">
        <v>1820</v>
      </c>
    </row>
    <row r="65" spans="1:12" ht="14.4">
      <c r="A65" s="184">
        <v>64</v>
      </c>
      <c r="B65" s="184">
        <v>1790</v>
      </c>
      <c r="C65" s="184" t="s">
        <v>9609</v>
      </c>
      <c r="D65" s="184" t="s">
        <v>9610</v>
      </c>
      <c r="E65" s="184" t="s">
        <v>9611</v>
      </c>
      <c r="F65" s="184">
        <v>12</v>
      </c>
      <c r="G65" s="184">
        <v>45</v>
      </c>
      <c r="H65" s="190">
        <v>45957</v>
      </c>
      <c r="I65" s="190">
        <v>45957</v>
      </c>
      <c r="J65" s="189">
        <v>1</v>
      </c>
      <c r="K65" s="187" t="s">
        <v>1512</v>
      </c>
      <c r="L65" s="188" t="s">
        <v>1939</v>
      </c>
    </row>
    <row r="66" spans="1:12" ht="14.4">
      <c r="A66" s="184">
        <v>65</v>
      </c>
      <c r="B66" s="184">
        <v>1603</v>
      </c>
      <c r="C66" s="184" t="s">
        <v>9612</v>
      </c>
      <c r="D66" s="184" t="s">
        <v>9613</v>
      </c>
      <c r="E66" s="184" t="s">
        <v>9614</v>
      </c>
      <c r="F66" s="191">
        <v>1</v>
      </c>
      <c r="G66" s="185"/>
      <c r="H66" s="185"/>
      <c r="I66" s="185"/>
      <c r="J66" s="189">
        <v>1</v>
      </c>
      <c r="K66" s="187" t="s">
        <v>1329</v>
      </c>
      <c r="L66" s="188" t="s">
        <v>1328</v>
      </c>
    </row>
    <row r="67" spans="1:12" ht="14.4">
      <c r="A67" s="184">
        <v>66</v>
      </c>
      <c r="B67" s="184">
        <v>1829</v>
      </c>
      <c r="C67" s="184" t="s">
        <v>2699</v>
      </c>
      <c r="D67" s="184" t="s">
        <v>9581</v>
      </c>
      <c r="E67" s="184" t="s">
        <v>9615</v>
      </c>
      <c r="F67" s="191">
        <v>2</v>
      </c>
      <c r="G67" s="185"/>
      <c r="H67" s="190">
        <v>45975</v>
      </c>
      <c r="I67" s="192">
        <v>45977</v>
      </c>
      <c r="J67" s="191">
        <v>3</v>
      </c>
      <c r="K67" s="187" t="s">
        <v>1352</v>
      </c>
      <c r="L67" s="188" t="s">
        <v>1975</v>
      </c>
    </row>
    <row r="68" spans="1:12" ht="14.4">
      <c r="A68" s="184">
        <v>67</v>
      </c>
      <c r="B68" s="184">
        <v>1848</v>
      </c>
      <c r="C68" s="184" t="s">
        <v>2657</v>
      </c>
      <c r="D68" s="184" t="s">
        <v>9616</v>
      </c>
      <c r="E68" s="184" t="s">
        <v>9603</v>
      </c>
      <c r="F68" s="191">
        <v>4</v>
      </c>
      <c r="G68" s="185"/>
      <c r="H68" s="190">
        <v>45959</v>
      </c>
      <c r="I68" s="192">
        <v>45961</v>
      </c>
      <c r="J68" s="189">
        <v>3</v>
      </c>
      <c r="K68" s="187" t="s">
        <v>1370</v>
      </c>
      <c r="L68" s="188" t="s">
        <v>2606</v>
      </c>
    </row>
    <row r="69" spans="1:12" ht="14.4">
      <c r="A69" s="184">
        <v>68</v>
      </c>
      <c r="B69" s="184">
        <v>1901</v>
      </c>
      <c r="C69" s="184" t="s">
        <v>2915</v>
      </c>
      <c r="D69" s="184" t="s">
        <v>9617</v>
      </c>
      <c r="E69" s="184" t="s">
        <v>9618</v>
      </c>
      <c r="F69" s="191">
        <v>1</v>
      </c>
      <c r="G69" s="185"/>
      <c r="H69" s="190">
        <v>45974</v>
      </c>
      <c r="I69" s="192">
        <v>45974</v>
      </c>
      <c r="J69" s="189">
        <v>1</v>
      </c>
      <c r="K69" s="187" t="s">
        <v>1393</v>
      </c>
      <c r="L69" s="188" t="s">
        <v>2158</v>
      </c>
    </row>
    <row r="70" spans="1:12" ht="14.4">
      <c r="A70" s="184">
        <v>69</v>
      </c>
      <c r="B70" s="184">
        <v>1977</v>
      </c>
      <c r="C70" s="184" t="s">
        <v>2915</v>
      </c>
      <c r="D70" s="184" t="s">
        <v>9619</v>
      </c>
      <c r="E70" s="184" t="s">
        <v>9618</v>
      </c>
      <c r="F70" s="185"/>
      <c r="G70" s="185"/>
      <c r="H70" s="190">
        <v>45974</v>
      </c>
      <c r="I70" s="192">
        <v>45974</v>
      </c>
      <c r="J70" s="189">
        <v>1</v>
      </c>
      <c r="K70" s="187" t="s">
        <v>1417</v>
      </c>
      <c r="L70" s="188" t="s">
        <v>2361</v>
      </c>
    </row>
    <row r="71" spans="1:12" ht="14.4">
      <c r="A71" s="184">
        <v>70</v>
      </c>
      <c r="B71" s="184">
        <v>1900</v>
      </c>
      <c r="C71" s="184" t="s">
        <v>2657</v>
      </c>
      <c r="D71" s="184" t="s">
        <v>9620</v>
      </c>
      <c r="E71" s="184" t="s">
        <v>9621</v>
      </c>
      <c r="F71" s="191">
        <v>6</v>
      </c>
      <c r="G71" s="185"/>
      <c r="H71" s="190">
        <v>45975</v>
      </c>
      <c r="I71" s="192">
        <v>45978</v>
      </c>
      <c r="J71" s="189">
        <v>3</v>
      </c>
      <c r="K71" s="187" t="s">
        <v>1437</v>
      </c>
      <c r="L71" s="188" t="s">
        <v>1478</v>
      </c>
    </row>
    <row r="72" spans="1:12" ht="14.4">
      <c r="A72" s="184">
        <v>71</v>
      </c>
      <c r="B72" s="184">
        <v>1903</v>
      </c>
      <c r="C72" s="184" t="s">
        <v>2657</v>
      </c>
      <c r="D72" s="184" t="s">
        <v>9567</v>
      </c>
      <c r="E72" s="184" t="s">
        <v>9622</v>
      </c>
      <c r="F72" s="191">
        <v>5</v>
      </c>
      <c r="G72" s="185"/>
      <c r="H72" s="190">
        <v>45975</v>
      </c>
      <c r="I72" s="192">
        <v>45977</v>
      </c>
      <c r="J72" s="189">
        <v>2</v>
      </c>
      <c r="K72" s="187" t="s">
        <v>1462</v>
      </c>
      <c r="L72" s="188" t="s">
        <v>1820</v>
      </c>
    </row>
    <row r="73" spans="1:12" ht="14.4">
      <c r="A73" s="184">
        <v>72</v>
      </c>
      <c r="B73" s="184">
        <v>1902</v>
      </c>
      <c r="C73" s="184" t="s">
        <v>2657</v>
      </c>
      <c r="D73" s="184" t="s">
        <v>3499</v>
      </c>
      <c r="E73" s="184" t="s">
        <v>9622</v>
      </c>
      <c r="F73" s="191">
        <v>4</v>
      </c>
      <c r="G73" s="185"/>
      <c r="H73" s="190">
        <v>45975</v>
      </c>
      <c r="I73" s="192">
        <v>45977</v>
      </c>
      <c r="J73" s="189">
        <v>2</v>
      </c>
      <c r="K73" s="187" t="s">
        <v>1512</v>
      </c>
      <c r="L73" s="188" t="s">
        <v>1939</v>
      </c>
    </row>
    <row r="74" spans="1:12" ht="14.4">
      <c r="A74" s="184">
        <v>73</v>
      </c>
      <c r="B74" s="184">
        <v>1915</v>
      </c>
      <c r="C74" s="184" t="s">
        <v>2657</v>
      </c>
      <c r="D74" s="184" t="s">
        <v>9623</v>
      </c>
      <c r="E74" s="184" t="s">
        <v>9622</v>
      </c>
      <c r="F74" s="191">
        <v>18</v>
      </c>
      <c r="G74" s="185"/>
      <c r="H74" s="190">
        <v>45975</v>
      </c>
      <c r="I74" s="192">
        <v>45977</v>
      </c>
      <c r="J74" s="189">
        <v>2</v>
      </c>
      <c r="K74" s="187" t="s">
        <v>1329</v>
      </c>
      <c r="L74" s="188" t="s">
        <v>1328</v>
      </c>
    </row>
    <row r="75" spans="1:12" ht="14.4">
      <c r="A75" s="184">
        <v>74</v>
      </c>
      <c r="B75" s="184">
        <v>1914</v>
      </c>
      <c r="C75" s="184" t="s">
        <v>9624</v>
      </c>
      <c r="D75" s="184" t="s">
        <v>9625</v>
      </c>
      <c r="E75" s="184" t="s">
        <v>9626</v>
      </c>
      <c r="F75" s="191">
        <v>2</v>
      </c>
      <c r="G75" s="185"/>
      <c r="H75" s="190">
        <v>45976</v>
      </c>
      <c r="I75" s="185"/>
      <c r="J75" s="189">
        <v>1</v>
      </c>
      <c r="K75" s="187" t="s">
        <v>1352</v>
      </c>
      <c r="L75" s="188" t="s">
        <v>1975</v>
      </c>
    </row>
    <row r="76" spans="1:12" ht="14.4">
      <c r="A76" s="184">
        <v>75</v>
      </c>
      <c r="B76" s="184">
        <v>1916</v>
      </c>
      <c r="C76" s="184" t="s">
        <v>2674</v>
      </c>
      <c r="D76" s="184" t="s">
        <v>9627</v>
      </c>
      <c r="E76" s="184" t="s">
        <v>9622</v>
      </c>
      <c r="F76" s="191">
        <v>1</v>
      </c>
      <c r="G76" s="185"/>
      <c r="H76" s="190">
        <v>45975</v>
      </c>
      <c r="I76" s="192">
        <v>45977</v>
      </c>
      <c r="J76" s="189">
        <v>2</v>
      </c>
      <c r="K76" s="187" t="s">
        <v>1370</v>
      </c>
      <c r="L76" s="188" t="s">
        <v>2606</v>
      </c>
    </row>
    <row r="77" spans="1:12" ht="14.4">
      <c r="A77" s="184">
        <v>76</v>
      </c>
      <c r="B77" s="184">
        <v>1946</v>
      </c>
      <c r="C77" s="184" t="s">
        <v>2657</v>
      </c>
      <c r="D77" s="184" t="s">
        <v>9628</v>
      </c>
      <c r="E77" s="184" t="s">
        <v>9629</v>
      </c>
      <c r="F77" s="185"/>
      <c r="G77" s="185"/>
      <c r="H77" s="185"/>
      <c r="I77" s="185"/>
      <c r="J77" s="189">
        <v>1</v>
      </c>
      <c r="K77" s="187" t="s">
        <v>1393</v>
      </c>
      <c r="L77" s="188" t="s">
        <v>2158</v>
      </c>
    </row>
    <row r="78" spans="1:12" ht="14.4">
      <c r="A78" s="184">
        <v>77</v>
      </c>
      <c r="B78" s="184">
        <v>1904</v>
      </c>
      <c r="C78" s="184" t="s">
        <v>2674</v>
      </c>
      <c r="D78" s="184" t="s">
        <v>9630</v>
      </c>
      <c r="E78" s="184" t="s">
        <v>9622</v>
      </c>
      <c r="F78" s="191">
        <v>5</v>
      </c>
      <c r="G78" s="185"/>
      <c r="H78" s="190">
        <v>45975</v>
      </c>
      <c r="I78" s="192">
        <v>45977</v>
      </c>
      <c r="J78" s="189">
        <v>2</v>
      </c>
      <c r="K78" s="187" t="s">
        <v>1417</v>
      </c>
      <c r="L78" s="188" t="s">
        <v>2361</v>
      </c>
    </row>
    <row r="79" spans="1:12" ht="14.4">
      <c r="A79" s="184">
        <v>78</v>
      </c>
      <c r="B79" s="184">
        <v>1906</v>
      </c>
      <c r="C79" s="184" t="s">
        <v>2931</v>
      </c>
      <c r="D79" s="184" t="s">
        <v>9631</v>
      </c>
      <c r="E79" s="184" t="s">
        <v>9622</v>
      </c>
      <c r="F79" s="191">
        <v>1</v>
      </c>
      <c r="G79" s="185"/>
      <c r="H79" s="190">
        <v>45975</v>
      </c>
      <c r="I79" s="192">
        <v>45977</v>
      </c>
      <c r="J79" s="189">
        <v>2</v>
      </c>
      <c r="K79" s="187" t="s">
        <v>1437</v>
      </c>
      <c r="L79" s="188" t="s">
        <v>1478</v>
      </c>
    </row>
    <row r="80" spans="1:12" ht="14.4">
      <c r="A80" s="184">
        <v>79</v>
      </c>
      <c r="B80" s="184">
        <v>1932</v>
      </c>
      <c r="C80" s="184" t="s">
        <v>6817</v>
      </c>
      <c r="D80" s="184" t="s">
        <v>9632</v>
      </c>
      <c r="E80" s="184" t="s">
        <v>9540</v>
      </c>
      <c r="F80" s="191">
        <v>1</v>
      </c>
      <c r="G80" s="185"/>
      <c r="H80" s="190">
        <v>45941</v>
      </c>
      <c r="I80" s="192">
        <v>45941</v>
      </c>
      <c r="J80" s="189">
        <v>1</v>
      </c>
      <c r="K80" s="187" t="s">
        <v>1462</v>
      </c>
      <c r="L80" s="188" t="s">
        <v>1820</v>
      </c>
    </row>
    <row r="81" spans="1:12" ht="14.4">
      <c r="A81" s="184">
        <v>80</v>
      </c>
      <c r="B81" s="184">
        <v>1942</v>
      </c>
      <c r="C81" s="184" t="s">
        <v>2931</v>
      </c>
      <c r="D81" s="184" t="s">
        <v>9633</v>
      </c>
      <c r="E81" s="184" t="s">
        <v>9634</v>
      </c>
      <c r="F81" s="191">
        <v>12</v>
      </c>
      <c r="G81" s="185"/>
      <c r="H81" s="190">
        <v>45972</v>
      </c>
      <c r="I81" s="190">
        <v>45972</v>
      </c>
      <c r="J81" s="189">
        <v>1</v>
      </c>
      <c r="K81" s="187" t="s">
        <v>1512</v>
      </c>
      <c r="L81" s="188" t="s">
        <v>1939</v>
      </c>
    </row>
    <row r="82" spans="1:12" ht="14.4">
      <c r="A82" s="184">
        <v>81</v>
      </c>
      <c r="B82" s="184">
        <v>1945</v>
      </c>
      <c r="C82" s="184" t="s">
        <v>9635</v>
      </c>
      <c r="D82" s="184" t="s">
        <v>9636</v>
      </c>
      <c r="E82" s="184" t="s">
        <v>9637</v>
      </c>
      <c r="F82" s="191">
        <v>2</v>
      </c>
      <c r="G82" s="185"/>
      <c r="H82" s="190">
        <v>45975</v>
      </c>
      <c r="I82" s="192">
        <v>45977</v>
      </c>
      <c r="J82" s="189">
        <v>2</v>
      </c>
      <c r="K82" s="187" t="s">
        <v>1329</v>
      </c>
      <c r="L82" s="188" t="s">
        <v>1328</v>
      </c>
    </row>
    <row r="83" spans="1:12" ht="14.4">
      <c r="A83" s="184">
        <v>82</v>
      </c>
      <c r="B83" s="184">
        <v>1947</v>
      </c>
      <c r="C83" s="184" t="s">
        <v>2674</v>
      </c>
      <c r="D83" s="184" t="s">
        <v>9638</v>
      </c>
      <c r="E83" s="184" t="s">
        <v>9629</v>
      </c>
      <c r="F83" s="191">
        <v>2</v>
      </c>
      <c r="G83" s="185"/>
      <c r="H83" s="190">
        <v>45976</v>
      </c>
      <c r="I83" s="192">
        <v>45976</v>
      </c>
      <c r="J83" s="189">
        <v>1</v>
      </c>
      <c r="K83" s="187" t="s">
        <v>1352</v>
      </c>
      <c r="L83" s="188" t="s">
        <v>1975</v>
      </c>
    </row>
    <row r="84" spans="1:12" ht="14.4">
      <c r="A84" s="184">
        <v>83</v>
      </c>
      <c r="B84" s="184">
        <v>1975</v>
      </c>
      <c r="C84" s="184" t="s">
        <v>9639</v>
      </c>
      <c r="D84" s="184" t="s">
        <v>9640</v>
      </c>
      <c r="E84" s="184" t="s">
        <v>9629</v>
      </c>
      <c r="F84" s="191">
        <v>2</v>
      </c>
      <c r="G84" s="185"/>
      <c r="H84" s="190">
        <v>45976</v>
      </c>
      <c r="I84" s="192">
        <v>45976</v>
      </c>
      <c r="J84" s="189">
        <v>1</v>
      </c>
      <c r="K84" s="187" t="s">
        <v>1370</v>
      </c>
      <c r="L84" s="188" t="s">
        <v>2606</v>
      </c>
    </row>
    <row r="85" spans="1:12" ht="14.4">
      <c r="A85" s="184">
        <v>84</v>
      </c>
      <c r="B85" s="184">
        <v>1977</v>
      </c>
      <c r="C85" s="184" t="s">
        <v>2657</v>
      </c>
      <c r="D85" s="184" t="s">
        <v>3396</v>
      </c>
      <c r="E85" s="184" t="s">
        <v>9603</v>
      </c>
      <c r="F85" s="191">
        <v>1</v>
      </c>
      <c r="G85" s="185"/>
      <c r="H85" s="190">
        <v>45979</v>
      </c>
      <c r="I85" s="185"/>
      <c r="J85" s="189">
        <v>1</v>
      </c>
      <c r="K85" s="187" t="s">
        <v>1393</v>
      </c>
      <c r="L85" s="188" t="s">
        <v>2158</v>
      </c>
    </row>
    <row r="86" spans="1:12" ht="14.4">
      <c r="A86" s="184">
        <v>85</v>
      </c>
      <c r="B86" s="184">
        <v>1999</v>
      </c>
      <c r="C86" s="184" t="s">
        <v>2699</v>
      </c>
      <c r="D86" s="184" t="s">
        <v>9641</v>
      </c>
      <c r="E86" s="184" t="s">
        <v>9642</v>
      </c>
      <c r="F86" s="191">
        <v>27</v>
      </c>
      <c r="G86" s="185"/>
      <c r="H86" s="190">
        <v>45981</v>
      </c>
      <c r="I86" s="185"/>
      <c r="J86" s="189">
        <v>1</v>
      </c>
      <c r="K86" s="187" t="s">
        <v>1417</v>
      </c>
      <c r="L86" s="188" t="s">
        <v>2361</v>
      </c>
    </row>
    <row r="87" spans="1:12" ht="14.4">
      <c r="A87" s="184">
        <v>86</v>
      </c>
      <c r="B87" s="184">
        <v>2000</v>
      </c>
      <c r="C87" s="184" t="s">
        <v>2657</v>
      </c>
      <c r="D87" s="184" t="s">
        <v>2925</v>
      </c>
      <c r="E87" s="184" t="s">
        <v>9603</v>
      </c>
      <c r="F87" s="191">
        <v>4</v>
      </c>
      <c r="G87" s="185"/>
      <c r="H87" s="190">
        <v>45980</v>
      </c>
      <c r="I87" s="185"/>
      <c r="J87" s="189">
        <v>1</v>
      </c>
      <c r="K87" s="187" t="s">
        <v>1437</v>
      </c>
      <c r="L87" s="188" t="s">
        <v>1478</v>
      </c>
    </row>
    <row r="88" spans="1:12" ht="14.4">
      <c r="A88" s="184">
        <v>87</v>
      </c>
      <c r="B88" s="184">
        <v>2021</v>
      </c>
      <c r="C88" s="184" t="s">
        <v>2657</v>
      </c>
      <c r="D88" s="184" t="s">
        <v>3605</v>
      </c>
      <c r="E88" s="184" t="s">
        <v>9603</v>
      </c>
      <c r="F88" s="191">
        <v>5</v>
      </c>
      <c r="G88" s="185"/>
      <c r="H88" s="190">
        <v>45983</v>
      </c>
      <c r="I88" s="185"/>
      <c r="J88" s="189">
        <v>1</v>
      </c>
      <c r="K88" s="187" t="s">
        <v>1462</v>
      </c>
      <c r="L88" s="188" t="s">
        <v>1820</v>
      </c>
    </row>
    <row r="89" spans="1:12" ht="14.4">
      <c r="A89" s="184">
        <v>88</v>
      </c>
      <c r="B89" s="184">
        <v>2035</v>
      </c>
      <c r="C89" s="184" t="s">
        <v>3200</v>
      </c>
      <c r="D89" s="184" t="s">
        <v>9643</v>
      </c>
      <c r="E89" s="184" t="s">
        <v>9575</v>
      </c>
      <c r="F89" s="191">
        <v>1</v>
      </c>
      <c r="G89" s="185"/>
      <c r="H89" s="190">
        <v>45973</v>
      </c>
      <c r="I89" s="185"/>
      <c r="J89" s="189">
        <v>1</v>
      </c>
      <c r="K89" s="187" t="s">
        <v>1512</v>
      </c>
      <c r="L89" s="188" t="s">
        <v>1939</v>
      </c>
    </row>
    <row r="90" spans="1:12" ht="14.4">
      <c r="A90" s="184">
        <v>89</v>
      </c>
      <c r="B90" s="184">
        <v>2042</v>
      </c>
      <c r="C90" s="184" t="s">
        <v>2699</v>
      </c>
      <c r="D90" s="184" t="s">
        <v>9644</v>
      </c>
      <c r="E90" s="184" t="s">
        <v>9645</v>
      </c>
      <c r="F90" s="191">
        <v>4</v>
      </c>
      <c r="G90" s="191">
        <v>32</v>
      </c>
      <c r="H90" s="186">
        <v>45669</v>
      </c>
      <c r="I90" s="193">
        <v>45789</v>
      </c>
      <c r="J90" s="189">
        <v>1</v>
      </c>
      <c r="K90" s="187" t="s">
        <v>1329</v>
      </c>
      <c r="L90" s="188" t="s">
        <v>1328</v>
      </c>
    </row>
    <row r="91" spans="1:12" ht="14.4">
      <c r="A91" s="184">
        <v>90</v>
      </c>
      <c r="B91" s="184">
        <v>2058</v>
      </c>
      <c r="C91" s="184" t="s">
        <v>2657</v>
      </c>
      <c r="D91" s="184" t="s">
        <v>3727</v>
      </c>
      <c r="E91" s="184" t="s">
        <v>9603</v>
      </c>
      <c r="F91" s="191">
        <v>7</v>
      </c>
      <c r="G91" s="185"/>
      <c r="H91" s="190">
        <v>45990</v>
      </c>
      <c r="I91" s="185"/>
      <c r="J91" s="189">
        <v>1</v>
      </c>
      <c r="K91" s="187" t="s">
        <v>1352</v>
      </c>
      <c r="L91" s="188" t="s">
        <v>1975</v>
      </c>
    </row>
    <row r="92" spans="1:12" ht="14.4">
      <c r="A92" s="184">
        <v>91</v>
      </c>
      <c r="B92" s="184">
        <v>2073</v>
      </c>
      <c r="C92" s="184" t="s">
        <v>3200</v>
      </c>
      <c r="D92" s="184" t="s">
        <v>9646</v>
      </c>
      <c r="E92" s="184" t="s">
        <v>9647</v>
      </c>
      <c r="F92" s="191">
        <v>1</v>
      </c>
      <c r="G92" s="185"/>
      <c r="H92" s="186">
        <v>45728</v>
      </c>
      <c r="I92" s="185"/>
      <c r="J92" s="189">
        <v>1</v>
      </c>
      <c r="K92" s="187" t="s">
        <v>1370</v>
      </c>
      <c r="L92" s="188" t="s">
        <v>2606</v>
      </c>
    </row>
    <row r="93" spans="1:12" ht="14.4">
      <c r="A93" s="184">
        <v>92</v>
      </c>
      <c r="B93" s="184">
        <v>2075</v>
      </c>
      <c r="C93" s="184" t="s">
        <v>9624</v>
      </c>
      <c r="D93" s="184" t="s">
        <v>9648</v>
      </c>
      <c r="E93" s="185"/>
      <c r="F93" s="191">
        <v>2</v>
      </c>
      <c r="G93" s="191">
        <v>54</v>
      </c>
      <c r="H93" s="186">
        <v>45820</v>
      </c>
      <c r="I93" s="185"/>
      <c r="J93" s="189">
        <v>1</v>
      </c>
      <c r="K93" s="187" t="s">
        <v>1393</v>
      </c>
      <c r="L93" s="188" t="s">
        <v>2158</v>
      </c>
    </row>
    <row r="94" spans="1:12" ht="14.4">
      <c r="A94" s="184">
        <v>93</v>
      </c>
      <c r="B94" s="184">
        <v>2146</v>
      </c>
      <c r="C94" s="184" t="s">
        <v>9649</v>
      </c>
      <c r="D94" s="184" t="s">
        <v>9650</v>
      </c>
      <c r="E94" s="184" t="s">
        <v>9651</v>
      </c>
      <c r="F94" s="191">
        <v>1</v>
      </c>
      <c r="G94" s="185"/>
      <c r="H94" s="186">
        <v>45881</v>
      </c>
      <c r="I94" s="193">
        <v>45881</v>
      </c>
      <c r="J94" s="189">
        <v>1</v>
      </c>
      <c r="K94" s="187" t="s">
        <v>1417</v>
      </c>
      <c r="L94" s="188" t="s">
        <v>2361</v>
      </c>
    </row>
    <row r="95" spans="1:12" ht="14.4">
      <c r="A95" s="184">
        <v>94</v>
      </c>
      <c r="B95" s="184">
        <v>2147</v>
      </c>
      <c r="C95" s="184" t="s">
        <v>6226</v>
      </c>
      <c r="D95" s="184" t="s">
        <v>9652</v>
      </c>
      <c r="E95" s="184" t="s">
        <v>9653</v>
      </c>
      <c r="F95" s="191">
        <v>1</v>
      </c>
      <c r="G95" s="185"/>
      <c r="H95" s="190">
        <v>46003</v>
      </c>
      <c r="I95" s="185"/>
      <c r="J95" s="189">
        <v>1</v>
      </c>
      <c r="K95" s="187" t="s">
        <v>1437</v>
      </c>
      <c r="L95" s="188" t="s">
        <v>1478</v>
      </c>
    </row>
    <row r="96" spans="1:12" ht="14.4">
      <c r="A96" s="184">
        <v>95</v>
      </c>
      <c r="B96" s="184">
        <v>2148</v>
      </c>
      <c r="C96" s="184" t="s">
        <v>5698</v>
      </c>
      <c r="D96" s="184" t="s">
        <v>9654</v>
      </c>
      <c r="E96" s="184" t="s">
        <v>9655</v>
      </c>
      <c r="F96" s="191">
        <v>2</v>
      </c>
      <c r="G96" s="185"/>
      <c r="H96" s="184" t="s">
        <v>9656</v>
      </c>
      <c r="I96" s="185"/>
      <c r="J96" s="189">
        <v>1</v>
      </c>
      <c r="K96" s="187" t="s">
        <v>1462</v>
      </c>
      <c r="L96" s="188" t="s">
        <v>1820</v>
      </c>
    </row>
    <row r="97" spans="1:12" ht="14.4">
      <c r="A97" s="184">
        <v>96</v>
      </c>
      <c r="B97" s="184">
        <v>2171</v>
      </c>
      <c r="C97" s="184" t="s">
        <v>2657</v>
      </c>
      <c r="D97" s="184" t="s">
        <v>3789</v>
      </c>
      <c r="E97" s="184" t="s">
        <v>9603</v>
      </c>
      <c r="F97" s="191">
        <v>4</v>
      </c>
      <c r="G97" s="185"/>
      <c r="H97" s="190">
        <v>46003</v>
      </c>
      <c r="I97" s="185"/>
      <c r="J97" s="189">
        <v>1</v>
      </c>
      <c r="K97" s="187" t="s">
        <v>1512</v>
      </c>
      <c r="L97" s="188" t="s">
        <v>1939</v>
      </c>
    </row>
    <row r="98" spans="1:12" ht="14.4">
      <c r="A98" s="184">
        <v>97</v>
      </c>
      <c r="B98" s="184">
        <v>2239</v>
      </c>
      <c r="C98" s="184" t="s">
        <v>2915</v>
      </c>
      <c r="D98" s="184" t="s">
        <v>9657</v>
      </c>
      <c r="E98" s="184" t="s">
        <v>9568</v>
      </c>
      <c r="F98" s="191">
        <v>3</v>
      </c>
      <c r="G98" s="191">
        <v>5</v>
      </c>
      <c r="H98" s="190">
        <v>46007</v>
      </c>
      <c r="I98" s="185"/>
      <c r="J98" s="189">
        <v>1</v>
      </c>
      <c r="K98" s="187" t="s">
        <v>1329</v>
      </c>
      <c r="L98" s="188" t="s">
        <v>1328</v>
      </c>
    </row>
    <row r="99" spans="1:12" ht="14.4">
      <c r="A99" s="184">
        <v>98</v>
      </c>
      <c r="B99" s="184">
        <v>2291</v>
      </c>
      <c r="C99" s="184" t="s">
        <v>4207</v>
      </c>
      <c r="D99" s="184" t="s">
        <v>9658</v>
      </c>
      <c r="E99" s="184" t="s">
        <v>9659</v>
      </c>
      <c r="F99" s="191">
        <v>1</v>
      </c>
      <c r="G99" s="185"/>
      <c r="H99" s="190">
        <v>46011</v>
      </c>
      <c r="I99" s="185"/>
      <c r="J99" s="189">
        <v>1</v>
      </c>
      <c r="K99" s="187" t="s">
        <v>1352</v>
      </c>
      <c r="L99" s="188" t="s">
        <v>1975</v>
      </c>
    </row>
    <row r="100" spans="1:12" ht="14.4">
      <c r="A100" s="184">
        <v>99</v>
      </c>
      <c r="B100" s="184">
        <v>2319</v>
      </c>
      <c r="C100" s="184" t="s">
        <v>9543</v>
      </c>
      <c r="D100" s="184" t="s">
        <v>9660</v>
      </c>
      <c r="E100" s="184" t="s">
        <v>9661</v>
      </c>
      <c r="F100" s="191">
        <v>1</v>
      </c>
      <c r="G100" s="185"/>
      <c r="H100" s="190">
        <v>46015</v>
      </c>
      <c r="I100" s="192">
        <v>46015</v>
      </c>
      <c r="J100" s="189">
        <v>1</v>
      </c>
      <c r="K100" s="187" t="s">
        <v>1370</v>
      </c>
      <c r="L100" s="188" t="s">
        <v>2606</v>
      </c>
    </row>
    <row r="101" spans="1:12" ht="14.4">
      <c r="A101" s="184">
        <v>100</v>
      </c>
      <c r="B101" s="184">
        <v>2331</v>
      </c>
      <c r="C101" s="184" t="s">
        <v>2657</v>
      </c>
      <c r="D101" s="184" t="s">
        <v>3605</v>
      </c>
      <c r="E101" s="184" t="s">
        <v>9662</v>
      </c>
      <c r="F101" s="191">
        <v>4</v>
      </c>
      <c r="G101" s="185"/>
      <c r="H101" s="190">
        <v>46017</v>
      </c>
      <c r="I101" s="192">
        <v>46019</v>
      </c>
      <c r="J101" s="189">
        <v>3</v>
      </c>
      <c r="K101" s="187" t="s">
        <v>1393</v>
      </c>
      <c r="L101" s="188" t="s">
        <v>2158</v>
      </c>
    </row>
    <row r="102" spans="1:12" ht="14.4">
      <c r="A102" s="184">
        <v>101</v>
      </c>
      <c r="B102" s="184">
        <v>2342</v>
      </c>
      <c r="C102" s="184" t="s">
        <v>2915</v>
      </c>
      <c r="D102" s="184" t="s">
        <v>9657</v>
      </c>
      <c r="E102" s="184" t="s">
        <v>9663</v>
      </c>
      <c r="F102" s="191">
        <v>1</v>
      </c>
      <c r="G102" s="191">
        <v>10</v>
      </c>
      <c r="H102" s="190">
        <v>46020</v>
      </c>
      <c r="I102" s="192">
        <v>46021</v>
      </c>
      <c r="J102" s="189">
        <v>2</v>
      </c>
      <c r="K102" s="187" t="s">
        <v>1417</v>
      </c>
      <c r="L102" s="188" t="s">
        <v>2361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9"/>
  <sheetViews>
    <sheetView workbookViewId="0"/>
  </sheetViews>
  <sheetFormatPr defaultColWidth="12.6640625" defaultRowHeight="15.75" customHeight="1"/>
  <sheetData>
    <row r="1" spans="1:10" ht="15.75" customHeight="1">
      <c r="A1" s="194" t="s">
        <v>2638</v>
      </c>
      <c r="B1" s="194" t="s">
        <v>9664</v>
      </c>
      <c r="C1" s="194" t="s">
        <v>9485</v>
      </c>
      <c r="D1" s="194" t="s">
        <v>9665</v>
      </c>
      <c r="E1" s="194" t="s">
        <v>9666</v>
      </c>
      <c r="F1" s="195" t="s">
        <v>9667</v>
      </c>
      <c r="G1" s="195" t="s">
        <v>9668</v>
      </c>
      <c r="H1" s="194" t="s">
        <v>9669</v>
      </c>
      <c r="I1" s="194" t="s">
        <v>7</v>
      </c>
      <c r="J1" s="194" t="s">
        <v>8872</v>
      </c>
    </row>
    <row r="2" spans="1:10" ht="15.75" customHeight="1">
      <c r="A2" s="196">
        <v>1</v>
      </c>
      <c r="B2" s="68" t="s">
        <v>9670</v>
      </c>
      <c r="C2" s="197" t="s">
        <v>5746</v>
      </c>
      <c r="D2" s="198">
        <v>45340</v>
      </c>
      <c r="E2" s="199" t="s">
        <v>9671</v>
      </c>
      <c r="F2" s="187" t="s">
        <v>1329</v>
      </c>
      <c r="G2" s="200" t="s">
        <v>1328</v>
      </c>
      <c r="H2" s="201" t="s">
        <v>9672</v>
      </c>
      <c r="I2" s="202"/>
      <c r="J2" s="201" t="s">
        <v>9673</v>
      </c>
    </row>
    <row r="3" spans="1:10" ht="15.75" customHeight="1">
      <c r="A3" s="196">
        <v>2</v>
      </c>
      <c r="B3" s="68" t="s">
        <v>9674</v>
      </c>
      <c r="C3" s="197" t="s">
        <v>5746</v>
      </c>
      <c r="D3" s="198">
        <v>45406</v>
      </c>
      <c r="E3" s="199" t="s">
        <v>9675</v>
      </c>
      <c r="F3" s="187" t="s">
        <v>1352</v>
      </c>
      <c r="G3" s="200" t="s">
        <v>1975</v>
      </c>
      <c r="H3" s="201" t="s">
        <v>9672</v>
      </c>
      <c r="I3" s="202"/>
      <c r="J3" s="201" t="s">
        <v>9673</v>
      </c>
    </row>
    <row r="4" spans="1:10" ht="15.75" customHeight="1">
      <c r="A4" s="196">
        <v>3</v>
      </c>
      <c r="B4" s="68" t="s">
        <v>9676</v>
      </c>
      <c r="C4" s="197" t="s">
        <v>5737</v>
      </c>
      <c r="D4" s="203">
        <v>45495</v>
      </c>
      <c r="E4" s="197" t="s">
        <v>9675</v>
      </c>
      <c r="F4" s="187" t="s">
        <v>1370</v>
      </c>
      <c r="G4" s="200" t="s">
        <v>2606</v>
      </c>
      <c r="H4" s="201" t="s">
        <v>9672</v>
      </c>
      <c r="I4" s="202"/>
      <c r="J4" s="201" t="s">
        <v>9673</v>
      </c>
    </row>
    <row r="5" spans="1:10" ht="15.75" customHeight="1">
      <c r="A5" s="196">
        <v>4</v>
      </c>
      <c r="B5" s="68" t="s">
        <v>9500</v>
      </c>
      <c r="C5" s="197" t="s">
        <v>2699</v>
      </c>
      <c r="D5" s="198">
        <v>45502</v>
      </c>
      <c r="E5" s="197" t="s">
        <v>9675</v>
      </c>
      <c r="F5" s="187" t="s">
        <v>1393</v>
      </c>
      <c r="G5" s="200" t="s">
        <v>2158</v>
      </c>
      <c r="H5" s="201" t="s">
        <v>9672</v>
      </c>
      <c r="I5" s="202"/>
      <c r="J5" s="201" t="s">
        <v>9673</v>
      </c>
    </row>
    <row r="6" spans="1:10" ht="15.75" customHeight="1">
      <c r="A6" s="196">
        <v>5</v>
      </c>
      <c r="B6" s="68" t="s">
        <v>9677</v>
      </c>
      <c r="C6" s="197" t="s">
        <v>2699</v>
      </c>
      <c r="D6" s="198">
        <v>45523</v>
      </c>
      <c r="E6" s="197" t="s">
        <v>9675</v>
      </c>
      <c r="F6" s="187" t="s">
        <v>1417</v>
      </c>
      <c r="G6" s="200" t="s">
        <v>2361</v>
      </c>
      <c r="H6" s="201" t="s">
        <v>9672</v>
      </c>
      <c r="I6" s="202"/>
      <c r="J6" s="201" t="s">
        <v>9673</v>
      </c>
    </row>
    <row r="7" spans="1:10" ht="15.75" customHeight="1">
      <c r="A7" s="196">
        <v>6</v>
      </c>
      <c r="B7" s="68" t="s">
        <v>9678</v>
      </c>
      <c r="C7" s="197" t="s">
        <v>2931</v>
      </c>
      <c r="D7" s="198">
        <v>45586</v>
      </c>
      <c r="E7" s="197" t="s">
        <v>9675</v>
      </c>
      <c r="F7" s="187" t="s">
        <v>1437</v>
      </c>
      <c r="G7" s="200" t="s">
        <v>1478</v>
      </c>
      <c r="H7" s="201" t="s">
        <v>9672</v>
      </c>
      <c r="I7" s="202"/>
      <c r="J7" s="201" t="s">
        <v>9673</v>
      </c>
    </row>
    <row r="8" spans="1:10" ht="15.75" customHeight="1">
      <c r="A8" s="196">
        <v>7</v>
      </c>
      <c r="B8" s="68" t="s">
        <v>9679</v>
      </c>
      <c r="C8" s="202"/>
      <c r="D8" s="198">
        <v>45586</v>
      </c>
      <c r="E8" s="197" t="s">
        <v>9671</v>
      </c>
      <c r="F8" s="187" t="s">
        <v>1462</v>
      </c>
      <c r="G8" s="200" t="s">
        <v>1820</v>
      </c>
      <c r="H8" s="201" t="s">
        <v>9672</v>
      </c>
      <c r="I8" s="202"/>
      <c r="J8" s="201" t="s">
        <v>9673</v>
      </c>
    </row>
    <row r="9" spans="1:10" ht="15.75" customHeight="1">
      <c r="A9" s="196">
        <v>8</v>
      </c>
      <c r="B9" s="68" t="s">
        <v>9680</v>
      </c>
      <c r="C9" s="197" t="s">
        <v>2699</v>
      </c>
      <c r="D9" s="204">
        <v>45515</v>
      </c>
      <c r="E9" s="197" t="s">
        <v>9671</v>
      </c>
      <c r="F9" s="187" t="s">
        <v>1512</v>
      </c>
      <c r="G9" s="200" t="s">
        <v>1939</v>
      </c>
      <c r="H9" s="201" t="s">
        <v>9672</v>
      </c>
      <c r="I9" s="202"/>
      <c r="J9" s="201" t="s">
        <v>9673</v>
      </c>
    </row>
    <row r="10" spans="1:10" ht="15.75" customHeight="1">
      <c r="A10" s="196">
        <v>9</v>
      </c>
      <c r="B10" s="68" t="s">
        <v>9681</v>
      </c>
      <c r="C10" s="197" t="s">
        <v>5746</v>
      </c>
      <c r="D10" s="204">
        <v>45689</v>
      </c>
      <c r="E10" s="197" t="s">
        <v>9675</v>
      </c>
      <c r="F10" s="187" t="s">
        <v>1329</v>
      </c>
      <c r="G10" s="200" t="s">
        <v>1328</v>
      </c>
      <c r="H10" s="201" t="s">
        <v>9672</v>
      </c>
      <c r="I10" s="202"/>
      <c r="J10" s="201" t="s">
        <v>9673</v>
      </c>
    </row>
    <row r="11" spans="1:10" ht="15.75" customHeight="1">
      <c r="A11" s="196">
        <v>10</v>
      </c>
      <c r="B11" s="68" t="s">
        <v>9681</v>
      </c>
      <c r="C11" s="197" t="s">
        <v>5746</v>
      </c>
      <c r="D11" s="204">
        <v>45719</v>
      </c>
      <c r="E11" s="199" t="s">
        <v>9671</v>
      </c>
      <c r="F11" s="187" t="s">
        <v>1352</v>
      </c>
      <c r="G11" s="200" t="s">
        <v>1975</v>
      </c>
      <c r="H11" s="201" t="s">
        <v>9672</v>
      </c>
      <c r="I11" s="202"/>
      <c r="J11" s="201" t="s">
        <v>9673</v>
      </c>
    </row>
    <row r="12" spans="1:10" ht="15.75" customHeight="1">
      <c r="A12" s="196">
        <v>11</v>
      </c>
      <c r="B12" s="68" t="s">
        <v>9682</v>
      </c>
      <c r="C12" s="197" t="s">
        <v>2931</v>
      </c>
      <c r="D12" s="204">
        <v>45809</v>
      </c>
      <c r="E12" s="197" t="s">
        <v>9675</v>
      </c>
      <c r="F12" s="187" t="s">
        <v>1370</v>
      </c>
      <c r="G12" s="200" t="s">
        <v>2606</v>
      </c>
      <c r="H12" s="201" t="s">
        <v>9672</v>
      </c>
      <c r="I12" s="202"/>
      <c r="J12" s="201" t="s">
        <v>9673</v>
      </c>
    </row>
    <row r="13" spans="1:10" ht="15.75" customHeight="1">
      <c r="A13" s="196">
        <v>12</v>
      </c>
      <c r="B13" s="68" t="s">
        <v>9682</v>
      </c>
      <c r="C13" s="197" t="s">
        <v>2931</v>
      </c>
      <c r="D13" s="204">
        <v>45809</v>
      </c>
      <c r="E13" s="199" t="s">
        <v>9671</v>
      </c>
      <c r="F13" s="187" t="s">
        <v>1393</v>
      </c>
      <c r="G13" s="200" t="s">
        <v>2158</v>
      </c>
      <c r="H13" s="201" t="s">
        <v>9672</v>
      </c>
      <c r="I13" s="202"/>
      <c r="J13" s="201" t="s">
        <v>9673</v>
      </c>
    </row>
    <row r="14" spans="1:10" ht="15.75" customHeight="1">
      <c r="A14" s="196">
        <v>13</v>
      </c>
      <c r="B14" s="68" t="s">
        <v>9683</v>
      </c>
      <c r="C14" s="197" t="s">
        <v>2674</v>
      </c>
      <c r="D14" s="204">
        <v>45809</v>
      </c>
      <c r="E14" s="199" t="s">
        <v>9671</v>
      </c>
      <c r="F14" s="187" t="s">
        <v>1417</v>
      </c>
      <c r="G14" s="200" t="s">
        <v>2361</v>
      </c>
      <c r="H14" s="201" t="s">
        <v>9672</v>
      </c>
      <c r="I14" s="202"/>
      <c r="J14" s="201" t="s">
        <v>9673</v>
      </c>
    </row>
    <row r="15" spans="1:10" ht="15.75" customHeight="1">
      <c r="A15" s="196">
        <v>14</v>
      </c>
      <c r="B15" s="68" t="s">
        <v>9684</v>
      </c>
      <c r="C15" s="197" t="s">
        <v>9609</v>
      </c>
      <c r="D15" s="204">
        <v>45719</v>
      </c>
      <c r="E15" s="197" t="s">
        <v>9675</v>
      </c>
      <c r="F15" s="187" t="s">
        <v>1437</v>
      </c>
      <c r="G15" s="200" t="s">
        <v>1478</v>
      </c>
      <c r="H15" s="201" t="s">
        <v>9672</v>
      </c>
      <c r="I15" s="202"/>
      <c r="J15" s="201" t="s">
        <v>9673</v>
      </c>
    </row>
    <row r="16" spans="1:10" ht="15.75" customHeight="1">
      <c r="A16" s="196">
        <v>15</v>
      </c>
      <c r="B16" s="68" t="s">
        <v>9685</v>
      </c>
      <c r="C16" s="197" t="s">
        <v>2931</v>
      </c>
      <c r="D16" s="205">
        <v>45734</v>
      </c>
      <c r="E16" s="199" t="s">
        <v>9675</v>
      </c>
      <c r="F16" s="187" t="s">
        <v>1462</v>
      </c>
      <c r="G16" s="200" t="s">
        <v>1820</v>
      </c>
      <c r="H16" s="201" t="s">
        <v>9672</v>
      </c>
      <c r="I16" s="202"/>
      <c r="J16" s="201" t="s">
        <v>9673</v>
      </c>
    </row>
    <row r="17" spans="1:10" ht="15.75" customHeight="1">
      <c r="A17" s="196">
        <v>16</v>
      </c>
      <c r="B17" s="68" t="s">
        <v>4239</v>
      </c>
      <c r="C17" s="197" t="s">
        <v>2699</v>
      </c>
      <c r="D17" s="205">
        <v>45737</v>
      </c>
      <c r="E17" s="197" t="s">
        <v>9671</v>
      </c>
      <c r="F17" s="187" t="s">
        <v>1512</v>
      </c>
      <c r="G17" s="200" t="s">
        <v>1939</v>
      </c>
      <c r="H17" s="201" t="s">
        <v>9672</v>
      </c>
      <c r="I17" s="202"/>
      <c r="J17" s="201" t="s">
        <v>9673</v>
      </c>
    </row>
    <row r="18" spans="1:10" ht="15.75" customHeight="1">
      <c r="A18" s="196">
        <v>17</v>
      </c>
      <c r="B18" s="68" t="s">
        <v>4239</v>
      </c>
      <c r="C18" s="197" t="s">
        <v>2699</v>
      </c>
      <c r="D18" s="205">
        <v>45796</v>
      </c>
      <c r="E18" s="197" t="s">
        <v>9671</v>
      </c>
      <c r="F18" s="187" t="s">
        <v>1329</v>
      </c>
      <c r="G18" s="200" t="s">
        <v>1328</v>
      </c>
      <c r="H18" s="201" t="s">
        <v>9672</v>
      </c>
      <c r="I18" s="202"/>
      <c r="J18" s="201" t="s">
        <v>9673</v>
      </c>
    </row>
    <row r="19" spans="1:10" ht="15.75" customHeight="1">
      <c r="A19" s="196">
        <v>18</v>
      </c>
      <c r="B19" s="68" t="s">
        <v>4239</v>
      </c>
      <c r="C19" s="197" t="s">
        <v>2699</v>
      </c>
      <c r="D19" s="205">
        <v>45796</v>
      </c>
      <c r="E19" s="197" t="s">
        <v>9671</v>
      </c>
      <c r="F19" s="187" t="s">
        <v>1352</v>
      </c>
      <c r="G19" s="200" t="s">
        <v>1975</v>
      </c>
      <c r="H19" s="201" t="s">
        <v>9672</v>
      </c>
      <c r="I19" s="202"/>
      <c r="J19" s="201" t="s">
        <v>9673</v>
      </c>
    </row>
    <row r="20" spans="1:10" ht="15.75" customHeight="1">
      <c r="A20" s="196">
        <v>19</v>
      </c>
      <c r="B20" s="68" t="s">
        <v>4239</v>
      </c>
      <c r="C20" s="197" t="s">
        <v>2699</v>
      </c>
      <c r="D20" s="205">
        <v>45796</v>
      </c>
      <c r="E20" s="197" t="s">
        <v>9671</v>
      </c>
      <c r="F20" s="187" t="s">
        <v>1370</v>
      </c>
      <c r="G20" s="200" t="s">
        <v>2606</v>
      </c>
      <c r="H20" s="201" t="s">
        <v>9672</v>
      </c>
      <c r="I20" s="202"/>
      <c r="J20" s="201" t="s">
        <v>9673</v>
      </c>
    </row>
    <row r="21" spans="1:10" ht="15.75" customHeight="1">
      <c r="A21" s="196">
        <v>20</v>
      </c>
      <c r="B21" s="68" t="s">
        <v>4667</v>
      </c>
      <c r="C21" s="197" t="s">
        <v>2699</v>
      </c>
      <c r="D21" s="205">
        <v>45797</v>
      </c>
      <c r="E21" s="197" t="s">
        <v>9675</v>
      </c>
      <c r="F21" s="187" t="s">
        <v>1393</v>
      </c>
      <c r="G21" s="200" t="s">
        <v>2158</v>
      </c>
      <c r="H21" s="201" t="s">
        <v>9672</v>
      </c>
      <c r="I21" s="202"/>
      <c r="J21" s="201" t="s">
        <v>9673</v>
      </c>
    </row>
    <row r="22" spans="1:10" ht="15.75" customHeight="1">
      <c r="A22" s="196">
        <v>21</v>
      </c>
      <c r="B22" s="68" t="s">
        <v>4667</v>
      </c>
      <c r="C22" s="197" t="s">
        <v>2699</v>
      </c>
      <c r="D22" s="205">
        <v>45797</v>
      </c>
      <c r="E22" s="197" t="s">
        <v>9671</v>
      </c>
      <c r="F22" s="187" t="s">
        <v>1417</v>
      </c>
      <c r="G22" s="200" t="s">
        <v>2361</v>
      </c>
      <c r="H22" s="201" t="s">
        <v>9672</v>
      </c>
      <c r="I22" s="202"/>
      <c r="J22" s="201" t="s">
        <v>9673</v>
      </c>
    </row>
    <row r="23" spans="1:10" ht="15.75" customHeight="1">
      <c r="A23" s="196">
        <v>22</v>
      </c>
      <c r="B23" s="68" t="s">
        <v>9686</v>
      </c>
      <c r="C23" s="197" t="s">
        <v>2699</v>
      </c>
      <c r="D23" s="205">
        <v>45799</v>
      </c>
      <c r="E23" s="197" t="s">
        <v>9675</v>
      </c>
      <c r="F23" s="187" t="s">
        <v>1437</v>
      </c>
      <c r="G23" s="200" t="s">
        <v>1478</v>
      </c>
      <c r="H23" s="201" t="s">
        <v>9672</v>
      </c>
      <c r="I23" s="202"/>
      <c r="J23" s="201" t="s">
        <v>9673</v>
      </c>
    </row>
    <row r="24" spans="1:10" ht="15.75" customHeight="1">
      <c r="A24" s="196">
        <v>23</v>
      </c>
      <c r="B24" s="68" t="s">
        <v>9687</v>
      </c>
      <c r="C24" s="197" t="s">
        <v>2657</v>
      </c>
      <c r="D24" s="205">
        <v>45832</v>
      </c>
      <c r="E24" s="197" t="s">
        <v>9675</v>
      </c>
      <c r="F24" s="187" t="s">
        <v>1462</v>
      </c>
      <c r="G24" s="200" t="s">
        <v>1820</v>
      </c>
      <c r="H24" s="201" t="s">
        <v>9672</v>
      </c>
      <c r="I24" s="202"/>
      <c r="J24" s="201" t="s">
        <v>9673</v>
      </c>
    </row>
    <row r="25" spans="1:10" ht="15.75" customHeight="1">
      <c r="A25" s="196">
        <v>24</v>
      </c>
      <c r="B25" s="68" t="s">
        <v>4285</v>
      </c>
      <c r="C25" s="197" t="s">
        <v>2931</v>
      </c>
      <c r="D25" s="205">
        <v>45868</v>
      </c>
      <c r="E25" s="197" t="s">
        <v>9675</v>
      </c>
      <c r="F25" s="187" t="s">
        <v>1512</v>
      </c>
      <c r="G25" s="200" t="s">
        <v>1939</v>
      </c>
      <c r="H25" s="201" t="s">
        <v>9672</v>
      </c>
      <c r="I25" s="202"/>
      <c r="J25" s="201" t="s">
        <v>9673</v>
      </c>
    </row>
    <row r="26" spans="1:10" ht="15.75" customHeight="1">
      <c r="A26" s="196">
        <v>25</v>
      </c>
      <c r="B26" s="68" t="s">
        <v>4285</v>
      </c>
      <c r="C26" s="197" t="s">
        <v>2931</v>
      </c>
      <c r="D26" s="205">
        <v>45868</v>
      </c>
      <c r="E26" s="197" t="s">
        <v>9671</v>
      </c>
      <c r="F26" s="187" t="s">
        <v>1329</v>
      </c>
      <c r="G26" s="200" t="s">
        <v>1328</v>
      </c>
      <c r="H26" s="201" t="s">
        <v>9672</v>
      </c>
      <c r="I26" s="202"/>
      <c r="J26" s="201" t="s">
        <v>9673</v>
      </c>
    </row>
    <row r="27" spans="1:10" ht="15.75" customHeight="1">
      <c r="A27" s="196">
        <v>26</v>
      </c>
      <c r="B27" s="68" t="s">
        <v>9688</v>
      </c>
      <c r="C27" s="197" t="s">
        <v>2931</v>
      </c>
      <c r="D27" s="204">
        <v>45665</v>
      </c>
      <c r="E27" s="197" t="s">
        <v>9675</v>
      </c>
      <c r="F27" s="187" t="s">
        <v>1352</v>
      </c>
      <c r="G27" s="200" t="s">
        <v>1975</v>
      </c>
      <c r="H27" s="201" t="s">
        <v>9672</v>
      </c>
      <c r="I27" s="202"/>
      <c r="J27" s="201" t="s">
        <v>9673</v>
      </c>
    </row>
    <row r="28" spans="1:10" ht="15.75" customHeight="1">
      <c r="A28" s="196">
        <v>27</v>
      </c>
      <c r="B28" s="68" t="s">
        <v>9689</v>
      </c>
      <c r="C28" s="197" t="s">
        <v>2699</v>
      </c>
      <c r="D28" s="205">
        <v>45890</v>
      </c>
      <c r="E28" s="197" t="s">
        <v>9671</v>
      </c>
      <c r="F28" s="187" t="s">
        <v>1370</v>
      </c>
      <c r="G28" s="200" t="s">
        <v>2606</v>
      </c>
      <c r="H28" s="201" t="s">
        <v>9672</v>
      </c>
      <c r="I28" s="201" t="s">
        <v>9690</v>
      </c>
      <c r="J28" s="201" t="s">
        <v>9673</v>
      </c>
    </row>
    <row r="29" spans="1:10" ht="15.75" customHeight="1">
      <c r="A29" s="196">
        <v>28</v>
      </c>
      <c r="B29" s="68" t="s">
        <v>9689</v>
      </c>
      <c r="C29" s="197" t="s">
        <v>2699</v>
      </c>
      <c r="D29" s="205">
        <v>45890</v>
      </c>
      <c r="E29" s="197" t="s">
        <v>9671</v>
      </c>
      <c r="F29" s="187" t="s">
        <v>1393</v>
      </c>
      <c r="G29" s="200" t="s">
        <v>2158</v>
      </c>
      <c r="H29" s="201" t="s">
        <v>9672</v>
      </c>
      <c r="I29" s="201" t="s">
        <v>9691</v>
      </c>
      <c r="J29" s="201" t="s">
        <v>9673</v>
      </c>
    </row>
    <row r="30" spans="1:10" ht="15.75" customHeight="1">
      <c r="A30" s="196">
        <v>29</v>
      </c>
      <c r="B30" s="68" t="s">
        <v>9692</v>
      </c>
      <c r="C30" s="197" t="s">
        <v>2674</v>
      </c>
      <c r="D30" s="204">
        <v>45919</v>
      </c>
      <c r="E30" s="197" t="s">
        <v>9675</v>
      </c>
      <c r="F30" s="187" t="s">
        <v>1417</v>
      </c>
      <c r="G30" s="200" t="s">
        <v>2361</v>
      </c>
      <c r="H30" s="201" t="s">
        <v>9672</v>
      </c>
      <c r="I30" s="202"/>
      <c r="J30" s="201" t="s">
        <v>9673</v>
      </c>
    </row>
    <row r="31" spans="1:10" ht="15.75" customHeight="1">
      <c r="A31" s="196">
        <v>30</v>
      </c>
      <c r="B31" s="68" t="s">
        <v>9693</v>
      </c>
      <c r="C31" s="197" t="s">
        <v>2674</v>
      </c>
      <c r="D31" s="205">
        <v>45920</v>
      </c>
      <c r="E31" s="197" t="s">
        <v>9675</v>
      </c>
      <c r="F31" s="187" t="s">
        <v>1437</v>
      </c>
      <c r="G31" s="200" t="s">
        <v>1478</v>
      </c>
      <c r="H31" s="201" t="s">
        <v>9672</v>
      </c>
      <c r="I31" s="202"/>
      <c r="J31" s="201" t="s">
        <v>9673</v>
      </c>
    </row>
    <row r="32" spans="1:10" ht="15.75" customHeight="1">
      <c r="A32" s="196">
        <v>31</v>
      </c>
      <c r="B32" s="68" t="s">
        <v>9694</v>
      </c>
      <c r="C32" s="197" t="s">
        <v>9598</v>
      </c>
      <c r="D32" s="205">
        <v>45924</v>
      </c>
      <c r="E32" s="197" t="s">
        <v>9675</v>
      </c>
      <c r="F32" s="187" t="s">
        <v>1462</v>
      </c>
      <c r="G32" s="200" t="s">
        <v>1820</v>
      </c>
      <c r="H32" s="201" t="s">
        <v>9672</v>
      </c>
      <c r="I32" s="202"/>
      <c r="J32" s="201" t="s">
        <v>9673</v>
      </c>
    </row>
    <row r="33" spans="1:10" ht="14.4">
      <c r="A33" s="196">
        <v>32</v>
      </c>
      <c r="B33" s="68" t="s">
        <v>9616</v>
      </c>
      <c r="C33" s="197" t="s">
        <v>2657</v>
      </c>
      <c r="D33" s="205">
        <v>45960</v>
      </c>
      <c r="E33" s="197" t="s">
        <v>9675</v>
      </c>
      <c r="F33" s="187" t="s">
        <v>1512</v>
      </c>
      <c r="G33" s="200" t="s">
        <v>1939</v>
      </c>
      <c r="H33" s="201" t="s">
        <v>9672</v>
      </c>
      <c r="I33" s="202"/>
      <c r="J33" s="201" t="s">
        <v>9673</v>
      </c>
    </row>
    <row r="34" spans="1:10" ht="14.4">
      <c r="A34" s="196">
        <v>33</v>
      </c>
      <c r="B34" s="68" t="s">
        <v>9695</v>
      </c>
      <c r="C34" s="197" t="s">
        <v>6817</v>
      </c>
      <c r="D34" s="205">
        <v>45944</v>
      </c>
      <c r="E34" s="197" t="s">
        <v>9675</v>
      </c>
      <c r="F34" s="187" t="s">
        <v>1329</v>
      </c>
      <c r="G34" s="200" t="s">
        <v>1328</v>
      </c>
      <c r="H34" s="201" t="s">
        <v>9672</v>
      </c>
      <c r="I34" s="202"/>
      <c r="J34" s="201" t="s">
        <v>9673</v>
      </c>
    </row>
    <row r="35" spans="1:10" ht="14.4">
      <c r="A35" s="196">
        <v>34</v>
      </c>
      <c r="B35" s="68" t="s">
        <v>9696</v>
      </c>
      <c r="C35" s="206" t="s">
        <v>2674</v>
      </c>
      <c r="D35" s="207">
        <v>45951</v>
      </c>
      <c r="E35" s="197" t="s">
        <v>9675</v>
      </c>
      <c r="F35" s="187" t="s">
        <v>1352</v>
      </c>
      <c r="G35" s="200" t="s">
        <v>1975</v>
      </c>
      <c r="H35" s="201" t="s">
        <v>9672</v>
      </c>
      <c r="I35" s="202"/>
      <c r="J35" s="201" t="s">
        <v>9673</v>
      </c>
    </row>
    <row r="36" spans="1:10" ht="14.4">
      <c r="A36" s="196">
        <v>35</v>
      </c>
      <c r="B36" s="68" t="s">
        <v>9697</v>
      </c>
      <c r="C36" s="197" t="s">
        <v>2674</v>
      </c>
      <c r="D36" s="204">
        <v>45849</v>
      </c>
      <c r="E36" s="197" t="s">
        <v>9675</v>
      </c>
      <c r="F36" s="187" t="s">
        <v>1370</v>
      </c>
      <c r="G36" s="200" t="s">
        <v>2606</v>
      </c>
      <c r="H36" s="201" t="s">
        <v>9672</v>
      </c>
      <c r="I36" s="202"/>
      <c r="J36" s="201" t="s">
        <v>9673</v>
      </c>
    </row>
    <row r="37" spans="1:10" ht="14.4">
      <c r="A37" s="196">
        <v>36</v>
      </c>
      <c r="B37" s="208" t="s">
        <v>9698</v>
      </c>
      <c r="C37" s="209" t="s">
        <v>4065</v>
      </c>
      <c r="D37" s="204">
        <v>45849</v>
      </c>
      <c r="E37" s="197" t="s">
        <v>9675</v>
      </c>
      <c r="F37" s="187" t="s">
        <v>1393</v>
      </c>
      <c r="G37" s="200" t="s">
        <v>2158</v>
      </c>
      <c r="H37" s="201" t="s">
        <v>9672</v>
      </c>
      <c r="I37" s="202"/>
      <c r="J37" s="201" t="s">
        <v>9673</v>
      </c>
    </row>
    <row r="38" spans="1:10" ht="14.4">
      <c r="A38" s="196">
        <v>37</v>
      </c>
      <c r="B38" s="68" t="s">
        <v>9699</v>
      </c>
      <c r="C38" s="197" t="s">
        <v>2699</v>
      </c>
      <c r="D38" s="205">
        <v>45981</v>
      </c>
      <c r="E38" s="197" t="s">
        <v>9675</v>
      </c>
      <c r="F38" s="187" t="s">
        <v>1417</v>
      </c>
      <c r="G38" s="200" t="s">
        <v>2361</v>
      </c>
      <c r="H38" s="201" t="s">
        <v>9672</v>
      </c>
      <c r="I38" s="202"/>
      <c r="J38" s="201" t="s">
        <v>9673</v>
      </c>
    </row>
    <row r="39" spans="1:10" ht="14.4">
      <c r="A39" s="196">
        <v>38</v>
      </c>
      <c r="B39" s="68" t="s">
        <v>9700</v>
      </c>
      <c r="C39" s="197" t="s">
        <v>2674</v>
      </c>
      <c r="D39" s="205">
        <v>45975</v>
      </c>
      <c r="E39" s="197" t="s">
        <v>9675</v>
      </c>
      <c r="F39" s="187" t="s">
        <v>1437</v>
      </c>
      <c r="G39" s="200" t="s">
        <v>1478</v>
      </c>
      <c r="H39" s="201" t="s">
        <v>9672</v>
      </c>
      <c r="I39" s="202"/>
      <c r="J39" s="201" t="s">
        <v>9673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SVNCKH2025_2026</vt:lpstr>
      <vt:lpstr>BangLHS_2025_2026</vt:lpstr>
      <vt:lpstr>GV_NCKH2025</vt:lpstr>
      <vt:lpstr>GV_NCKH2025ChiTiet</vt:lpstr>
      <vt:lpstr>DMNHanSu</vt:lpstr>
      <vt:lpstr>Tổng hợp</vt:lpstr>
      <vt:lpstr>BangSVKhoiNghiep2025</vt:lpstr>
      <vt:lpstr>BangSVKhoiNghiep2026</vt:lpstr>
      <vt:lpstr>BangDonViNganh</vt:lpstr>
      <vt:lpstr>Bảng Đơn vị</vt:lpstr>
      <vt:lpstr>DMBaiBao_2025_2026</vt:lpstr>
      <vt:lpstr>DMDoanDenTruong</vt:lpstr>
      <vt:lpstr>DMMouMoa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2026-03-31T11:23:29Z</dcterms:modified>
</cp:coreProperties>
</file>